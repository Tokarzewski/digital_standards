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embeddings/oleObject1.bin" ContentType="application/vnd.openxmlformats-officedocument.oleObject"/>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embeddings/oleObject62.bin" ContentType="application/vnd.openxmlformats-officedocument.oleObject"/>
  <Override PartName="/xl/embeddings/oleObject63.bin" ContentType="application/vnd.openxmlformats-officedocument.oleObject"/>
  <Override PartName="/xl/embeddings/oleObject64.bin" ContentType="application/vnd.openxmlformats-officedocument.oleObject"/>
  <Override PartName="/xl/embeddings/oleObject65.bin" ContentType="application/vnd.openxmlformats-officedocument.oleObject"/>
  <Override PartName="/xl/embeddings/oleObject66.bin" ContentType="application/vnd.openxmlformats-officedocument.oleObject"/>
  <Override PartName="/xl/embeddings/oleObject67.bin" ContentType="application/vnd.openxmlformats-officedocument.oleObject"/>
  <Override PartName="/xl/embeddings/oleObject68.bin" ContentType="application/vnd.openxmlformats-officedocument.oleObject"/>
  <Override PartName="/xl/embeddings/oleObject69.bin" ContentType="application/vnd.openxmlformats-officedocument.oleObject"/>
  <Override PartName="/xl/embeddings/oleObject70.bin" ContentType="application/vnd.openxmlformats-officedocument.oleObject"/>
  <Override PartName="/xl/embeddings/oleObject71.bin" ContentType="application/vnd.openxmlformats-officedocument.oleObject"/>
  <Override PartName="/xl/embeddings/oleObject72.bin" ContentType="application/vnd.openxmlformats-officedocument.oleObject"/>
  <Override PartName="/xl/embeddings/oleObject73.bin" ContentType="application/vnd.openxmlformats-officedocument.oleObject"/>
  <Override PartName="/xl/embeddings/oleObject74.bin" ContentType="application/vnd.openxmlformats-officedocument.oleObject"/>
  <Override PartName="/xl/embeddings/oleObject75.bin" ContentType="application/vnd.openxmlformats-officedocument.oleObject"/>
  <Override PartName="/xl/comments5.xml" ContentType="application/vnd.openxmlformats-officedocument.spreadsheetml.comments+xml"/>
  <Override PartName="/xl/comments6.xml" ContentType="application/vnd.openxmlformats-officedocument.spreadsheetml.comments+xml"/>
  <Override PartName="/xl/drawings/drawing8.xml" ContentType="application/vnd.openxmlformats-officedocument.drawing+xml"/>
  <Override PartName="/xl/embeddings/oleObject76.bin" ContentType="application/vnd.openxmlformats-officedocument.oleObject"/>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19920" windowHeight="13260"/>
  </bookViews>
  <sheets>
    <sheet name="Disclaimer" sheetId="26" r:id="rId1"/>
    <sheet name="INFO" sheetId="30" r:id="rId2"/>
    <sheet name="Language" sheetId="18" r:id="rId3"/>
    <sheet name="Diagram_NEW" sheetId="19" r:id="rId4"/>
    <sheet name="Base_calc" sheetId="14" r:id="rId5"/>
    <sheet name="National options" sheetId="12" r:id="rId6"/>
    <sheet name="ConvFactors" sheetId="31" r:id="rId7"/>
    <sheet name="Method_input" sheetId="21" r:id="rId8"/>
    <sheet name="Method_calculation" sheetId="22" r:id="rId9"/>
    <sheet name="Method_output" sheetId="23" r:id="rId10"/>
    <sheet name="Fmatch" sheetId="24" r:id="rId11"/>
    <sheet name="History" sheetId="11" r:id="rId12"/>
  </sheets>
  <definedNames>
    <definedName name="_case_en">Base_calc!$I$10</definedName>
    <definedName name="_case_factor">ConvFactors!$F$25</definedName>
    <definedName name="_case_k_factors">'National options'!$C$22</definedName>
    <definedName name="_case_perimeter">'National options'!$C$46</definedName>
    <definedName name="_case_priority">'National options'!$C$7</definedName>
    <definedName name="_En_unit">Base_calc!$D$6</definedName>
    <definedName name="_xlnm._FilterDatabase" localSheetId="4" hidden="1">Base_calc!$H$1:$H$1350</definedName>
    <definedName name="_xlnm._FilterDatabase" localSheetId="5" hidden="1">'National options'!#REF!</definedName>
    <definedName name="_language">Base_calc!$B$7</definedName>
    <definedName name="DATA_IN_COUNT">#REF!</definedName>
    <definedName name="DATA_OUT_COUNT">#REF!</definedName>
    <definedName name="First_data_in">#REF!</definedName>
    <definedName name="First_data_out">#REF!</definedName>
    <definedName name="Lan">Base_calc!$B$8</definedName>
    <definedName name="TIME_STEPS_COUNT">#REF!</definedName>
  </definedNames>
  <calcPr calcId="145621"/>
</workbook>
</file>

<file path=xl/calcChain.xml><?xml version="1.0" encoding="utf-8"?>
<calcChain xmlns="http://schemas.openxmlformats.org/spreadsheetml/2006/main">
  <c r="B29" i="31" l="1"/>
  <c r="C29" i="31"/>
  <c r="D29" i="31"/>
  <c r="E29" i="31"/>
  <c r="F29" i="31"/>
  <c r="I29" i="31"/>
  <c r="J29" i="31"/>
  <c r="K29" i="31"/>
  <c r="L29" i="31"/>
  <c r="M29" i="31"/>
  <c r="N29" i="31"/>
  <c r="O29" i="31"/>
  <c r="P29" i="31"/>
  <c r="Q29" i="31"/>
  <c r="F30" i="31"/>
  <c r="B31" i="31"/>
  <c r="S31" i="31"/>
  <c r="B32" i="31"/>
  <c r="B70" i="31" s="1"/>
  <c r="D32" i="31"/>
  <c r="D51" i="31" s="1"/>
  <c r="D70" i="31" s="1"/>
  <c r="D91" i="31" s="1"/>
  <c r="D112" i="31" s="1"/>
  <c r="E32" i="31"/>
  <c r="F32" i="31"/>
  <c r="G32" i="31"/>
  <c r="G70" i="31" s="1"/>
  <c r="S32" i="31"/>
  <c r="B33" i="31"/>
  <c r="D33" i="31"/>
  <c r="E33" i="31"/>
  <c r="F33" i="31"/>
  <c r="G33" i="31"/>
  <c r="S33" i="31"/>
  <c r="B34" i="31"/>
  <c r="B114" i="31" s="1"/>
  <c r="D34" i="31"/>
  <c r="D53" i="31" s="1"/>
  <c r="D72" i="31" s="1"/>
  <c r="D93" i="31" s="1"/>
  <c r="D114" i="31" s="1"/>
  <c r="E34" i="31"/>
  <c r="F34" i="31"/>
  <c r="G34" i="31"/>
  <c r="G114" i="31" s="1"/>
  <c r="S34" i="31"/>
  <c r="B35" i="31"/>
  <c r="D35" i="31"/>
  <c r="E35" i="31"/>
  <c r="F35" i="31"/>
  <c r="G35" i="31"/>
  <c r="S35" i="31"/>
  <c r="B36" i="31"/>
  <c r="B74" i="31" s="1"/>
  <c r="D36" i="31"/>
  <c r="D55" i="31" s="1"/>
  <c r="D74" i="31" s="1"/>
  <c r="E36" i="31"/>
  <c r="F36" i="31"/>
  <c r="G36" i="31"/>
  <c r="G74" i="31" s="1"/>
  <c r="S36" i="31"/>
  <c r="B37" i="31"/>
  <c r="D37" i="31"/>
  <c r="E37" i="31"/>
  <c r="F37" i="31"/>
  <c r="G37" i="31"/>
  <c r="S37" i="31"/>
  <c r="B38" i="31"/>
  <c r="B118" i="31" s="1"/>
  <c r="D38" i="31"/>
  <c r="E38" i="31"/>
  <c r="F38" i="31"/>
  <c r="G38" i="31"/>
  <c r="G118" i="31" s="1"/>
  <c r="S38" i="31"/>
  <c r="B39" i="31"/>
  <c r="D39" i="31"/>
  <c r="E39" i="31"/>
  <c r="F39" i="31"/>
  <c r="G39" i="31"/>
  <c r="D40" i="31"/>
  <c r="G40" i="31"/>
  <c r="G99" i="31" s="1"/>
  <c r="D41" i="31"/>
  <c r="D60" i="31" s="1"/>
  <c r="D79" i="31" s="1"/>
  <c r="D100" i="31" s="1"/>
  <c r="D121" i="31" s="1"/>
  <c r="E41" i="31"/>
  <c r="G41" i="31"/>
  <c r="D42" i="31"/>
  <c r="D61" i="31" s="1"/>
  <c r="D80" i="31" s="1"/>
  <c r="D101" i="31" s="1"/>
  <c r="E42" i="31"/>
  <c r="G42" i="31"/>
  <c r="B43" i="31"/>
  <c r="D43" i="31"/>
  <c r="E43" i="31"/>
  <c r="F43" i="31"/>
  <c r="G43" i="31"/>
  <c r="D44" i="31"/>
  <c r="D63" i="31" s="1"/>
  <c r="D82" i="31" s="1"/>
  <c r="D103" i="31" s="1"/>
  <c r="D124" i="31" s="1"/>
  <c r="E44" i="31"/>
  <c r="F44" i="31"/>
  <c r="G44" i="31"/>
  <c r="D45" i="31"/>
  <c r="D64" i="31" s="1"/>
  <c r="D83" i="31" s="1"/>
  <c r="D104" i="31" s="1"/>
  <c r="D125" i="31" s="1"/>
  <c r="E45" i="31"/>
  <c r="F45" i="31"/>
  <c r="G45" i="31"/>
  <c r="D46" i="31"/>
  <c r="D65" i="31" s="1"/>
  <c r="D84" i="31" s="1"/>
  <c r="D105" i="31" s="1"/>
  <c r="E46" i="31"/>
  <c r="F46" i="31"/>
  <c r="G46" i="31"/>
  <c r="D47" i="31"/>
  <c r="E47" i="31"/>
  <c r="F47" i="31"/>
  <c r="G47" i="31"/>
  <c r="E48" i="31"/>
  <c r="F48" i="31"/>
  <c r="E51" i="31"/>
  <c r="F51" i="31"/>
  <c r="G51" i="31"/>
  <c r="D52" i="31"/>
  <c r="E52" i="31"/>
  <c r="F52" i="31"/>
  <c r="B53" i="31"/>
  <c r="E53" i="31"/>
  <c r="F53" i="31"/>
  <c r="G53" i="31"/>
  <c r="D54" i="31"/>
  <c r="D73" i="31" s="1"/>
  <c r="E54" i="31"/>
  <c r="F54" i="31"/>
  <c r="B55" i="31"/>
  <c r="E55" i="31"/>
  <c r="F55" i="31"/>
  <c r="G55" i="31"/>
  <c r="D56" i="31"/>
  <c r="E56" i="31"/>
  <c r="F56" i="31"/>
  <c r="B57" i="31"/>
  <c r="D57" i="31"/>
  <c r="D76" i="31" s="1"/>
  <c r="D97" i="31" s="1"/>
  <c r="D118" i="31" s="1"/>
  <c r="E57" i="31"/>
  <c r="F57" i="31"/>
  <c r="G57" i="31"/>
  <c r="D58" i="31"/>
  <c r="D77" i="31" s="1"/>
  <c r="D98" i="31" s="1"/>
  <c r="D119" i="31" s="1"/>
  <c r="E58" i="31"/>
  <c r="F58" i="31"/>
  <c r="B59" i="31"/>
  <c r="D59" i="31"/>
  <c r="D78" i="31" s="1"/>
  <c r="D99" i="31" s="1"/>
  <c r="D120" i="31" s="1"/>
  <c r="B60" i="31"/>
  <c r="E60" i="31"/>
  <c r="F60" i="31"/>
  <c r="G60" i="31"/>
  <c r="B61" i="31"/>
  <c r="E61" i="31"/>
  <c r="F61" i="31"/>
  <c r="G61" i="31"/>
  <c r="B62" i="31"/>
  <c r="D62" i="31"/>
  <c r="D81" i="31" s="1"/>
  <c r="D102" i="31" s="1"/>
  <c r="D123" i="31" s="1"/>
  <c r="E62" i="31"/>
  <c r="F62" i="31"/>
  <c r="G62" i="31"/>
  <c r="B63" i="31"/>
  <c r="E63" i="31"/>
  <c r="F63" i="31"/>
  <c r="G63" i="31"/>
  <c r="B64" i="31"/>
  <c r="E64" i="31"/>
  <c r="F64" i="31"/>
  <c r="G64" i="31"/>
  <c r="B65" i="31"/>
  <c r="E65" i="31"/>
  <c r="F65" i="31"/>
  <c r="G65" i="31"/>
  <c r="B66" i="31"/>
  <c r="D66" i="31"/>
  <c r="D85" i="31" s="1"/>
  <c r="D106" i="31" s="1"/>
  <c r="D127" i="31" s="1"/>
  <c r="E66" i="31"/>
  <c r="F66" i="31"/>
  <c r="G66" i="31"/>
  <c r="E67" i="31"/>
  <c r="F67" i="31"/>
  <c r="B69" i="31"/>
  <c r="E70" i="31"/>
  <c r="I70" i="31"/>
  <c r="F70" i="31" s="1"/>
  <c r="J70" i="31"/>
  <c r="K70" i="31"/>
  <c r="L70" i="31"/>
  <c r="M70" i="31"/>
  <c r="N70" i="31"/>
  <c r="O70" i="31"/>
  <c r="P70" i="31"/>
  <c r="D71" i="31"/>
  <c r="E71" i="31"/>
  <c r="I71" i="31"/>
  <c r="F71" i="31" s="1"/>
  <c r="J71" i="31"/>
  <c r="K71" i="31"/>
  <c r="L71" i="31"/>
  <c r="M71" i="31"/>
  <c r="N71" i="31"/>
  <c r="O71" i="31"/>
  <c r="P71" i="31"/>
  <c r="E72" i="31"/>
  <c r="I72" i="31"/>
  <c r="F72" i="31" s="1"/>
  <c r="J72" i="31"/>
  <c r="K72" i="31"/>
  <c r="L72" i="31"/>
  <c r="M72" i="31"/>
  <c r="N72" i="31"/>
  <c r="O72" i="31"/>
  <c r="P72" i="31"/>
  <c r="B73" i="31"/>
  <c r="E73" i="31"/>
  <c r="F73" i="31"/>
  <c r="G73" i="31"/>
  <c r="I73" i="31"/>
  <c r="J73" i="31"/>
  <c r="K73" i="31"/>
  <c r="L73" i="31"/>
  <c r="M73" i="31"/>
  <c r="N73" i="31"/>
  <c r="O73" i="31"/>
  <c r="P73" i="31"/>
  <c r="E74" i="31"/>
  <c r="I74" i="31"/>
  <c r="F74" i="31" s="1"/>
  <c r="J74" i="31"/>
  <c r="K74" i="31"/>
  <c r="L74" i="31"/>
  <c r="M74" i="31"/>
  <c r="N74" i="31"/>
  <c r="O74" i="31"/>
  <c r="P74" i="31"/>
  <c r="D75" i="31"/>
  <c r="D96" i="31" s="1"/>
  <c r="D117" i="31" s="1"/>
  <c r="E75" i="31"/>
  <c r="I75" i="31"/>
  <c r="F75" i="31" s="1"/>
  <c r="J75" i="31"/>
  <c r="K75" i="31"/>
  <c r="L75" i="31"/>
  <c r="M75" i="31"/>
  <c r="N75" i="31"/>
  <c r="O75" i="31"/>
  <c r="P75" i="31"/>
  <c r="E76" i="31"/>
  <c r="I76" i="31"/>
  <c r="F76" i="31" s="1"/>
  <c r="J76" i="31"/>
  <c r="K76" i="31"/>
  <c r="L76" i="31"/>
  <c r="M76" i="31"/>
  <c r="N76" i="31"/>
  <c r="O76" i="31"/>
  <c r="P76" i="31"/>
  <c r="B77" i="31"/>
  <c r="E77" i="31"/>
  <c r="F77" i="31"/>
  <c r="G77" i="31"/>
  <c r="I77" i="31"/>
  <c r="J77" i="31"/>
  <c r="K77" i="31"/>
  <c r="L77" i="31"/>
  <c r="M77" i="31"/>
  <c r="N77" i="31"/>
  <c r="O77" i="31"/>
  <c r="P77" i="31"/>
  <c r="B78" i="31"/>
  <c r="G78" i="31"/>
  <c r="B79" i="31"/>
  <c r="E79" i="31"/>
  <c r="F79" i="31"/>
  <c r="G79" i="31"/>
  <c r="I79" i="31"/>
  <c r="J79" i="31"/>
  <c r="K79" i="31"/>
  <c r="L79" i="31"/>
  <c r="M79" i="31"/>
  <c r="N79" i="31"/>
  <c r="O79" i="31"/>
  <c r="P79" i="31"/>
  <c r="B80" i="31"/>
  <c r="E80" i="31"/>
  <c r="I80" i="31"/>
  <c r="F80" i="31" s="1"/>
  <c r="J80" i="31"/>
  <c r="K80" i="31"/>
  <c r="L80" i="31"/>
  <c r="M80" i="31"/>
  <c r="N80" i="31"/>
  <c r="O80" i="31"/>
  <c r="P80" i="31"/>
  <c r="B81" i="31"/>
  <c r="E81" i="31"/>
  <c r="G81" i="31"/>
  <c r="I81" i="31"/>
  <c r="F81" i="31" s="1"/>
  <c r="J81" i="31"/>
  <c r="K81" i="31"/>
  <c r="L81" i="31"/>
  <c r="M81" i="31"/>
  <c r="N81" i="31"/>
  <c r="O81" i="31"/>
  <c r="P81" i="31"/>
  <c r="B82" i="31"/>
  <c r="E82" i="31"/>
  <c r="G82" i="31"/>
  <c r="I82" i="31"/>
  <c r="F82" i="31" s="1"/>
  <c r="J82" i="31"/>
  <c r="K82" i="31"/>
  <c r="L82" i="31"/>
  <c r="M82" i="31"/>
  <c r="N82" i="31"/>
  <c r="O82" i="31"/>
  <c r="P82" i="31"/>
  <c r="B83" i="31"/>
  <c r="E83" i="31"/>
  <c r="G83" i="31"/>
  <c r="I83" i="31"/>
  <c r="F83" i="31" s="1"/>
  <c r="J83" i="31"/>
  <c r="K83" i="31"/>
  <c r="L83" i="31"/>
  <c r="M83" i="31"/>
  <c r="N83" i="31"/>
  <c r="O83" i="31"/>
  <c r="P83" i="31"/>
  <c r="B84" i="31"/>
  <c r="E84" i="31"/>
  <c r="G84" i="31"/>
  <c r="I84" i="31"/>
  <c r="F84" i="31" s="1"/>
  <c r="J84" i="31"/>
  <c r="K84" i="31"/>
  <c r="L84" i="31"/>
  <c r="M84" i="31"/>
  <c r="N84" i="31"/>
  <c r="O84" i="31"/>
  <c r="P84" i="31"/>
  <c r="B85" i="31"/>
  <c r="E85" i="31"/>
  <c r="G85" i="31"/>
  <c r="I85" i="31"/>
  <c r="F85" i="31" s="1"/>
  <c r="J85" i="31"/>
  <c r="K85" i="31"/>
  <c r="L85" i="31"/>
  <c r="M85" i="31"/>
  <c r="N85" i="31"/>
  <c r="O85" i="31"/>
  <c r="P85" i="31"/>
  <c r="E86" i="31"/>
  <c r="I86" i="31"/>
  <c r="F86" i="31" s="1"/>
  <c r="B90" i="31"/>
  <c r="S90" i="31"/>
  <c r="R91" i="31"/>
  <c r="D92" i="31"/>
  <c r="D113" i="31" s="1"/>
  <c r="S92" i="31"/>
  <c r="B93" i="31"/>
  <c r="D94" i="31"/>
  <c r="D115" i="31" s="1"/>
  <c r="B95" i="31"/>
  <c r="D95" i="31"/>
  <c r="D116" i="31" s="1"/>
  <c r="B97" i="31"/>
  <c r="B99" i="31"/>
  <c r="B100" i="31"/>
  <c r="G100" i="31"/>
  <c r="B101" i="31"/>
  <c r="B102" i="31"/>
  <c r="G102" i="31"/>
  <c r="B103" i="31"/>
  <c r="G103" i="31"/>
  <c r="B104" i="31"/>
  <c r="F104" i="31"/>
  <c r="G104" i="31"/>
  <c r="B105" i="31"/>
  <c r="F105" i="31"/>
  <c r="G105" i="31"/>
  <c r="B106" i="31"/>
  <c r="F106" i="31"/>
  <c r="G106" i="31"/>
  <c r="B108" i="31"/>
  <c r="U91" i="31" s="1"/>
  <c r="I108" i="31"/>
  <c r="F108" i="31" s="1"/>
  <c r="J108" i="31"/>
  <c r="K108" i="31"/>
  <c r="L108" i="31"/>
  <c r="M108" i="31"/>
  <c r="N108" i="31"/>
  <c r="O108" i="31"/>
  <c r="P108" i="31"/>
  <c r="F109" i="31"/>
  <c r="F100" i="31" s="1"/>
  <c r="F110" i="31"/>
  <c r="E110" i="31" s="1"/>
  <c r="B112" i="31"/>
  <c r="F112" i="31"/>
  <c r="B113" i="31"/>
  <c r="E113" i="31"/>
  <c r="F113" i="31"/>
  <c r="G113" i="31"/>
  <c r="E114" i="31"/>
  <c r="F114" i="31"/>
  <c r="F115" i="31"/>
  <c r="B116" i="31"/>
  <c r="F116" i="31"/>
  <c r="B117" i="31"/>
  <c r="E117" i="31"/>
  <c r="F117" i="31"/>
  <c r="G117" i="31"/>
  <c r="F118" i="31"/>
  <c r="E119" i="31"/>
  <c r="F119" i="31"/>
  <c r="B120" i="31"/>
  <c r="B121" i="31"/>
  <c r="E121" i="31"/>
  <c r="F121" i="31"/>
  <c r="G121" i="31"/>
  <c r="B122" i="31"/>
  <c r="D122" i="31"/>
  <c r="F122" i="31"/>
  <c r="B123" i="31"/>
  <c r="E123" i="31"/>
  <c r="F123" i="31"/>
  <c r="G123" i="31"/>
  <c r="B124" i="31"/>
  <c r="E124" i="31"/>
  <c r="F124" i="31"/>
  <c r="G124" i="31"/>
  <c r="B125" i="31"/>
  <c r="E125" i="31"/>
  <c r="F125" i="31"/>
  <c r="G125" i="31"/>
  <c r="B126" i="31"/>
  <c r="D126" i="31"/>
  <c r="F126" i="31"/>
  <c r="G126" i="31"/>
  <c r="B127" i="31"/>
  <c r="E127" i="31"/>
  <c r="F127" i="31"/>
  <c r="G127" i="31"/>
  <c r="E118" i="31" l="1"/>
  <c r="G116" i="31"/>
  <c r="E115" i="31"/>
  <c r="F101" i="31"/>
  <c r="G97" i="31"/>
  <c r="G95" i="31"/>
  <c r="G93" i="31"/>
  <c r="F92" i="31"/>
  <c r="B91" i="31"/>
  <c r="G76" i="31"/>
  <c r="G72" i="31"/>
  <c r="G59" i="31"/>
  <c r="B51" i="31"/>
  <c r="G112" i="31"/>
  <c r="G91" i="31"/>
  <c r="B76" i="31"/>
  <c r="B72" i="31"/>
  <c r="G80" i="31"/>
  <c r="G101" i="31"/>
  <c r="G98" i="31"/>
  <c r="G119" i="31"/>
  <c r="G58" i="31"/>
  <c r="B119" i="31"/>
  <c r="B58" i="31"/>
  <c r="B98" i="31"/>
  <c r="G56" i="31"/>
  <c r="G75" i="31"/>
  <c r="G96" i="31"/>
  <c r="B56" i="31"/>
  <c r="B75" i="31"/>
  <c r="B96" i="31"/>
  <c r="G94" i="31"/>
  <c r="G115" i="31"/>
  <c r="G54" i="31"/>
  <c r="B115" i="31"/>
  <c r="B54" i="31"/>
  <c r="B94" i="31"/>
  <c r="G52" i="31"/>
  <c r="G92" i="31"/>
  <c r="G71" i="31"/>
  <c r="B52" i="31"/>
  <c r="B71" i="31"/>
  <c r="B92" i="31"/>
  <c r="F93" i="31"/>
  <c r="F94" i="31"/>
  <c r="F95" i="31"/>
  <c r="F96" i="31"/>
  <c r="F97" i="31"/>
  <c r="F98" i="31"/>
  <c r="F91" i="31"/>
  <c r="F102" i="31"/>
  <c r="G122" i="31"/>
  <c r="F103" i="31"/>
  <c r="E126" i="31"/>
  <c r="E122" i="31"/>
  <c r="G120" i="31"/>
  <c r="E116" i="31"/>
  <c r="E112" i="31"/>
  <c r="M606" i="14"/>
  <c r="K606" i="14"/>
  <c r="M605" i="14"/>
  <c r="L605" i="14"/>
  <c r="B594" i="14"/>
  <c r="M593" i="14"/>
  <c r="L593" i="14"/>
  <c r="L606" i="14" s="1"/>
  <c r="K593" i="14"/>
  <c r="M592" i="14"/>
  <c r="L592" i="14"/>
  <c r="K592" i="14"/>
  <c r="K605" i="14" s="1"/>
  <c r="B581" i="14"/>
  <c r="R178" i="22"/>
  <c r="R177" i="22"/>
  <c r="R176" i="22"/>
  <c r="S12" i="12"/>
  <c r="S11" i="12"/>
  <c r="R118" i="22"/>
  <c r="R119" i="22" s="1"/>
  <c r="E54" i="21"/>
  <c r="E53" i="21"/>
  <c r="N71" i="14" l="1"/>
  <c r="AI20" i="14"/>
  <c r="AI24" i="14"/>
  <c r="AI28" i="14"/>
  <c r="AJ19" i="14"/>
  <c r="AI19" i="14" s="1"/>
  <c r="AJ30" i="14"/>
  <c r="AI30" i="14" s="1"/>
  <c r="AJ29" i="14"/>
  <c r="AI29" i="14" s="1"/>
  <c r="AJ28" i="14"/>
  <c r="AJ27" i="14"/>
  <c r="AI27" i="14" s="1"/>
  <c r="AJ26" i="14"/>
  <c r="AI26" i="14" s="1"/>
  <c r="AJ25" i="14"/>
  <c r="AI25" i="14" s="1"/>
  <c r="AJ24" i="14"/>
  <c r="AJ23" i="14"/>
  <c r="AI23" i="14" s="1"/>
  <c r="AJ22" i="14"/>
  <c r="AI22" i="14" s="1"/>
  <c r="AJ21" i="14"/>
  <c r="AI21" i="14" s="1"/>
  <c r="AJ20" i="14"/>
  <c r="C11" i="14"/>
  <c r="C12" i="14"/>
  <c r="T115" i="21" l="1"/>
  <c r="E25" i="22" s="1"/>
  <c r="L11" i="12"/>
  <c r="L12" i="12"/>
  <c r="T11" i="12"/>
  <c r="L13" i="12" s="1"/>
  <c r="C11" i="12" l="1"/>
  <c r="T124" i="21" s="1"/>
  <c r="R157" i="22" s="1"/>
  <c r="R163" i="22" s="1"/>
  <c r="R164" i="22" s="1"/>
  <c r="C12" i="12" l="1"/>
  <c r="T125" i="21" s="1"/>
  <c r="R158" i="22" s="1"/>
  <c r="C13" i="12"/>
  <c r="T126" i="21" s="1"/>
  <c r="R159" i="22" s="1"/>
  <c r="R171" i="22" s="1"/>
  <c r="R172" i="22" s="1"/>
  <c r="C27" i="12"/>
  <c r="G58" i="21" s="1"/>
  <c r="E247" i="22" s="1"/>
  <c r="C26" i="12"/>
  <c r="G57" i="21" s="1"/>
  <c r="E40" i="22" s="1"/>
  <c r="L25" i="12"/>
  <c r="K25" i="12"/>
  <c r="J25" i="12"/>
  <c r="O31" i="12" s="1"/>
  <c r="I25" i="12"/>
  <c r="O30" i="12" s="1"/>
  <c r="H25" i="12"/>
  <c r="O29" i="12" s="1"/>
  <c r="G25" i="12"/>
  <c r="O28" i="12" s="1"/>
  <c r="F25" i="12"/>
  <c r="O27" i="12" s="1"/>
  <c r="E25" i="12"/>
  <c r="C25" i="12" s="1"/>
  <c r="O33" i="12"/>
  <c r="O32" i="12"/>
  <c r="M24" i="12"/>
  <c r="L24" i="12"/>
  <c r="K24" i="12"/>
  <c r="J24" i="12"/>
  <c r="I24" i="12"/>
  <c r="H24" i="12"/>
  <c r="G24" i="12"/>
  <c r="F24" i="12"/>
  <c r="E24" i="12"/>
  <c r="L10" i="12"/>
  <c r="O18" i="12" s="1"/>
  <c r="K10" i="12"/>
  <c r="O17" i="12" s="1"/>
  <c r="J10" i="12"/>
  <c r="O16" i="12" s="1"/>
  <c r="I10" i="12"/>
  <c r="O15" i="12" s="1"/>
  <c r="H10" i="12"/>
  <c r="O14" i="12" s="1"/>
  <c r="G10" i="12"/>
  <c r="O13" i="12" s="1"/>
  <c r="F10" i="12"/>
  <c r="O12" i="12" s="1"/>
  <c r="E10" i="12"/>
  <c r="O11" i="12" s="1"/>
  <c r="M9" i="12"/>
  <c r="L9" i="12"/>
  <c r="K9" i="12"/>
  <c r="J9" i="12"/>
  <c r="I9" i="12"/>
  <c r="H9" i="12"/>
  <c r="G9" i="12"/>
  <c r="F9" i="12"/>
  <c r="E9" i="12"/>
  <c r="C61" i="12"/>
  <c r="C60" i="12"/>
  <c r="C59" i="12"/>
  <c r="C57" i="12"/>
  <c r="C56" i="12"/>
  <c r="C55" i="12"/>
  <c r="C52" i="12"/>
  <c r="C53" i="12"/>
  <c r="C51" i="12"/>
  <c r="F49" i="12"/>
  <c r="O51" i="12" s="1"/>
  <c r="L49" i="12"/>
  <c r="O57" i="12" s="1"/>
  <c r="K49" i="12"/>
  <c r="O56" i="12" s="1"/>
  <c r="J49" i="12"/>
  <c r="O55" i="12" s="1"/>
  <c r="I49" i="12"/>
  <c r="O54" i="12" s="1"/>
  <c r="H49" i="12"/>
  <c r="O53" i="12" s="1"/>
  <c r="G49" i="12"/>
  <c r="O52" i="12" s="1"/>
  <c r="E49" i="12"/>
  <c r="C49" i="12" s="1"/>
  <c r="M48" i="12"/>
  <c r="L48" i="12"/>
  <c r="K48" i="12"/>
  <c r="J48" i="12"/>
  <c r="I48" i="12"/>
  <c r="H48" i="12"/>
  <c r="G48" i="12"/>
  <c r="F48" i="12"/>
  <c r="E48" i="12"/>
  <c r="A5" i="18"/>
  <c r="A4" i="18"/>
  <c r="R167" i="22" l="1"/>
  <c r="R168" i="22" s="1"/>
  <c r="O26" i="12"/>
  <c r="C10" i="12"/>
  <c r="O50" i="12"/>
  <c r="F143" i="22"/>
  <c r="G143" i="22"/>
  <c r="H143" i="22"/>
  <c r="I143" i="22"/>
  <c r="J143" i="22"/>
  <c r="K143" i="22"/>
  <c r="L143" i="22"/>
  <c r="M143" i="22"/>
  <c r="N143" i="22"/>
  <c r="O143" i="22"/>
  <c r="P143" i="22"/>
  <c r="E143" i="22"/>
  <c r="E32" i="24" l="1"/>
  <c r="E42" i="24" l="1"/>
  <c r="F42" i="24" s="1"/>
  <c r="E43" i="24"/>
  <c r="F43" i="24" s="1"/>
  <c r="E41" i="24"/>
  <c r="F41" i="24" s="1"/>
  <c r="E40" i="24"/>
  <c r="F40" i="24" s="1"/>
  <c r="E39" i="24"/>
  <c r="F39" i="24" s="1"/>
  <c r="E38" i="24"/>
  <c r="F38" i="24" s="1"/>
  <c r="E37" i="24"/>
  <c r="F37" i="24" s="1"/>
  <c r="E36" i="24"/>
  <c r="F36" i="24" s="1"/>
  <c r="E35" i="24"/>
  <c r="F35" i="24" s="1"/>
  <c r="E34" i="24"/>
  <c r="F34" i="24" s="1"/>
  <c r="E33" i="24"/>
  <c r="F33" i="24" s="1"/>
  <c r="F32" i="24"/>
  <c r="G74" i="21" l="1"/>
  <c r="H74" i="21" s="1"/>
  <c r="I74" i="21" s="1"/>
  <c r="J74" i="21" s="1"/>
  <c r="K74" i="21" s="1"/>
  <c r="L74" i="21" s="1"/>
  <c r="M74" i="21" s="1"/>
  <c r="N74" i="21" s="1"/>
  <c r="O74" i="21" s="1"/>
  <c r="P74" i="21" s="1"/>
  <c r="Q74" i="21" s="1"/>
  <c r="R74" i="21" s="1"/>
  <c r="G75" i="21"/>
  <c r="T67" i="21"/>
  <c r="T68" i="21"/>
  <c r="T69" i="21"/>
  <c r="T70" i="21"/>
  <c r="T71" i="21"/>
  <c r="T87" i="21" s="1"/>
  <c r="T103" i="21" s="1"/>
  <c r="T72" i="21"/>
  <c r="T73" i="21"/>
  <c r="T74" i="21"/>
  <c r="G43" i="21" s="1"/>
  <c r="T42" i="21" s="1"/>
  <c r="T75" i="21"/>
  <c r="G55" i="21" s="1"/>
  <c r="T54" i="21" s="1"/>
  <c r="R50" i="22" s="1"/>
  <c r="T76" i="21"/>
  <c r="T77" i="21"/>
  <c r="T93" i="21" s="1"/>
  <c r="T109" i="21" s="1"/>
  <c r="T78" i="21"/>
  <c r="T94" i="21" s="1"/>
  <c r="T110" i="21" s="1"/>
  <c r="T79" i="21"/>
  <c r="T95" i="21" s="1"/>
  <c r="T111" i="21" s="1"/>
  <c r="T80" i="21"/>
  <c r="T96" i="21" s="1"/>
  <c r="T112" i="21" s="1"/>
  <c r="T66" i="21"/>
  <c r="A74" i="21"/>
  <c r="A75" i="21"/>
  <c r="A77" i="21"/>
  <c r="A93" i="21" s="1"/>
  <c r="A109" i="21" s="1"/>
  <c r="A78" i="21"/>
  <c r="A94" i="21" s="1"/>
  <c r="A110" i="21" s="1"/>
  <c r="A79" i="21"/>
  <c r="A95" i="21" s="1"/>
  <c r="A111" i="21" s="1"/>
  <c r="A80" i="21"/>
  <c r="A96" i="21" s="1"/>
  <c r="A112" i="21" s="1"/>
  <c r="G90" i="21"/>
  <c r="H90" i="21" s="1"/>
  <c r="I90" i="21" s="1"/>
  <c r="J90" i="21" s="1"/>
  <c r="K90" i="21" s="1"/>
  <c r="L90" i="21" s="1"/>
  <c r="M90" i="21" s="1"/>
  <c r="N90" i="21" s="1"/>
  <c r="O90" i="21" s="1"/>
  <c r="P90" i="21" s="1"/>
  <c r="Q90" i="21" s="1"/>
  <c r="R90" i="21" s="1"/>
  <c r="G91" i="21"/>
  <c r="G92" i="21"/>
  <c r="G93" i="21"/>
  <c r="G94" i="21"/>
  <c r="G95" i="21"/>
  <c r="G96" i="21"/>
  <c r="G77" i="21"/>
  <c r="G78" i="21"/>
  <c r="G79" i="21"/>
  <c r="G80" i="21"/>
  <c r="R49" i="22" l="1"/>
  <c r="E128" i="22"/>
  <c r="T92" i="21"/>
  <c r="T108" i="21" s="1"/>
  <c r="G49" i="21"/>
  <c r="T88" i="21"/>
  <c r="T104" i="21" s="1"/>
  <c r="R93" i="22"/>
  <c r="R94" i="22" s="1"/>
  <c r="T84" i="21"/>
  <c r="T100" i="21" s="1"/>
  <c r="R69" i="22"/>
  <c r="R70" i="22" s="1"/>
  <c r="A91" i="21"/>
  <c r="A107" i="21" s="1"/>
  <c r="A111" i="22"/>
  <c r="T91" i="21"/>
  <c r="T107" i="21" s="1"/>
  <c r="R111" i="22"/>
  <c r="R112" i="22" s="1"/>
  <c r="T83" i="21"/>
  <c r="T99" i="21" s="1"/>
  <c r="R63" i="22"/>
  <c r="R64" i="22" s="1"/>
  <c r="A90" i="21"/>
  <c r="A106" i="21" s="1"/>
  <c r="A105" i="22"/>
  <c r="T90" i="21"/>
  <c r="T106" i="21" s="1"/>
  <c r="R105" i="22"/>
  <c r="R106" i="22" s="1"/>
  <c r="T86" i="21"/>
  <c r="T102" i="21" s="1"/>
  <c r="R81" i="22"/>
  <c r="R82" i="22" s="1"/>
  <c r="T82" i="21"/>
  <c r="R57" i="22"/>
  <c r="R58" i="22" s="1"/>
  <c r="T89" i="21"/>
  <c r="T105" i="21" s="1"/>
  <c r="R99" i="22"/>
  <c r="R100" i="22" s="1"/>
  <c r="T85" i="21"/>
  <c r="T101" i="21" s="1"/>
  <c r="R75" i="22"/>
  <c r="R76" i="22" s="1"/>
  <c r="H91" i="21"/>
  <c r="E139" i="22"/>
  <c r="E141" i="22" s="1"/>
  <c r="H75" i="21"/>
  <c r="E138" i="22"/>
  <c r="E140" i="22" s="1"/>
  <c r="H79" i="21"/>
  <c r="E226" i="22"/>
  <c r="H96" i="21"/>
  <c r="E225" i="22"/>
  <c r="H95" i="21"/>
  <c r="E227" i="22"/>
  <c r="H78" i="21"/>
  <c r="E228" i="22"/>
  <c r="H80" i="21"/>
  <c r="E224" i="22"/>
  <c r="H94" i="21"/>
  <c r="E229" i="22"/>
  <c r="H93" i="21"/>
  <c r="H77" i="21"/>
  <c r="F128" i="22" s="1"/>
  <c r="H92" i="21"/>
  <c r="E119" i="22" l="1"/>
  <c r="F119" i="22"/>
  <c r="R83" i="22"/>
  <c r="R113" i="22"/>
  <c r="E112" i="22"/>
  <c r="F112" i="22"/>
  <c r="R71" i="22"/>
  <c r="R77" i="22"/>
  <c r="R59" i="22"/>
  <c r="R107" i="22"/>
  <c r="P106" i="22"/>
  <c r="L106" i="22"/>
  <c r="H106" i="22"/>
  <c r="O106" i="22"/>
  <c r="K106" i="22"/>
  <c r="G106" i="22"/>
  <c r="N106" i="22"/>
  <c r="J106" i="22"/>
  <c r="F106" i="22"/>
  <c r="M106" i="22"/>
  <c r="I106" i="22"/>
  <c r="E106" i="22"/>
  <c r="R65" i="22"/>
  <c r="R95" i="22"/>
  <c r="R101" i="22"/>
  <c r="T98" i="21"/>
  <c r="F129" i="22"/>
  <c r="E129" i="22"/>
  <c r="T48" i="21"/>
  <c r="R53" i="22"/>
  <c r="I75" i="21"/>
  <c r="G112" i="22" s="1"/>
  <c r="F138" i="22"/>
  <c r="F140" i="22" s="1"/>
  <c r="I91" i="21"/>
  <c r="F139" i="22"/>
  <c r="F141" i="22" s="1"/>
  <c r="I93" i="21"/>
  <c r="G129" i="22" s="1"/>
  <c r="I80" i="21"/>
  <c r="F224" i="22"/>
  <c r="I95" i="21"/>
  <c r="F227" i="22"/>
  <c r="I79" i="21"/>
  <c r="F226" i="22"/>
  <c r="I77" i="21"/>
  <c r="G128" i="22" s="1"/>
  <c r="I94" i="21"/>
  <c r="F229" i="22"/>
  <c r="I78" i="21"/>
  <c r="F228" i="22"/>
  <c r="I96" i="21"/>
  <c r="F225" i="22"/>
  <c r="I92" i="21"/>
  <c r="G119" i="22" s="1"/>
  <c r="P107" i="22" l="1"/>
  <c r="I107" i="22"/>
  <c r="N107" i="22"/>
  <c r="F107" i="22"/>
  <c r="M107" i="22"/>
  <c r="E107" i="22"/>
  <c r="J107" i="22"/>
  <c r="K107" i="22"/>
  <c r="L107" i="22"/>
  <c r="O107" i="22"/>
  <c r="H107" i="22"/>
  <c r="G107" i="22"/>
  <c r="G113" i="22"/>
  <c r="E113" i="22"/>
  <c r="F113" i="22"/>
  <c r="J91" i="21"/>
  <c r="H113" i="22" s="1"/>
  <c r="G139" i="22"/>
  <c r="G141" i="22" s="1"/>
  <c r="J75" i="21"/>
  <c r="H112" i="22" s="1"/>
  <c r="G138" i="22"/>
  <c r="G140" i="22" s="1"/>
  <c r="J78" i="21"/>
  <c r="G228" i="22"/>
  <c r="J77" i="21"/>
  <c r="H128" i="22" s="1"/>
  <c r="J95" i="21"/>
  <c r="G227" i="22"/>
  <c r="J93" i="21"/>
  <c r="H129" i="22" s="1"/>
  <c r="J96" i="21"/>
  <c r="G225" i="22"/>
  <c r="J94" i="21"/>
  <c r="G229" i="22"/>
  <c r="J79" i="21"/>
  <c r="G226" i="22"/>
  <c r="J80" i="21"/>
  <c r="G224" i="22"/>
  <c r="J92" i="21"/>
  <c r="H119" i="22" s="1"/>
  <c r="K75" i="21" l="1"/>
  <c r="I112" i="22" s="1"/>
  <c r="H138" i="22"/>
  <c r="H140" i="22" s="1"/>
  <c r="K91" i="21"/>
  <c r="I113" i="22" s="1"/>
  <c r="H139" i="22"/>
  <c r="H141" i="22" s="1"/>
  <c r="K79" i="21"/>
  <c r="H226" i="22"/>
  <c r="K96" i="21"/>
  <c r="H225" i="22"/>
  <c r="K95" i="21"/>
  <c r="H227" i="22"/>
  <c r="K78" i="21"/>
  <c r="H228" i="22"/>
  <c r="K80" i="21"/>
  <c r="H224" i="22"/>
  <c r="K94" i="21"/>
  <c r="H229" i="22"/>
  <c r="K93" i="21"/>
  <c r="I129" i="22" s="1"/>
  <c r="K77" i="21"/>
  <c r="I128" i="22" s="1"/>
  <c r="K92" i="21"/>
  <c r="I119" i="22" s="1"/>
  <c r="L91" i="21" l="1"/>
  <c r="J113" i="22" s="1"/>
  <c r="I139" i="22"/>
  <c r="I141" i="22" s="1"/>
  <c r="L75" i="21"/>
  <c r="J112" i="22" s="1"/>
  <c r="I138" i="22"/>
  <c r="I140" i="22" s="1"/>
  <c r="L93" i="21"/>
  <c r="J129" i="22" s="1"/>
  <c r="L80" i="21"/>
  <c r="I224" i="22"/>
  <c r="L95" i="21"/>
  <c r="I227" i="22"/>
  <c r="L79" i="21"/>
  <c r="I226" i="22"/>
  <c r="L77" i="21"/>
  <c r="J128" i="22" s="1"/>
  <c r="L94" i="21"/>
  <c r="I229" i="22"/>
  <c r="L78" i="21"/>
  <c r="I228" i="22"/>
  <c r="L96" i="21"/>
  <c r="I225" i="22"/>
  <c r="L92" i="21"/>
  <c r="J119" i="22" s="1"/>
  <c r="M75" i="21" l="1"/>
  <c r="K112" i="22" s="1"/>
  <c r="J138" i="22"/>
  <c r="J140" i="22" s="1"/>
  <c r="M91" i="21"/>
  <c r="K113" i="22" s="1"/>
  <c r="J139" i="22"/>
  <c r="J141" i="22" s="1"/>
  <c r="M78" i="21"/>
  <c r="J228" i="22"/>
  <c r="M77" i="21"/>
  <c r="K128" i="22" s="1"/>
  <c r="M95" i="21"/>
  <c r="J227" i="22"/>
  <c r="M93" i="21"/>
  <c r="K129" i="22" s="1"/>
  <c r="M96" i="21"/>
  <c r="J225" i="22"/>
  <c r="M94" i="21"/>
  <c r="J229" i="22"/>
  <c r="M79" i="21"/>
  <c r="J226" i="22"/>
  <c r="M80" i="21"/>
  <c r="J224" i="22"/>
  <c r="M92" i="21"/>
  <c r="K119" i="22" s="1"/>
  <c r="N91" i="21" l="1"/>
  <c r="L113" i="22" s="1"/>
  <c r="K139" i="22"/>
  <c r="K141" i="22" s="1"/>
  <c r="N75" i="21"/>
  <c r="L112" i="22" s="1"/>
  <c r="K138" i="22"/>
  <c r="K140" i="22" s="1"/>
  <c r="N79" i="21"/>
  <c r="K226" i="22"/>
  <c r="N96" i="21"/>
  <c r="K225" i="22"/>
  <c r="N95" i="21"/>
  <c r="K227" i="22"/>
  <c r="N78" i="21"/>
  <c r="K228" i="22"/>
  <c r="N80" i="21"/>
  <c r="K224" i="22"/>
  <c r="N94" i="21"/>
  <c r="K229" i="22"/>
  <c r="N93" i="21"/>
  <c r="L129" i="22" s="1"/>
  <c r="N77" i="21"/>
  <c r="L128" i="22" s="1"/>
  <c r="N92" i="21"/>
  <c r="L119" i="22" s="1"/>
  <c r="O75" i="21" l="1"/>
  <c r="M112" i="22" s="1"/>
  <c r="L138" i="22"/>
  <c r="L140" i="22" s="1"/>
  <c r="O91" i="21"/>
  <c r="M113" i="22" s="1"/>
  <c r="L139" i="22"/>
  <c r="L141" i="22" s="1"/>
  <c r="O93" i="21"/>
  <c r="M129" i="22" s="1"/>
  <c r="O80" i="21"/>
  <c r="L224" i="22"/>
  <c r="O95" i="21"/>
  <c r="L227" i="22"/>
  <c r="O79" i="21"/>
  <c r="L226" i="22"/>
  <c r="O77" i="21"/>
  <c r="M128" i="22" s="1"/>
  <c r="O94" i="21"/>
  <c r="L229" i="22"/>
  <c r="O78" i="21"/>
  <c r="L228" i="22"/>
  <c r="O96" i="21"/>
  <c r="L225" i="22"/>
  <c r="O92" i="21"/>
  <c r="M119" i="22" s="1"/>
  <c r="P91" i="21" l="1"/>
  <c r="N113" i="22" s="1"/>
  <c r="M139" i="22"/>
  <c r="M141" i="22" s="1"/>
  <c r="P75" i="21"/>
  <c r="N112" i="22" s="1"/>
  <c r="M138" i="22"/>
  <c r="M140" i="22" s="1"/>
  <c r="P78" i="21"/>
  <c r="M228" i="22"/>
  <c r="P77" i="21"/>
  <c r="N128" i="22" s="1"/>
  <c r="P95" i="21"/>
  <c r="M227" i="22"/>
  <c r="P93" i="21"/>
  <c r="N129" i="22" s="1"/>
  <c r="P96" i="21"/>
  <c r="M225" i="22"/>
  <c r="P94" i="21"/>
  <c r="M229" i="22"/>
  <c r="P79" i="21"/>
  <c r="M226" i="22"/>
  <c r="P80" i="21"/>
  <c r="M224" i="22"/>
  <c r="P92" i="21"/>
  <c r="N119" i="22" s="1"/>
  <c r="Q75" i="21" l="1"/>
  <c r="O112" i="22" s="1"/>
  <c r="N138" i="22"/>
  <c r="N140" i="22" s="1"/>
  <c r="Q91" i="21"/>
  <c r="O113" i="22" s="1"/>
  <c r="N139" i="22"/>
  <c r="N141" i="22" s="1"/>
  <c r="Q79" i="21"/>
  <c r="N226" i="22"/>
  <c r="Q96" i="21"/>
  <c r="N225" i="22"/>
  <c r="Q95" i="21"/>
  <c r="N227" i="22"/>
  <c r="Q78" i="21"/>
  <c r="N228" i="22"/>
  <c r="Q80" i="21"/>
  <c r="N224" i="22"/>
  <c r="Q94" i="21"/>
  <c r="N229" i="22"/>
  <c r="Q93" i="21"/>
  <c r="O129" i="22" s="1"/>
  <c r="Q77" i="21"/>
  <c r="O128" i="22" s="1"/>
  <c r="Q92" i="21"/>
  <c r="O119" i="22" s="1"/>
  <c r="R91" i="21" l="1"/>
  <c r="P113" i="22" s="1"/>
  <c r="O139" i="22"/>
  <c r="O141" i="22" s="1"/>
  <c r="R75" i="21"/>
  <c r="P112" i="22" s="1"/>
  <c r="O138" i="22"/>
  <c r="O140" i="22" s="1"/>
  <c r="R93" i="21"/>
  <c r="P129" i="22" s="1"/>
  <c r="R80" i="21"/>
  <c r="P224" i="22" s="1"/>
  <c r="O224" i="22"/>
  <c r="R95" i="21"/>
  <c r="P227" i="22" s="1"/>
  <c r="O227" i="22"/>
  <c r="R79" i="21"/>
  <c r="P226" i="22" s="1"/>
  <c r="O226" i="22"/>
  <c r="R77" i="21"/>
  <c r="P128" i="22" s="1"/>
  <c r="R94" i="21"/>
  <c r="P229" i="22" s="1"/>
  <c r="O229" i="22"/>
  <c r="R78" i="21"/>
  <c r="P228" i="22" s="1"/>
  <c r="O228" i="22"/>
  <c r="R96" i="21"/>
  <c r="P225" i="22" s="1"/>
  <c r="O225" i="22"/>
  <c r="R92" i="21"/>
  <c r="P119" i="22" s="1"/>
  <c r="P138" i="22" l="1"/>
  <c r="P140" i="22" s="1"/>
  <c r="P139" i="22"/>
  <c r="P141" i="22" s="1"/>
  <c r="E14" i="21"/>
  <c r="E13" i="21"/>
  <c r="F14" i="21"/>
  <c r="F13" i="21"/>
  <c r="E12" i="21"/>
  <c r="E11" i="21"/>
  <c r="F12" i="21"/>
  <c r="F11" i="21"/>
  <c r="E10" i="21" l="1"/>
  <c r="E9" i="21"/>
  <c r="B9" i="21"/>
  <c r="F10" i="21"/>
  <c r="F9" i="21"/>
  <c r="F33" i="21"/>
  <c r="E33" i="21"/>
  <c r="B33" i="21"/>
  <c r="F37" i="21"/>
  <c r="E37" i="21"/>
  <c r="B37" i="21"/>
  <c r="F29" i="21"/>
  <c r="E29" i="21"/>
  <c r="B29" i="21"/>
  <c r="F28" i="21"/>
  <c r="E28" i="21"/>
  <c r="B28" i="21"/>
  <c r="F27" i="21"/>
  <c r="E27" i="21"/>
  <c r="B27" i="21"/>
  <c r="F25" i="21"/>
  <c r="E25" i="21"/>
  <c r="B25" i="21"/>
  <c r="F52" i="21"/>
  <c r="E52" i="21"/>
  <c r="F53" i="21"/>
  <c r="B52" i="21"/>
  <c r="F24" i="21"/>
  <c r="E24" i="21"/>
  <c r="B24" i="21"/>
  <c r="F50" i="21"/>
  <c r="E50" i="21"/>
  <c r="F51" i="21"/>
  <c r="E51" i="21"/>
  <c r="E32" i="21"/>
  <c r="F32" i="21"/>
  <c r="B11" i="21" l="1"/>
  <c r="B55" i="22"/>
  <c r="B50" i="21"/>
  <c r="F48" i="21"/>
  <c r="E48" i="21"/>
  <c r="B48" i="21"/>
  <c r="B53" i="22" s="1"/>
  <c r="F23" i="21"/>
  <c r="E23" i="21"/>
  <c r="B23" i="21"/>
  <c r="F46" i="21"/>
  <c r="E46" i="21"/>
  <c r="B46" i="21"/>
  <c r="B52" i="22" s="1"/>
  <c r="F47" i="21"/>
  <c r="E47" i="21"/>
  <c r="E122" i="21"/>
  <c r="F122" i="21"/>
  <c r="B32" i="21"/>
  <c r="F44" i="21"/>
  <c r="E44" i="21"/>
  <c r="B44" i="21"/>
  <c r="B51" i="22" s="1"/>
  <c r="B145" i="22" s="1"/>
  <c r="F45" i="21"/>
  <c r="E45" i="21"/>
  <c r="F42" i="21"/>
  <c r="E42" i="21"/>
  <c r="B42" i="21"/>
  <c r="B49" i="22" s="1"/>
  <c r="F22" i="21"/>
  <c r="E22" i="21"/>
  <c r="B22" i="21"/>
  <c r="F21" i="21"/>
  <c r="E21" i="21"/>
  <c r="B21" i="21"/>
  <c r="F20" i="21"/>
  <c r="E20" i="21"/>
  <c r="B20" i="21"/>
  <c r="E19" i="21"/>
  <c r="F19" i="21"/>
  <c r="B19" i="21"/>
  <c r="B13" i="21" l="1"/>
  <c r="B54" i="22"/>
  <c r="S16" i="14"/>
  <c r="T16" i="14"/>
  <c r="U16" i="14"/>
  <c r="V16" i="14"/>
  <c r="W16" i="14"/>
  <c r="X16" i="14"/>
  <c r="Y16" i="14"/>
  <c r="Z16" i="14"/>
  <c r="AA16" i="14"/>
  <c r="AB16" i="14"/>
  <c r="AC16" i="14"/>
  <c r="R46" i="14"/>
  <c r="R47" i="14" s="1"/>
  <c r="R48" i="14" s="1"/>
  <c r="R49" i="14" s="1"/>
  <c r="S46" i="14"/>
  <c r="S47" i="14" s="1"/>
  <c r="S48" i="14" s="1"/>
  <c r="S49" i="14" s="1"/>
  <c r="S50" i="14" s="1"/>
  <c r="S51" i="14" s="1"/>
  <c r="S52" i="14" s="1"/>
  <c r="S53" i="14" s="1"/>
  <c r="S54" i="14" s="1"/>
  <c r="S55" i="14" s="1"/>
  <c r="S56" i="14" s="1"/>
  <c r="R72" i="14"/>
  <c r="R73" i="14" s="1"/>
  <c r="R74" i="14" s="1"/>
  <c r="R75" i="14" s="1"/>
  <c r="R76" i="14" s="1"/>
  <c r="R77" i="14" s="1"/>
  <c r="R78" i="14" s="1"/>
  <c r="R79" i="14" s="1"/>
  <c r="R80" i="14" s="1"/>
  <c r="R81" i="14" s="1"/>
  <c r="R82" i="14" s="1"/>
  <c r="S72" i="14"/>
  <c r="S73" i="14" s="1"/>
  <c r="S74" i="14" s="1"/>
  <c r="S75" i="14" s="1"/>
  <c r="S76" i="14" s="1"/>
  <c r="S77" i="14" s="1"/>
  <c r="S78" i="14" s="1"/>
  <c r="S79" i="14" s="1"/>
  <c r="S80" i="14" s="1"/>
  <c r="S81" i="14" s="1"/>
  <c r="S82" i="14" s="1"/>
  <c r="R487" i="14"/>
  <c r="R488" i="14" s="1"/>
  <c r="R489" i="14" s="1"/>
  <c r="R490" i="14" s="1"/>
  <c r="R491" i="14" s="1"/>
  <c r="R492" i="14" s="1"/>
  <c r="R493" i="14" s="1"/>
  <c r="R494" i="14" s="1"/>
  <c r="R495" i="14" s="1"/>
  <c r="R496" i="14" s="1"/>
  <c r="R497" i="14" s="1"/>
  <c r="S487" i="14"/>
  <c r="S488" i="14" s="1"/>
  <c r="S489" i="14" s="1"/>
  <c r="S490" i="14" s="1"/>
  <c r="S491" i="14" s="1"/>
  <c r="S492" i="14" s="1"/>
  <c r="S493" i="14" s="1"/>
  <c r="S494" i="14" s="1"/>
  <c r="S495" i="14" s="1"/>
  <c r="S496" i="14" s="1"/>
  <c r="S497" i="14" s="1"/>
  <c r="R500" i="14"/>
  <c r="R501" i="14" s="1"/>
  <c r="R502" i="14" s="1"/>
  <c r="R503" i="14" s="1"/>
  <c r="R504" i="14" s="1"/>
  <c r="R505" i="14" s="1"/>
  <c r="R506" i="14" s="1"/>
  <c r="R507" i="14" s="1"/>
  <c r="R508" i="14" s="1"/>
  <c r="R509" i="14" s="1"/>
  <c r="R510" i="14" s="1"/>
  <c r="S500" i="14"/>
  <c r="S501" i="14" s="1"/>
  <c r="S502" i="14" s="1"/>
  <c r="S503" i="14" s="1"/>
  <c r="S504" i="14" s="1"/>
  <c r="S505" i="14" s="1"/>
  <c r="S506" i="14" s="1"/>
  <c r="S507" i="14" s="1"/>
  <c r="S508" i="14" s="1"/>
  <c r="S509" i="14" s="1"/>
  <c r="S510" i="14" s="1"/>
  <c r="R513" i="14"/>
  <c r="R514" i="14" s="1"/>
  <c r="R515" i="14" s="1"/>
  <c r="R516" i="14" s="1"/>
  <c r="R517" i="14" s="1"/>
  <c r="R518" i="14" s="1"/>
  <c r="R519" i="14" s="1"/>
  <c r="R520" i="14" s="1"/>
  <c r="R521" i="14" s="1"/>
  <c r="R522" i="14" s="1"/>
  <c r="R523" i="14" s="1"/>
  <c r="S513" i="14"/>
  <c r="S514" i="14" s="1"/>
  <c r="S515" i="14" s="1"/>
  <c r="S516" i="14" s="1"/>
  <c r="S517" i="14" s="1"/>
  <c r="S518" i="14" s="1"/>
  <c r="S519" i="14" s="1"/>
  <c r="S520" i="14" s="1"/>
  <c r="S521" i="14" s="1"/>
  <c r="S522" i="14" s="1"/>
  <c r="S523" i="14" s="1"/>
  <c r="R526" i="14"/>
  <c r="R527" i="14" s="1"/>
  <c r="R528" i="14" s="1"/>
  <c r="R529" i="14" s="1"/>
  <c r="R530" i="14" s="1"/>
  <c r="R531" i="14" s="1"/>
  <c r="R532" i="14" s="1"/>
  <c r="R533" i="14" s="1"/>
  <c r="R534" i="14" s="1"/>
  <c r="R535" i="14" s="1"/>
  <c r="R536" i="14" s="1"/>
  <c r="S526" i="14"/>
  <c r="S527" i="14" s="1"/>
  <c r="S528" i="14" s="1"/>
  <c r="S529" i="14" s="1"/>
  <c r="S530" i="14" s="1"/>
  <c r="S531" i="14" s="1"/>
  <c r="S532" i="14" s="1"/>
  <c r="S533" i="14" s="1"/>
  <c r="S534" i="14" s="1"/>
  <c r="S535" i="14" s="1"/>
  <c r="S536" i="14" s="1"/>
  <c r="R50" i="14" l="1"/>
  <c r="N49" i="14"/>
  <c r="R51" i="14" l="1"/>
  <c r="R52" i="14" s="1"/>
  <c r="R53" i="14" s="1"/>
  <c r="R54" i="14" s="1"/>
  <c r="R55" i="14" s="1"/>
  <c r="R56" i="14" s="1"/>
  <c r="N50" i="14"/>
  <c r="B1010" i="14"/>
  <c r="B1011" i="14"/>
  <c r="B1012" i="14"/>
  <c r="B1013" i="14"/>
  <c r="B995" i="14"/>
  <c r="B994" i="14"/>
  <c r="B993" i="14"/>
  <c r="B992" i="14"/>
  <c r="B991" i="14"/>
  <c r="B990" i="14"/>
  <c r="B989" i="14"/>
  <c r="B988" i="14"/>
  <c r="B987" i="14"/>
  <c r="B986" i="14"/>
  <c r="B985" i="14"/>
  <c r="B984" i="14"/>
  <c r="B983" i="14"/>
  <c r="B982" i="14"/>
  <c r="B981" i="14"/>
  <c r="B980" i="14"/>
  <c r="B979" i="14"/>
  <c r="B978" i="14"/>
  <c r="B977" i="14"/>
  <c r="B967" i="14"/>
  <c r="B957" i="14"/>
  <c r="B958" i="14"/>
  <c r="B949" i="14"/>
  <c r="B950" i="14"/>
  <c r="B951" i="14"/>
  <c r="B948" i="14"/>
  <c r="G89" i="21"/>
  <c r="E101" i="22" s="1"/>
  <c r="G88" i="21"/>
  <c r="E95" i="22" s="1"/>
  <c r="G87" i="21"/>
  <c r="H87" i="21" s="1"/>
  <c r="I87" i="21" s="1"/>
  <c r="J87" i="21" s="1"/>
  <c r="K87" i="21" s="1"/>
  <c r="L87" i="21" s="1"/>
  <c r="M87" i="21" s="1"/>
  <c r="N87" i="21" s="1"/>
  <c r="O87" i="21" s="1"/>
  <c r="P87" i="21" s="1"/>
  <c r="Q87" i="21" s="1"/>
  <c r="R87" i="21" s="1"/>
  <c r="G86" i="21"/>
  <c r="E83" i="22" s="1"/>
  <c r="G85" i="21"/>
  <c r="E77" i="22" s="1"/>
  <c r="G84" i="21"/>
  <c r="E71" i="22" s="1"/>
  <c r="G83" i="21"/>
  <c r="E65" i="22" s="1"/>
  <c r="G82" i="21"/>
  <c r="E59" i="22" s="1"/>
  <c r="B1019" i="14"/>
  <c r="B1020" i="14"/>
  <c r="H85" i="21" l="1"/>
  <c r="F77" i="22" s="1"/>
  <c r="H89" i="21"/>
  <c r="F101" i="22" s="1"/>
  <c r="H86" i="21"/>
  <c r="F83" i="22" s="1"/>
  <c r="H83" i="21"/>
  <c r="F65" i="22" s="1"/>
  <c r="H84" i="21"/>
  <c r="F71" i="22" s="1"/>
  <c r="H88" i="21"/>
  <c r="F95" i="22" s="1"/>
  <c r="H82" i="21"/>
  <c r="F59" i="22" s="1"/>
  <c r="B1017" i="14"/>
  <c r="B1018" i="14"/>
  <c r="I84" i="21" l="1"/>
  <c r="G71" i="22" s="1"/>
  <c r="I88" i="21"/>
  <c r="G95" i="22" s="1"/>
  <c r="I83" i="21"/>
  <c r="G65" i="22" s="1"/>
  <c r="I89" i="21"/>
  <c r="G101" i="22" s="1"/>
  <c r="I86" i="21"/>
  <c r="G83" i="22" s="1"/>
  <c r="I85" i="21"/>
  <c r="G77" i="22" s="1"/>
  <c r="I82" i="21"/>
  <c r="G59" i="22" s="1"/>
  <c r="B814" i="14"/>
  <c r="B800" i="14"/>
  <c r="J814" i="14"/>
  <c r="J800" i="14"/>
  <c r="J786" i="14"/>
  <c r="B786" i="14"/>
  <c r="B828" i="14"/>
  <c r="N641" i="14"/>
  <c r="N317" i="14"/>
  <c r="J317" i="14" s="1"/>
  <c r="D317" i="14"/>
  <c r="N214" i="14"/>
  <c r="J84" i="21" l="1"/>
  <c r="H71" i="22" s="1"/>
  <c r="J86" i="21"/>
  <c r="H83" i="22" s="1"/>
  <c r="J83" i="21"/>
  <c r="H65" i="22" s="1"/>
  <c r="J85" i="21"/>
  <c r="H77" i="22" s="1"/>
  <c r="J89" i="21"/>
  <c r="H101" i="22" s="1"/>
  <c r="J88" i="21"/>
  <c r="H95" i="22" s="1"/>
  <c r="J82" i="21"/>
  <c r="H59" i="22" s="1"/>
  <c r="N334" i="14"/>
  <c r="K84" i="21" l="1"/>
  <c r="I71" i="22" s="1"/>
  <c r="K89" i="21"/>
  <c r="I101" i="22" s="1"/>
  <c r="K83" i="21"/>
  <c r="I65" i="22" s="1"/>
  <c r="K88" i="21"/>
  <c r="I95" i="22" s="1"/>
  <c r="K85" i="21"/>
  <c r="I77" i="22" s="1"/>
  <c r="K86" i="21"/>
  <c r="I83" i="22" s="1"/>
  <c r="L84" i="21"/>
  <c r="J71" i="22" s="1"/>
  <c r="K82" i="21"/>
  <c r="I59" i="22" s="1"/>
  <c r="N640" i="14"/>
  <c r="N935" i="14"/>
  <c r="L85" i="21" l="1"/>
  <c r="J77" i="22" s="1"/>
  <c r="L83" i="21"/>
  <c r="J65" i="22" s="1"/>
  <c r="L86" i="21"/>
  <c r="J83" i="22" s="1"/>
  <c r="L88" i="21"/>
  <c r="J95" i="22" s="1"/>
  <c r="L89" i="21"/>
  <c r="J101" i="22" s="1"/>
  <c r="G931" i="14"/>
  <c r="G934" i="14"/>
  <c r="G930" i="14"/>
  <c r="G933" i="14"/>
  <c r="G929" i="14"/>
  <c r="G932" i="14"/>
  <c r="G928" i="14"/>
  <c r="M84" i="21"/>
  <c r="K71" i="22" s="1"/>
  <c r="L82" i="21"/>
  <c r="J59" i="22" s="1"/>
  <c r="B1008" i="14"/>
  <c r="M88" i="21" l="1"/>
  <c r="K95" i="22" s="1"/>
  <c r="M83" i="21"/>
  <c r="K65" i="22" s="1"/>
  <c r="M89" i="21"/>
  <c r="K101" i="22" s="1"/>
  <c r="M86" i="21"/>
  <c r="K83" i="22" s="1"/>
  <c r="M85" i="21"/>
  <c r="K77" i="22" s="1"/>
  <c r="N84" i="21"/>
  <c r="L71" i="22" s="1"/>
  <c r="M82" i="21"/>
  <c r="K59" i="22" s="1"/>
  <c r="B946" i="14"/>
  <c r="B7" i="19"/>
  <c r="N86" i="21" l="1"/>
  <c r="L83" i="22" s="1"/>
  <c r="N83" i="21"/>
  <c r="L65" i="22" s="1"/>
  <c r="N85" i="21"/>
  <c r="L77" i="22" s="1"/>
  <c r="N89" i="21"/>
  <c r="L101" i="22" s="1"/>
  <c r="N88" i="21"/>
  <c r="L95" i="22" s="1"/>
  <c r="O84" i="21"/>
  <c r="M71" i="22" s="1"/>
  <c r="N82" i="21"/>
  <c r="L59" i="22" s="1"/>
  <c r="BD27" i="19"/>
  <c r="BB32" i="19"/>
  <c r="N335" i="14"/>
  <c r="BD24" i="19"/>
  <c r="AA20" i="19" s="1"/>
  <c r="BD21" i="19"/>
  <c r="BD17" i="19"/>
  <c r="BB21" i="19"/>
  <c r="N68" i="14" s="1"/>
  <c r="BB17" i="19"/>
  <c r="N40" i="14" s="1"/>
  <c r="O89" i="21" l="1"/>
  <c r="M101" i="22" s="1"/>
  <c r="O83" i="21"/>
  <c r="M65" i="22" s="1"/>
  <c r="O88" i="21"/>
  <c r="M95" i="22" s="1"/>
  <c r="O85" i="21"/>
  <c r="M77" i="22" s="1"/>
  <c r="O86" i="21"/>
  <c r="M83" i="22" s="1"/>
  <c r="P84" i="21"/>
  <c r="N71" i="22" s="1"/>
  <c r="O82" i="21"/>
  <c r="M59" i="22" s="1"/>
  <c r="N537" i="14"/>
  <c r="AA34" i="19"/>
  <c r="N268" i="14"/>
  <c r="AA25" i="19"/>
  <c r="N331" i="14"/>
  <c r="N174" i="14"/>
  <c r="AA12" i="19"/>
  <c r="N33" i="14"/>
  <c r="N34" i="14"/>
  <c r="N38" i="14"/>
  <c r="N42" i="14"/>
  <c r="N37" i="14"/>
  <c r="N41" i="14"/>
  <c r="N525" i="14"/>
  <c r="N61" i="14"/>
  <c r="N65" i="14"/>
  <c r="N69" i="14"/>
  <c r="N58" i="14"/>
  <c r="N62" i="14"/>
  <c r="N66" i="14"/>
  <c r="N59" i="14"/>
  <c r="N63" i="14"/>
  <c r="N67" i="14"/>
  <c r="N60" i="14"/>
  <c r="N64" i="14"/>
  <c r="N35" i="14"/>
  <c r="N39" i="14"/>
  <c r="N43" i="14"/>
  <c r="N32" i="14"/>
  <c r="N36" i="14"/>
  <c r="BB13" i="19"/>
  <c r="N30" i="14" s="1"/>
  <c r="P85" i="21" l="1"/>
  <c r="N77" i="22" s="1"/>
  <c r="P83" i="21"/>
  <c r="N65" i="22" s="1"/>
  <c r="P86" i="21"/>
  <c r="N83" i="22" s="1"/>
  <c r="P88" i="21"/>
  <c r="N95" i="22" s="1"/>
  <c r="P89" i="21"/>
  <c r="N101" i="22" s="1"/>
  <c r="P82" i="21"/>
  <c r="N59" i="22" s="1"/>
  <c r="Q84" i="21"/>
  <c r="O71" i="22" s="1"/>
  <c r="N23" i="14"/>
  <c r="N24" i="14"/>
  <c r="N19" i="14"/>
  <c r="N27" i="14"/>
  <c r="N20" i="14"/>
  <c r="N28" i="14"/>
  <c r="N21" i="14"/>
  <c r="N25" i="14"/>
  <c r="N29" i="14"/>
  <c r="N22" i="14"/>
  <c r="N26" i="14"/>
  <c r="Q88" i="21" l="1"/>
  <c r="O95" i="22" s="1"/>
  <c r="Q83" i="21"/>
  <c r="O65" i="22" s="1"/>
  <c r="Q89" i="21"/>
  <c r="O101" i="22" s="1"/>
  <c r="Q86" i="21"/>
  <c r="O83" i="22" s="1"/>
  <c r="Q85" i="21"/>
  <c r="O77" i="22" s="1"/>
  <c r="R84" i="21"/>
  <c r="P71" i="22" s="1"/>
  <c r="Q82" i="21"/>
  <c r="O59" i="22" s="1"/>
  <c r="BD4" i="19"/>
  <c r="BD5" i="19"/>
  <c r="BD6" i="19"/>
  <c r="BD7" i="19"/>
  <c r="BD8" i="19"/>
  <c r="BD9" i="19"/>
  <c r="BD10" i="19"/>
  <c r="BD11" i="19"/>
  <c r="BD12" i="19"/>
  <c r="BD13" i="19"/>
  <c r="BD2" i="19"/>
  <c r="AX10" i="19"/>
  <c r="R86" i="21" l="1"/>
  <c r="P83" i="22" s="1"/>
  <c r="R83" i="21"/>
  <c r="P65" i="22" s="1"/>
  <c r="R85" i="21"/>
  <c r="P77" i="22" s="1"/>
  <c r="R89" i="21"/>
  <c r="P101" i="22" s="1"/>
  <c r="R88" i="21"/>
  <c r="P95" i="22" s="1"/>
  <c r="R82" i="21"/>
  <c r="P59" i="22" s="1"/>
  <c r="B1139" i="14"/>
  <c r="B1138" i="14"/>
  <c r="M1134" i="14"/>
  <c r="L1134" i="14"/>
  <c r="K1134" i="14"/>
  <c r="B1134" i="14"/>
  <c r="B1135" i="14"/>
  <c r="B640" i="14" l="1"/>
  <c r="N1134" i="14"/>
  <c r="J1134" i="14" s="1"/>
  <c r="J640" i="14"/>
  <c r="B1031" i="14"/>
  <c r="M33" i="14" l="1"/>
  <c r="M34" i="14" s="1"/>
  <c r="M35" i="14" s="1"/>
  <c r="M36" i="14" s="1"/>
  <c r="M37" i="14" s="1"/>
  <c r="M38" i="14" s="1"/>
  <c r="M39" i="14" s="1"/>
  <c r="M40" i="14" s="1"/>
  <c r="M41" i="14" s="1"/>
  <c r="M42" i="14" s="1"/>
  <c r="M43" i="14" s="1"/>
  <c r="L33" i="14"/>
  <c r="L34" i="14" s="1"/>
  <c r="L35" i="14" s="1"/>
  <c r="L36" i="14" s="1"/>
  <c r="L37" i="14" s="1"/>
  <c r="L38" i="14" s="1"/>
  <c r="L39" i="14" s="1"/>
  <c r="L40" i="14" s="1"/>
  <c r="L41" i="14" s="1"/>
  <c r="L42" i="14" s="1"/>
  <c r="L43" i="14" s="1"/>
  <c r="K33" i="14"/>
  <c r="K34" i="14" s="1"/>
  <c r="K35" i="14" s="1"/>
  <c r="K36" i="14" s="1"/>
  <c r="K37" i="14" s="1"/>
  <c r="K38" i="14" s="1"/>
  <c r="K39" i="14" s="1"/>
  <c r="K40" i="14" s="1"/>
  <c r="K41" i="14" s="1"/>
  <c r="K42" i="14" s="1"/>
  <c r="K43" i="14" s="1"/>
  <c r="M46" i="14"/>
  <c r="M47" i="14" s="1"/>
  <c r="M48" i="14" s="1"/>
  <c r="M49" i="14" s="1"/>
  <c r="M50" i="14" s="1"/>
  <c r="M51" i="14" s="1"/>
  <c r="M52" i="14" s="1"/>
  <c r="M53" i="14" s="1"/>
  <c r="M54" i="14" s="1"/>
  <c r="M55" i="14" s="1"/>
  <c r="M56" i="14" s="1"/>
  <c r="L46" i="14"/>
  <c r="L47" i="14" s="1"/>
  <c r="L48" i="14" s="1"/>
  <c r="L49" i="14" s="1"/>
  <c r="L50" i="14" s="1"/>
  <c r="L51" i="14" s="1"/>
  <c r="L52" i="14" s="1"/>
  <c r="L53" i="14" s="1"/>
  <c r="L54" i="14" s="1"/>
  <c r="L55" i="14" s="1"/>
  <c r="L56" i="14" s="1"/>
  <c r="K46" i="14"/>
  <c r="K47" i="14" s="1"/>
  <c r="K48" i="14" s="1"/>
  <c r="K49" i="14" s="1"/>
  <c r="K50" i="14" s="1"/>
  <c r="K51" i="14" s="1"/>
  <c r="K52" i="14" s="1"/>
  <c r="K53" i="14" s="1"/>
  <c r="K54" i="14" s="1"/>
  <c r="K55" i="14" s="1"/>
  <c r="K56" i="14" s="1"/>
  <c r="B1165" i="14"/>
  <c r="B1170" i="14"/>
  <c r="B1169" i="14"/>
  <c r="B1168" i="14"/>
  <c r="B1167" i="14"/>
  <c r="B1166" i="14"/>
  <c r="B1178" i="14"/>
  <c r="B1177" i="14"/>
  <c r="B1176" i="14"/>
  <c r="N642" i="14" l="1"/>
  <c r="N15" i="14"/>
  <c r="N551" i="14"/>
  <c r="N550" i="14"/>
  <c r="N549" i="14"/>
  <c r="N548" i="14"/>
  <c r="N547" i="14"/>
  <c r="N546" i="14"/>
  <c r="N545" i="14"/>
  <c r="N544" i="14"/>
  <c r="N543" i="14"/>
  <c r="N542" i="14"/>
  <c r="N541" i="14"/>
  <c r="N540" i="14"/>
  <c r="N539" i="14"/>
  <c r="J539" i="14" s="1"/>
  <c r="N538" i="14"/>
  <c r="N512" i="14"/>
  <c r="N499" i="14"/>
  <c r="N497" i="14"/>
  <c r="N496" i="14"/>
  <c r="N495" i="14"/>
  <c r="N494" i="14"/>
  <c r="N493" i="14"/>
  <c r="N492" i="14"/>
  <c r="N491" i="14"/>
  <c r="N490" i="14"/>
  <c r="N489" i="14"/>
  <c r="N488" i="14"/>
  <c r="N487" i="14"/>
  <c r="N486" i="14"/>
  <c r="N458" i="14"/>
  <c r="N444" i="14"/>
  <c r="H443" i="14" s="1"/>
  <c r="H457" i="14" s="1"/>
  <c r="N440" i="14"/>
  <c r="N425" i="14"/>
  <c r="N411" i="14"/>
  <c r="N410" i="14"/>
  <c r="N362" i="14"/>
  <c r="N277" i="14"/>
  <c r="N443" i="14"/>
  <c r="N270" i="14"/>
  <c r="N269" i="14"/>
  <c r="N213" i="14"/>
  <c r="N228" i="14"/>
  <c r="N186" i="14"/>
  <c r="N185" i="14"/>
  <c r="N184" i="14"/>
  <c r="N183" i="14"/>
  <c r="N182" i="14"/>
  <c r="N181" i="14"/>
  <c r="N180" i="14"/>
  <c r="N179" i="14"/>
  <c r="N178" i="14"/>
  <c r="N177" i="14"/>
  <c r="N176" i="14"/>
  <c r="N175" i="14"/>
  <c r="N159" i="14"/>
  <c r="N132" i="14"/>
  <c r="N105" i="14"/>
  <c r="N91" i="14"/>
  <c r="N90" i="14"/>
  <c r="N89" i="14"/>
  <c r="N82" i="14"/>
  <c r="N81" i="14"/>
  <c r="N80" i="14"/>
  <c r="N79" i="14"/>
  <c r="N78" i="14"/>
  <c r="N77" i="14"/>
  <c r="N76" i="14"/>
  <c r="N75" i="14"/>
  <c r="N74" i="14"/>
  <c r="N73" i="14"/>
  <c r="N72" i="14"/>
  <c r="N56" i="14"/>
  <c r="N55" i="14"/>
  <c r="N54" i="14"/>
  <c r="N53" i="14"/>
  <c r="N52" i="14"/>
  <c r="N51" i="14"/>
  <c r="N48" i="14"/>
  <c r="N47" i="14"/>
  <c r="N46" i="14"/>
  <c r="N45" i="14"/>
  <c r="B1184" i="14"/>
  <c r="B1183" i="14"/>
  <c r="B1182" i="14"/>
  <c r="B1181" i="14"/>
  <c r="B1180" i="14"/>
  <c r="B1179" i="14"/>
  <c r="B1175" i="14"/>
  <c r="B1174" i="14"/>
  <c r="B1173" i="14"/>
  <c r="B1172" i="14"/>
  <c r="B1162" i="14"/>
  <c r="B1171" i="14"/>
  <c r="B1155" i="14"/>
  <c r="B1148" i="14"/>
  <c r="B1137" i="14"/>
  <c r="B1136" i="14"/>
  <c r="B1069" i="14"/>
  <c r="B1068" i="14"/>
  <c r="B1067" i="14"/>
  <c r="B1066" i="14"/>
  <c r="J1140" i="14"/>
  <c r="B1140" i="14"/>
  <c r="B1123" i="14"/>
  <c r="B1127" i="14"/>
  <c r="B1122" i="14"/>
  <c r="B1120" i="14"/>
  <c r="B1108" i="14"/>
  <c r="B1107" i="14"/>
  <c r="B1093" i="14"/>
  <c r="B1106" i="14" s="1"/>
  <c r="B1119" i="14" s="1"/>
  <c r="B1095" i="14"/>
  <c r="B1094" i="14"/>
  <c r="B1082" i="14"/>
  <c r="B1070" i="14"/>
  <c r="E1072" i="14"/>
  <c r="E1073" i="14"/>
  <c r="E1074" i="14"/>
  <c r="E1075" i="14"/>
  <c r="E1076" i="14"/>
  <c r="E1077" i="14"/>
  <c r="E1078" i="14"/>
  <c r="E1079" i="14"/>
  <c r="E1080" i="14"/>
  <c r="E1071" i="14"/>
  <c r="B1072" i="14"/>
  <c r="B1073" i="14"/>
  <c r="B1074" i="14"/>
  <c r="B1075" i="14"/>
  <c r="B1076" i="14"/>
  <c r="B1077" i="14"/>
  <c r="B1078" i="14"/>
  <c r="B1079" i="14"/>
  <c r="B1080" i="14"/>
  <c r="B1071" i="14"/>
  <c r="F443" i="14"/>
  <c r="F457" i="14" s="1"/>
  <c r="G443" i="14"/>
  <c r="G456" i="14" s="1"/>
  <c r="E443" i="14"/>
  <c r="E456" i="14" s="1"/>
  <c r="B539" i="14"/>
  <c r="B565" i="14"/>
  <c r="B552" i="14"/>
  <c r="A33" i="21" s="1"/>
  <c r="N593" i="14" l="1"/>
  <c r="J593" i="14" s="1"/>
  <c r="N592" i="14"/>
  <c r="J592" i="14" s="1"/>
  <c r="N500" i="14"/>
  <c r="N527" i="14"/>
  <c r="N526" i="14"/>
  <c r="N513" i="14"/>
  <c r="N515" i="14"/>
  <c r="N514" i="14"/>
  <c r="N501" i="14"/>
  <c r="G445" i="14"/>
  <c r="F446" i="14"/>
  <c r="H446" i="14"/>
  <c r="D446" i="14" s="1"/>
  <c r="G447" i="14"/>
  <c r="F448" i="14"/>
  <c r="H448" i="14"/>
  <c r="D448" i="14" s="1"/>
  <c r="G449" i="14"/>
  <c r="F450" i="14"/>
  <c r="H450" i="14"/>
  <c r="D450" i="14" s="1"/>
  <c r="G451" i="14"/>
  <c r="F452" i="14"/>
  <c r="H452" i="14"/>
  <c r="D452" i="14" s="1"/>
  <c r="G453" i="14"/>
  <c r="F454" i="14"/>
  <c r="H454" i="14"/>
  <c r="D454" i="14" s="1"/>
  <c r="G455" i="14"/>
  <c r="F456" i="14"/>
  <c r="H456" i="14"/>
  <c r="D456" i="14" s="1"/>
  <c r="G457" i="14"/>
  <c r="F445" i="14"/>
  <c r="H445" i="14"/>
  <c r="D445" i="14" s="1"/>
  <c r="G446" i="14"/>
  <c r="F447" i="14"/>
  <c r="H447" i="14"/>
  <c r="D447" i="14" s="1"/>
  <c r="G448" i="14"/>
  <c r="F449" i="14"/>
  <c r="H449" i="14"/>
  <c r="D449" i="14" s="1"/>
  <c r="G450" i="14"/>
  <c r="F451" i="14"/>
  <c r="H451" i="14"/>
  <c r="D451" i="14" s="1"/>
  <c r="G452" i="14"/>
  <c r="F453" i="14"/>
  <c r="H453" i="14"/>
  <c r="D453" i="14" s="1"/>
  <c r="G454" i="14"/>
  <c r="F455" i="14"/>
  <c r="H455" i="14"/>
  <c r="D455" i="14" s="1"/>
  <c r="E445" i="14"/>
  <c r="E447" i="14"/>
  <c r="E449" i="14"/>
  <c r="E451" i="14"/>
  <c r="E453" i="14"/>
  <c r="E454" i="14"/>
  <c r="E457" i="14"/>
  <c r="E446" i="14"/>
  <c r="E448" i="14"/>
  <c r="E450" i="14"/>
  <c r="E452" i="14"/>
  <c r="E455" i="14"/>
  <c r="N1159" i="14"/>
  <c r="J1159" i="14" s="1"/>
  <c r="M1159" i="14"/>
  <c r="G1159" i="14" s="1"/>
  <c r="L1159" i="14"/>
  <c r="F1159" i="14" s="1"/>
  <c r="K1159" i="14"/>
  <c r="B1164" i="14"/>
  <c r="B1161" i="14"/>
  <c r="B1163" i="14"/>
  <c r="B1160" i="14"/>
  <c r="B1159" i="14"/>
  <c r="B1158" i="14"/>
  <c r="F1124" i="14"/>
  <c r="G1124" i="14"/>
  <c r="H1124" i="14"/>
  <c r="E1124" i="14"/>
  <c r="N1152" i="14"/>
  <c r="H1152" i="14" s="1"/>
  <c r="M1152" i="14"/>
  <c r="G1152" i="14" s="1"/>
  <c r="L1152" i="14"/>
  <c r="F1152" i="14" s="1"/>
  <c r="K1152" i="14"/>
  <c r="E1152" i="14" s="1"/>
  <c r="B1157" i="14"/>
  <c r="B1154" i="14"/>
  <c r="B1156" i="14"/>
  <c r="B1153" i="14"/>
  <c r="B1152" i="14"/>
  <c r="B1151" i="14"/>
  <c r="B1150" i="14"/>
  <c r="B1149" i="14"/>
  <c r="B1147" i="14"/>
  <c r="N1144" i="14"/>
  <c r="H1144" i="14" s="1"/>
  <c r="M1144" i="14"/>
  <c r="G1144" i="14" s="1"/>
  <c r="L1144" i="14"/>
  <c r="F1144" i="14" s="1"/>
  <c r="K1144" i="14"/>
  <c r="E1144" i="14" s="1"/>
  <c r="B1146" i="14"/>
  <c r="B1145" i="14"/>
  <c r="B1144" i="14"/>
  <c r="B1143" i="14"/>
  <c r="N1131" i="14"/>
  <c r="H1131" i="14" s="1"/>
  <c r="M1131" i="14"/>
  <c r="G1131" i="14" s="1"/>
  <c r="L1131" i="14"/>
  <c r="F1131" i="14" s="1"/>
  <c r="K1131" i="14"/>
  <c r="E1131" i="14" s="1"/>
  <c r="B1142" i="14"/>
  <c r="B1133" i="14"/>
  <c r="B1141" i="14"/>
  <c r="B1132" i="14"/>
  <c r="B1131" i="14"/>
  <c r="B1130" i="14"/>
  <c r="B961" i="14"/>
  <c r="B1023" i="14" s="1"/>
  <c r="B1129" i="14"/>
  <c r="B1126" i="14"/>
  <c r="B1128" i="14"/>
  <c r="B1125" i="14"/>
  <c r="J1124" i="14"/>
  <c r="B1124" i="14"/>
  <c r="B229" i="14"/>
  <c r="A42" i="21" s="1"/>
  <c r="A49" i="22" s="1"/>
  <c r="J228" i="14"/>
  <c r="B228" i="14"/>
  <c r="B1027" i="14"/>
  <c r="B965" i="14"/>
  <c r="B964" i="14"/>
  <c r="B1026" i="14" s="1"/>
  <c r="B1065" i="14"/>
  <c r="B1064" i="14"/>
  <c r="B1063" i="14"/>
  <c r="B1062" i="14"/>
  <c r="B1061" i="14"/>
  <c r="B1055" i="14"/>
  <c r="B1060" i="14"/>
  <c r="B1059" i="14"/>
  <c r="B1058" i="14"/>
  <c r="B1057" i="14"/>
  <c r="J1056" i="14"/>
  <c r="B1056" i="14"/>
  <c r="B1049" i="14"/>
  <c r="B1054" i="14"/>
  <c r="B1053" i="14"/>
  <c r="B1052" i="14"/>
  <c r="B1051" i="14"/>
  <c r="J1050" i="14"/>
  <c r="B1050" i="14"/>
  <c r="B1043" i="14"/>
  <c r="B1048" i="14"/>
  <c r="B1047" i="14"/>
  <c r="B1046" i="14"/>
  <c r="B1045" i="14"/>
  <c r="J1044" i="14"/>
  <c r="B1044" i="14"/>
  <c r="B1037" i="14"/>
  <c r="B1042" i="14"/>
  <c r="B1041" i="14"/>
  <c r="B1040" i="14"/>
  <c r="B1039" i="14"/>
  <c r="J1038" i="14"/>
  <c r="B1038" i="14"/>
  <c r="J1032" i="14"/>
  <c r="B1036" i="14"/>
  <c r="B1035" i="14"/>
  <c r="B1034" i="14"/>
  <c r="B1033" i="14"/>
  <c r="B1032" i="14"/>
  <c r="B1029" i="14"/>
  <c r="B998" i="14"/>
  <c r="B936" i="14"/>
  <c r="B962" i="14"/>
  <c r="B1024" i="14" s="1"/>
  <c r="B963" i="14"/>
  <c r="B1025" i="14" s="1"/>
  <c r="G927" i="14"/>
  <c r="B935" i="14"/>
  <c r="B4" i="19"/>
  <c r="J2" i="19"/>
  <c r="D638" i="14"/>
  <c r="D637" i="14"/>
  <c r="D636" i="14"/>
  <c r="D635" i="14"/>
  <c r="D634" i="14"/>
  <c r="D633" i="14"/>
  <c r="D632" i="14"/>
  <c r="D631" i="14"/>
  <c r="D630" i="14"/>
  <c r="D629" i="14"/>
  <c r="D628" i="14"/>
  <c r="D627" i="14"/>
  <c r="D626" i="14"/>
  <c r="D625" i="14"/>
  <c r="D624" i="14"/>
  <c r="D623" i="14"/>
  <c r="D622" i="14"/>
  <c r="D621" i="14"/>
  <c r="D620" i="14"/>
  <c r="D619" i="14"/>
  <c r="D618" i="14"/>
  <c r="D617" i="14"/>
  <c r="D616" i="14"/>
  <c r="D615" i="14"/>
  <c r="D614" i="14"/>
  <c r="D613" i="14"/>
  <c r="D612" i="14"/>
  <c r="D611" i="14"/>
  <c r="D536" i="14"/>
  <c r="D535" i="14"/>
  <c r="D534" i="14"/>
  <c r="D533" i="14"/>
  <c r="D532" i="14"/>
  <c r="D531" i="14"/>
  <c r="D530" i="14"/>
  <c r="D529" i="14"/>
  <c r="D528" i="14"/>
  <c r="D527" i="14"/>
  <c r="D526" i="14"/>
  <c r="D525" i="14"/>
  <c r="D524" i="14"/>
  <c r="D523" i="14"/>
  <c r="D522" i="14"/>
  <c r="D521" i="14"/>
  <c r="D520" i="14"/>
  <c r="D519" i="14"/>
  <c r="D518" i="14"/>
  <c r="D517" i="14"/>
  <c r="D516" i="14"/>
  <c r="D515" i="14"/>
  <c r="D514" i="14"/>
  <c r="D513" i="14"/>
  <c r="D512" i="14"/>
  <c r="D511" i="14"/>
  <c r="D510" i="14"/>
  <c r="D509" i="14"/>
  <c r="D508" i="14"/>
  <c r="D507" i="14"/>
  <c r="D506" i="14"/>
  <c r="D505" i="14"/>
  <c r="D504" i="14"/>
  <c r="D503" i="14"/>
  <c r="D502" i="14"/>
  <c r="D501" i="14"/>
  <c r="D500" i="14"/>
  <c r="D499" i="14"/>
  <c r="D498" i="14"/>
  <c r="D497" i="14"/>
  <c r="D496" i="14"/>
  <c r="D495" i="14"/>
  <c r="D494" i="14"/>
  <c r="D493" i="14"/>
  <c r="D492" i="14"/>
  <c r="D491" i="14"/>
  <c r="D490" i="14"/>
  <c r="D489" i="14"/>
  <c r="D488" i="14"/>
  <c r="D487" i="14"/>
  <c r="D486" i="14"/>
  <c r="D485" i="14"/>
  <c r="D471" i="14"/>
  <c r="D470" i="14"/>
  <c r="D469" i="14"/>
  <c r="D468" i="14"/>
  <c r="D467" i="14"/>
  <c r="D466" i="14"/>
  <c r="D465" i="14"/>
  <c r="D464" i="14"/>
  <c r="D463" i="14"/>
  <c r="D462" i="14"/>
  <c r="D461" i="14"/>
  <c r="D460" i="14"/>
  <c r="D459" i="14"/>
  <c r="D457" i="14"/>
  <c r="D438" i="14"/>
  <c r="D437" i="14"/>
  <c r="D436" i="14"/>
  <c r="D435" i="14"/>
  <c r="D434" i="14"/>
  <c r="D433" i="14"/>
  <c r="D432" i="14"/>
  <c r="D431" i="14"/>
  <c r="D430" i="14"/>
  <c r="D429" i="14"/>
  <c r="D428" i="14"/>
  <c r="D427" i="14"/>
  <c r="D426" i="14"/>
  <c r="H424" i="14"/>
  <c r="G424" i="14"/>
  <c r="F424" i="14"/>
  <c r="E424" i="14"/>
  <c r="H423" i="14"/>
  <c r="G423" i="14"/>
  <c r="F423" i="14"/>
  <c r="E423" i="14"/>
  <c r="H422" i="14"/>
  <c r="G422" i="14"/>
  <c r="F422" i="14"/>
  <c r="E422" i="14"/>
  <c r="H421" i="14"/>
  <c r="G421" i="14"/>
  <c r="F421" i="14"/>
  <c r="E421" i="14"/>
  <c r="H420" i="14"/>
  <c r="G420" i="14"/>
  <c r="F420" i="14"/>
  <c r="E420" i="14"/>
  <c r="H419" i="14"/>
  <c r="G419" i="14"/>
  <c r="F419" i="14"/>
  <c r="E419" i="14"/>
  <c r="H418" i="14"/>
  <c r="G418" i="14"/>
  <c r="F418" i="14"/>
  <c r="E418" i="14"/>
  <c r="H417" i="14"/>
  <c r="G417" i="14"/>
  <c r="F417" i="14"/>
  <c r="E417" i="14"/>
  <c r="H416" i="14"/>
  <c r="G416" i="14"/>
  <c r="F416" i="14"/>
  <c r="E416" i="14"/>
  <c r="H415" i="14"/>
  <c r="G415" i="14"/>
  <c r="F415" i="14"/>
  <c r="E415" i="14"/>
  <c r="H414" i="14"/>
  <c r="G414" i="14"/>
  <c r="F414" i="14"/>
  <c r="E414" i="14"/>
  <c r="H413" i="14"/>
  <c r="G413" i="14"/>
  <c r="F413" i="14"/>
  <c r="E413" i="14"/>
  <c r="H412" i="14"/>
  <c r="G412" i="14"/>
  <c r="F412" i="14"/>
  <c r="E412" i="14"/>
  <c r="F291" i="14"/>
  <c r="G291" i="14"/>
  <c r="H291" i="14"/>
  <c r="D291" i="14" s="1"/>
  <c r="F292" i="14"/>
  <c r="G292" i="14"/>
  <c r="H292" i="14"/>
  <c r="D292" i="14" s="1"/>
  <c r="F293" i="14"/>
  <c r="G293" i="14"/>
  <c r="H293" i="14"/>
  <c r="F294" i="14"/>
  <c r="G294" i="14"/>
  <c r="H294" i="14"/>
  <c r="D294" i="14" s="1"/>
  <c r="F295" i="14"/>
  <c r="G295" i="14"/>
  <c r="H295" i="14"/>
  <c r="F296" i="14"/>
  <c r="G296" i="14"/>
  <c r="H296" i="14"/>
  <c r="D296" i="14" s="1"/>
  <c r="F297" i="14"/>
  <c r="G297" i="14"/>
  <c r="H297" i="14"/>
  <c r="F298" i="14"/>
  <c r="G298" i="14"/>
  <c r="H298" i="14"/>
  <c r="D298" i="14" s="1"/>
  <c r="F299" i="14"/>
  <c r="G299" i="14"/>
  <c r="H299" i="14"/>
  <c r="F300" i="14"/>
  <c r="G300" i="14"/>
  <c r="H300" i="14"/>
  <c r="D300" i="14" s="1"/>
  <c r="F301" i="14"/>
  <c r="G301" i="14"/>
  <c r="H301" i="14"/>
  <c r="F302" i="14"/>
  <c r="G302" i="14"/>
  <c r="H302" i="14"/>
  <c r="F303" i="14"/>
  <c r="G303" i="14"/>
  <c r="H303" i="14"/>
  <c r="E292" i="14"/>
  <c r="E293" i="14"/>
  <c r="D293" i="14" s="1"/>
  <c r="E294" i="14"/>
  <c r="E295" i="14"/>
  <c r="D295" i="14" s="1"/>
  <c r="E296" i="14"/>
  <c r="E297" i="14"/>
  <c r="D297" i="14" s="1"/>
  <c r="E298" i="14"/>
  <c r="E299" i="14"/>
  <c r="D299" i="14" s="1"/>
  <c r="E300" i="14"/>
  <c r="E301" i="14"/>
  <c r="D301" i="14" s="1"/>
  <c r="E302" i="14"/>
  <c r="E303" i="14"/>
  <c r="D303" i="14" s="1"/>
  <c r="E291" i="14"/>
  <c r="D388" i="14"/>
  <c r="D387" i="14"/>
  <c r="D386" i="14"/>
  <c r="D385" i="14"/>
  <c r="D384" i="14"/>
  <c r="D383" i="14"/>
  <c r="D382" i="14"/>
  <c r="D381" i="14"/>
  <c r="D380" i="14"/>
  <c r="D379" i="14"/>
  <c r="D378" i="14"/>
  <c r="D377" i="14"/>
  <c r="D376" i="14"/>
  <c r="D375" i="14"/>
  <c r="D374" i="14"/>
  <c r="D373" i="14"/>
  <c r="D372" i="14"/>
  <c r="D371" i="14"/>
  <c r="D370" i="14"/>
  <c r="D369" i="14"/>
  <c r="D368" i="14"/>
  <c r="D367" i="14"/>
  <c r="D366" i="14"/>
  <c r="D365" i="14"/>
  <c r="D364" i="14"/>
  <c r="D363" i="14"/>
  <c r="D316" i="14"/>
  <c r="D315" i="14"/>
  <c r="D314" i="14"/>
  <c r="D313" i="14"/>
  <c r="D312" i="14"/>
  <c r="D311" i="14"/>
  <c r="D310" i="14"/>
  <c r="D309" i="14"/>
  <c r="D308" i="14"/>
  <c r="D307" i="14"/>
  <c r="D306" i="14"/>
  <c r="D305" i="14"/>
  <c r="D304" i="14"/>
  <c r="D227" i="14"/>
  <c r="D226" i="14"/>
  <c r="D225" i="14"/>
  <c r="D224" i="14"/>
  <c r="D223" i="14"/>
  <c r="D222" i="14"/>
  <c r="D221" i="14"/>
  <c r="D220" i="14"/>
  <c r="D219" i="14"/>
  <c r="D218" i="14"/>
  <c r="D217" i="14"/>
  <c r="D216" i="14"/>
  <c r="D215" i="14"/>
  <c r="D172" i="14"/>
  <c r="D171" i="14"/>
  <c r="D170" i="14"/>
  <c r="D169" i="14"/>
  <c r="D168" i="14"/>
  <c r="D167" i="14"/>
  <c r="D166" i="14"/>
  <c r="D165" i="14"/>
  <c r="D164" i="14"/>
  <c r="D163" i="14"/>
  <c r="D162" i="14"/>
  <c r="D161" i="14"/>
  <c r="D160" i="14"/>
  <c r="D145" i="14"/>
  <c r="D144" i="14"/>
  <c r="D143" i="14"/>
  <c r="D142" i="14"/>
  <c r="D141" i="14"/>
  <c r="D140" i="14"/>
  <c r="D139" i="14"/>
  <c r="D138" i="14"/>
  <c r="D137" i="14"/>
  <c r="D136" i="14"/>
  <c r="D135" i="14"/>
  <c r="D134" i="14"/>
  <c r="D133" i="14"/>
  <c r="D118" i="14"/>
  <c r="D117" i="14"/>
  <c r="D116" i="14"/>
  <c r="D115" i="14"/>
  <c r="D114" i="14"/>
  <c r="D113" i="14"/>
  <c r="D112" i="14"/>
  <c r="D111" i="14"/>
  <c r="D110" i="14"/>
  <c r="D109" i="14"/>
  <c r="D108" i="14"/>
  <c r="D107" i="14"/>
  <c r="D106"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B926" i="14"/>
  <c r="B912" i="14"/>
  <c r="B898" i="14"/>
  <c r="B856" i="14"/>
  <c r="B842" i="14"/>
  <c r="B702" i="14"/>
  <c r="B716" i="14"/>
  <c r="B744" i="14"/>
  <c r="B772" i="14"/>
  <c r="N605" i="14" l="1"/>
  <c r="J605" i="14" s="1"/>
  <c r="N606" i="14"/>
  <c r="J606" i="14" s="1"/>
  <c r="N528" i="14"/>
  <c r="H1159" i="14"/>
  <c r="D302" i="14"/>
  <c r="N502" i="14"/>
  <c r="D412" i="14"/>
  <c r="D413" i="14"/>
  <c r="D414" i="14"/>
  <c r="D415" i="14"/>
  <c r="D416" i="14"/>
  <c r="D417" i="14"/>
  <c r="D418" i="14"/>
  <c r="D419" i="14"/>
  <c r="D420" i="14"/>
  <c r="D421" i="14"/>
  <c r="D422" i="14"/>
  <c r="D423" i="14"/>
  <c r="D424" i="14"/>
  <c r="J1152" i="14"/>
  <c r="J1131" i="14"/>
  <c r="B1092" i="14"/>
  <c r="B1105" i="14" s="1"/>
  <c r="B1118" i="14" s="1"/>
  <c r="J1144" i="14"/>
  <c r="E1159" i="14"/>
  <c r="K934" i="14"/>
  <c r="M934" i="14"/>
  <c r="L934" i="14"/>
  <c r="B956" i="14"/>
  <c r="B955" i="14"/>
  <c r="M948" i="14" l="1"/>
  <c r="M949" i="14"/>
  <c r="M950" i="14"/>
  <c r="M951" i="14"/>
  <c r="L948" i="14"/>
  <c r="L949" i="14"/>
  <c r="L950" i="14"/>
  <c r="L951" i="14"/>
  <c r="K948" i="14"/>
  <c r="K949" i="14"/>
  <c r="K950" i="14"/>
  <c r="K951" i="14"/>
  <c r="L1019" i="14"/>
  <c r="L1020" i="14"/>
  <c r="M1019" i="14"/>
  <c r="M1020" i="14"/>
  <c r="K1019" i="14"/>
  <c r="K1020" i="14"/>
  <c r="N529" i="14"/>
  <c r="L1010" i="14"/>
  <c r="L1011" i="14"/>
  <c r="L1012" i="14"/>
  <c r="L1013" i="14"/>
  <c r="K1010" i="14"/>
  <c r="K1011" i="14"/>
  <c r="K1012" i="14"/>
  <c r="K1013" i="14"/>
  <c r="M1011" i="14"/>
  <c r="M1013" i="14"/>
  <c r="M1010" i="14"/>
  <c r="M1012" i="14"/>
  <c r="L971" i="14"/>
  <c r="L968" i="14"/>
  <c r="L995" i="14"/>
  <c r="L994" i="14"/>
  <c r="L993" i="14"/>
  <c r="L992" i="14"/>
  <c r="L991" i="14"/>
  <c r="L990" i="14"/>
  <c r="L989" i="14"/>
  <c r="L988" i="14"/>
  <c r="L987" i="14"/>
  <c r="L986" i="14"/>
  <c r="L985" i="14"/>
  <c r="L984" i="14"/>
  <c r="L983" i="14"/>
  <c r="L982" i="14"/>
  <c r="L981" i="14"/>
  <c r="L980" i="14"/>
  <c r="L979" i="14"/>
  <c r="L978" i="14"/>
  <c r="L977" i="14"/>
  <c r="L976" i="14"/>
  <c r="L975" i="14"/>
  <c r="L974" i="14"/>
  <c r="L973" i="14"/>
  <c r="L972" i="14"/>
  <c r="L970" i="14"/>
  <c r="L969" i="14"/>
  <c r="M968" i="14"/>
  <c r="M995" i="14"/>
  <c r="M994" i="14"/>
  <c r="M993" i="14"/>
  <c r="M992" i="14"/>
  <c r="M991" i="14"/>
  <c r="M990" i="14"/>
  <c r="M989" i="14"/>
  <c r="M988" i="14"/>
  <c r="M987" i="14"/>
  <c r="M986" i="14"/>
  <c r="M985" i="14"/>
  <c r="M984" i="14"/>
  <c r="M983" i="14"/>
  <c r="M982" i="14"/>
  <c r="M981" i="14"/>
  <c r="M980" i="14"/>
  <c r="M979" i="14"/>
  <c r="M978" i="14"/>
  <c r="M977" i="14"/>
  <c r="M976" i="14"/>
  <c r="M975" i="14"/>
  <c r="M974" i="14"/>
  <c r="M973" i="14"/>
  <c r="M972" i="14"/>
  <c r="M971" i="14"/>
  <c r="M970" i="14"/>
  <c r="M969" i="14"/>
  <c r="K968" i="14"/>
  <c r="K992" i="14"/>
  <c r="K995" i="14"/>
  <c r="K991" i="14"/>
  <c r="K987" i="14"/>
  <c r="K983" i="14"/>
  <c r="K979" i="14"/>
  <c r="K975" i="14"/>
  <c r="K971" i="14"/>
  <c r="K994" i="14"/>
  <c r="K990" i="14"/>
  <c r="K986" i="14"/>
  <c r="K982" i="14"/>
  <c r="K978" i="14"/>
  <c r="K974" i="14"/>
  <c r="K970" i="14"/>
  <c r="K993" i="14"/>
  <c r="K989" i="14"/>
  <c r="K985" i="14"/>
  <c r="K981" i="14"/>
  <c r="K977" i="14"/>
  <c r="K973" i="14"/>
  <c r="K969" i="14"/>
  <c r="K988" i="14"/>
  <c r="K984" i="14"/>
  <c r="K980" i="14"/>
  <c r="K976" i="14"/>
  <c r="K972" i="14"/>
  <c r="N516" i="14"/>
  <c r="L946" i="14"/>
  <c r="L1008" i="14"/>
  <c r="M946" i="14"/>
  <c r="M1008" i="14"/>
  <c r="K946" i="14"/>
  <c r="K1008" i="14"/>
  <c r="N530" i="14"/>
  <c r="N503" i="14"/>
  <c r="N517" i="14"/>
  <c r="L964" i="14"/>
  <c r="L1026" i="14"/>
  <c r="K964" i="14"/>
  <c r="K1026" i="14"/>
  <c r="M964" i="14"/>
  <c r="M1026" i="14"/>
  <c r="L1025" i="14"/>
  <c r="L1024" i="14"/>
  <c r="L1023" i="14"/>
  <c r="L1126" i="14" s="1"/>
  <c r="L1021" i="14"/>
  <c r="L1014" i="14"/>
  <c r="L1022" i="14"/>
  <c r="L1018" i="14"/>
  <c r="L1047" i="14" s="1"/>
  <c r="L1017" i="14"/>
  <c r="L1041" i="14" s="1"/>
  <c r="L1016" i="14"/>
  <c r="L1059" i="14" s="1"/>
  <c r="L1015" i="14"/>
  <c r="L1053" i="14" s="1"/>
  <c r="L1009" i="14"/>
  <c r="L1035" i="14" s="1"/>
  <c r="L1007" i="14"/>
  <c r="L1006" i="14"/>
  <c r="L1005" i="14"/>
  <c r="L1004" i="14"/>
  <c r="L1003" i="14"/>
  <c r="L1002" i="14"/>
  <c r="L1001" i="14"/>
  <c r="L1000" i="14"/>
  <c r="L999" i="14"/>
  <c r="M1025" i="14"/>
  <c r="M1024" i="14"/>
  <c r="M1023" i="14"/>
  <c r="M1126" i="14" s="1"/>
  <c r="M1021" i="14"/>
  <c r="M1014" i="14"/>
  <c r="M1022" i="14"/>
  <c r="M1018" i="14"/>
  <c r="M1047" i="14" s="1"/>
  <c r="M1017" i="14"/>
  <c r="M1041" i="14" s="1"/>
  <c r="M1016" i="14"/>
  <c r="M1059" i="14" s="1"/>
  <c r="M1015" i="14"/>
  <c r="M1053" i="14" s="1"/>
  <c r="M1009" i="14"/>
  <c r="M1035" i="14" s="1"/>
  <c r="M1007" i="14"/>
  <c r="M1006" i="14"/>
  <c r="M1005" i="14"/>
  <c r="M1004" i="14"/>
  <c r="M1003" i="14"/>
  <c r="M1002" i="14"/>
  <c r="M1001" i="14"/>
  <c r="M1000" i="14"/>
  <c r="M999" i="14"/>
  <c r="M1161" i="14" s="1"/>
  <c r="K1025" i="14"/>
  <c r="K1024" i="14"/>
  <c r="K1023" i="14"/>
  <c r="K1021" i="14"/>
  <c r="K1014" i="14"/>
  <c r="K1022" i="14"/>
  <c r="K1018" i="14"/>
  <c r="K1017" i="14"/>
  <c r="K1016" i="14"/>
  <c r="K1015" i="14"/>
  <c r="K1009" i="14"/>
  <c r="K1007" i="14"/>
  <c r="K1006" i="14"/>
  <c r="K1005" i="14"/>
  <c r="K1004" i="14"/>
  <c r="K1003" i="14"/>
  <c r="K1002" i="14"/>
  <c r="K1001" i="14"/>
  <c r="K1000" i="14"/>
  <c r="K999" i="14"/>
  <c r="L940" i="14"/>
  <c r="L939" i="14"/>
  <c r="L938" i="14"/>
  <c r="L937" i="14"/>
  <c r="L1132" i="14" s="1"/>
  <c r="L941" i="14"/>
  <c r="L942" i="14"/>
  <c r="L943" i="14"/>
  <c r="L944" i="14"/>
  <c r="L945" i="14"/>
  <c r="L947" i="14"/>
  <c r="L1033" i="14" s="1"/>
  <c r="L953" i="14"/>
  <c r="L1051" i="14" s="1"/>
  <c r="L954" i="14"/>
  <c r="L1057" i="14" s="1"/>
  <c r="L955" i="14"/>
  <c r="L1039" i="14" s="1"/>
  <c r="L956" i="14"/>
  <c r="L1045" i="14" s="1"/>
  <c r="L960" i="14"/>
  <c r="L952" i="14"/>
  <c r="L959" i="14"/>
  <c r="L961" i="14"/>
  <c r="L1125" i="14" s="1"/>
  <c r="L962" i="14"/>
  <c r="L963" i="14"/>
  <c r="K941" i="14"/>
  <c r="K942" i="14"/>
  <c r="K943" i="14"/>
  <c r="K944" i="14"/>
  <c r="K945" i="14"/>
  <c r="K947" i="14"/>
  <c r="K953" i="14"/>
  <c r="K954" i="14"/>
  <c r="K955" i="14"/>
  <c r="K956" i="14"/>
  <c r="K960" i="14"/>
  <c r="K952" i="14"/>
  <c r="K959" i="14"/>
  <c r="K961" i="14"/>
  <c r="K962" i="14"/>
  <c r="K963" i="14"/>
  <c r="K940" i="14"/>
  <c r="K939" i="14"/>
  <c r="K938" i="14"/>
  <c r="K937" i="14"/>
  <c r="M941" i="14"/>
  <c r="M942" i="14"/>
  <c r="M943" i="14"/>
  <c r="M944" i="14"/>
  <c r="M945" i="14"/>
  <c r="M947" i="14"/>
  <c r="M1033" i="14" s="1"/>
  <c r="M953" i="14"/>
  <c r="M1051" i="14" s="1"/>
  <c r="M954" i="14"/>
  <c r="M1057" i="14" s="1"/>
  <c r="M955" i="14"/>
  <c r="M1039" i="14" s="1"/>
  <c r="M956" i="14"/>
  <c r="M1045" i="14" s="1"/>
  <c r="M960" i="14"/>
  <c r="M952" i="14"/>
  <c r="M959" i="14"/>
  <c r="M961" i="14"/>
  <c r="M1125" i="14" s="1"/>
  <c r="M962" i="14"/>
  <c r="M963" i="14"/>
  <c r="M940" i="14"/>
  <c r="M939" i="14"/>
  <c r="M938" i="14"/>
  <c r="M937" i="14"/>
  <c r="M1160" i="14" s="1"/>
  <c r="L1133" i="14" l="1"/>
  <c r="N531" i="14"/>
  <c r="N504" i="14"/>
  <c r="N518" i="14"/>
  <c r="K1153" i="14"/>
  <c r="M1153" i="14"/>
  <c r="L1153" i="14"/>
  <c r="K1154" i="14"/>
  <c r="M1154" i="14"/>
  <c r="L1154" i="14"/>
  <c r="K1132" i="14"/>
  <c r="M1145" i="14"/>
  <c r="M1132" i="14"/>
  <c r="K1133" i="14"/>
  <c r="M1146" i="14"/>
  <c r="M1133" i="14"/>
  <c r="K1126" i="14"/>
  <c r="K1125" i="14"/>
  <c r="K1059" i="14"/>
  <c r="K1053" i="14"/>
  <c r="K1051" i="14"/>
  <c r="K1057" i="14"/>
  <c r="K1039" i="14"/>
  <c r="K1047" i="14"/>
  <c r="K1045" i="14"/>
  <c r="K1041" i="14"/>
  <c r="K1035" i="14"/>
  <c r="K1033" i="14"/>
  <c r="N532" i="14" l="1"/>
  <c r="N505" i="14"/>
  <c r="N519" i="14"/>
  <c r="N533" i="14" l="1"/>
  <c r="N506" i="14"/>
  <c r="N520" i="14"/>
  <c r="J642" i="14"/>
  <c r="J551" i="14"/>
  <c r="J550" i="14"/>
  <c r="J549" i="14"/>
  <c r="J548" i="14"/>
  <c r="J547" i="14"/>
  <c r="J546" i="14"/>
  <c r="J545" i="14"/>
  <c r="J544" i="14"/>
  <c r="J543" i="14"/>
  <c r="J542" i="14"/>
  <c r="J541" i="14"/>
  <c r="J540" i="14"/>
  <c r="B884" i="14"/>
  <c r="B870" i="14"/>
  <c r="B758" i="14"/>
  <c r="B730" i="14"/>
  <c r="B688" i="14"/>
  <c r="B674" i="14"/>
  <c r="N199" i="14"/>
  <c r="M199" i="14"/>
  <c r="L199" i="14"/>
  <c r="K199" i="14"/>
  <c r="N198" i="14"/>
  <c r="M198" i="14"/>
  <c r="L198" i="14"/>
  <c r="K198" i="14"/>
  <c r="N197" i="14"/>
  <c r="M197" i="14"/>
  <c r="L197" i="14"/>
  <c r="K197" i="14"/>
  <c r="N196" i="14"/>
  <c r="M196" i="14"/>
  <c r="L196" i="14"/>
  <c r="K196" i="14"/>
  <c r="N195" i="14"/>
  <c r="M195" i="14"/>
  <c r="L195" i="14"/>
  <c r="K195" i="14"/>
  <c r="N194" i="14"/>
  <c r="M194" i="14"/>
  <c r="L194" i="14"/>
  <c r="K194" i="14"/>
  <c r="N193" i="14"/>
  <c r="M193" i="14"/>
  <c r="L193" i="14"/>
  <c r="K193" i="14"/>
  <c r="N192" i="14"/>
  <c r="M192" i="14"/>
  <c r="L192" i="14"/>
  <c r="K192" i="14"/>
  <c r="N191" i="14"/>
  <c r="M191" i="14"/>
  <c r="L191" i="14"/>
  <c r="K191" i="14"/>
  <c r="N190" i="14"/>
  <c r="M190" i="14"/>
  <c r="L190" i="14"/>
  <c r="K190" i="14"/>
  <c r="N189" i="14"/>
  <c r="M189" i="14"/>
  <c r="L189" i="14"/>
  <c r="K189" i="14"/>
  <c r="N188" i="14"/>
  <c r="M188" i="14"/>
  <c r="L188" i="14"/>
  <c r="K188" i="14"/>
  <c r="B175" i="14"/>
  <c r="B660" i="14"/>
  <c r="B646" i="14"/>
  <c r="N534" i="14" l="1"/>
  <c r="N507" i="14"/>
  <c r="N521" i="14"/>
  <c r="B625" i="14"/>
  <c r="N564" i="14"/>
  <c r="M564" i="14"/>
  <c r="M577" i="14" s="1"/>
  <c r="M591" i="14" s="1"/>
  <c r="M604" i="14" s="1"/>
  <c r="L564" i="14"/>
  <c r="L577" i="14" s="1"/>
  <c r="L591" i="14" s="1"/>
  <c r="L604" i="14" s="1"/>
  <c r="K564" i="14"/>
  <c r="N563" i="14"/>
  <c r="M563" i="14"/>
  <c r="M576" i="14" s="1"/>
  <c r="M590" i="14" s="1"/>
  <c r="M603" i="14" s="1"/>
  <c r="L563" i="14"/>
  <c r="L576" i="14" s="1"/>
  <c r="L590" i="14" s="1"/>
  <c r="L603" i="14" s="1"/>
  <c r="K563" i="14"/>
  <c r="N562" i="14"/>
  <c r="M562" i="14"/>
  <c r="M575" i="14" s="1"/>
  <c r="M589" i="14" s="1"/>
  <c r="M602" i="14" s="1"/>
  <c r="L562" i="14"/>
  <c r="L575" i="14" s="1"/>
  <c r="L589" i="14" s="1"/>
  <c r="L602" i="14" s="1"/>
  <c r="K562" i="14"/>
  <c r="N561" i="14"/>
  <c r="M561" i="14"/>
  <c r="M574" i="14" s="1"/>
  <c r="M588" i="14" s="1"/>
  <c r="M601" i="14" s="1"/>
  <c r="L561" i="14"/>
  <c r="L574" i="14" s="1"/>
  <c r="L588" i="14" s="1"/>
  <c r="L601" i="14" s="1"/>
  <c r="K561" i="14"/>
  <c r="N560" i="14"/>
  <c r="M560" i="14"/>
  <c r="M573" i="14" s="1"/>
  <c r="M587" i="14" s="1"/>
  <c r="M600" i="14" s="1"/>
  <c r="L560" i="14"/>
  <c r="L573" i="14" s="1"/>
  <c r="L587" i="14" s="1"/>
  <c r="L600" i="14" s="1"/>
  <c r="K560" i="14"/>
  <c r="N559" i="14"/>
  <c r="M559" i="14"/>
  <c r="M572" i="14" s="1"/>
  <c r="M586" i="14" s="1"/>
  <c r="M599" i="14" s="1"/>
  <c r="L559" i="14"/>
  <c r="L572" i="14" s="1"/>
  <c r="L586" i="14" s="1"/>
  <c r="L599" i="14" s="1"/>
  <c r="K559" i="14"/>
  <c r="N558" i="14"/>
  <c r="M558" i="14"/>
  <c r="M571" i="14" s="1"/>
  <c r="M585" i="14" s="1"/>
  <c r="M598" i="14" s="1"/>
  <c r="L558" i="14"/>
  <c r="L571" i="14" s="1"/>
  <c r="L585" i="14" s="1"/>
  <c r="L598" i="14" s="1"/>
  <c r="K558" i="14"/>
  <c r="N557" i="14"/>
  <c r="M557" i="14"/>
  <c r="M570" i="14" s="1"/>
  <c r="M584" i="14" s="1"/>
  <c r="M597" i="14" s="1"/>
  <c r="L557" i="14"/>
  <c r="L570" i="14" s="1"/>
  <c r="L584" i="14" s="1"/>
  <c r="L597" i="14" s="1"/>
  <c r="K557" i="14"/>
  <c r="N556" i="14"/>
  <c r="M556" i="14"/>
  <c r="M569" i="14" s="1"/>
  <c r="M583" i="14" s="1"/>
  <c r="M596" i="14" s="1"/>
  <c r="L556" i="14"/>
  <c r="L569" i="14" s="1"/>
  <c r="L583" i="14" s="1"/>
  <c r="L596" i="14" s="1"/>
  <c r="K556" i="14"/>
  <c r="N555" i="14"/>
  <c r="M555" i="14"/>
  <c r="M568" i="14" s="1"/>
  <c r="M582" i="14" s="1"/>
  <c r="L555" i="14"/>
  <c r="L568" i="14" s="1"/>
  <c r="L582" i="14" s="1"/>
  <c r="K555" i="14"/>
  <c r="N554" i="14"/>
  <c r="M554" i="14"/>
  <c r="M567" i="14" s="1"/>
  <c r="L554" i="14"/>
  <c r="L567" i="14" s="1"/>
  <c r="K554" i="14"/>
  <c r="N553" i="14"/>
  <c r="M553" i="14"/>
  <c r="L553" i="14"/>
  <c r="K553" i="14"/>
  <c r="K566" i="14" s="1"/>
  <c r="J538" i="14"/>
  <c r="B538" i="14"/>
  <c r="M524" i="14"/>
  <c r="L524" i="14"/>
  <c r="K524" i="14"/>
  <c r="M511" i="14"/>
  <c r="M1178" i="14" s="1"/>
  <c r="L511" i="14"/>
  <c r="L1178" i="14" s="1"/>
  <c r="K511" i="14"/>
  <c r="K1178" i="14" s="1"/>
  <c r="M498" i="14"/>
  <c r="M1177" i="14" s="1"/>
  <c r="L498" i="14"/>
  <c r="L1177" i="14" s="1"/>
  <c r="K498" i="14"/>
  <c r="K1177" i="14" s="1"/>
  <c r="N485" i="14"/>
  <c r="N1176" i="14" s="1"/>
  <c r="M485" i="14"/>
  <c r="M1176" i="14" s="1"/>
  <c r="L485" i="14"/>
  <c r="L1176" i="14" s="1"/>
  <c r="K485" i="14"/>
  <c r="K1176" i="14" s="1"/>
  <c r="J331" i="14"/>
  <c r="J270" i="14"/>
  <c r="J269" i="14"/>
  <c r="J268" i="14"/>
  <c r="J213" i="14"/>
  <c r="N187" i="14"/>
  <c r="M187" i="14"/>
  <c r="L187" i="14"/>
  <c r="K187" i="14"/>
  <c r="J159" i="14"/>
  <c r="J132" i="14"/>
  <c r="J105" i="14"/>
  <c r="B611" i="14"/>
  <c r="B610" i="14"/>
  <c r="B472" i="14"/>
  <c r="B485" i="14"/>
  <c r="A27" i="21" s="1"/>
  <c r="N131" i="14"/>
  <c r="N145" i="14" s="1"/>
  <c r="M131" i="14"/>
  <c r="M145" i="14" s="1"/>
  <c r="L131" i="14"/>
  <c r="K131" i="14"/>
  <c r="N130" i="14"/>
  <c r="N144" i="14" s="1"/>
  <c r="M130" i="14"/>
  <c r="M144" i="14" s="1"/>
  <c r="L130" i="14"/>
  <c r="L144" i="14" s="1"/>
  <c r="K130" i="14"/>
  <c r="K144" i="14" s="1"/>
  <c r="N129" i="14"/>
  <c r="N143" i="14" s="1"/>
  <c r="M129" i="14"/>
  <c r="M143" i="14" s="1"/>
  <c r="L129" i="14"/>
  <c r="L143" i="14" s="1"/>
  <c r="K129" i="14"/>
  <c r="K143" i="14" s="1"/>
  <c r="N128" i="14"/>
  <c r="N142" i="14" s="1"/>
  <c r="M128" i="14"/>
  <c r="M142" i="14" s="1"/>
  <c r="L128" i="14"/>
  <c r="K128" i="14"/>
  <c r="K142" i="14" s="1"/>
  <c r="N127" i="14"/>
  <c r="N141" i="14" s="1"/>
  <c r="M127" i="14"/>
  <c r="M141" i="14" s="1"/>
  <c r="L127" i="14"/>
  <c r="K127" i="14"/>
  <c r="K141" i="14" s="1"/>
  <c r="N126" i="14"/>
  <c r="N140" i="14" s="1"/>
  <c r="M126" i="14"/>
  <c r="M140" i="14" s="1"/>
  <c r="L126" i="14"/>
  <c r="L140" i="14" s="1"/>
  <c r="K126" i="14"/>
  <c r="K140" i="14" s="1"/>
  <c r="N125" i="14"/>
  <c r="N139" i="14" s="1"/>
  <c r="M125" i="14"/>
  <c r="M139" i="14" s="1"/>
  <c r="L125" i="14"/>
  <c r="L139" i="14" s="1"/>
  <c r="K125" i="14"/>
  <c r="K139" i="14" s="1"/>
  <c r="N124" i="14"/>
  <c r="N138" i="14" s="1"/>
  <c r="M124" i="14"/>
  <c r="M138" i="14" s="1"/>
  <c r="L124" i="14"/>
  <c r="K124" i="14"/>
  <c r="K138" i="14" s="1"/>
  <c r="N123" i="14"/>
  <c r="N137" i="14" s="1"/>
  <c r="M123" i="14"/>
  <c r="M137" i="14" s="1"/>
  <c r="L123" i="14"/>
  <c r="K123" i="14"/>
  <c r="K137" i="14" s="1"/>
  <c r="N122" i="14"/>
  <c r="N136" i="14" s="1"/>
  <c r="M122" i="14"/>
  <c r="M136" i="14" s="1"/>
  <c r="L122" i="14"/>
  <c r="L136" i="14" s="1"/>
  <c r="K122" i="14"/>
  <c r="K136" i="14" s="1"/>
  <c r="N121" i="14"/>
  <c r="N135" i="14" s="1"/>
  <c r="M121" i="14"/>
  <c r="M135" i="14" s="1"/>
  <c r="L121" i="14"/>
  <c r="L135" i="14" s="1"/>
  <c r="K121" i="14"/>
  <c r="K135" i="14" s="1"/>
  <c r="N120" i="14"/>
  <c r="N134" i="14" s="1"/>
  <c r="M120" i="14"/>
  <c r="L120" i="14"/>
  <c r="K120" i="14"/>
  <c r="K134" i="14" s="1"/>
  <c r="B119" i="14"/>
  <c r="B173" i="14"/>
  <c r="B88" i="14"/>
  <c r="L581" i="14" l="1"/>
  <c r="L595" i="14"/>
  <c r="L594" i="14" s="1"/>
  <c r="M581" i="14"/>
  <c r="M595" i="14"/>
  <c r="M594" i="14" s="1"/>
  <c r="N568" i="14"/>
  <c r="N582" i="14" s="1"/>
  <c r="N595" i="14" s="1"/>
  <c r="N573" i="14"/>
  <c r="N587" i="14" s="1"/>
  <c r="N567" i="14"/>
  <c r="N569" i="14"/>
  <c r="N583" i="14" s="1"/>
  <c r="N570" i="14"/>
  <c r="N584" i="14" s="1"/>
  <c r="N571" i="14"/>
  <c r="N585" i="14" s="1"/>
  <c r="N572" i="14"/>
  <c r="N586" i="14" s="1"/>
  <c r="N574" i="14"/>
  <c r="N588" i="14" s="1"/>
  <c r="N575" i="14"/>
  <c r="N589" i="14" s="1"/>
  <c r="N576" i="14"/>
  <c r="N590" i="14" s="1"/>
  <c r="N577" i="14"/>
  <c r="N591" i="14" s="1"/>
  <c r="M119" i="14"/>
  <c r="M134" i="14"/>
  <c r="K212" i="14"/>
  <c r="K254" i="14" s="1"/>
  <c r="K145" i="14"/>
  <c r="L201" i="14"/>
  <c r="L230" i="14" s="1"/>
  <c r="L134" i="14"/>
  <c r="L204" i="14"/>
  <c r="L233" i="14" s="1"/>
  <c r="L137" i="14"/>
  <c r="L205" i="14"/>
  <c r="L234" i="14" s="1"/>
  <c r="L138" i="14"/>
  <c r="L208" i="14"/>
  <c r="L237" i="14" s="1"/>
  <c r="L141" i="14"/>
  <c r="L209" i="14"/>
  <c r="L238" i="14" s="1"/>
  <c r="L142" i="14"/>
  <c r="L212" i="14"/>
  <c r="L241" i="14" s="1"/>
  <c r="L145" i="14"/>
  <c r="J128" i="14"/>
  <c r="J129" i="14"/>
  <c r="J130" i="14"/>
  <c r="J120" i="14"/>
  <c r="J123" i="14"/>
  <c r="J124" i="14"/>
  <c r="J125" i="14"/>
  <c r="J121" i="14"/>
  <c r="J126" i="14"/>
  <c r="J122" i="14"/>
  <c r="J127" i="14"/>
  <c r="N535" i="14"/>
  <c r="N508" i="14"/>
  <c r="J508" i="14" s="1"/>
  <c r="N523" i="14"/>
  <c r="J523" i="14" s="1"/>
  <c r="N522" i="14"/>
  <c r="J522" i="14" s="1"/>
  <c r="N119" i="14"/>
  <c r="M552" i="14"/>
  <c r="M566" i="14"/>
  <c r="M565" i="14" s="1"/>
  <c r="M1165" i="14" s="1"/>
  <c r="J554" i="14"/>
  <c r="K567" i="14"/>
  <c r="J555" i="14"/>
  <c r="K568" i="14"/>
  <c r="K582" i="14" s="1"/>
  <c r="K595" i="14" s="1"/>
  <c r="J556" i="14"/>
  <c r="K569" i="14"/>
  <c r="K583" i="14" s="1"/>
  <c r="K596" i="14" s="1"/>
  <c r="J557" i="14"/>
  <c r="K570" i="14"/>
  <c r="K584" i="14" s="1"/>
  <c r="K597" i="14" s="1"/>
  <c r="J558" i="14"/>
  <c r="K571" i="14"/>
  <c r="K585" i="14" s="1"/>
  <c r="K598" i="14" s="1"/>
  <c r="J559" i="14"/>
  <c r="K572" i="14"/>
  <c r="K586" i="14" s="1"/>
  <c r="K599" i="14" s="1"/>
  <c r="J560" i="14"/>
  <c r="K573" i="14"/>
  <c r="K587" i="14" s="1"/>
  <c r="K600" i="14" s="1"/>
  <c r="J561" i="14"/>
  <c r="K574" i="14"/>
  <c r="K588" i="14" s="1"/>
  <c r="K601" i="14" s="1"/>
  <c r="J562" i="14"/>
  <c r="K575" i="14"/>
  <c r="K589" i="14" s="1"/>
  <c r="K602" i="14" s="1"/>
  <c r="J563" i="14"/>
  <c r="K576" i="14"/>
  <c r="K590" i="14" s="1"/>
  <c r="K603" i="14" s="1"/>
  <c r="J564" i="14"/>
  <c r="K577" i="14"/>
  <c r="K591" i="14" s="1"/>
  <c r="K604" i="14" s="1"/>
  <c r="L552" i="14"/>
  <c r="L566" i="14"/>
  <c r="L565" i="14" s="1"/>
  <c r="L1165" i="14" s="1"/>
  <c r="N552" i="14"/>
  <c r="N566" i="14"/>
  <c r="K552" i="14"/>
  <c r="J553" i="14"/>
  <c r="K119" i="14"/>
  <c r="L119" i="14"/>
  <c r="L202" i="14"/>
  <c r="L206" i="14"/>
  <c r="L210" i="14"/>
  <c r="L203" i="14"/>
  <c r="L207" i="14"/>
  <c r="L211" i="14"/>
  <c r="M201" i="14"/>
  <c r="M230" i="14" s="1"/>
  <c r="M202" i="14"/>
  <c r="M203" i="14"/>
  <c r="M204" i="14"/>
  <c r="M205" i="14"/>
  <c r="M206" i="14"/>
  <c r="M207" i="14"/>
  <c r="M208" i="14"/>
  <c r="M209" i="14"/>
  <c r="M210" i="14"/>
  <c r="M211" i="14"/>
  <c r="M212" i="14"/>
  <c r="N201" i="14"/>
  <c r="N202" i="14"/>
  <c r="N203" i="14"/>
  <c r="N204" i="14"/>
  <c r="N205" i="14"/>
  <c r="N206" i="14"/>
  <c r="N207" i="14"/>
  <c r="N208" i="14"/>
  <c r="N209" i="14"/>
  <c r="N210" i="14"/>
  <c r="N211" i="14"/>
  <c r="N212" i="14"/>
  <c r="K201" i="14"/>
  <c r="K230" i="14" s="1"/>
  <c r="K202" i="14"/>
  <c r="K203" i="14"/>
  <c r="K204" i="14"/>
  <c r="K205" i="14"/>
  <c r="K206" i="14"/>
  <c r="K207" i="14"/>
  <c r="K208" i="14"/>
  <c r="K209" i="14"/>
  <c r="K210" i="14"/>
  <c r="K211" i="14"/>
  <c r="B18" i="14"/>
  <c r="B511" i="14"/>
  <c r="A29" i="21" s="1"/>
  <c r="J521" i="14"/>
  <c r="J520" i="14"/>
  <c r="J519" i="14"/>
  <c r="J518" i="14"/>
  <c r="J517" i="14"/>
  <c r="J516" i="14"/>
  <c r="J515" i="14"/>
  <c r="J514" i="14"/>
  <c r="J513" i="14"/>
  <c r="J512" i="14"/>
  <c r="B524" i="14"/>
  <c r="A37" i="21" s="1"/>
  <c r="J534" i="14"/>
  <c r="J533" i="14"/>
  <c r="J532" i="14"/>
  <c r="J531" i="14"/>
  <c r="J530" i="14"/>
  <c r="J529" i="14"/>
  <c r="J528" i="14"/>
  <c r="J527" i="14"/>
  <c r="J526" i="14"/>
  <c r="J525" i="14"/>
  <c r="B498" i="14"/>
  <c r="A28" i="21" s="1"/>
  <c r="J507" i="14"/>
  <c r="J506" i="14"/>
  <c r="J505" i="14"/>
  <c r="J504" i="14"/>
  <c r="J503" i="14"/>
  <c r="J502" i="14"/>
  <c r="J501" i="14"/>
  <c r="J500" i="14"/>
  <c r="J499" i="14"/>
  <c r="J497" i="14"/>
  <c r="J496" i="14"/>
  <c r="J495" i="14"/>
  <c r="J494" i="14"/>
  <c r="J493" i="14"/>
  <c r="J492" i="14"/>
  <c r="J491" i="14"/>
  <c r="J490" i="14"/>
  <c r="J489" i="14"/>
  <c r="J488" i="14"/>
  <c r="J487" i="14"/>
  <c r="J486" i="14"/>
  <c r="J458" i="14"/>
  <c r="J444" i="14"/>
  <c r="B445" i="14"/>
  <c r="A52" i="21" s="1"/>
  <c r="B458" i="14"/>
  <c r="A25" i="21" s="1"/>
  <c r="B440" i="14"/>
  <c r="B444" i="14"/>
  <c r="A53" i="21" s="1"/>
  <c r="A12" i="21" s="1"/>
  <c r="B376" i="14"/>
  <c r="A48" i="21" s="1"/>
  <c r="A53" i="22" s="1"/>
  <c r="J410" i="14"/>
  <c r="B174" i="14"/>
  <c r="J174" i="14"/>
  <c r="J425" i="14"/>
  <c r="B412" i="14"/>
  <c r="A50" i="21" s="1"/>
  <c r="J411" i="14"/>
  <c r="K404" i="14"/>
  <c r="K405" i="14"/>
  <c r="K406" i="14"/>
  <c r="K407" i="14"/>
  <c r="K408" i="14"/>
  <c r="K409" i="14"/>
  <c r="K403" i="14"/>
  <c r="B411" i="14"/>
  <c r="B425" i="14"/>
  <c r="A24" i="21" s="1"/>
  <c r="B410" i="14"/>
  <c r="A51" i="21" s="1"/>
  <c r="A14" i="21" s="1"/>
  <c r="B389" i="14"/>
  <c r="B362" i="14"/>
  <c r="A23" i="21" s="1"/>
  <c r="J362" i="14"/>
  <c r="B336" i="14"/>
  <c r="J335" i="14"/>
  <c r="J334" i="14"/>
  <c r="B349" i="14"/>
  <c r="K332" i="14"/>
  <c r="B334" i="14"/>
  <c r="B335" i="14"/>
  <c r="B331" i="14"/>
  <c r="B318" i="14"/>
  <c r="B304" i="14"/>
  <c r="A32" i="21" s="1"/>
  <c r="B291" i="14"/>
  <c r="A44" i="21" s="1"/>
  <c r="A51" i="22" s="1"/>
  <c r="B277" i="14"/>
  <c r="A45" i="21" s="1"/>
  <c r="B270" i="14"/>
  <c r="B269" i="14"/>
  <c r="J277" i="14"/>
  <c r="K276" i="14"/>
  <c r="K272" i="14"/>
  <c r="K273" i="14"/>
  <c r="K274" i="14"/>
  <c r="K275" i="14"/>
  <c r="K271" i="14"/>
  <c r="G70" i="21"/>
  <c r="E82" i="22" s="1"/>
  <c r="B278" i="14"/>
  <c r="B268" i="14"/>
  <c r="B255" i="14"/>
  <c r="B213" i="14"/>
  <c r="A22" i="21" s="1"/>
  <c r="T13" i="21"/>
  <c r="G12" i="21"/>
  <c r="G10" i="21"/>
  <c r="J590" i="14" l="1"/>
  <c r="N603" i="14"/>
  <c r="J603" i="14" s="1"/>
  <c r="J585" i="14"/>
  <c r="N598" i="14"/>
  <c r="J598" i="14" s="1"/>
  <c r="J587" i="14"/>
  <c r="N600" i="14"/>
  <c r="J600" i="14" s="1"/>
  <c r="K594" i="14"/>
  <c r="J589" i="14"/>
  <c r="N602" i="14"/>
  <c r="J602" i="14" s="1"/>
  <c r="J584" i="14"/>
  <c r="N597" i="14"/>
  <c r="J597" i="14" s="1"/>
  <c r="J595" i="14"/>
  <c r="J588" i="14"/>
  <c r="N601" i="14"/>
  <c r="J601" i="14" s="1"/>
  <c r="J583" i="14"/>
  <c r="N596" i="14"/>
  <c r="J596" i="14" s="1"/>
  <c r="J591" i="14"/>
  <c r="N604" i="14"/>
  <c r="J604" i="14" s="1"/>
  <c r="J586" i="14"/>
  <c r="N599" i="14"/>
  <c r="J599" i="14" s="1"/>
  <c r="K581" i="14"/>
  <c r="N581" i="14"/>
  <c r="J582" i="14"/>
  <c r="H70" i="21"/>
  <c r="F82" i="22" s="1"/>
  <c r="A70" i="21"/>
  <c r="B972" i="14"/>
  <c r="T9" i="21"/>
  <c r="T11" i="21"/>
  <c r="AA21" i="19"/>
  <c r="A10" i="21"/>
  <c r="A47" i="21"/>
  <c r="A54" i="22"/>
  <c r="A13" i="21"/>
  <c r="AA17" i="19"/>
  <c r="A55" i="22"/>
  <c r="A11" i="21"/>
  <c r="A9" i="21"/>
  <c r="A46" i="21"/>
  <c r="A52" i="22" s="1"/>
  <c r="AA30" i="19"/>
  <c r="AA26" i="19"/>
  <c r="J576" i="14"/>
  <c r="J569" i="14"/>
  <c r="J577" i="14"/>
  <c r="J574" i="14"/>
  <c r="J572" i="14"/>
  <c r="J570" i="14"/>
  <c r="J568" i="14"/>
  <c r="J575" i="14"/>
  <c r="J573" i="14"/>
  <c r="J571" i="14"/>
  <c r="N565" i="14"/>
  <c r="N1165" i="14" s="1"/>
  <c r="J567" i="14"/>
  <c r="L250" i="14"/>
  <c r="L246" i="14"/>
  <c r="L254" i="14"/>
  <c r="L251" i="14"/>
  <c r="L247" i="14"/>
  <c r="L243" i="14"/>
  <c r="K241" i="14"/>
  <c r="K253" i="14"/>
  <c r="K240" i="14"/>
  <c r="K251" i="14"/>
  <c r="K238" i="14"/>
  <c r="K249" i="14"/>
  <c r="K236" i="14"/>
  <c r="K247" i="14"/>
  <c r="K234" i="14"/>
  <c r="K245" i="14"/>
  <c r="K232" i="14"/>
  <c r="M253" i="14"/>
  <c r="M240" i="14"/>
  <c r="M251" i="14"/>
  <c r="M238" i="14"/>
  <c r="M249" i="14"/>
  <c r="M236" i="14"/>
  <c r="M247" i="14"/>
  <c r="M234" i="14"/>
  <c r="M245" i="14"/>
  <c r="M232" i="14"/>
  <c r="L249" i="14"/>
  <c r="L236" i="14"/>
  <c r="L252" i="14"/>
  <c r="L239" i="14"/>
  <c r="L244" i="14"/>
  <c r="L231" i="14"/>
  <c r="K252" i="14"/>
  <c r="K239" i="14"/>
  <c r="K250" i="14"/>
  <c r="K237" i="14"/>
  <c r="K248" i="14"/>
  <c r="K235" i="14"/>
  <c r="K246" i="14"/>
  <c r="K233" i="14"/>
  <c r="K244" i="14"/>
  <c r="K231" i="14"/>
  <c r="M254" i="14"/>
  <c r="M241" i="14"/>
  <c r="M252" i="14"/>
  <c r="M239" i="14"/>
  <c r="M250" i="14"/>
  <c r="M237" i="14"/>
  <c r="M248" i="14"/>
  <c r="M235" i="14"/>
  <c r="M246" i="14"/>
  <c r="M233" i="14"/>
  <c r="M244" i="14"/>
  <c r="M231" i="14"/>
  <c r="L253" i="14"/>
  <c r="L240" i="14"/>
  <c r="L245" i="14"/>
  <c r="L232" i="14"/>
  <c r="L248" i="14"/>
  <c r="L235" i="14"/>
  <c r="N254" i="14"/>
  <c r="N252" i="14"/>
  <c r="N250" i="14"/>
  <c r="N248" i="14"/>
  <c r="N246" i="14"/>
  <c r="N244" i="14"/>
  <c r="N253" i="14"/>
  <c r="N251" i="14"/>
  <c r="N249" i="14"/>
  <c r="N247" i="14"/>
  <c r="J247" i="14" s="1"/>
  <c r="N245" i="14"/>
  <c r="J566" i="14"/>
  <c r="J535" i="14"/>
  <c r="N510" i="14"/>
  <c r="J510" i="14" s="1"/>
  <c r="N509" i="14"/>
  <c r="J509" i="14" s="1"/>
  <c r="N511" i="14"/>
  <c r="N1178" i="14" s="1"/>
  <c r="J1178" i="14" s="1"/>
  <c r="F333" i="14"/>
  <c r="H333" i="14"/>
  <c r="G333" i="14"/>
  <c r="E333" i="14"/>
  <c r="K565" i="14"/>
  <c r="B941" i="14"/>
  <c r="J192" i="14"/>
  <c r="J186" i="14"/>
  <c r="J185" i="14"/>
  <c r="J184" i="14"/>
  <c r="J183" i="14"/>
  <c r="J182" i="14"/>
  <c r="J181" i="14"/>
  <c r="J180" i="14"/>
  <c r="J179" i="14"/>
  <c r="J178" i="14"/>
  <c r="J177" i="14"/>
  <c r="J176" i="14"/>
  <c r="J175" i="14"/>
  <c r="N243" i="14"/>
  <c r="N200" i="14"/>
  <c r="N229" i="14" s="1"/>
  <c r="J229" i="14" s="1"/>
  <c r="M243" i="14"/>
  <c r="M200" i="14"/>
  <c r="M229" i="14" s="1"/>
  <c r="L200" i="14"/>
  <c r="L229" i="14" s="1"/>
  <c r="K243" i="14"/>
  <c r="K200" i="14"/>
  <c r="K229" i="14" s="1"/>
  <c r="J333" i="14"/>
  <c r="J511" i="14"/>
  <c r="AX30" i="19" s="1"/>
  <c r="J485" i="14"/>
  <c r="AX24" i="19" s="1"/>
  <c r="J190" i="14"/>
  <c r="J199" i="14"/>
  <c r="J195" i="14"/>
  <c r="J191" i="14"/>
  <c r="J198" i="14"/>
  <c r="J194" i="14"/>
  <c r="J197" i="14"/>
  <c r="J193" i="14"/>
  <c r="J189" i="14"/>
  <c r="J188" i="14"/>
  <c r="J196" i="14"/>
  <c r="B132" i="14"/>
  <c r="A20" i="21" s="1"/>
  <c r="B159" i="14"/>
  <c r="A21" i="21" s="1"/>
  <c r="B105" i="14"/>
  <c r="A19" i="21" s="1"/>
  <c r="N158" i="14"/>
  <c r="M158" i="14"/>
  <c r="L158" i="14"/>
  <c r="K158" i="14"/>
  <c r="N157" i="14"/>
  <c r="M157" i="14"/>
  <c r="L157" i="14"/>
  <c r="K157" i="14"/>
  <c r="K456" i="14" s="1"/>
  <c r="N156" i="14"/>
  <c r="M156" i="14"/>
  <c r="L156" i="14"/>
  <c r="K156" i="14"/>
  <c r="K455" i="14" s="1"/>
  <c r="K469" i="14" s="1"/>
  <c r="K482" i="14" s="1"/>
  <c r="N155" i="14"/>
  <c r="M155" i="14"/>
  <c r="L155" i="14"/>
  <c r="K155" i="14"/>
  <c r="K454" i="14" s="1"/>
  <c r="K468" i="14" s="1"/>
  <c r="K481" i="14" s="1"/>
  <c r="N154" i="14"/>
  <c r="M154" i="14"/>
  <c r="L154" i="14"/>
  <c r="K154" i="14"/>
  <c r="K453" i="14" s="1"/>
  <c r="K467" i="14" s="1"/>
  <c r="K480" i="14" s="1"/>
  <c r="N153" i="14"/>
  <c r="M153" i="14"/>
  <c r="L153" i="14"/>
  <c r="K153" i="14"/>
  <c r="N152" i="14"/>
  <c r="M152" i="14"/>
  <c r="L152" i="14"/>
  <c r="K152" i="14"/>
  <c r="K451" i="14" s="1"/>
  <c r="K465" i="14" s="1"/>
  <c r="K478" i="14" s="1"/>
  <c r="N151" i="14"/>
  <c r="M151" i="14"/>
  <c r="L151" i="14"/>
  <c r="K151" i="14"/>
  <c r="K450" i="14" s="1"/>
  <c r="K464" i="14" s="1"/>
  <c r="K477" i="14" s="1"/>
  <c r="N150" i="14"/>
  <c r="M150" i="14"/>
  <c r="L150" i="14"/>
  <c r="K150" i="14"/>
  <c r="K449" i="14" s="1"/>
  <c r="K463" i="14" s="1"/>
  <c r="K476" i="14" s="1"/>
  <c r="N149" i="14"/>
  <c r="M149" i="14"/>
  <c r="L149" i="14"/>
  <c r="K149" i="14"/>
  <c r="K448" i="14" s="1"/>
  <c r="N148" i="14"/>
  <c r="M148" i="14"/>
  <c r="L148" i="14"/>
  <c r="K148" i="14"/>
  <c r="N147" i="14"/>
  <c r="N146" i="14" s="1"/>
  <c r="M147" i="14"/>
  <c r="M146" i="14" s="1"/>
  <c r="L147" i="14"/>
  <c r="K147" i="14"/>
  <c r="B146" i="14"/>
  <c r="B92" i="14"/>
  <c r="N104" i="14"/>
  <c r="N118" i="14" s="1"/>
  <c r="M104" i="14"/>
  <c r="L104" i="14"/>
  <c r="L118" i="14" s="1"/>
  <c r="N103" i="14"/>
  <c r="N117" i="14" s="1"/>
  <c r="M103" i="14"/>
  <c r="M117" i="14" s="1"/>
  <c r="L103" i="14"/>
  <c r="N102" i="14"/>
  <c r="M102" i="14"/>
  <c r="L102" i="14"/>
  <c r="N101" i="14"/>
  <c r="M101" i="14"/>
  <c r="M115" i="14" s="1"/>
  <c r="L101" i="14"/>
  <c r="L115" i="14" s="1"/>
  <c r="N100" i="14"/>
  <c r="N114" i="14" s="1"/>
  <c r="M100" i="14"/>
  <c r="L100" i="14"/>
  <c r="L114" i="14" s="1"/>
  <c r="N99" i="14"/>
  <c r="N113" i="14" s="1"/>
  <c r="M99" i="14"/>
  <c r="M113" i="14" s="1"/>
  <c r="L99" i="14"/>
  <c r="N98" i="14"/>
  <c r="N112" i="14" s="1"/>
  <c r="M98" i="14"/>
  <c r="M112" i="14" s="1"/>
  <c r="L98" i="14"/>
  <c r="L112" i="14" s="1"/>
  <c r="N97" i="14"/>
  <c r="M97" i="14"/>
  <c r="M111" i="14" s="1"/>
  <c r="L97" i="14"/>
  <c r="L111" i="14" s="1"/>
  <c r="N96" i="14"/>
  <c r="N110" i="14" s="1"/>
  <c r="M96" i="14"/>
  <c r="L96" i="14"/>
  <c r="L110" i="14" s="1"/>
  <c r="N95" i="14"/>
  <c r="N109" i="14" s="1"/>
  <c r="M95" i="14"/>
  <c r="M109" i="14" s="1"/>
  <c r="L95" i="14"/>
  <c r="N94" i="14"/>
  <c r="N108" i="14" s="1"/>
  <c r="M94" i="14"/>
  <c r="M108" i="14" s="1"/>
  <c r="L94" i="14"/>
  <c r="L108" i="14" s="1"/>
  <c r="N93" i="14"/>
  <c r="M93" i="14"/>
  <c r="L93" i="14"/>
  <c r="K94" i="14"/>
  <c r="K95" i="14"/>
  <c r="K96" i="14"/>
  <c r="K97" i="14"/>
  <c r="K98" i="14"/>
  <c r="K99" i="14"/>
  <c r="K100" i="14"/>
  <c r="K101" i="14"/>
  <c r="K102" i="14"/>
  <c r="J131" i="14" s="1"/>
  <c r="J119" i="14" s="1"/>
  <c r="AT16" i="19" s="1"/>
  <c r="K103" i="14"/>
  <c r="K104" i="14"/>
  <c r="K93" i="14"/>
  <c r="B242" i="14"/>
  <c r="B200" i="14"/>
  <c r="M227" i="14"/>
  <c r="J212" i="14"/>
  <c r="L226" i="14"/>
  <c r="K226" i="14"/>
  <c r="M225" i="14"/>
  <c r="K224" i="14"/>
  <c r="M223" i="14"/>
  <c r="L222" i="14"/>
  <c r="K222" i="14"/>
  <c r="M221" i="14"/>
  <c r="M219" i="14"/>
  <c r="L218" i="14"/>
  <c r="K218" i="14"/>
  <c r="M217" i="14"/>
  <c r="J202" i="14"/>
  <c r="K216" i="14"/>
  <c r="J91" i="14"/>
  <c r="J90" i="14"/>
  <c r="J537" i="14"/>
  <c r="B540" i="14"/>
  <c r="B187" i="14"/>
  <c r="B91" i="14"/>
  <c r="B537" i="14"/>
  <c r="B439" i="14"/>
  <c r="B90" i="14"/>
  <c r="B89" i="14"/>
  <c r="J89" i="14"/>
  <c r="L54" i="21"/>
  <c r="J37" i="21"/>
  <c r="Q28" i="21"/>
  <c r="M33" i="21"/>
  <c r="K37" i="21"/>
  <c r="J33" i="21"/>
  <c r="R54" i="21"/>
  <c r="I37" i="21"/>
  <c r="Q27" i="21"/>
  <c r="H29" i="21"/>
  <c r="L29" i="21"/>
  <c r="M54" i="21"/>
  <c r="J27" i="21"/>
  <c r="Q37" i="21"/>
  <c r="R29" i="21"/>
  <c r="K54" i="21"/>
  <c r="M28" i="21"/>
  <c r="L14" i="21"/>
  <c r="I28" i="21"/>
  <c r="H27" i="21"/>
  <c r="H37" i="21"/>
  <c r="N29" i="21"/>
  <c r="G37" i="21"/>
  <c r="O37" i="21"/>
  <c r="G53" i="21"/>
  <c r="L28" i="21"/>
  <c r="G33" i="21"/>
  <c r="N33" i="21"/>
  <c r="I27" i="21"/>
  <c r="P28" i="21"/>
  <c r="P14" i="21"/>
  <c r="K33" i="21"/>
  <c r="R14" i="21"/>
  <c r="Q29" i="21"/>
  <c r="K14" i="21"/>
  <c r="N14" i="21"/>
  <c r="Q54" i="21"/>
  <c r="N37" i="21"/>
  <c r="J14" i="21"/>
  <c r="R33" i="21"/>
  <c r="Q14" i="21"/>
  <c r="O27" i="21"/>
  <c r="G51" i="21"/>
  <c r="K29" i="21"/>
  <c r="P27" i="21"/>
  <c r="P37" i="21"/>
  <c r="I33" i="21"/>
  <c r="O14" i="21"/>
  <c r="G14" i="21"/>
  <c r="J29" i="21"/>
  <c r="L33" i="21"/>
  <c r="G45" i="21"/>
  <c r="I29" i="21"/>
  <c r="G29" i="21"/>
  <c r="N27" i="21"/>
  <c r="H33" i="21"/>
  <c r="L27" i="21"/>
  <c r="O33" i="21"/>
  <c r="G28" i="21"/>
  <c r="M37" i="21"/>
  <c r="M29" i="21"/>
  <c r="R28" i="21"/>
  <c r="O28" i="21"/>
  <c r="G47" i="21"/>
  <c r="P29" i="21"/>
  <c r="O54" i="21"/>
  <c r="N54" i="21"/>
  <c r="K27" i="21"/>
  <c r="M27" i="21"/>
  <c r="K28" i="21"/>
  <c r="J28" i="21"/>
  <c r="M14" i="21"/>
  <c r="G54" i="21"/>
  <c r="G27" i="21"/>
  <c r="J54" i="21"/>
  <c r="P33" i="21"/>
  <c r="L37" i="21"/>
  <c r="I54" i="21"/>
  <c r="O29" i="21"/>
  <c r="N28" i="21"/>
  <c r="P54" i="21"/>
  <c r="Q33" i="21"/>
  <c r="H54" i="21"/>
  <c r="H14" i="21"/>
  <c r="I14" i="21"/>
  <c r="R27" i="21"/>
  <c r="H28" i="21"/>
  <c r="J581" i="14" l="1"/>
  <c r="N594" i="14"/>
  <c r="J594" i="14"/>
  <c r="F50" i="22"/>
  <c r="N50" i="22"/>
  <c r="M50" i="22"/>
  <c r="G50" i="22"/>
  <c r="P50" i="22"/>
  <c r="J50" i="22"/>
  <c r="I50" i="22"/>
  <c r="H50" i="22"/>
  <c r="S54" i="21"/>
  <c r="E50" i="22"/>
  <c r="L50" i="22"/>
  <c r="K50" i="22"/>
  <c r="O50" i="22"/>
  <c r="A86" i="21"/>
  <c r="A102" i="21" s="1"/>
  <c r="A81" i="22"/>
  <c r="I70" i="21"/>
  <c r="G82" i="22" s="1"/>
  <c r="P11" i="22"/>
  <c r="L11" i="22"/>
  <c r="H11" i="22"/>
  <c r="O11" i="22"/>
  <c r="K11" i="22"/>
  <c r="G11" i="22"/>
  <c r="N11" i="22"/>
  <c r="J11" i="22"/>
  <c r="F11" i="22"/>
  <c r="M11" i="22"/>
  <c r="I11" i="22"/>
  <c r="E11" i="22"/>
  <c r="K15" i="22"/>
  <c r="K163" i="22" s="1"/>
  <c r="N15" i="22"/>
  <c r="N163" i="22" s="1"/>
  <c r="F15" i="22"/>
  <c r="F163" i="22" s="1"/>
  <c r="M15" i="22"/>
  <c r="M163" i="22" s="1"/>
  <c r="I15" i="22"/>
  <c r="I163" i="22" s="1"/>
  <c r="O15" i="22"/>
  <c r="O163" i="22" s="1"/>
  <c r="H15" i="22"/>
  <c r="H163" i="22" s="1"/>
  <c r="J15" i="22"/>
  <c r="J163" i="22" s="1"/>
  <c r="G15" i="22"/>
  <c r="G163" i="22" s="1"/>
  <c r="P15" i="22"/>
  <c r="P163" i="22" s="1"/>
  <c r="L15" i="22"/>
  <c r="L163" i="22" s="1"/>
  <c r="E15" i="22"/>
  <c r="E163" i="22" s="1"/>
  <c r="T52" i="21"/>
  <c r="T50" i="21"/>
  <c r="T46" i="21"/>
  <c r="T44" i="21"/>
  <c r="K13" i="22"/>
  <c r="I13" i="22"/>
  <c r="L13" i="22"/>
  <c r="L13" i="21"/>
  <c r="E13" i="22"/>
  <c r="S33" i="21"/>
  <c r="F13" i="22"/>
  <c r="N13" i="21"/>
  <c r="I13" i="21"/>
  <c r="J13" i="21"/>
  <c r="G13" i="21"/>
  <c r="O13" i="21"/>
  <c r="Q13" i="21"/>
  <c r="H13" i="22"/>
  <c r="P13" i="21"/>
  <c r="G13" i="22"/>
  <c r="R51" i="22"/>
  <c r="R145" i="22" s="1"/>
  <c r="R146" i="22" s="1"/>
  <c r="R55" i="22"/>
  <c r="M13" i="21"/>
  <c r="R13" i="21"/>
  <c r="K13" i="21"/>
  <c r="M13" i="22"/>
  <c r="N13" i="22"/>
  <c r="J13" i="22"/>
  <c r="S29" i="21"/>
  <c r="H13" i="21"/>
  <c r="R52" i="22"/>
  <c r="R54" i="22"/>
  <c r="S27" i="21"/>
  <c r="S28" i="21"/>
  <c r="O13" i="22"/>
  <c r="B1003" i="14"/>
  <c r="B1087" i="14" s="1"/>
  <c r="B1100" i="14" s="1"/>
  <c r="B1113" i="14" s="1"/>
  <c r="N536" i="14"/>
  <c r="N524" i="14" s="1"/>
  <c r="L146" i="14"/>
  <c r="L242" i="14"/>
  <c r="J498" i="14"/>
  <c r="AX26" i="19" s="1"/>
  <c r="N242" i="14"/>
  <c r="K242" i="14"/>
  <c r="M242" i="14"/>
  <c r="J565" i="14"/>
  <c r="AB36" i="19" s="1"/>
  <c r="K1165" i="14"/>
  <c r="N498" i="14"/>
  <c r="N1177" i="14" s="1"/>
  <c r="J1177" i="14" s="1"/>
  <c r="K1123" i="14"/>
  <c r="L1123" i="14"/>
  <c r="M1123" i="14"/>
  <c r="N1123" i="14"/>
  <c r="J1123" i="14" s="1"/>
  <c r="E361" i="14"/>
  <c r="E349" i="14"/>
  <c r="E350" i="14"/>
  <c r="E351" i="14"/>
  <c r="E352" i="14"/>
  <c r="E353" i="14"/>
  <c r="E354" i="14"/>
  <c r="E355" i="14"/>
  <c r="E356" i="14"/>
  <c r="E357" i="14"/>
  <c r="E358" i="14"/>
  <c r="E359" i="14"/>
  <c r="E360" i="14"/>
  <c r="H361" i="14"/>
  <c r="H349" i="14"/>
  <c r="H350" i="14"/>
  <c r="H351" i="14"/>
  <c r="H352" i="14"/>
  <c r="H353" i="14"/>
  <c r="H354" i="14"/>
  <c r="H355" i="14"/>
  <c r="H356" i="14"/>
  <c r="H357" i="14"/>
  <c r="H358" i="14"/>
  <c r="H359" i="14"/>
  <c r="H360" i="14"/>
  <c r="G361" i="14"/>
  <c r="G349" i="14"/>
  <c r="G350" i="14"/>
  <c r="G351" i="14"/>
  <c r="G352" i="14"/>
  <c r="G353" i="14"/>
  <c r="G354" i="14"/>
  <c r="G355" i="14"/>
  <c r="G356" i="14"/>
  <c r="G357" i="14"/>
  <c r="G358" i="14"/>
  <c r="G359" i="14"/>
  <c r="G360" i="14"/>
  <c r="F361" i="14"/>
  <c r="F349" i="14"/>
  <c r="F350" i="14"/>
  <c r="F351" i="14"/>
  <c r="F352" i="14"/>
  <c r="F353" i="14"/>
  <c r="F354" i="14"/>
  <c r="F355" i="14"/>
  <c r="F356" i="14"/>
  <c r="F357" i="14"/>
  <c r="F358" i="14"/>
  <c r="F359" i="14"/>
  <c r="F360" i="14"/>
  <c r="M107" i="14"/>
  <c r="M92" i="14"/>
  <c r="N92" i="14"/>
  <c r="K446" i="14"/>
  <c r="K146" i="14"/>
  <c r="K107" i="14"/>
  <c r="K92" i="14"/>
  <c r="L107" i="14"/>
  <c r="L92" i="14"/>
  <c r="J187" i="14"/>
  <c r="J203" i="14"/>
  <c r="K470" i="14"/>
  <c r="K483" i="14" s="1"/>
  <c r="L116" i="14"/>
  <c r="N116" i="14"/>
  <c r="M116" i="14"/>
  <c r="M161" i="14"/>
  <c r="M446" i="14"/>
  <c r="M163" i="14"/>
  <c r="M448" i="14"/>
  <c r="M462" i="14" s="1"/>
  <c r="M475" i="14" s="1"/>
  <c r="M164" i="14"/>
  <c r="M449" i="14"/>
  <c r="M463" i="14" s="1"/>
  <c r="M476" i="14" s="1"/>
  <c r="M166" i="14"/>
  <c r="M451" i="14"/>
  <c r="M465" i="14" s="1"/>
  <c r="M478" i="14" s="1"/>
  <c r="M168" i="14"/>
  <c r="M453" i="14"/>
  <c r="M467" i="14" s="1"/>
  <c r="M480" i="14" s="1"/>
  <c r="M169" i="14"/>
  <c r="M454" i="14"/>
  <c r="M468" i="14" s="1"/>
  <c r="M481" i="14" s="1"/>
  <c r="M171" i="14"/>
  <c r="M456" i="14"/>
  <c r="M470" i="14" s="1"/>
  <c r="M483" i="14" s="1"/>
  <c r="M172" i="14"/>
  <c r="M457" i="14"/>
  <c r="M471" i="14" s="1"/>
  <c r="M484" i="14" s="1"/>
  <c r="N161" i="14"/>
  <c r="N446" i="14"/>
  <c r="N163" i="14"/>
  <c r="N448" i="14"/>
  <c r="N462" i="14" s="1"/>
  <c r="N475" i="14" s="1"/>
  <c r="N165" i="14"/>
  <c r="N450" i="14"/>
  <c r="N464" i="14" s="1"/>
  <c r="N477" i="14" s="1"/>
  <c r="J477" i="14" s="1"/>
  <c r="N167" i="14"/>
  <c r="N452" i="14"/>
  <c r="N466" i="14" s="1"/>
  <c r="N479" i="14" s="1"/>
  <c r="N170" i="14"/>
  <c r="N455" i="14"/>
  <c r="N469" i="14" s="1"/>
  <c r="N482" i="14" s="1"/>
  <c r="J482" i="14" s="1"/>
  <c r="N172" i="14"/>
  <c r="N457" i="14"/>
  <c r="N471" i="14" s="1"/>
  <c r="N484" i="14" s="1"/>
  <c r="K162" i="14"/>
  <c r="K447" i="14"/>
  <c r="L161" i="14"/>
  <c r="L446" i="14"/>
  <c r="L162" i="14"/>
  <c r="L447" i="14"/>
  <c r="L461" i="14" s="1"/>
  <c r="L474" i="14" s="1"/>
  <c r="L163" i="14"/>
  <c r="L448" i="14"/>
  <c r="L462" i="14" s="1"/>
  <c r="L475" i="14" s="1"/>
  <c r="L164" i="14"/>
  <c r="L449" i="14"/>
  <c r="L463" i="14" s="1"/>
  <c r="L476" i="14" s="1"/>
  <c r="L165" i="14"/>
  <c r="L450" i="14"/>
  <c r="L464" i="14" s="1"/>
  <c r="L477" i="14" s="1"/>
  <c r="L166" i="14"/>
  <c r="L451" i="14"/>
  <c r="L465" i="14" s="1"/>
  <c r="L478" i="14" s="1"/>
  <c r="L167" i="14"/>
  <c r="L452" i="14"/>
  <c r="L466" i="14" s="1"/>
  <c r="L479" i="14" s="1"/>
  <c r="L168" i="14"/>
  <c r="L453" i="14"/>
  <c r="L467" i="14" s="1"/>
  <c r="L480" i="14" s="1"/>
  <c r="L169" i="14"/>
  <c r="L454" i="14"/>
  <c r="L468" i="14" s="1"/>
  <c r="L481" i="14" s="1"/>
  <c r="L170" i="14"/>
  <c r="L455" i="14"/>
  <c r="L469" i="14" s="1"/>
  <c r="L482" i="14" s="1"/>
  <c r="L171" i="14"/>
  <c r="L456" i="14"/>
  <c r="L470" i="14" s="1"/>
  <c r="L483" i="14" s="1"/>
  <c r="L172" i="14"/>
  <c r="L457" i="14"/>
  <c r="L471" i="14" s="1"/>
  <c r="L484" i="14" s="1"/>
  <c r="K462" i="14"/>
  <c r="K475" i="14" s="1"/>
  <c r="M162" i="14"/>
  <c r="M447" i="14"/>
  <c r="M461" i="14" s="1"/>
  <c r="M474" i="14" s="1"/>
  <c r="M165" i="14"/>
  <c r="M450" i="14"/>
  <c r="M464" i="14" s="1"/>
  <c r="M477" i="14" s="1"/>
  <c r="M167" i="14"/>
  <c r="M452" i="14"/>
  <c r="M466" i="14" s="1"/>
  <c r="M479" i="14" s="1"/>
  <c r="M170" i="14"/>
  <c r="M455" i="14"/>
  <c r="M469" i="14" s="1"/>
  <c r="M482" i="14" s="1"/>
  <c r="N162" i="14"/>
  <c r="N447" i="14"/>
  <c r="N461" i="14" s="1"/>
  <c r="N474" i="14" s="1"/>
  <c r="N164" i="14"/>
  <c r="N449" i="14"/>
  <c r="N463" i="14" s="1"/>
  <c r="N476" i="14" s="1"/>
  <c r="J476" i="14" s="1"/>
  <c r="N166" i="14"/>
  <c r="N451" i="14"/>
  <c r="N465" i="14" s="1"/>
  <c r="N478" i="14" s="1"/>
  <c r="J478" i="14" s="1"/>
  <c r="N168" i="14"/>
  <c r="N453" i="14"/>
  <c r="N467" i="14" s="1"/>
  <c r="N480" i="14" s="1"/>
  <c r="J480" i="14" s="1"/>
  <c r="N169" i="14"/>
  <c r="N454" i="14"/>
  <c r="N468" i="14" s="1"/>
  <c r="N481" i="14" s="1"/>
  <c r="J481" i="14" s="1"/>
  <c r="N171" i="14"/>
  <c r="N456" i="14"/>
  <c r="N470" i="14" s="1"/>
  <c r="N483" i="14" s="1"/>
  <c r="K167" i="14"/>
  <c r="K452" i="14"/>
  <c r="K172" i="14"/>
  <c r="K457" i="14"/>
  <c r="J211" i="14"/>
  <c r="J243" i="14"/>
  <c r="J245" i="14"/>
  <c r="J209" i="14"/>
  <c r="J201" i="14"/>
  <c r="J253" i="14"/>
  <c r="J158" i="14"/>
  <c r="J207" i="14"/>
  <c r="J251" i="14"/>
  <c r="M226" i="14"/>
  <c r="N216" i="14"/>
  <c r="J1176" i="14"/>
  <c r="N217" i="14"/>
  <c r="N231" i="14" s="1"/>
  <c r="J231" i="14" s="1"/>
  <c r="N218" i="14"/>
  <c r="N219" i="14"/>
  <c r="N233" i="14" s="1"/>
  <c r="J233" i="14" s="1"/>
  <c r="N220" i="14"/>
  <c r="N234" i="14" s="1"/>
  <c r="J234" i="14" s="1"/>
  <c r="N221" i="14"/>
  <c r="N235" i="14" s="1"/>
  <c r="J235" i="14" s="1"/>
  <c r="N222" i="14"/>
  <c r="N223" i="14"/>
  <c r="N237" i="14" s="1"/>
  <c r="J237" i="14" s="1"/>
  <c r="N224" i="14"/>
  <c r="N225" i="14"/>
  <c r="N239" i="14" s="1"/>
  <c r="J239" i="14" s="1"/>
  <c r="N226" i="14"/>
  <c r="N227" i="14"/>
  <c r="N241" i="14" s="1"/>
  <c r="J241" i="14" s="1"/>
  <c r="N107" i="14"/>
  <c r="L109" i="14"/>
  <c r="M110" i="14"/>
  <c r="N111" i="14"/>
  <c r="L113" i="14"/>
  <c r="M114" i="14"/>
  <c r="N115" i="14"/>
  <c r="L117" i="14"/>
  <c r="M267" i="14"/>
  <c r="M118" i="14"/>
  <c r="J147" i="14"/>
  <c r="K161" i="14"/>
  <c r="K163" i="14"/>
  <c r="J149" i="14"/>
  <c r="J150" i="14"/>
  <c r="K164" i="14"/>
  <c r="J151" i="14"/>
  <c r="K165" i="14"/>
  <c r="J152" i="14"/>
  <c r="K166" i="14"/>
  <c r="K168" i="14"/>
  <c r="J154" i="14"/>
  <c r="J155" i="14"/>
  <c r="K169" i="14"/>
  <c r="J156" i="14"/>
  <c r="K170" i="14"/>
  <c r="J157" i="14"/>
  <c r="K171" i="14"/>
  <c r="J148" i="14"/>
  <c r="J153" i="14"/>
  <c r="M216" i="14"/>
  <c r="M218" i="14"/>
  <c r="M220" i="14"/>
  <c r="M222" i="14"/>
  <c r="M224" i="14"/>
  <c r="J244" i="14"/>
  <c r="K217" i="14"/>
  <c r="J204" i="14"/>
  <c r="K219" i="14"/>
  <c r="J205" i="14"/>
  <c r="K220" i="14"/>
  <c r="J248" i="14"/>
  <c r="K221" i="14"/>
  <c r="J250" i="14"/>
  <c r="K223" i="14"/>
  <c r="J210" i="14"/>
  <c r="K225" i="14"/>
  <c r="J254" i="14"/>
  <c r="K227" i="14"/>
  <c r="J249" i="14"/>
  <c r="J93" i="14"/>
  <c r="K256" i="14"/>
  <c r="L216" i="14"/>
  <c r="L217" i="14"/>
  <c r="L219" i="14"/>
  <c r="L220" i="14"/>
  <c r="L221" i="14"/>
  <c r="L223" i="14"/>
  <c r="L224" i="14"/>
  <c r="L225" i="14"/>
  <c r="L227" i="14"/>
  <c r="J101" i="14"/>
  <c r="J97" i="14"/>
  <c r="K260" i="14"/>
  <c r="J99" i="14"/>
  <c r="J104" i="14"/>
  <c r="J100" i="14"/>
  <c r="J96" i="14"/>
  <c r="J103" i="14"/>
  <c r="J95" i="14"/>
  <c r="J102" i="14"/>
  <c r="J98" i="14"/>
  <c r="J94" i="14"/>
  <c r="K111" i="14"/>
  <c r="K115" i="14"/>
  <c r="K108" i="14"/>
  <c r="K109" i="14"/>
  <c r="K110" i="14"/>
  <c r="K112" i="14"/>
  <c r="K113" i="14"/>
  <c r="K114" i="14"/>
  <c r="K116" i="14"/>
  <c r="K117" i="14"/>
  <c r="K118" i="14"/>
  <c r="J206" i="14"/>
  <c r="J208" i="14"/>
  <c r="K259" i="14"/>
  <c r="K265" i="14"/>
  <c r="B87" i="14"/>
  <c r="B86" i="14"/>
  <c r="B85" i="14"/>
  <c r="B84" i="14"/>
  <c r="B83" i="14"/>
  <c r="B70" i="14"/>
  <c r="B57" i="14"/>
  <c r="B44" i="14"/>
  <c r="J82" i="14"/>
  <c r="J81" i="14"/>
  <c r="J80" i="14"/>
  <c r="J79" i="14"/>
  <c r="J78" i="14"/>
  <c r="J77" i="14"/>
  <c r="J76" i="14"/>
  <c r="J75" i="14"/>
  <c r="J74" i="14"/>
  <c r="J73" i="14"/>
  <c r="J72" i="14"/>
  <c r="J71" i="14"/>
  <c r="N70" i="14"/>
  <c r="M70" i="14"/>
  <c r="L70" i="14"/>
  <c r="K70" i="14"/>
  <c r="J69" i="14"/>
  <c r="J68" i="14"/>
  <c r="J67" i="14"/>
  <c r="J66" i="14"/>
  <c r="J65" i="14"/>
  <c r="J64" i="14"/>
  <c r="J63" i="14"/>
  <c r="J62" i="14"/>
  <c r="J61" i="14"/>
  <c r="J60" i="14"/>
  <c r="J59" i="14"/>
  <c r="J58" i="14"/>
  <c r="N57" i="14"/>
  <c r="M57" i="14"/>
  <c r="L57" i="14"/>
  <c r="K57" i="14"/>
  <c r="J56" i="14"/>
  <c r="J55" i="14"/>
  <c r="J54" i="14"/>
  <c r="J53" i="14"/>
  <c r="J52" i="14"/>
  <c r="J51" i="14"/>
  <c r="J50" i="14"/>
  <c r="J49" i="14"/>
  <c r="J48" i="14"/>
  <c r="J47" i="14"/>
  <c r="J46" i="14"/>
  <c r="J45" i="14"/>
  <c r="N44" i="14"/>
  <c r="M44" i="14"/>
  <c r="L44" i="14"/>
  <c r="K44" i="14"/>
  <c r="J43" i="14"/>
  <c r="J42" i="14"/>
  <c r="J41" i="14"/>
  <c r="J40" i="14"/>
  <c r="J39" i="14"/>
  <c r="J38" i="14"/>
  <c r="J37" i="14"/>
  <c r="J36" i="14"/>
  <c r="J35" i="14"/>
  <c r="J34" i="14"/>
  <c r="J33" i="14"/>
  <c r="J32" i="14"/>
  <c r="N31" i="14"/>
  <c r="M31" i="14"/>
  <c r="L31" i="14"/>
  <c r="K31" i="14"/>
  <c r="B31" i="14"/>
  <c r="K42" i="21"/>
  <c r="P42" i="21"/>
  <c r="H42" i="21"/>
  <c r="J42" i="21"/>
  <c r="R42" i="21"/>
  <c r="L42" i="21"/>
  <c r="N42" i="21"/>
  <c r="Q50" i="22" l="1"/>
  <c r="Q163" i="22"/>
  <c r="R147" i="22"/>
  <c r="Q52" i="21"/>
  <c r="O55" i="22" s="1"/>
  <c r="M52" i="21"/>
  <c r="K55" i="22" s="1"/>
  <c r="I52" i="21"/>
  <c r="G55" i="22" s="1"/>
  <c r="P52" i="21"/>
  <c r="N55" i="22" s="1"/>
  <c r="L52" i="21"/>
  <c r="J55" i="22" s="1"/>
  <c r="H52" i="21"/>
  <c r="F55" i="22" s="1"/>
  <c r="O52" i="21"/>
  <c r="M55" i="22" s="1"/>
  <c r="K52" i="21"/>
  <c r="I55" i="22" s="1"/>
  <c r="G52" i="21"/>
  <c r="E55" i="22" s="1"/>
  <c r="R52" i="21"/>
  <c r="P55" i="22" s="1"/>
  <c r="N52" i="21"/>
  <c r="L55" i="22" s="1"/>
  <c r="J52" i="21"/>
  <c r="H55" i="22" s="1"/>
  <c r="G46" i="21"/>
  <c r="I46" i="21"/>
  <c r="M46" i="21"/>
  <c r="Q46" i="21"/>
  <c r="J46" i="21"/>
  <c r="N46" i="21"/>
  <c r="R46" i="21"/>
  <c r="K46" i="21"/>
  <c r="O46" i="21"/>
  <c r="S46" i="21"/>
  <c r="H46" i="21"/>
  <c r="L46" i="21"/>
  <c r="P46" i="21"/>
  <c r="J70" i="21"/>
  <c r="H82" i="22" s="1"/>
  <c r="N99" i="22"/>
  <c r="I99" i="22"/>
  <c r="O99" i="22"/>
  <c r="J99" i="22"/>
  <c r="E99" i="22"/>
  <c r="H99" i="22"/>
  <c r="F99" i="22"/>
  <c r="K99" i="22"/>
  <c r="G99" i="22"/>
  <c r="M99" i="22"/>
  <c r="P99" i="22"/>
  <c r="L99" i="22"/>
  <c r="Q11" i="22"/>
  <c r="Q15" i="22"/>
  <c r="S13" i="21"/>
  <c r="P49" i="22"/>
  <c r="P111" i="22" s="1"/>
  <c r="N49" i="22"/>
  <c r="N111" i="22" s="1"/>
  <c r="L49" i="22"/>
  <c r="L111" i="22" s="1"/>
  <c r="F49" i="22"/>
  <c r="F111" i="22" s="1"/>
  <c r="H49" i="22"/>
  <c r="H111" i="22" s="1"/>
  <c r="I49" i="22"/>
  <c r="I111" i="22" s="1"/>
  <c r="J49" i="22"/>
  <c r="J111" i="22" s="1"/>
  <c r="J217" i="14"/>
  <c r="J168" i="14"/>
  <c r="J227" i="14"/>
  <c r="J216" i="14"/>
  <c r="N230" i="14"/>
  <c r="J230" i="14" s="1"/>
  <c r="J226" i="14"/>
  <c r="N240" i="14"/>
  <c r="J240" i="14" s="1"/>
  <c r="J224" i="14"/>
  <c r="N238" i="14"/>
  <c r="J238" i="14" s="1"/>
  <c r="J222" i="14"/>
  <c r="N236" i="14"/>
  <c r="J236" i="14" s="1"/>
  <c r="J218" i="14"/>
  <c r="N232" i="14"/>
  <c r="J232" i="14" s="1"/>
  <c r="J536" i="14"/>
  <c r="J223" i="14"/>
  <c r="J169" i="14"/>
  <c r="J166" i="14"/>
  <c r="J138" i="14"/>
  <c r="J163" i="14"/>
  <c r="J170" i="14"/>
  <c r="J165" i="14"/>
  <c r="J171" i="14"/>
  <c r="J164" i="14"/>
  <c r="J225" i="14"/>
  <c r="J221" i="14"/>
  <c r="J219" i="14"/>
  <c r="J220" i="14"/>
  <c r="J450" i="14"/>
  <c r="J31" i="14"/>
  <c r="AX16" i="19" s="1"/>
  <c r="J57" i="14"/>
  <c r="AX20" i="19" s="1"/>
  <c r="J451" i="14"/>
  <c r="J449" i="14"/>
  <c r="J172" i="14"/>
  <c r="J167" i="14"/>
  <c r="J70" i="14"/>
  <c r="AX21" i="19" s="1"/>
  <c r="J44" i="14"/>
  <c r="AX13" i="19" s="1"/>
  <c r="D359" i="14"/>
  <c r="D357" i="14"/>
  <c r="D355" i="14"/>
  <c r="D353" i="14"/>
  <c r="D351" i="14"/>
  <c r="D349" i="14"/>
  <c r="D360" i="14"/>
  <c r="D358" i="14"/>
  <c r="D356" i="14"/>
  <c r="D354" i="14"/>
  <c r="D352" i="14"/>
  <c r="D350" i="14"/>
  <c r="D361" i="14"/>
  <c r="J455" i="14"/>
  <c r="J454" i="14"/>
  <c r="J469" i="14"/>
  <c r="J468" i="14"/>
  <c r="J467" i="14"/>
  <c r="J465" i="14"/>
  <c r="J464" i="14"/>
  <c r="J463" i="14"/>
  <c r="J456" i="14"/>
  <c r="J162" i="14"/>
  <c r="J453" i="14"/>
  <c r="J448" i="14"/>
  <c r="M1078" i="14"/>
  <c r="L1076" i="14"/>
  <c r="L1073" i="14"/>
  <c r="L1077" i="14"/>
  <c r="M1077" i="14"/>
  <c r="M1072" i="14"/>
  <c r="M1076" i="14"/>
  <c r="N1074" i="14"/>
  <c r="N1078" i="14"/>
  <c r="N1073" i="14"/>
  <c r="N1077" i="14"/>
  <c r="K1072" i="14"/>
  <c r="K1097" i="14" s="1"/>
  <c r="K1077" i="14"/>
  <c r="K1102" i="14" s="1"/>
  <c r="K1076" i="14"/>
  <c r="K1101" i="14" s="1"/>
  <c r="N1080" i="14"/>
  <c r="M1080" i="14"/>
  <c r="L1080" i="14"/>
  <c r="K1080" i="14"/>
  <c r="K1105" i="14" s="1"/>
  <c r="L1074" i="14"/>
  <c r="L1078" i="14"/>
  <c r="L1075" i="14"/>
  <c r="M1075" i="14"/>
  <c r="M1074" i="14"/>
  <c r="N1076" i="14"/>
  <c r="K1074" i="14"/>
  <c r="K1099" i="14" s="1"/>
  <c r="K1073" i="14"/>
  <c r="K1098" i="14" s="1"/>
  <c r="K1078" i="14"/>
  <c r="K1103" i="14" s="1"/>
  <c r="J117" i="14"/>
  <c r="J114" i="14"/>
  <c r="J112" i="14"/>
  <c r="J109" i="14"/>
  <c r="J115" i="14"/>
  <c r="J118" i="14"/>
  <c r="J116" i="14"/>
  <c r="J113" i="14"/>
  <c r="J110" i="14"/>
  <c r="J108" i="14"/>
  <c r="J111" i="14"/>
  <c r="J552" i="14"/>
  <c r="AF36" i="19" s="1"/>
  <c r="L460" i="14"/>
  <c r="L445" i="14"/>
  <c r="L1158" i="14" s="1"/>
  <c r="N460" i="14"/>
  <c r="N445" i="14"/>
  <c r="N1158" i="14" s="1"/>
  <c r="M460" i="14"/>
  <c r="M445" i="14"/>
  <c r="M1158" i="14" s="1"/>
  <c r="J446" i="14"/>
  <c r="K445" i="14"/>
  <c r="K1158" i="14" s="1"/>
  <c r="M215" i="14"/>
  <c r="M1127" i="14" s="1"/>
  <c r="N215" i="14"/>
  <c r="L215" i="14"/>
  <c r="L1127" i="14" s="1"/>
  <c r="K215" i="14"/>
  <c r="K1127" i="14" s="1"/>
  <c r="J134" i="14"/>
  <c r="M133" i="14"/>
  <c r="M1174" i="14" s="1"/>
  <c r="J161" i="14"/>
  <c r="K160" i="14"/>
  <c r="K1175" i="14" s="1"/>
  <c r="L133" i="14"/>
  <c r="L1174" i="14" s="1"/>
  <c r="N160" i="14"/>
  <c r="N1175" i="14" s="1"/>
  <c r="M160" i="14"/>
  <c r="M1175" i="14" s="1"/>
  <c r="N133" i="14"/>
  <c r="N1174" i="14" s="1"/>
  <c r="L160" i="14"/>
  <c r="L1175" i="14" s="1"/>
  <c r="L106" i="14"/>
  <c r="L1173" i="14" s="1"/>
  <c r="K460" i="14"/>
  <c r="J107" i="14"/>
  <c r="K106" i="14"/>
  <c r="K1173" i="14" s="1"/>
  <c r="N106" i="14"/>
  <c r="M106" i="14"/>
  <c r="M1173" i="14" s="1"/>
  <c r="J470" i="14"/>
  <c r="J483" i="14"/>
  <c r="J462" i="14"/>
  <c r="J475" i="14"/>
  <c r="M256" i="14"/>
  <c r="L267" i="14"/>
  <c r="L290" i="14" s="1"/>
  <c r="L303" i="14" s="1"/>
  <c r="L259" i="14"/>
  <c r="L282" i="14" s="1"/>
  <c r="L322" i="14" s="1"/>
  <c r="L340" i="14" s="1"/>
  <c r="M257" i="14"/>
  <c r="M280" i="14" s="1"/>
  <c r="M293" i="14" s="1"/>
  <c r="M306" i="14" s="1"/>
  <c r="K471" i="14"/>
  <c r="K484" i="14" s="1"/>
  <c r="J457" i="14"/>
  <c r="L263" i="14"/>
  <c r="L286" i="14" s="1"/>
  <c r="J452" i="14"/>
  <c r="K466" i="14"/>
  <c r="K479" i="14" s="1"/>
  <c r="M260" i="14"/>
  <c r="M283" i="14" s="1"/>
  <c r="M296" i="14" s="1"/>
  <c r="K461" i="14"/>
  <c r="K474" i="14" s="1"/>
  <c r="J447" i="14"/>
  <c r="J144" i="14"/>
  <c r="J142" i="14"/>
  <c r="K266" i="14"/>
  <c r="K289" i="14" s="1"/>
  <c r="K302" i="14" s="1"/>
  <c r="K264" i="14"/>
  <c r="K287" i="14" s="1"/>
  <c r="K300" i="14" s="1"/>
  <c r="N265" i="14"/>
  <c r="N288" i="14" s="1"/>
  <c r="N301" i="14" s="1"/>
  <c r="N314" i="14" s="1"/>
  <c r="N257" i="14"/>
  <c r="N280" i="14" s="1"/>
  <c r="N293" i="14" s="1"/>
  <c r="N306" i="14" s="1"/>
  <c r="N263" i="14"/>
  <c r="N286" i="14" s="1"/>
  <c r="N326" i="14" s="1"/>
  <c r="M266" i="14"/>
  <c r="M289" i="14" s="1"/>
  <c r="L256" i="14"/>
  <c r="L265" i="14"/>
  <c r="L288" i="14" s="1"/>
  <c r="L266" i="14"/>
  <c r="L289" i="14" s="1"/>
  <c r="L329" i="14" s="1"/>
  <c r="J136" i="14"/>
  <c r="N258" i="14"/>
  <c r="N281" i="14" s="1"/>
  <c r="N267" i="14"/>
  <c r="N290" i="14" s="1"/>
  <c r="N303" i="14" s="1"/>
  <c r="N316" i="14" s="1"/>
  <c r="N260" i="14"/>
  <c r="N283" i="14" s="1"/>
  <c r="K258" i="14"/>
  <c r="K281" i="14" s="1"/>
  <c r="K294" i="14" s="1"/>
  <c r="L258" i="14"/>
  <c r="M290" i="14"/>
  <c r="M303" i="14" s="1"/>
  <c r="L264" i="14"/>
  <c r="K279" i="14"/>
  <c r="L261" i="14"/>
  <c r="M263" i="14"/>
  <c r="K288" i="14"/>
  <c r="K301" i="14" s="1"/>
  <c r="K282" i="14"/>
  <c r="K295" i="14" s="1"/>
  <c r="K283" i="14"/>
  <c r="K296" i="14" s="1"/>
  <c r="J141" i="14"/>
  <c r="J146" i="14"/>
  <c r="AT20" i="19" s="1"/>
  <c r="J139" i="14"/>
  <c r="N266" i="14"/>
  <c r="M261" i="14"/>
  <c r="N264" i="14"/>
  <c r="L262" i="14"/>
  <c r="M259" i="14"/>
  <c r="N256" i="14"/>
  <c r="K261" i="14"/>
  <c r="J92" i="14"/>
  <c r="AT12" i="19" s="1"/>
  <c r="K263" i="14"/>
  <c r="K262" i="14"/>
  <c r="M264" i="14"/>
  <c r="M265" i="14"/>
  <c r="L260" i="14"/>
  <c r="J256" i="14"/>
  <c r="M262" i="14"/>
  <c r="L257" i="14"/>
  <c r="J145" i="14"/>
  <c r="J140" i="14"/>
  <c r="K257" i="14"/>
  <c r="K267" i="14"/>
  <c r="N261" i="14"/>
  <c r="N259" i="14"/>
  <c r="J259" i="14" s="1"/>
  <c r="N262" i="14"/>
  <c r="M258" i="14"/>
  <c r="J252" i="14"/>
  <c r="J143" i="14"/>
  <c r="J246" i="14"/>
  <c r="J137" i="14"/>
  <c r="J200" i="14"/>
  <c r="AF13" i="19" s="1"/>
  <c r="AM13" i="19" s="1"/>
  <c r="D6" i="14"/>
  <c r="G67" i="21"/>
  <c r="E64" i="22" s="1"/>
  <c r="G68" i="21"/>
  <c r="E70" i="22" s="1"/>
  <c r="G69" i="21"/>
  <c r="E76" i="22" s="1"/>
  <c r="G71" i="21"/>
  <c r="H71" i="21" s="1"/>
  <c r="I71" i="21" s="1"/>
  <c r="J71" i="21" s="1"/>
  <c r="K71" i="21" s="1"/>
  <c r="L71" i="21" s="1"/>
  <c r="M71" i="21" s="1"/>
  <c r="N71" i="21" s="1"/>
  <c r="O71" i="21" s="1"/>
  <c r="P71" i="21" s="1"/>
  <c r="Q71" i="21" s="1"/>
  <c r="R71" i="21" s="1"/>
  <c r="G72" i="21"/>
  <c r="E94" i="22" s="1"/>
  <c r="G73" i="21"/>
  <c r="E100" i="22" s="1"/>
  <c r="G76" i="21"/>
  <c r="E118" i="22" s="1"/>
  <c r="G66" i="21"/>
  <c r="E58" i="22" s="1"/>
  <c r="J30" i="14"/>
  <c r="J29" i="14"/>
  <c r="J28" i="14"/>
  <c r="J27" i="14"/>
  <c r="J26" i="14"/>
  <c r="J25" i="14"/>
  <c r="J24" i="14"/>
  <c r="J23" i="14"/>
  <c r="J22" i="14"/>
  <c r="J21" i="14"/>
  <c r="J20" i="14"/>
  <c r="J19" i="14"/>
  <c r="B17" i="14"/>
  <c r="O14" i="14"/>
  <c r="N14" i="14"/>
  <c r="M14" i="14"/>
  <c r="L14" i="14"/>
  <c r="K14" i="14"/>
  <c r="J14" i="14"/>
  <c r="I14" i="14"/>
  <c r="D14" i="14"/>
  <c r="C14" i="14"/>
  <c r="B14" i="14"/>
  <c r="B4" i="14"/>
  <c r="B3" i="14"/>
  <c r="N18" i="14"/>
  <c r="M18" i="14"/>
  <c r="L18" i="14"/>
  <c r="K18" i="14"/>
  <c r="O133" i="18"/>
  <c r="L15" i="14" s="1"/>
  <c r="J15" i="14" s="1"/>
  <c r="O134" i="18"/>
  <c r="M15" i="14" s="1"/>
  <c r="O135" i="18"/>
  <c r="O132" i="18"/>
  <c r="K15" i="14" s="1"/>
  <c r="C9" i="14"/>
  <c r="C6" i="14"/>
  <c r="C5" i="14"/>
  <c r="C3" i="14"/>
  <c r="I20" i="21"/>
  <c r="G20" i="21"/>
  <c r="K25" i="21"/>
  <c r="M11" i="21"/>
  <c r="G21" i="21"/>
  <c r="Q20" i="21"/>
  <c r="G22" i="21"/>
  <c r="P21" i="21"/>
  <c r="Q25" i="21"/>
  <c r="L21" i="21"/>
  <c r="J22" i="21"/>
  <c r="G42" i="21"/>
  <c r="Q22" i="21"/>
  <c r="L22" i="21"/>
  <c r="I21" i="21"/>
  <c r="R37" i="21"/>
  <c r="M20" i="21"/>
  <c r="L20" i="21"/>
  <c r="K20" i="21"/>
  <c r="L11" i="21"/>
  <c r="N21" i="21"/>
  <c r="M42" i="21"/>
  <c r="P11" i="21"/>
  <c r="N22" i="21"/>
  <c r="K22" i="21"/>
  <c r="K11" i="21"/>
  <c r="I42" i="21"/>
  <c r="G19" i="21"/>
  <c r="N11" i="21"/>
  <c r="Q11" i="21"/>
  <c r="O25" i="21"/>
  <c r="R11" i="21"/>
  <c r="O20" i="21"/>
  <c r="M21" i="21"/>
  <c r="G11" i="21"/>
  <c r="J20" i="21"/>
  <c r="O22" i="21"/>
  <c r="M19" i="21"/>
  <c r="R22" i="21"/>
  <c r="M22" i="21"/>
  <c r="I19" i="21"/>
  <c r="P25" i="21"/>
  <c r="L19" i="21"/>
  <c r="R19" i="21"/>
  <c r="I11" i="21"/>
  <c r="Q21" i="21"/>
  <c r="H11" i="21"/>
  <c r="Q42" i="21"/>
  <c r="Q19" i="21"/>
  <c r="L25" i="21"/>
  <c r="H22" i="21"/>
  <c r="O42" i="21"/>
  <c r="I25" i="21"/>
  <c r="P19" i="21"/>
  <c r="J21" i="21"/>
  <c r="N20" i="21"/>
  <c r="R20" i="21"/>
  <c r="O19" i="21"/>
  <c r="J11" i="21"/>
  <c r="I22" i="21"/>
  <c r="O21" i="21"/>
  <c r="P20" i="21"/>
  <c r="P22" i="21"/>
  <c r="R21" i="21"/>
  <c r="H19" i="21"/>
  <c r="K21" i="21"/>
  <c r="J25" i="21"/>
  <c r="N19" i="21"/>
  <c r="K19" i="21"/>
  <c r="J19" i="21"/>
  <c r="O11" i="21"/>
  <c r="H21" i="21"/>
  <c r="N25" i="21"/>
  <c r="E146" i="22" l="1"/>
  <c r="Q55" i="22"/>
  <c r="I599" i="14"/>
  <c r="I606" i="14"/>
  <c r="I604" i="14"/>
  <c r="I602" i="14"/>
  <c r="I600" i="14"/>
  <c r="I598" i="14"/>
  <c r="I596" i="14"/>
  <c r="I594" i="14"/>
  <c r="I605" i="14"/>
  <c r="I603" i="14"/>
  <c r="I601" i="14"/>
  <c r="I597" i="14"/>
  <c r="I595" i="14"/>
  <c r="I593" i="14"/>
  <c r="I591" i="14"/>
  <c r="I589" i="14"/>
  <c r="I587" i="14"/>
  <c r="I585" i="14"/>
  <c r="I583" i="14"/>
  <c r="I581" i="14"/>
  <c r="I584" i="14"/>
  <c r="I592" i="14"/>
  <c r="I590" i="14"/>
  <c r="I588" i="14"/>
  <c r="I586" i="14"/>
  <c r="I582" i="14"/>
  <c r="C7" i="19"/>
  <c r="C4" i="21"/>
  <c r="P147" i="22"/>
  <c r="L147" i="22"/>
  <c r="H147" i="22"/>
  <c r="O147" i="22"/>
  <c r="K147" i="22"/>
  <c r="G147" i="22"/>
  <c r="N147" i="22"/>
  <c r="J147" i="22"/>
  <c r="F147" i="22"/>
  <c r="M147" i="22"/>
  <c r="I147" i="22"/>
  <c r="E147" i="22"/>
  <c r="S52" i="21"/>
  <c r="H68" i="21"/>
  <c r="F70" i="22" s="1"/>
  <c r="H72" i="21"/>
  <c r="F94" i="22" s="1"/>
  <c r="H73" i="21"/>
  <c r="F100" i="22" s="1"/>
  <c r="H67" i="21"/>
  <c r="F64" i="22" s="1"/>
  <c r="H69" i="21"/>
  <c r="F76" i="22" s="1"/>
  <c r="K70" i="21"/>
  <c r="I82" i="22" s="1"/>
  <c r="F115" i="22"/>
  <c r="F114" i="22"/>
  <c r="J115" i="22"/>
  <c r="J114" i="22"/>
  <c r="L115" i="22"/>
  <c r="L114" i="22"/>
  <c r="I114" i="22"/>
  <c r="I115" i="22"/>
  <c r="N115" i="22"/>
  <c r="N114" i="22"/>
  <c r="H115" i="22"/>
  <c r="H114" i="22"/>
  <c r="P115" i="22"/>
  <c r="P114" i="22"/>
  <c r="M103" i="22"/>
  <c r="H103" i="22"/>
  <c r="I103" i="22"/>
  <c r="L103" i="22"/>
  <c r="K103" i="22"/>
  <c r="J103" i="22"/>
  <c r="P103" i="22"/>
  <c r="F103" i="22"/>
  <c r="O103" i="22"/>
  <c r="G103" i="22"/>
  <c r="E103" i="22"/>
  <c r="E102" i="22"/>
  <c r="Q99" i="22"/>
  <c r="N103" i="22"/>
  <c r="H75" i="22"/>
  <c r="H79" i="22" s="1"/>
  <c r="H105" i="22"/>
  <c r="H109" i="22" s="1"/>
  <c r="P75" i="22"/>
  <c r="P79" i="22" s="1"/>
  <c r="P105" i="22"/>
  <c r="P109" i="22" s="1"/>
  <c r="F75" i="22"/>
  <c r="F79" i="22" s="1"/>
  <c r="F105" i="22"/>
  <c r="F108" i="22" s="1"/>
  <c r="J75" i="22"/>
  <c r="J105" i="22"/>
  <c r="J109" i="22" s="1"/>
  <c r="L75" i="22"/>
  <c r="L105" i="22"/>
  <c r="L109" i="22" s="1"/>
  <c r="I75" i="22"/>
  <c r="I79" i="22" s="1"/>
  <c r="I105" i="22"/>
  <c r="I109" i="22" s="1"/>
  <c r="N75" i="22"/>
  <c r="N79" i="22" s="1"/>
  <c r="N105" i="22"/>
  <c r="N109" i="22" s="1"/>
  <c r="G112" i="21"/>
  <c r="H112" i="21" s="1"/>
  <c r="I112" i="21" s="1"/>
  <c r="J112" i="21" s="1"/>
  <c r="K112" i="21" s="1"/>
  <c r="L112" i="21" s="1"/>
  <c r="M112" i="21" s="1"/>
  <c r="N112" i="21" s="1"/>
  <c r="O112" i="21" s="1"/>
  <c r="P112" i="21" s="1"/>
  <c r="Q112" i="21" s="1"/>
  <c r="R112" i="21" s="1"/>
  <c r="G108" i="21"/>
  <c r="H108" i="21" s="1"/>
  <c r="I108" i="21" s="1"/>
  <c r="J108" i="21" s="1"/>
  <c r="K108" i="21" s="1"/>
  <c r="L108" i="21" s="1"/>
  <c r="M108" i="21" s="1"/>
  <c r="N108" i="21" s="1"/>
  <c r="O108" i="21" s="1"/>
  <c r="P108" i="21" s="1"/>
  <c r="Q108" i="21" s="1"/>
  <c r="R108" i="21" s="1"/>
  <c r="G104" i="21"/>
  <c r="H104" i="21" s="1"/>
  <c r="I104" i="21" s="1"/>
  <c r="J104" i="21" s="1"/>
  <c r="K104" i="21" s="1"/>
  <c r="L104" i="21" s="1"/>
  <c r="M104" i="21" s="1"/>
  <c r="N104" i="21" s="1"/>
  <c r="O104" i="21" s="1"/>
  <c r="P104" i="21" s="1"/>
  <c r="Q104" i="21" s="1"/>
  <c r="R104" i="21" s="1"/>
  <c r="G100" i="21"/>
  <c r="H100" i="21" s="1"/>
  <c r="I100" i="21" s="1"/>
  <c r="J100" i="21" s="1"/>
  <c r="K100" i="21" s="1"/>
  <c r="L100" i="21" s="1"/>
  <c r="M100" i="21" s="1"/>
  <c r="N100" i="21" s="1"/>
  <c r="O100" i="21" s="1"/>
  <c r="P100" i="21" s="1"/>
  <c r="Q100" i="21" s="1"/>
  <c r="R100" i="21" s="1"/>
  <c r="G111" i="21"/>
  <c r="H111" i="21" s="1"/>
  <c r="I111" i="21" s="1"/>
  <c r="J111" i="21" s="1"/>
  <c r="K111" i="21" s="1"/>
  <c r="L111" i="21" s="1"/>
  <c r="M111" i="21" s="1"/>
  <c r="N111" i="21" s="1"/>
  <c r="O111" i="21" s="1"/>
  <c r="P111" i="21" s="1"/>
  <c r="Q111" i="21" s="1"/>
  <c r="R111" i="21" s="1"/>
  <c r="G107" i="21"/>
  <c r="H107" i="21" s="1"/>
  <c r="I107" i="21" s="1"/>
  <c r="J107" i="21" s="1"/>
  <c r="K107" i="21" s="1"/>
  <c r="L107" i="21" s="1"/>
  <c r="M107" i="21" s="1"/>
  <c r="N107" i="21" s="1"/>
  <c r="O107" i="21" s="1"/>
  <c r="P107" i="21" s="1"/>
  <c r="Q107" i="21" s="1"/>
  <c r="R107" i="21" s="1"/>
  <c r="G103" i="21"/>
  <c r="H103" i="21" s="1"/>
  <c r="I103" i="21" s="1"/>
  <c r="J103" i="21" s="1"/>
  <c r="K103" i="21" s="1"/>
  <c r="L103" i="21" s="1"/>
  <c r="M103" i="21" s="1"/>
  <c r="N103" i="21" s="1"/>
  <c r="O103" i="21" s="1"/>
  <c r="P103" i="21" s="1"/>
  <c r="Q103" i="21" s="1"/>
  <c r="R103" i="21" s="1"/>
  <c r="G99" i="21"/>
  <c r="H99" i="21" s="1"/>
  <c r="I99" i="21" s="1"/>
  <c r="J99" i="21" s="1"/>
  <c r="K99" i="21" s="1"/>
  <c r="L99" i="21" s="1"/>
  <c r="M99" i="21" s="1"/>
  <c r="N99" i="21" s="1"/>
  <c r="O99" i="21" s="1"/>
  <c r="P99" i="21" s="1"/>
  <c r="Q99" i="21" s="1"/>
  <c r="R99" i="21" s="1"/>
  <c r="G110" i="21"/>
  <c r="H110" i="21" s="1"/>
  <c r="I110" i="21" s="1"/>
  <c r="J110" i="21" s="1"/>
  <c r="K110" i="21" s="1"/>
  <c r="L110" i="21" s="1"/>
  <c r="M110" i="21" s="1"/>
  <c r="N110" i="21" s="1"/>
  <c r="O110" i="21" s="1"/>
  <c r="P110" i="21" s="1"/>
  <c r="Q110" i="21" s="1"/>
  <c r="R110" i="21" s="1"/>
  <c r="G106" i="21"/>
  <c r="H106" i="21" s="1"/>
  <c r="I106" i="21" s="1"/>
  <c r="J106" i="21" s="1"/>
  <c r="K106" i="21" s="1"/>
  <c r="L106" i="21" s="1"/>
  <c r="M106" i="21" s="1"/>
  <c r="N106" i="21" s="1"/>
  <c r="O106" i="21" s="1"/>
  <c r="P106" i="21" s="1"/>
  <c r="Q106" i="21" s="1"/>
  <c r="R106" i="21" s="1"/>
  <c r="G102" i="21"/>
  <c r="H102" i="21" s="1"/>
  <c r="I102" i="21" s="1"/>
  <c r="J102" i="21" s="1"/>
  <c r="K102" i="21" s="1"/>
  <c r="L102" i="21" s="1"/>
  <c r="M102" i="21" s="1"/>
  <c r="N102" i="21" s="1"/>
  <c r="O102" i="21" s="1"/>
  <c r="P102" i="21" s="1"/>
  <c r="Q102" i="21" s="1"/>
  <c r="R102" i="21" s="1"/>
  <c r="G98" i="21"/>
  <c r="H98" i="21" s="1"/>
  <c r="I98" i="21" s="1"/>
  <c r="J98" i="21" s="1"/>
  <c r="K98" i="21" s="1"/>
  <c r="L98" i="21" s="1"/>
  <c r="M98" i="21" s="1"/>
  <c r="N98" i="21" s="1"/>
  <c r="O98" i="21" s="1"/>
  <c r="P98" i="21" s="1"/>
  <c r="Q98" i="21" s="1"/>
  <c r="R98" i="21" s="1"/>
  <c r="G109" i="21"/>
  <c r="H109" i="21" s="1"/>
  <c r="I109" i="21" s="1"/>
  <c r="J109" i="21" s="1"/>
  <c r="K109" i="21" s="1"/>
  <c r="L109" i="21" s="1"/>
  <c r="M109" i="21" s="1"/>
  <c r="N109" i="21" s="1"/>
  <c r="O109" i="21" s="1"/>
  <c r="P109" i="21" s="1"/>
  <c r="Q109" i="21" s="1"/>
  <c r="R109" i="21" s="1"/>
  <c r="G105" i="21"/>
  <c r="H105" i="21" s="1"/>
  <c r="I105" i="21" s="1"/>
  <c r="J105" i="21" s="1"/>
  <c r="K105" i="21" s="1"/>
  <c r="L105" i="21" s="1"/>
  <c r="M105" i="21" s="1"/>
  <c r="N105" i="21" s="1"/>
  <c r="O105" i="21" s="1"/>
  <c r="P105" i="21" s="1"/>
  <c r="Q105" i="21" s="1"/>
  <c r="R105" i="21" s="1"/>
  <c r="G101" i="21"/>
  <c r="H101" i="21" s="1"/>
  <c r="I101" i="21" s="1"/>
  <c r="J101" i="21" s="1"/>
  <c r="K101" i="21" s="1"/>
  <c r="L101" i="21" s="1"/>
  <c r="M101" i="21" s="1"/>
  <c r="N101" i="21" s="1"/>
  <c r="O101" i="21" s="1"/>
  <c r="P101" i="21" s="1"/>
  <c r="Q101" i="21" s="1"/>
  <c r="R101" i="21" s="1"/>
  <c r="S11" i="21"/>
  <c r="H76" i="21"/>
  <c r="F118" i="22" s="1"/>
  <c r="H66" i="21"/>
  <c r="O49" i="22"/>
  <c r="O111" i="22" s="1"/>
  <c r="G49" i="22"/>
  <c r="G111" i="22" s="1"/>
  <c r="M49" i="22"/>
  <c r="M111" i="22" s="1"/>
  <c r="E49" i="22"/>
  <c r="K49" i="22"/>
  <c r="K111" i="22" s="1"/>
  <c r="P13" i="22"/>
  <c r="S37" i="21"/>
  <c r="J524" i="14"/>
  <c r="S19" i="21"/>
  <c r="S22" i="21"/>
  <c r="S21" i="21"/>
  <c r="S42" i="21"/>
  <c r="AB13" i="19"/>
  <c r="E995" i="14"/>
  <c r="E991" i="14"/>
  <c r="E987" i="14"/>
  <c r="E983" i="14"/>
  <c r="E979" i="14"/>
  <c r="E975" i="14"/>
  <c r="E971" i="14"/>
  <c r="E988" i="14"/>
  <c r="E984" i="14"/>
  <c r="E976" i="14"/>
  <c r="E994" i="14"/>
  <c r="E990" i="14"/>
  <c r="E986" i="14"/>
  <c r="E982" i="14"/>
  <c r="E978" i="14"/>
  <c r="E974" i="14"/>
  <c r="E970" i="14"/>
  <c r="E993" i="14"/>
  <c r="E989" i="14"/>
  <c r="E985" i="14"/>
  <c r="E981" i="14"/>
  <c r="E977" i="14"/>
  <c r="E973" i="14"/>
  <c r="E969" i="14"/>
  <c r="E992" i="14"/>
  <c r="E980" i="14"/>
  <c r="E968" i="14"/>
  <c r="E972" i="14"/>
  <c r="H47" i="19"/>
  <c r="I799" i="14"/>
  <c r="I797" i="14"/>
  <c r="I795" i="14"/>
  <c r="I793" i="14"/>
  <c r="I791" i="14"/>
  <c r="I789" i="14"/>
  <c r="I787" i="14"/>
  <c r="I798" i="14"/>
  <c r="I796" i="14"/>
  <c r="I794" i="14"/>
  <c r="I792" i="14"/>
  <c r="I790" i="14"/>
  <c r="I788" i="14"/>
  <c r="I786" i="14"/>
  <c r="I813" i="14"/>
  <c r="I812" i="14"/>
  <c r="I811" i="14"/>
  <c r="I810" i="14"/>
  <c r="I809" i="14"/>
  <c r="I808" i="14"/>
  <c r="I807" i="14"/>
  <c r="I806" i="14"/>
  <c r="I805" i="14"/>
  <c r="I804" i="14"/>
  <c r="I803" i="14"/>
  <c r="I802" i="14"/>
  <c r="I801" i="14"/>
  <c r="I800" i="14"/>
  <c r="I827" i="14"/>
  <c r="I826" i="14"/>
  <c r="I825" i="14"/>
  <c r="I824" i="14"/>
  <c r="I823" i="14"/>
  <c r="I822" i="14"/>
  <c r="I821" i="14"/>
  <c r="I820" i="14"/>
  <c r="I819" i="14"/>
  <c r="I818" i="14"/>
  <c r="I817" i="14"/>
  <c r="I816" i="14"/>
  <c r="I815" i="14"/>
  <c r="I814" i="14"/>
  <c r="N1173" i="14"/>
  <c r="N1179" i="14" s="1"/>
  <c r="H12" i="19"/>
  <c r="J47" i="19"/>
  <c r="D47" i="19"/>
  <c r="F47" i="19"/>
  <c r="L634" i="14"/>
  <c r="M636" i="14"/>
  <c r="N633" i="14"/>
  <c r="M638" i="14"/>
  <c r="N631" i="14"/>
  <c r="L629" i="14"/>
  <c r="L635" i="14"/>
  <c r="K625" i="14"/>
  <c r="N628" i="14"/>
  <c r="K636" i="14"/>
  <c r="AY24" i="19"/>
  <c r="AY28" i="19"/>
  <c r="AY33" i="19"/>
  <c r="AY26" i="19"/>
  <c r="AG37" i="19"/>
  <c r="AG27" i="19"/>
  <c r="AY21" i="19"/>
  <c r="AQ19" i="19"/>
  <c r="AY30" i="19"/>
  <c r="L631" i="14"/>
  <c r="M628" i="14"/>
  <c r="M630" i="14"/>
  <c r="N632" i="14"/>
  <c r="N1127" i="14"/>
  <c r="J1127" i="14" s="1"/>
  <c r="J215" i="14"/>
  <c r="AB14" i="19" s="1"/>
  <c r="J260" i="14"/>
  <c r="N635" i="14"/>
  <c r="N637" i="14"/>
  <c r="K628" i="14"/>
  <c r="M631" i="14"/>
  <c r="K630" i="14"/>
  <c r="N636" i="14"/>
  <c r="N638" i="14"/>
  <c r="K631" i="14"/>
  <c r="M637" i="14"/>
  <c r="L633" i="14"/>
  <c r="M632" i="14"/>
  <c r="M634" i="14"/>
  <c r="M625" i="14"/>
  <c r="K638" i="14"/>
  <c r="K637" i="14"/>
  <c r="M633" i="14"/>
  <c r="N629" i="14"/>
  <c r="L628" i="14"/>
  <c r="N625" i="14"/>
  <c r="D12" i="19"/>
  <c r="J12" i="19"/>
  <c r="F12" i="19"/>
  <c r="AY20" i="19"/>
  <c r="AY16" i="19"/>
  <c r="AM33" i="19"/>
  <c r="AY13" i="19"/>
  <c r="AM32" i="19"/>
  <c r="AG35" i="19"/>
  <c r="AG30" i="19"/>
  <c r="AC27" i="19"/>
  <c r="AC21" i="19"/>
  <c r="AC14" i="19"/>
  <c r="AU20" i="19"/>
  <c r="AU13" i="19"/>
  <c r="AC36" i="19"/>
  <c r="AC30" i="19"/>
  <c r="AC22" i="19"/>
  <c r="AC18" i="19"/>
  <c r="AG13" i="19"/>
  <c r="AU17" i="19"/>
  <c r="AG36" i="19"/>
  <c r="AC32" i="19"/>
  <c r="AC26" i="19"/>
  <c r="AC23" i="19"/>
  <c r="AG17" i="19"/>
  <c r="AC13" i="19"/>
  <c r="AU16" i="19"/>
  <c r="AC37" i="19"/>
  <c r="AC31" i="19"/>
  <c r="AG26" i="19"/>
  <c r="AG21" i="19"/>
  <c r="AC17" i="19"/>
  <c r="AU21" i="19"/>
  <c r="AU12" i="19"/>
  <c r="AY12" i="19"/>
  <c r="M627" i="14"/>
  <c r="L632" i="14"/>
  <c r="K632" i="14"/>
  <c r="N630" i="14"/>
  <c r="L625" i="14"/>
  <c r="L637" i="14"/>
  <c r="K633" i="14"/>
  <c r="J160" i="14"/>
  <c r="AT21" i="19" s="1"/>
  <c r="AF30" i="19" s="1"/>
  <c r="K635" i="14"/>
  <c r="L630" i="14"/>
  <c r="L627" i="14"/>
  <c r="K629" i="14"/>
  <c r="M635" i="14"/>
  <c r="N627" i="14"/>
  <c r="L638" i="14"/>
  <c r="L636" i="14"/>
  <c r="K634" i="14"/>
  <c r="M629" i="14"/>
  <c r="N634" i="14"/>
  <c r="K627" i="14"/>
  <c r="J106" i="14"/>
  <c r="AT13" i="19" s="1"/>
  <c r="J265" i="14"/>
  <c r="L1179" i="14"/>
  <c r="I1177" i="14"/>
  <c r="I1178" i="14"/>
  <c r="M1179" i="14"/>
  <c r="I1176" i="14"/>
  <c r="J135" i="14"/>
  <c r="J18" i="14"/>
  <c r="AX12" i="19" s="1"/>
  <c r="J1175" i="14"/>
  <c r="J1158" i="14"/>
  <c r="I1183" i="14"/>
  <c r="I1182" i="14"/>
  <c r="I1181" i="14"/>
  <c r="I1179" i="14"/>
  <c r="I1174" i="14"/>
  <c r="I1180" i="14"/>
  <c r="I1175" i="14"/>
  <c r="I1173" i="14"/>
  <c r="I1066" i="14"/>
  <c r="I1067" i="14"/>
  <c r="I1118" i="14"/>
  <c r="I1116" i="14"/>
  <c r="I1114" i="14"/>
  <c r="I1112" i="14"/>
  <c r="I1110" i="14"/>
  <c r="I1109" i="14"/>
  <c r="I1120" i="14"/>
  <c r="I1119" i="14"/>
  <c r="I1117" i="14"/>
  <c r="I1115" i="14"/>
  <c r="I1113" i="14"/>
  <c r="I1111" i="14"/>
  <c r="M1087" i="14"/>
  <c r="M1100" i="14"/>
  <c r="L1090" i="14"/>
  <c r="L1103" i="14"/>
  <c r="M1092" i="14"/>
  <c r="M1105" i="14"/>
  <c r="M1084" i="14"/>
  <c r="M1097" i="14"/>
  <c r="L1089" i="14"/>
  <c r="L1102" i="14"/>
  <c r="L1088" i="14"/>
  <c r="L1101" i="14"/>
  <c r="I1107" i="14"/>
  <c r="I1106" i="14"/>
  <c r="I1105" i="14"/>
  <c r="I1104" i="14"/>
  <c r="I1103" i="14"/>
  <c r="I1102" i="14"/>
  <c r="I1101" i="14"/>
  <c r="I1100" i="14"/>
  <c r="I1099" i="14"/>
  <c r="I1098" i="14"/>
  <c r="I1097" i="14"/>
  <c r="I1096" i="14"/>
  <c r="M1086" i="14"/>
  <c r="M1099" i="14"/>
  <c r="L1087" i="14"/>
  <c r="L1100" i="14"/>
  <c r="L1086" i="14"/>
  <c r="L1099" i="14"/>
  <c r="L1092" i="14"/>
  <c r="L1105" i="14"/>
  <c r="M1088" i="14"/>
  <c r="M1101" i="14"/>
  <c r="M1089" i="14"/>
  <c r="M1102" i="14"/>
  <c r="L1085" i="14"/>
  <c r="L1098" i="14"/>
  <c r="M1090" i="14"/>
  <c r="M1103" i="14"/>
  <c r="J1078" i="14"/>
  <c r="K1090" i="14"/>
  <c r="J1074" i="14"/>
  <c r="K1086" i="14"/>
  <c r="J1080" i="14"/>
  <c r="K1092" i="14"/>
  <c r="J1076" i="14"/>
  <c r="K1088" i="14"/>
  <c r="K1084" i="14"/>
  <c r="I1094" i="14"/>
  <c r="I1092" i="14"/>
  <c r="I1090" i="14"/>
  <c r="I1088" i="14"/>
  <c r="I1086" i="14"/>
  <c r="I1084" i="14"/>
  <c r="I1093" i="14"/>
  <c r="I1091" i="14"/>
  <c r="I1089" i="14"/>
  <c r="I1087" i="14"/>
  <c r="I1085" i="14"/>
  <c r="I1083" i="14"/>
  <c r="J1073" i="14"/>
  <c r="K1085" i="14"/>
  <c r="J1077" i="14"/>
  <c r="K1089" i="14"/>
  <c r="I1079" i="14"/>
  <c r="I1077" i="14"/>
  <c r="I1075" i="14"/>
  <c r="I1073" i="14"/>
  <c r="I1071" i="14"/>
  <c r="I1080" i="14"/>
  <c r="I1078" i="14"/>
  <c r="I1076" i="14"/>
  <c r="I1074" i="14"/>
  <c r="I1072" i="14"/>
  <c r="I240" i="14"/>
  <c r="I238" i="14"/>
  <c r="I236" i="14"/>
  <c r="I234" i="14"/>
  <c r="I232" i="14"/>
  <c r="I230" i="14"/>
  <c r="I229" i="14"/>
  <c r="I241" i="14"/>
  <c r="I239" i="14"/>
  <c r="I237" i="14"/>
  <c r="I235" i="14"/>
  <c r="I233" i="14"/>
  <c r="I231" i="14"/>
  <c r="I576" i="14"/>
  <c r="I574" i="14"/>
  <c r="I572" i="14"/>
  <c r="I570" i="14"/>
  <c r="I568" i="14"/>
  <c r="I566" i="14"/>
  <c r="I577" i="14"/>
  <c r="I575" i="14"/>
  <c r="I573" i="14"/>
  <c r="I571" i="14"/>
  <c r="I569" i="14"/>
  <c r="I567" i="14"/>
  <c r="I565" i="14"/>
  <c r="I1128" i="14"/>
  <c r="I1129" i="14"/>
  <c r="I1063" i="14"/>
  <c r="I1061" i="14"/>
  <c r="I1058" i="14"/>
  <c r="I1052" i="14"/>
  <c r="I1046" i="14"/>
  <c r="I1040" i="14"/>
  <c r="I1034" i="14"/>
  <c r="I1062" i="14"/>
  <c r="I1060" i="14"/>
  <c r="I1054" i="14"/>
  <c r="I1048" i="14"/>
  <c r="I1042" i="14"/>
  <c r="I1036" i="14"/>
  <c r="I1055" i="14"/>
  <c r="I1049" i="14"/>
  <c r="I1031" i="14"/>
  <c r="I1043" i="14"/>
  <c r="I1037" i="14"/>
  <c r="I924" i="14"/>
  <c r="I911" i="14"/>
  <c r="I910" i="14"/>
  <c r="I909" i="14"/>
  <c r="I908" i="14"/>
  <c r="I907" i="14"/>
  <c r="I906" i="14"/>
  <c r="I905" i="14"/>
  <c r="I904" i="14"/>
  <c r="I903" i="14"/>
  <c r="I902" i="14"/>
  <c r="I901" i="14"/>
  <c r="I900" i="14"/>
  <c r="I925" i="14"/>
  <c r="I923" i="14"/>
  <c r="I922" i="14"/>
  <c r="I921" i="14"/>
  <c r="I920" i="14"/>
  <c r="I919" i="14"/>
  <c r="I918" i="14"/>
  <c r="I917" i="14"/>
  <c r="I916" i="14"/>
  <c r="I915" i="14"/>
  <c r="I914" i="14"/>
  <c r="I913" i="14"/>
  <c r="I912" i="14"/>
  <c r="I899" i="14"/>
  <c r="I898" i="14"/>
  <c r="I715" i="14"/>
  <c r="I714" i="14"/>
  <c r="I713" i="14"/>
  <c r="I712" i="14"/>
  <c r="I711" i="14"/>
  <c r="I710" i="14"/>
  <c r="I709" i="14"/>
  <c r="I708" i="14"/>
  <c r="I707" i="14"/>
  <c r="I706" i="14"/>
  <c r="I705" i="14"/>
  <c r="I704" i="14"/>
  <c r="I703" i="14"/>
  <c r="I702" i="14"/>
  <c r="I729" i="14"/>
  <c r="I728" i="14"/>
  <c r="I727" i="14"/>
  <c r="I726" i="14"/>
  <c r="I725" i="14"/>
  <c r="I724" i="14"/>
  <c r="I723" i="14"/>
  <c r="I722" i="14"/>
  <c r="I721" i="14"/>
  <c r="I720" i="14"/>
  <c r="I719" i="14"/>
  <c r="I718" i="14"/>
  <c r="I717" i="14"/>
  <c r="I716" i="14"/>
  <c r="I869" i="14"/>
  <c r="I868" i="14"/>
  <c r="I867" i="14"/>
  <c r="I866" i="14"/>
  <c r="I865" i="14"/>
  <c r="I864" i="14"/>
  <c r="I863" i="14"/>
  <c r="I862" i="14"/>
  <c r="I861" i="14"/>
  <c r="I860" i="14"/>
  <c r="I859" i="14"/>
  <c r="I858" i="14"/>
  <c r="I857" i="14"/>
  <c r="I856" i="14"/>
  <c r="I855" i="14"/>
  <c r="I854" i="14"/>
  <c r="I853" i="14"/>
  <c r="I852" i="14"/>
  <c r="I851" i="14"/>
  <c r="I850" i="14"/>
  <c r="I849" i="14"/>
  <c r="I848" i="14"/>
  <c r="I847" i="14"/>
  <c r="I846" i="14"/>
  <c r="I845" i="14"/>
  <c r="I844" i="14"/>
  <c r="I843" i="14"/>
  <c r="I842" i="14"/>
  <c r="I757" i="14"/>
  <c r="I756" i="14"/>
  <c r="I755" i="14"/>
  <c r="I754" i="14"/>
  <c r="I753" i="14"/>
  <c r="I752" i="14"/>
  <c r="I751" i="14"/>
  <c r="I750" i="14"/>
  <c r="I749" i="14"/>
  <c r="I748" i="14"/>
  <c r="I747" i="14"/>
  <c r="I746" i="14"/>
  <c r="I745" i="14"/>
  <c r="I744" i="14"/>
  <c r="I785" i="14"/>
  <c r="I784" i="14"/>
  <c r="I783" i="14"/>
  <c r="I782" i="14"/>
  <c r="I781" i="14"/>
  <c r="I780" i="14"/>
  <c r="I779" i="14"/>
  <c r="I778" i="14"/>
  <c r="I777" i="14"/>
  <c r="I776" i="14"/>
  <c r="I775" i="14"/>
  <c r="I774" i="14"/>
  <c r="I773" i="14"/>
  <c r="I772" i="14"/>
  <c r="I897" i="14"/>
  <c r="I895" i="14"/>
  <c r="I893" i="14"/>
  <c r="I891" i="14"/>
  <c r="I889" i="14"/>
  <c r="I887" i="14"/>
  <c r="I884" i="14"/>
  <c r="I882" i="14"/>
  <c r="I880" i="14"/>
  <c r="I878" i="14"/>
  <c r="I876" i="14"/>
  <c r="I874" i="14"/>
  <c r="I872" i="14"/>
  <c r="I871" i="14"/>
  <c r="I896" i="14"/>
  <c r="I894" i="14"/>
  <c r="I892" i="14"/>
  <c r="I890" i="14"/>
  <c r="I888" i="14"/>
  <c r="I886" i="14"/>
  <c r="I885" i="14"/>
  <c r="I883" i="14"/>
  <c r="I881" i="14"/>
  <c r="I879" i="14"/>
  <c r="I877" i="14"/>
  <c r="I875" i="14"/>
  <c r="I873" i="14"/>
  <c r="I870" i="14"/>
  <c r="I832" i="14"/>
  <c r="I834" i="14"/>
  <c r="I836" i="14"/>
  <c r="I838" i="14"/>
  <c r="I840" i="14"/>
  <c r="I829" i="14"/>
  <c r="I828" i="14"/>
  <c r="I831" i="14"/>
  <c r="I833" i="14"/>
  <c r="I835" i="14"/>
  <c r="I837" i="14"/>
  <c r="I839" i="14"/>
  <c r="I841" i="14"/>
  <c r="I830" i="14"/>
  <c r="I771" i="14"/>
  <c r="I770" i="14"/>
  <c r="I769" i="14"/>
  <c r="I768" i="14"/>
  <c r="I767" i="14"/>
  <c r="I766" i="14"/>
  <c r="I765" i="14"/>
  <c r="I764" i="14"/>
  <c r="I763" i="14"/>
  <c r="I762" i="14"/>
  <c r="I761" i="14"/>
  <c r="I760" i="14"/>
  <c r="I759" i="14"/>
  <c r="I758" i="14"/>
  <c r="I743" i="14"/>
  <c r="I742" i="14"/>
  <c r="I741" i="14"/>
  <c r="I740" i="14"/>
  <c r="I739" i="14"/>
  <c r="I738" i="14"/>
  <c r="I737" i="14"/>
  <c r="I736" i="14"/>
  <c r="I735" i="14"/>
  <c r="I734" i="14"/>
  <c r="I733" i="14"/>
  <c r="I732" i="14"/>
  <c r="I731" i="14"/>
  <c r="I730" i="14"/>
  <c r="I701" i="14"/>
  <c r="I700" i="14"/>
  <c r="I699" i="14"/>
  <c r="I698" i="14"/>
  <c r="I697" i="14"/>
  <c r="I696" i="14"/>
  <c r="I695" i="14"/>
  <c r="I694" i="14"/>
  <c r="I693" i="14"/>
  <c r="I692" i="14"/>
  <c r="I691" i="14"/>
  <c r="I690" i="14"/>
  <c r="I689" i="14"/>
  <c r="I688" i="14"/>
  <c r="I687" i="14"/>
  <c r="I686" i="14"/>
  <c r="I685" i="14"/>
  <c r="I684" i="14"/>
  <c r="I683" i="14"/>
  <c r="I682" i="14"/>
  <c r="I681" i="14"/>
  <c r="I680" i="14"/>
  <c r="I679" i="14"/>
  <c r="I678" i="14"/>
  <c r="I677" i="14"/>
  <c r="I676" i="14"/>
  <c r="I675" i="14"/>
  <c r="I674" i="14"/>
  <c r="I186" i="14"/>
  <c r="I185" i="14"/>
  <c r="I184" i="14"/>
  <c r="I183" i="14"/>
  <c r="I182" i="14"/>
  <c r="I181" i="14"/>
  <c r="I180" i="14"/>
  <c r="I179" i="14"/>
  <c r="I178" i="14"/>
  <c r="I177" i="14"/>
  <c r="I176" i="14"/>
  <c r="I175" i="14"/>
  <c r="I673" i="14"/>
  <c r="I671" i="14"/>
  <c r="I669" i="14"/>
  <c r="I667" i="14"/>
  <c r="I665" i="14"/>
  <c r="I663" i="14"/>
  <c r="I661" i="14"/>
  <c r="I660" i="14"/>
  <c r="I672" i="14"/>
  <c r="I670" i="14"/>
  <c r="I668" i="14"/>
  <c r="I666" i="14"/>
  <c r="I664" i="14"/>
  <c r="I662" i="14"/>
  <c r="I612" i="14"/>
  <c r="I657" i="14"/>
  <c r="I652" i="14"/>
  <c r="I649" i="14"/>
  <c r="I636" i="14"/>
  <c r="I633" i="14"/>
  <c r="I630" i="14"/>
  <c r="I627" i="14"/>
  <c r="I625" i="14"/>
  <c r="I653" i="14"/>
  <c r="I626" i="14"/>
  <c r="I658" i="14"/>
  <c r="I650" i="14"/>
  <c r="I659" i="14"/>
  <c r="I654" i="14"/>
  <c r="I651" i="14"/>
  <c r="I647" i="14"/>
  <c r="I635" i="14"/>
  <c r="I632" i="14"/>
  <c r="I629" i="14"/>
  <c r="I656" i="14"/>
  <c r="I648" i="14"/>
  <c r="I638" i="14"/>
  <c r="I634" i="14"/>
  <c r="I628" i="14"/>
  <c r="I655" i="14"/>
  <c r="I646" i="14"/>
  <c r="I637" i="14"/>
  <c r="I631" i="14"/>
  <c r="I621" i="14"/>
  <c r="I617" i="14"/>
  <c r="I613" i="14"/>
  <c r="I623" i="14"/>
  <c r="I619" i="14"/>
  <c r="I615" i="14"/>
  <c r="I624" i="14"/>
  <c r="I620" i="14"/>
  <c r="I616" i="14"/>
  <c r="I611" i="14"/>
  <c r="I622" i="14"/>
  <c r="I618" i="14"/>
  <c r="I614" i="14"/>
  <c r="K255" i="14"/>
  <c r="I318" i="14"/>
  <c r="I564" i="14"/>
  <c r="I562" i="14"/>
  <c r="I560" i="14"/>
  <c r="I558" i="14"/>
  <c r="I556" i="14"/>
  <c r="I554" i="14"/>
  <c r="I552" i="14"/>
  <c r="I563" i="14"/>
  <c r="I561" i="14"/>
  <c r="I559" i="14"/>
  <c r="I557" i="14"/>
  <c r="I555" i="14"/>
  <c r="I553" i="14"/>
  <c r="I538" i="14"/>
  <c r="N473" i="14"/>
  <c r="N472" i="14" s="1"/>
  <c r="N459" i="14"/>
  <c r="N1162" i="14" s="1"/>
  <c r="M279" i="14"/>
  <c r="M319" i="14" s="1"/>
  <c r="M255" i="14"/>
  <c r="M473" i="14"/>
  <c r="M472" i="14" s="1"/>
  <c r="M459" i="14"/>
  <c r="M1162" i="14" s="1"/>
  <c r="L473" i="14"/>
  <c r="L472" i="14" s="1"/>
  <c r="L459" i="14"/>
  <c r="L1162" i="14" s="1"/>
  <c r="N255" i="14"/>
  <c r="K473" i="14"/>
  <c r="K459" i="14"/>
  <c r="K1162" i="14" s="1"/>
  <c r="L279" i="14"/>
  <c r="L292" i="14" s="1"/>
  <c r="L255" i="14"/>
  <c r="K292" i="14"/>
  <c r="K305" i="14" s="1"/>
  <c r="K133" i="14"/>
  <c r="K1174" i="14" s="1"/>
  <c r="J1174" i="14" s="1"/>
  <c r="J460" i="14"/>
  <c r="I106" i="14"/>
  <c r="I160" i="14"/>
  <c r="J466" i="14"/>
  <c r="J479" i="14"/>
  <c r="J471" i="14"/>
  <c r="J484" i="14"/>
  <c r="J461" i="14"/>
  <c r="J474" i="14"/>
  <c r="I485" i="14"/>
  <c r="I484" i="14"/>
  <c r="I482" i="14"/>
  <c r="I480" i="14"/>
  <c r="I478" i="14"/>
  <c r="I476" i="14"/>
  <c r="I474" i="14"/>
  <c r="I483" i="14"/>
  <c r="I481" i="14"/>
  <c r="I479" i="14"/>
  <c r="I477" i="14"/>
  <c r="I475" i="14"/>
  <c r="I473" i="14"/>
  <c r="I131" i="14"/>
  <c r="I129" i="14"/>
  <c r="I127" i="14"/>
  <c r="I125" i="14"/>
  <c r="I123" i="14"/>
  <c r="I121" i="14"/>
  <c r="I119" i="14"/>
  <c r="I130" i="14"/>
  <c r="I128" i="14"/>
  <c r="I126" i="14"/>
  <c r="I124" i="14"/>
  <c r="I122" i="14"/>
  <c r="I120" i="14"/>
  <c r="J445" i="14"/>
  <c r="AB30" i="19" s="1"/>
  <c r="I511" i="14"/>
  <c r="I523" i="14"/>
  <c r="I521" i="14"/>
  <c r="I519" i="14"/>
  <c r="I517" i="14"/>
  <c r="I515" i="14"/>
  <c r="I513" i="14"/>
  <c r="I522" i="14"/>
  <c r="I520" i="14"/>
  <c r="I518" i="14"/>
  <c r="I516" i="14"/>
  <c r="I514" i="14"/>
  <c r="I512" i="14"/>
  <c r="I535" i="14"/>
  <c r="I533" i="14"/>
  <c r="I531" i="14"/>
  <c r="I529" i="14"/>
  <c r="I527" i="14"/>
  <c r="I525" i="14"/>
  <c r="I536" i="14"/>
  <c r="I534" i="14"/>
  <c r="I532" i="14"/>
  <c r="I530" i="14"/>
  <c r="I528" i="14"/>
  <c r="I526" i="14"/>
  <c r="I524" i="14"/>
  <c r="I509" i="14"/>
  <c r="I507" i="14"/>
  <c r="I505" i="14"/>
  <c r="I503" i="14"/>
  <c r="I501" i="14"/>
  <c r="I499" i="14"/>
  <c r="I510" i="14"/>
  <c r="I508" i="14"/>
  <c r="I506" i="14"/>
  <c r="I504" i="14"/>
  <c r="I502" i="14"/>
  <c r="I500" i="14"/>
  <c r="I498" i="14"/>
  <c r="I497" i="14"/>
  <c r="I493" i="14"/>
  <c r="I489" i="14"/>
  <c r="I463" i="14"/>
  <c r="I467" i="14"/>
  <c r="I457" i="14"/>
  <c r="I453" i="14"/>
  <c r="I449" i="14"/>
  <c r="I445" i="14"/>
  <c r="I494" i="14"/>
  <c r="I450" i="14"/>
  <c r="I496" i="14"/>
  <c r="I492" i="14"/>
  <c r="I488" i="14"/>
  <c r="I471" i="14"/>
  <c r="I464" i="14"/>
  <c r="I468" i="14"/>
  <c r="I460" i="14"/>
  <c r="I456" i="14"/>
  <c r="I452" i="14"/>
  <c r="I448" i="14"/>
  <c r="I495" i="14"/>
  <c r="I491" i="14"/>
  <c r="I487" i="14"/>
  <c r="I461" i="14"/>
  <c r="I465" i="14"/>
  <c r="I469" i="14"/>
  <c r="I459" i="14"/>
  <c r="I455" i="14"/>
  <c r="I451" i="14"/>
  <c r="I447" i="14"/>
  <c r="I490" i="14"/>
  <c r="I486" i="14"/>
  <c r="I462" i="14"/>
  <c r="I466" i="14"/>
  <c r="I470" i="14"/>
  <c r="I454" i="14"/>
  <c r="I446" i="14"/>
  <c r="I388" i="14"/>
  <c r="I386" i="14"/>
  <c r="I384" i="14"/>
  <c r="I382" i="14"/>
  <c r="I380" i="14"/>
  <c r="I378" i="14"/>
  <c r="I376" i="14"/>
  <c r="I387" i="14"/>
  <c r="I385" i="14"/>
  <c r="I383" i="14"/>
  <c r="I381" i="14"/>
  <c r="I379" i="14"/>
  <c r="I377" i="14"/>
  <c r="I435" i="14"/>
  <c r="I431" i="14"/>
  <c r="I427" i="14"/>
  <c r="I438" i="14"/>
  <c r="I434" i="14"/>
  <c r="I430" i="14"/>
  <c r="I426" i="14"/>
  <c r="I437" i="14"/>
  <c r="I433" i="14"/>
  <c r="I429" i="14"/>
  <c r="I436" i="14"/>
  <c r="I432" i="14"/>
  <c r="I428" i="14"/>
  <c r="J264" i="14"/>
  <c r="J266" i="14"/>
  <c r="N330" i="14"/>
  <c r="N348" i="14" s="1"/>
  <c r="L328" i="14"/>
  <c r="L346" i="14" s="1"/>
  <c r="I421" i="14"/>
  <c r="I417" i="14"/>
  <c r="I413" i="14"/>
  <c r="I423" i="14"/>
  <c r="I419" i="14"/>
  <c r="I415" i="14"/>
  <c r="I422" i="14"/>
  <c r="I418" i="14"/>
  <c r="I414" i="14"/>
  <c r="I424" i="14"/>
  <c r="I420" i="14"/>
  <c r="I416" i="14"/>
  <c r="I412" i="14"/>
  <c r="K319" i="14"/>
  <c r="M330" i="14"/>
  <c r="M348" i="14" s="1"/>
  <c r="L330" i="14"/>
  <c r="L348" i="14" s="1"/>
  <c r="L361" i="14" s="1"/>
  <c r="J258" i="14"/>
  <c r="N294" i="14"/>
  <c r="N307" i="14" s="1"/>
  <c r="N321" i="14"/>
  <c r="N339" i="14" s="1"/>
  <c r="N296" i="14"/>
  <c r="N323" i="14"/>
  <c r="N341" i="14" s="1"/>
  <c r="M281" i="14"/>
  <c r="L283" i="14"/>
  <c r="L296" i="14" s="1"/>
  <c r="L309" i="14" s="1"/>
  <c r="M282" i="14"/>
  <c r="M322" i="14" s="1"/>
  <c r="N289" i="14"/>
  <c r="N302" i="14" s="1"/>
  <c r="N315" i="14" s="1"/>
  <c r="M286" i="14"/>
  <c r="M326" i="14" s="1"/>
  <c r="L287" i="14"/>
  <c r="L300" i="14" s="1"/>
  <c r="L313" i="14" s="1"/>
  <c r="L299" i="14"/>
  <c r="M316" i="14"/>
  <c r="M302" i="14"/>
  <c r="M315" i="14" s="1"/>
  <c r="L393" i="14"/>
  <c r="L416" i="14" s="1"/>
  <c r="L430" i="14" s="1"/>
  <c r="L353" i="14"/>
  <c r="L380" i="14" s="1"/>
  <c r="L367" i="14"/>
  <c r="N285" i="14"/>
  <c r="N298" i="14" s="1"/>
  <c r="N311" i="14" s="1"/>
  <c r="L280" i="14"/>
  <c r="M288" i="14"/>
  <c r="M301" i="14" s="1"/>
  <c r="M314" i="14" s="1"/>
  <c r="L285" i="14"/>
  <c r="L284" i="14"/>
  <c r="L301" i="14"/>
  <c r="L314" i="14" s="1"/>
  <c r="N299" i="14"/>
  <c r="N312" i="14" s="1"/>
  <c r="N328" i="14"/>
  <c r="M329" i="14"/>
  <c r="L295" i="14"/>
  <c r="L316" i="14"/>
  <c r="L302" i="14"/>
  <c r="L315" i="14" s="1"/>
  <c r="N282" i="14"/>
  <c r="N322" i="14" s="1"/>
  <c r="M285" i="14"/>
  <c r="M325" i="14" s="1"/>
  <c r="M287" i="14"/>
  <c r="M300" i="14" s="1"/>
  <c r="N287" i="14"/>
  <c r="N300" i="14" s="1"/>
  <c r="N313" i="14" s="1"/>
  <c r="N344" i="14"/>
  <c r="L347" i="14"/>
  <c r="N284" i="14"/>
  <c r="N297" i="14" s="1"/>
  <c r="N310" i="14" s="1"/>
  <c r="N279" i="14"/>
  <c r="J279" i="14" s="1"/>
  <c r="M284" i="14"/>
  <c r="M297" i="14" s="1"/>
  <c r="M310" i="14" s="1"/>
  <c r="L326" i="14"/>
  <c r="L344" i="14" s="1"/>
  <c r="N320" i="14"/>
  <c r="L281" i="14"/>
  <c r="L321" i="14" s="1"/>
  <c r="M320" i="14"/>
  <c r="M323" i="14"/>
  <c r="I399" i="14"/>
  <c r="I395" i="14"/>
  <c r="I391" i="14"/>
  <c r="I398" i="14"/>
  <c r="I394" i="14"/>
  <c r="I390" i="14"/>
  <c r="I401" i="14"/>
  <c r="I397" i="14"/>
  <c r="I393" i="14"/>
  <c r="I389" i="14"/>
  <c r="I400" i="14"/>
  <c r="I396" i="14"/>
  <c r="I392" i="14"/>
  <c r="K329" i="14"/>
  <c r="I368" i="14"/>
  <c r="I372" i="14"/>
  <c r="I364" i="14"/>
  <c r="I365" i="14"/>
  <c r="I369" i="14"/>
  <c r="I373" i="14"/>
  <c r="I363" i="14"/>
  <c r="I366" i="14"/>
  <c r="I370" i="14"/>
  <c r="I374" i="14"/>
  <c r="I367" i="14"/>
  <c r="I371" i="14"/>
  <c r="I375" i="14"/>
  <c r="K321" i="14"/>
  <c r="J257" i="14"/>
  <c r="K322" i="14"/>
  <c r="K327" i="14"/>
  <c r="I361" i="14"/>
  <c r="I357" i="14"/>
  <c r="I353" i="14"/>
  <c r="I348" i="14"/>
  <c r="I344" i="14"/>
  <c r="I340" i="14"/>
  <c r="I360" i="14"/>
  <c r="I356" i="14"/>
  <c r="I352" i="14"/>
  <c r="I347" i="14"/>
  <c r="I343" i="14"/>
  <c r="I339" i="14"/>
  <c r="I359" i="14"/>
  <c r="I355" i="14"/>
  <c r="I351" i="14"/>
  <c r="I346" i="14"/>
  <c r="I342" i="14"/>
  <c r="I338" i="14"/>
  <c r="I358" i="14"/>
  <c r="I354" i="14"/>
  <c r="I336" i="14"/>
  <c r="I345" i="14"/>
  <c r="I341" i="14"/>
  <c r="I337" i="14"/>
  <c r="K323" i="14"/>
  <c r="K328" i="14"/>
  <c r="I350" i="14"/>
  <c r="I349" i="14"/>
  <c r="I331" i="14"/>
  <c r="J261" i="14"/>
  <c r="K284" i="14"/>
  <c r="K297" i="14" s="1"/>
  <c r="J262" i="14"/>
  <c r="K285" i="14"/>
  <c r="K298" i="14" s="1"/>
  <c r="K290" i="14"/>
  <c r="K330" i="14" s="1"/>
  <c r="J263" i="14"/>
  <c r="K286" i="14"/>
  <c r="K299" i="14" s="1"/>
  <c r="K280" i="14"/>
  <c r="K293" i="14" s="1"/>
  <c r="I330" i="14"/>
  <c r="I328" i="14"/>
  <c r="I326" i="14"/>
  <c r="I324" i="14"/>
  <c r="I322" i="14"/>
  <c r="I320" i="14"/>
  <c r="I329" i="14"/>
  <c r="I327" i="14"/>
  <c r="I325" i="14"/>
  <c r="I323" i="14"/>
  <c r="I321" i="14"/>
  <c r="I319" i="14"/>
  <c r="I307" i="14"/>
  <c r="I311" i="14"/>
  <c r="I315" i="14"/>
  <c r="I292" i="14"/>
  <c r="I296" i="14"/>
  <c r="I300" i="14"/>
  <c r="I304" i="14"/>
  <c r="I308" i="14"/>
  <c r="I312" i="14"/>
  <c r="I316" i="14"/>
  <c r="I293" i="14"/>
  <c r="I297" i="14"/>
  <c r="I301" i="14"/>
  <c r="I305" i="14"/>
  <c r="I309" i="14"/>
  <c r="I313" i="14"/>
  <c r="I294" i="14"/>
  <c r="I298" i="14"/>
  <c r="I302" i="14"/>
  <c r="I306" i="14"/>
  <c r="I310" i="14"/>
  <c r="I314" i="14"/>
  <c r="I291" i="14"/>
  <c r="I295" i="14"/>
  <c r="I299" i="14"/>
  <c r="I303" i="14"/>
  <c r="J281" i="14"/>
  <c r="J288" i="14"/>
  <c r="J267" i="14"/>
  <c r="I285" i="14"/>
  <c r="I288" i="14"/>
  <c r="I284" i="14"/>
  <c r="I280" i="14"/>
  <c r="I268" i="14"/>
  <c r="I287" i="14"/>
  <c r="I283" i="14"/>
  <c r="I279" i="14"/>
  <c r="I290" i="14"/>
  <c r="I286" i="14"/>
  <c r="I282" i="14"/>
  <c r="I278" i="14"/>
  <c r="I289" i="14"/>
  <c r="I281" i="14"/>
  <c r="I267" i="14"/>
  <c r="I265" i="14"/>
  <c r="I263" i="14"/>
  <c r="I261" i="14"/>
  <c r="I259" i="14"/>
  <c r="I257" i="14"/>
  <c r="I255" i="14"/>
  <c r="I266" i="14"/>
  <c r="I264" i="14"/>
  <c r="I262" i="14"/>
  <c r="I260" i="14"/>
  <c r="I258" i="14"/>
  <c r="I256" i="14"/>
  <c r="I227" i="14"/>
  <c r="I223" i="14"/>
  <c r="I219" i="14"/>
  <c r="I215" i="14"/>
  <c r="I226" i="14"/>
  <c r="I222" i="14"/>
  <c r="I218" i="14"/>
  <c r="I225" i="14"/>
  <c r="I221" i="14"/>
  <c r="I217" i="14"/>
  <c r="I224" i="14"/>
  <c r="I220" i="14"/>
  <c r="I216" i="14"/>
  <c r="I133" i="14"/>
  <c r="I144" i="14"/>
  <c r="I140" i="14"/>
  <c r="I136" i="14"/>
  <c r="I171" i="14"/>
  <c r="I167" i="14"/>
  <c r="I163" i="14"/>
  <c r="I117" i="14"/>
  <c r="I113" i="14"/>
  <c r="I109" i="14"/>
  <c r="I143" i="14"/>
  <c r="I139" i="14"/>
  <c r="I135" i="14"/>
  <c r="I170" i="14"/>
  <c r="I166" i="14"/>
  <c r="I162" i="14"/>
  <c r="I116" i="14"/>
  <c r="I112" i="14"/>
  <c r="I108" i="14"/>
  <c r="I142" i="14"/>
  <c r="I138" i="14"/>
  <c r="I134" i="14"/>
  <c r="I169" i="14"/>
  <c r="I165" i="14"/>
  <c r="I161" i="14"/>
  <c r="I115" i="14"/>
  <c r="I111" i="14"/>
  <c r="I107" i="14"/>
  <c r="I145" i="14"/>
  <c r="I141" i="14"/>
  <c r="I137" i="14"/>
  <c r="I172" i="14"/>
  <c r="I168" i="14"/>
  <c r="I164" i="14"/>
  <c r="I118" i="14"/>
  <c r="I114" i="14"/>
  <c r="I110" i="14"/>
  <c r="J242" i="14"/>
  <c r="AM16" i="19" s="1"/>
  <c r="I156" i="14"/>
  <c r="I152" i="14"/>
  <c r="I148" i="14"/>
  <c r="I103" i="14"/>
  <c r="I99" i="14"/>
  <c r="I95" i="14"/>
  <c r="I254" i="14"/>
  <c r="I250" i="14"/>
  <c r="I246" i="14"/>
  <c r="I242" i="14"/>
  <c r="I205" i="14"/>
  <c r="I209" i="14"/>
  <c r="I155" i="14"/>
  <c r="I151" i="14"/>
  <c r="I147" i="14"/>
  <c r="I102" i="14"/>
  <c r="I98" i="14"/>
  <c r="I94" i="14"/>
  <c r="I253" i="14"/>
  <c r="I249" i="14"/>
  <c r="I245" i="14"/>
  <c r="I202" i="14"/>
  <c r="I206" i="14"/>
  <c r="I210" i="14"/>
  <c r="I158" i="14"/>
  <c r="I154" i="14"/>
  <c r="I150" i="14"/>
  <c r="I146" i="14"/>
  <c r="I101" i="14"/>
  <c r="I97" i="14"/>
  <c r="I93" i="14"/>
  <c r="I252" i="14"/>
  <c r="I248" i="14"/>
  <c r="I244" i="14"/>
  <c r="I203" i="14"/>
  <c r="I207" i="14"/>
  <c r="I211" i="14"/>
  <c r="I157" i="14"/>
  <c r="I153" i="14"/>
  <c r="I149" i="14"/>
  <c r="I104" i="14"/>
  <c r="I100" i="14"/>
  <c r="I96" i="14"/>
  <c r="I92" i="14"/>
  <c r="I251" i="14"/>
  <c r="I247" i="14"/>
  <c r="I243" i="14"/>
  <c r="I204" i="14"/>
  <c r="I208" i="14"/>
  <c r="I212" i="14"/>
  <c r="I200" i="14"/>
  <c r="I201" i="14"/>
  <c r="I198" i="14"/>
  <c r="I199" i="14"/>
  <c r="I188" i="14"/>
  <c r="I193" i="14"/>
  <c r="I191" i="14"/>
  <c r="I195" i="14"/>
  <c r="I192" i="14"/>
  <c r="I196" i="14"/>
  <c r="I189" i="14"/>
  <c r="I197" i="14"/>
  <c r="I190" i="14"/>
  <c r="I194" i="14"/>
  <c r="I20" i="14"/>
  <c r="I86" i="14"/>
  <c r="I84" i="14"/>
  <c r="I70" i="14"/>
  <c r="I28" i="14"/>
  <c r="I18" i="14"/>
  <c r="I44" i="14"/>
  <c r="I24" i="14"/>
  <c r="I74" i="14"/>
  <c r="I78" i="14"/>
  <c r="I82" i="14"/>
  <c r="I71" i="14"/>
  <c r="I75" i="14"/>
  <c r="I79" i="14"/>
  <c r="I72" i="14"/>
  <c r="I76" i="14"/>
  <c r="I80" i="14"/>
  <c r="I73" i="14"/>
  <c r="I77" i="14"/>
  <c r="I81" i="14"/>
  <c r="I85" i="14"/>
  <c r="I57" i="14"/>
  <c r="I27" i="14"/>
  <c r="I23" i="14"/>
  <c r="I19" i="14"/>
  <c r="I30" i="14"/>
  <c r="I26" i="14"/>
  <c r="I22" i="14"/>
  <c r="I87" i="14"/>
  <c r="I83" i="14"/>
  <c r="I31" i="14"/>
  <c r="I29" i="14"/>
  <c r="I25" i="14"/>
  <c r="I21" i="14"/>
  <c r="I58" i="14"/>
  <c r="I60" i="14"/>
  <c r="I62" i="14"/>
  <c r="I64" i="14"/>
  <c r="I66" i="14"/>
  <c r="I68" i="14"/>
  <c r="I59" i="14"/>
  <c r="I61" i="14"/>
  <c r="I63" i="14"/>
  <c r="I65" i="14"/>
  <c r="I67" i="14"/>
  <c r="I69" i="14"/>
  <c r="I45" i="14"/>
  <c r="I47" i="14"/>
  <c r="I49" i="14"/>
  <c r="I51" i="14"/>
  <c r="I53" i="14"/>
  <c r="I55" i="14"/>
  <c r="I46" i="14"/>
  <c r="I48" i="14"/>
  <c r="I50" i="14"/>
  <c r="I52" i="14"/>
  <c r="I54" i="14"/>
  <c r="I56" i="14"/>
  <c r="I32" i="14"/>
  <c r="I34" i="14"/>
  <c r="I36" i="14"/>
  <c r="I38" i="14"/>
  <c r="I40" i="14"/>
  <c r="I42" i="14"/>
  <c r="I33" i="14"/>
  <c r="I35" i="14"/>
  <c r="I37" i="14"/>
  <c r="I39" i="14"/>
  <c r="I41" i="14"/>
  <c r="I43" i="14"/>
  <c r="G25" i="21"/>
  <c r="R25" i="21"/>
  <c r="H20" i="21"/>
  <c r="M25" i="21"/>
  <c r="H25" i="21"/>
  <c r="F58" i="22" l="1"/>
  <c r="F146" i="22"/>
  <c r="E111" i="22"/>
  <c r="Q111" i="22" s="1"/>
  <c r="Q49" i="22"/>
  <c r="L70" i="21"/>
  <c r="J82" i="22" s="1"/>
  <c r="I67" i="21"/>
  <c r="G64" i="22" s="1"/>
  <c r="I72" i="21"/>
  <c r="G94" i="22" s="1"/>
  <c r="I69" i="21"/>
  <c r="G76" i="22" s="1"/>
  <c r="F78" i="22"/>
  <c r="I73" i="21"/>
  <c r="G100" i="22" s="1"/>
  <c r="F102" i="22"/>
  <c r="I68" i="21"/>
  <c r="G70" i="22" s="1"/>
  <c r="M114" i="22"/>
  <c r="M115" i="22"/>
  <c r="G115" i="22"/>
  <c r="G114" i="22"/>
  <c r="K115" i="22"/>
  <c r="K114" i="22"/>
  <c r="O115" i="22"/>
  <c r="O114" i="22"/>
  <c r="Q103" i="22"/>
  <c r="L79" i="22"/>
  <c r="J79" i="22"/>
  <c r="O75" i="22"/>
  <c r="O105" i="22"/>
  <c r="O109" i="22" s="1"/>
  <c r="M75" i="22"/>
  <c r="M79" i="22" s="1"/>
  <c r="M105" i="22"/>
  <c r="M109" i="22" s="1"/>
  <c r="G75" i="22"/>
  <c r="G79" i="22" s="1"/>
  <c r="G105" i="22"/>
  <c r="G108" i="22" s="1"/>
  <c r="K75" i="22"/>
  <c r="K79" i="22" s="1"/>
  <c r="K105" i="22"/>
  <c r="K108" i="22" s="1"/>
  <c r="E75" i="22"/>
  <c r="E78" i="22" s="1"/>
  <c r="E105" i="22"/>
  <c r="A67" i="21"/>
  <c r="A83" i="21" s="1"/>
  <c r="A99" i="21" s="1"/>
  <c r="B969" i="14"/>
  <c r="A76" i="21"/>
  <c r="A92" i="21" s="1"/>
  <c r="A108" i="21" s="1"/>
  <c r="B976" i="14"/>
  <c r="B974" i="14"/>
  <c r="A69" i="21"/>
  <c r="B971" i="14"/>
  <c r="A66" i="21"/>
  <c r="A82" i="21" s="1"/>
  <c r="A98" i="21" s="1"/>
  <c r="B968" i="14"/>
  <c r="A73" i="21"/>
  <c r="B975" i="14"/>
  <c r="A71" i="21"/>
  <c r="B973" i="14"/>
  <c r="A68" i="21"/>
  <c r="B970" i="14"/>
  <c r="S25" i="21"/>
  <c r="B943" i="14"/>
  <c r="A72" i="21"/>
  <c r="I66" i="21"/>
  <c r="I76" i="21"/>
  <c r="G118" i="22" s="1"/>
  <c r="F109" i="22"/>
  <c r="N108" i="22"/>
  <c r="P108" i="22"/>
  <c r="L108" i="22"/>
  <c r="H108" i="22"/>
  <c r="I108" i="22"/>
  <c r="J108" i="22"/>
  <c r="Q13" i="22"/>
  <c r="S20" i="21"/>
  <c r="J133" i="14"/>
  <c r="AT17" i="19" s="1"/>
  <c r="J634" i="14"/>
  <c r="J629" i="14"/>
  <c r="J635" i="14"/>
  <c r="J633" i="14"/>
  <c r="J627" i="14"/>
  <c r="J1173" i="14"/>
  <c r="J625" i="14"/>
  <c r="J638" i="14"/>
  <c r="J636" i="14"/>
  <c r="J637" i="14"/>
  <c r="J628" i="14"/>
  <c r="J631" i="14"/>
  <c r="J630" i="14"/>
  <c r="J632" i="14"/>
  <c r="K626" i="14"/>
  <c r="M626" i="14"/>
  <c r="L626" i="14"/>
  <c r="N626" i="14"/>
  <c r="J285" i="14"/>
  <c r="J282" i="14"/>
  <c r="J287" i="14"/>
  <c r="J289" i="14"/>
  <c r="K1179" i="14"/>
  <c r="J1162" i="14"/>
  <c r="J1179" i="14"/>
  <c r="L616" i="14"/>
  <c r="M1116" i="14"/>
  <c r="L1111" i="14"/>
  <c r="M1115" i="14"/>
  <c r="M1114" i="14"/>
  <c r="L1118" i="14"/>
  <c r="L1112" i="14"/>
  <c r="L1113" i="14"/>
  <c r="M1112" i="14"/>
  <c r="L1114" i="14"/>
  <c r="L1115" i="14"/>
  <c r="M1110" i="14"/>
  <c r="M1118" i="14"/>
  <c r="L1116" i="14"/>
  <c r="M1113" i="14"/>
  <c r="K1115" i="14"/>
  <c r="K1111" i="14"/>
  <c r="K1110" i="14"/>
  <c r="K1114" i="14"/>
  <c r="K1118" i="14"/>
  <c r="K1112" i="14"/>
  <c r="K1116" i="14"/>
  <c r="B937" i="14"/>
  <c r="B944" i="14"/>
  <c r="B942" i="14"/>
  <c r="B939" i="14"/>
  <c r="B953" i="14"/>
  <c r="B947" i="14"/>
  <c r="B959" i="14"/>
  <c r="B1021" i="14" s="1"/>
  <c r="B945" i="14"/>
  <c r="B940" i="14"/>
  <c r="B938" i="14"/>
  <c r="B954" i="14"/>
  <c r="B960" i="14"/>
  <c r="B1022" i="14" s="1"/>
  <c r="B952" i="14"/>
  <c r="L319" i="14"/>
  <c r="L337" i="14" s="1"/>
  <c r="J459" i="14"/>
  <c r="AB32" i="19" s="1"/>
  <c r="L305" i="14"/>
  <c r="L278" i="14"/>
  <c r="K278" i="14"/>
  <c r="M292" i="14"/>
  <c r="M278" i="14"/>
  <c r="K472" i="14"/>
  <c r="J473" i="14"/>
  <c r="J472" i="14" s="1"/>
  <c r="AB31" i="19" s="1"/>
  <c r="N292" i="14"/>
  <c r="J292" i="14" s="1"/>
  <c r="N278" i="14"/>
  <c r="L400" i="14"/>
  <c r="L423" i="14" s="1"/>
  <c r="L437" i="14" s="1"/>
  <c r="N394" i="14"/>
  <c r="N417" i="14" s="1"/>
  <c r="N431" i="14" s="1"/>
  <c r="L375" i="14"/>
  <c r="L388" i="14"/>
  <c r="N397" i="14"/>
  <c r="N420" i="14" s="1"/>
  <c r="N434" i="14" s="1"/>
  <c r="M401" i="14"/>
  <c r="M424" i="14" s="1"/>
  <c r="N401" i="14"/>
  <c r="N424" i="14" s="1"/>
  <c r="L399" i="14"/>
  <c r="L422" i="14" s="1"/>
  <c r="L436" i="14" s="1"/>
  <c r="M324" i="14"/>
  <c r="M342" i="14" s="1"/>
  <c r="L401" i="14"/>
  <c r="L424" i="14" s="1"/>
  <c r="K337" i="14"/>
  <c r="N319" i="14"/>
  <c r="J319" i="14" s="1"/>
  <c r="L327" i="14"/>
  <c r="L345" i="14" s="1"/>
  <c r="N329" i="14"/>
  <c r="N347" i="14" s="1"/>
  <c r="L323" i="14"/>
  <c r="L341" i="14" s="1"/>
  <c r="N327" i="14"/>
  <c r="N345" i="14" s="1"/>
  <c r="L339" i="14"/>
  <c r="N352" i="14"/>
  <c r="N366" i="14"/>
  <c r="M343" i="14"/>
  <c r="N346" i="14"/>
  <c r="L312" i="14"/>
  <c r="L298" i="14"/>
  <c r="L311" i="14" s="1"/>
  <c r="L293" i="14"/>
  <c r="L306" i="14" s="1"/>
  <c r="M344" i="14"/>
  <c r="M340" i="14"/>
  <c r="M294" i="14"/>
  <c r="M307" i="14" s="1"/>
  <c r="M341" i="14"/>
  <c r="N338" i="14"/>
  <c r="N324" i="14"/>
  <c r="L359" i="14"/>
  <c r="L386" i="14" s="1"/>
  <c r="L373" i="14"/>
  <c r="M327" i="14"/>
  <c r="N309" i="14"/>
  <c r="N295" i="14"/>
  <c r="N308" i="14" s="1"/>
  <c r="M337" i="14"/>
  <c r="L325" i="14"/>
  <c r="L320" i="14"/>
  <c r="N375" i="14"/>
  <c r="N361" i="14"/>
  <c r="M338" i="14"/>
  <c r="L397" i="14"/>
  <c r="L420" i="14" s="1"/>
  <c r="L434" i="14" s="1"/>
  <c r="L357" i="14"/>
  <c r="L384" i="14" s="1"/>
  <c r="L371" i="14"/>
  <c r="L360" i="14"/>
  <c r="L387" i="14" s="1"/>
  <c r="L374" i="14"/>
  <c r="N340" i="14"/>
  <c r="J340" i="14" s="1"/>
  <c r="L297" i="14"/>
  <c r="L310" i="14" s="1"/>
  <c r="M361" i="14"/>
  <c r="M388" i="14" s="1"/>
  <c r="M375" i="14"/>
  <c r="L308" i="14"/>
  <c r="L294" i="14"/>
  <c r="L307" i="14" s="1"/>
  <c r="N392" i="14"/>
  <c r="N415" i="14" s="1"/>
  <c r="N429" i="14" s="1"/>
  <c r="N371" i="14"/>
  <c r="N357" i="14"/>
  <c r="N354" i="14"/>
  <c r="N368" i="14"/>
  <c r="M298" i="14"/>
  <c r="M311" i="14" s="1"/>
  <c r="M347" i="14"/>
  <c r="L324" i="14"/>
  <c r="M328" i="14"/>
  <c r="N325" i="14"/>
  <c r="M313" i="14"/>
  <c r="M299" i="14"/>
  <c r="M312" i="14" s="1"/>
  <c r="M309" i="14"/>
  <c r="M295" i="14"/>
  <c r="M308" i="14" s="1"/>
  <c r="M321" i="14"/>
  <c r="K348" i="14"/>
  <c r="K346" i="14"/>
  <c r="K341" i="14"/>
  <c r="K345" i="14"/>
  <c r="K339" i="14"/>
  <c r="K340" i="14"/>
  <c r="K347" i="14"/>
  <c r="J255" i="14"/>
  <c r="J348" i="14"/>
  <c r="K326" i="14"/>
  <c r="K325" i="14"/>
  <c r="K324" i="14"/>
  <c r="K320" i="14"/>
  <c r="J286" i="14"/>
  <c r="J280" i="14"/>
  <c r="K303" i="14"/>
  <c r="K316" i="14" s="1"/>
  <c r="J290" i="14"/>
  <c r="J283" i="14"/>
  <c r="K314" i="14"/>
  <c r="J301" i="14"/>
  <c r="K315" i="14"/>
  <c r="J302" i="14"/>
  <c r="K306" i="14"/>
  <c r="J293" i="14"/>
  <c r="K308" i="14"/>
  <c r="J284" i="14"/>
  <c r="K312" i="14"/>
  <c r="J299" i="14"/>
  <c r="K309" i="14"/>
  <c r="J296" i="14"/>
  <c r="K313" i="14"/>
  <c r="J300" i="14"/>
  <c r="K307" i="14"/>
  <c r="J294" i="14"/>
  <c r="B9" i="14"/>
  <c r="B16" i="14"/>
  <c r="A19" i="18"/>
  <c r="A18" i="18"/>
  <c r="A17" i="18"/>
  <c r="A16" i="18"/>
  <c r="A15" i="18"/>
  <c r="A14" i="18"/>
  <c r="A13" i="18"/>
  <c r="A12" i="18"/>
  <c r="A11" i="18"/>
  <c r="A10" i="18"/>
  <c r="A9" i="18"/>
  <c r="B1349" i="14"/>
  <c r="B1348" i="14"/>
  <c r="B1347" i="14"/>
  <c r="B1346" i="14"/>
  <c r="B1345" i="14"/>
  <c r="B1344" i="14"/>
  <c r="B1343" i="14"/>
  <c r="B1342" i="14"/>
  <c r="B1341" i="14"/>
  <c r="B1336" i="14"/>
  <c r="B1335" i="14"/>
  <c r="B1334" i="14"/>
  <c r="B1333" i="14"/>
  <c r="B1332" i="14"/>
  <c r="B1331" i="14"/>
  <c r="B1330" i="14"/>
  <c r="B1329" i="14"/>
  <c r="B1328" i="14"/>
  <c r="B1323" i="14"/>
  <c r="B1322" i="14"/>
  <c r="B1321" i="14"/>
  <c r="B1320" i="14"/>
  <c r="B1319" i="14"/>
  <c r="B1318" i="14"/>
  <c r="B1317" i="14"/>
  <c r="B1316" i="14"/>
  <c r="B1315" i="14"/>
  <c r="B1310" i="14"/>
  <c r="B1309" i="14"/>
  <c r="B1308" i="14"/>
  <c r="B1307" i="14"/>
  <c r="B1306" i="14"/>
  <c r="B1305" i="14"/>
  <c r="B1304" i="14"/>
  <c r="B1303" i="14"/>
  <c r="B1302" i="14"/>
  <c r="B1301" i="14"/>
  <c r="B1296" i="14"/>
  <c r="B1294" i="14"/>
  <c r="B1293" i="14"/>
  <c r="B1292" i="14"/>
  <c r="N1291" i="14"/>
  <c r="N1292" i="14" s="1"/>
  <c r="M1291" i="14"/>
  <c r="M1292" i="14" s="1"/>
  <c r="L1291" i="14"/>
  <c r="L1292" i="14" s="1"/>
  <c r="K1291" i="14"/>
  <c r="K1292" i="14" s="1"/>
  <c r="J1291" i="14"/>
  <c r="B1291" i="14"/>
  <c r="B1290" i="14"/>
  <c r="B1289" i="14"/>
  <c r="B1288" i="14"/>
  <c r="B1287" i="14"/>
  <c r="N1286" i="14"/>
  <c r="M1286" i="14"/>
  <c r="L1286" i="14"/>
  <c r="K1286" i="14"/>
  <c r="J1286" i="14"/>
  <c r="N1285" i="14"/>
  <c r="N1297" i="14" s="1"/>
  <c r="M1285" i="14"/>
  <c r="M1297" i="14" s="1"/>
  <c r="L1285" i="14"/>
  <c r="L1297" i="14" s="1"/>
  <c r="K1285" i="14"/>
  <c r="K1297" i="14" s="1"/>
  <c r="J1285" i="14"/>
  <c r="N1284" i="14"/>
  <c r="N1296" i="14" s="1"/>
  <c r="M1284" i="14"/>
  <c r="M1296" i="14" s="1"/>
  <c r="L1284" i="14"/>
  <c r="L1296" i="14" s="1"/>
  <c r="K1284" i="14"/>
  <c r="K1296" i="14" s="1"/>
  <c r="J1284" i="14"/>
  <c r="B1284" i="14"/>
  <c r="B1283" i="14"/>
  <c r="B1282" i="14"/>
  <c r="B1281" i="14"/>
  <c r="B1280" i="14"/>
  <c r="B1279" i="14"/>
  <c r="B1278" i="14"/>
  <c r="N1277" i="14"/>
  <c r="M1277" i="14"/>
  <c r="L1277" i="14"/>
  <c r="K1277" i="14"/>
  <c r="J1277" i="14"/>
  <c r="B1277" i="14"/>
  <c r="B1276" i="14"/>
  <c r="B1275" i="14"/>
  <c r="B1274" i="14"/>
  <c r="B1273" i="14"/>
  <c r="B1271" i="14"/>
  <c r="B1270" i="14"/>
  <c r="B1269" i="14"/>
  <c r="B1268" i="14"/>
  <c r="B1265" i="14"/>
  <c r="B1262" i="14"/>
  <c r="B1259" i="14"/>
  <c r="B1256" i="14"/>
  <c r="B1253" i="14"/>
  <c r="B1252" i="14"/>
  <c r="D1251" i="14"/>
  <c r="D1263" i="14" s="1"/>
  <c r="B1251" i="14"/>
  <c r="D1250" i="14"/>
  <c r="D1259" i="14" s="1"/>
  <c r="B1250" i="14"/>
  <c r="B11" i="14"/>
  <c r="D1" i="14"/>
  <c r="O44" i="21"/>
  <c r="G44" i="21"/>
  <c r="Q44" i="21"/>
  <c r="I44" i="21"/>
  <c r="K44" i="21"/>
  <c r="P44" i="21"/>
  <c r="H44" i="21"/>
  <c r="N44" i="21"/>
  <c r="E115" i="22" l="1"/>
  <c r="Q115" i="22" s="1"/>
  <c r="G58" i="22"/>
  <c r="G146" i="22"/>
  <c r="E114" i="22"/>
  <c r="Q114" i="22" s="1"/>
  <c r="A88" i="21"/>
  <c r="A104" i="21" s="1"/>
  <c r="A93" i="22"/>
  <c r="A87" i="21"/>
  <c r="A103" i="21" s="1"/>
  <c r="A87" i="22"/>
  <c r="R87" i="22"/>
  <c r="R88" i="22" s="1"/>
  <c r="J72" i="21"/>
  <c r="H94" i="22" s="1"/>
  <c r="M70" i="21"/>
  <c r="K82" i="22" s="1"/>
  <c r="A89" i="21"/>
  <c r="A105" i="21" s="1"/>
  <c r="A99" i="22"/>
  <c r="J68" i="21"/>
  <c r="H70" i="22" s="1"/>
  <c r="J69" i="21"/>
  <c r="H76" i="22" s="1"/>
  <c r="A85" i="21"/>
  <c r="A101" i="21" s="1"/>
  <c r="A75" i="22"/>
  <c r="J67" i="21"/>
  <c r="H64" i="22" s="1"/>
  <c r="A84" i="21"/>
  <c r="A100" i="21" s="1"/>
  <c r="A69" i="22"/>
  <c r="J73" i="21"/>
  <c r="H100" i="22" s="1"/>
  <c r="G102" i="22"/>
  <c r="G78" i="22"/>
  <c r="O79" i="22"/>
  <c r="E79" i="22"/>
  <c r="Q105" i="22"/>
  <c r="Q75" i="22"/>
  <c r="E109" i="22"/>
  <c r="G51" i="22"/>
  <c r="M51" i="22"/>
  <c r="L51" i="22"/>
  <c r="F51" i="22"/>
  <c r="N51" i="22"/>
  <c r="E51" i="22"/>
  <c r="I51" i="22"/>
  <c r="O51" i="22"/>
  <c r="J76" i="21"/>
  <c r="H118" i="22" s="1"/>
  <c r="J66" i="21"/>
  <c r="M108" i="22"/>
  <c r="K109" i="22"/>
  <c r="E108" i="22"/>
  <c r="O108" i="22"/>
  <c r="G109" i="22"/>
  <c r="B1015" i="14"/>
  <c r="B1016" i="14"/>
  <c r="B1014" i="14"/>
  <c r="B1002" i="14"/>
  <c r="B1086" i="14" s="1"/>
  <c r="B1099" i="14" s="1"/>
  <c r="B1112" i="14" s="1"/>
  <c r="B1005" i="14"/>
  <c r="B1089" i="14" s="1"/>
  <c r="B1102" i="14" s="1"/>
  <c r="B1115" i="14" s="1"/>
  <c r="B1004" i="14"/>
  <c r="B1088" i="14" s="1"/>
  <c r="B1101" i="14" s="1"/>
  <c r="B1114" i="14" s="1"/>
  <c r="B999" i="14"/>
  <c r="B1083" i="14" s="1"/>
  <c r="B1096" i="14" s="1"/>
  <c r="B1109" i="14" s="1"/>
  <c r="B1000" i="14"/>
  <c r="B1084" i="14" s="1"/>
  <c r="B1097" i="14" s="1"/>
  <c r="B1110" i="14" s="1"/>
  <c r="B1007" i="14"/>
  <c r="B1091" i="14" s="1"/>
  <c r="B1104" i="14" s="1"/>
  <c r="B1117" i="14" s="1"/>
  <c r="B1009" i="14"/>
  <c r="B1001" i="14"/>
  <c r="B1085" i="14" s="1"/>
  <c r="B1098" i="14" s="1"/>
  <c r="B1111" i="14" s="1"/>
  <c r="B1006" i="14"/>
  <c r="B1090" i="14" s="1"/>
  <c r="B1103" i="14" s="1"/>
  <c r="B1116" i="14" s="1"/>
  <c r="N381" i="14"/>
  <c r="N617" i="14"/>
  <c r="N652" i="14" s="1"/>
  <c r="N388" i="14"/>
  <c r="N379" i="14"/>
  <c r="N615" i="14"/>
  <c r="N650" i="14" s="1"/>
  <c r="N384" i="14"/>
  <c r="N620" i="14"/>
  <c r="N655" i="14" s="1"/>
  <c r="K317" i="14"/>
  <c r="L317" i="14"/>
  <c r="J626" i="14"/>
  <c r="AX33" i="19" s="1"/>
  <c r="J295" i="14"/>
  <c r="L665" i="14"/>
  <c r="N438" i="14"/>
  <c r="N624" i="14" s="1"/>
  <c r="N659" i="14" s="1"/>
  <c r="L438" i="14"/>
  <c r="L624" i="14" s="1"/>
  <c r="M438" i="14"/>
  <c r="M624" i="14" s="1"/>
  <c r="L620" i="14"/>
  <c r="L622" i="14"/>
  <c r="L657" i="14" s="1"/>
  <c r="L623" i="14"/>
  <c r="L651" i="14"/>
  <c r="L350" i="14"/>
  <c r="L377" i="14" s="1"/>
  <c r="L364" i="14"/>
  <c r="L318" i="14"/>
  <c r="M318" i="14"/>
  <c r="K318" i="14"/>
  <c r="L390" i="14"/>
  <c r="L413" i="14" s="1"/>
  <c r="L427" i="14" s="1"/>
  <c r="K291" i="14"/>
  <c r="N337" i="14"/>
  <c r="N390" i="14" s="1"/>
  <c r="N413" i="14" s="1"/>
  <c r="N427" i="14" s="1"/>
  <c r="N318" i="14"/>
  <c r="N305" i="14"/>
  <c r="N291" i="14"/>
  <c r="N1130" i="14" s="1"/>
  <c r="L291" i="14"/>
  <c r="M305" i="14"/>
  <c r="M291" i="14"/>
  <c r="L304" i="14"/>
  <c r="K390" i="14"/>
  <c r="K367" i="14"/>
  <c r="K373" i="14"/>
  <c r="N399" i="14"/>
  <c r="N422" i="14" s="1"/>
  <c r="N436" i="14" s="1"/>
  <c r="L398" i="14"/>
  <c r="L421" i="14" s="1"/>
  <c r="L435" i="14" s="1"/>
  <c r="K375" i="14"/>
  <c r="N398" i="14"/>
  <c r="N421" i="14" s="1"/>
  <c r="N435" i="14" s="1"/>
  <c r="K372" i="14"/>
  <c r="M391" i="14"/>
  <c r="N391" i="14"/>
  <c r="M397" i="14"/>
  <c r="M420" i="14" s="1"/>
  <c r="M434" i="14" s="1"/>
  <c r="L394" i="14"/>
  <c r="L417" i="14" s="1"/>
  <c r="L431" i="14" s="1"/>
  <c r="K368" i="14"/>
  <c r="M400" i="14"/>
  <c r="M423" i="14" s="1"/>
  <c r="M437" i="14" s="1"/>
  <c r="K350" i="14"/>
  <c r="K364" i="14"/>
  <c r="J337" i="14"/>
  <c r="J346" i="14"/>
  <c r="M346" i="14"/>
  <c r="N360" i="14"/>
  <c r="N374" i="14"/>
  <c r="N367" i="14"/>
  <c r="N353" i="14"/>
  <c r="M355" i="14"/>
  <c r="M382" i="14" s="1"/>
  <c r="M369" i="14"/>
  <c r="L338" i="14"/>
  <c r="N342" i="14"/>
  <c r="M354" i="14"/>
  <c r="M381" i="14" s="1"/>
  <c r="M368" i="14"/>
  <c r="M353" i="14"/>
  <c r="M380" i="14" s="1"/>
  <c r="M367" i="14"/>
  <c r="M356" i="14"/>
  <c r="M383" i="14" s="1"/>
  <c r="M370" i="14"/>
  <c r="L352" i="14"/>
  <c r="L379" i="14" s="1"/>
  <c r="L366" i="14"/>
  <c r="M339" i="14"/>
  <c r="L342" i="14"/>
  <c r="M351" i="14"/>
  <c r="M365" i="14"/>
  <c r="L343" i="14"/>
  <c r="L354" i="14"/>
  <c r="L381" i="14" s="1"/>
  <c r="L368" i="14"/>
  <c r="L358" i="14"/>
  <c r="L385" i="14" s="1"/>
  <c r="L372" i="14"/>
  <c r="M350" i="14"/>
  <c r="M377" i="14" s="1"/>
  <c r="M364" i="14"/>
  <c r="M345" i="14"/>
  <c r="N365" i="14"/>
  <c r="N351" i="14"/>
  <c r="M357" i="14"/>
  <c r="M384" i="14" s="1"/>
  <c r="M371" i="14"/>
  <c r="M620" i="14" s="1"/>
  <c r="N373" i="14"/>
  <c r="N359" i="14"/>
  <c r="N358" i="14"/>
  <c r="N372" i="14"/>
  <c r="N343" i="14"/>
  <c r="J343" i="14" s="1"/>
  <c r="M374" i="14"/>
  <c r="M360" i="14"/>
  <c r="M387" i="14" s="1"/>
  <c r="N400" i="14"/>
  <c r="N423" i="14" s="1"/>
  <c r="N437" i="14" s="1"/>
  <c r="N393" i="14"/>
  <c r="N416" i="14" s="1"/>
  <c r="N430" i="14" s="1"/>
  <c r="M395" i="14"/>
  <c r="M418" i="14" s="1"/>
  <c r="M432" i="14" s="1"/>
  <c r="M390" i="14"/>
  <c r="M413" i="14" s="1"/>
  <c r="M427" i="14" s="1"/>
  <c r="M394" i="14"/>
  <c r="M417" i="14" s="1"/>
  <c r="M431" i="14" s="1"/>
  <c r="M393" i="14"/>
  <c r="M416" i="14" s="1"/>
  <c r="M430" i="14" s="1"/>
  <c r="M396" i="14"/>
  <c r="M419" i="14" s="1"/>
  <c r="M433" i="14" s="1"/>
  <c r="L392" i="14"/>
  <c r="L415" i="14" s="1"/>
  <c r="L429" i="14" s="1"/>
  <c r="K358" i="14"/>
  <c r="K385" i="14" s="1"/>
  <c r="K342" i="14"/>
  <c r="K374" i="14"/>
  <c r="J347" i="14"/>
  <c r="K360" i="14"/>
  <c r="K387" i="14" s="1"/>
  <c r="K366" i="14"/>
  <c r="J339" i="14"/>
  <c r="K359" i="14"/>
  <c r="K386" i="14" s="1"/>
  <c r="K343" i="14"/>
  <c r="J341" i="14"/>
  <c r="K352" i="14"/>
  <c r="K379" i="14" s="1"/>
  <c r="K393" i="14"/>
  <c r="K398" i="14"/>
  <c r="K399" i="14"/>
  <c r="K344" i="14"/>
  <c r="K354" i="14"/>
  <c r="K381" i="14" s="1"/>
  <c r="K338" i="14"/>
  <c r="J345" i="14"/>
  <c r="K353" i="14"/>
  <c r="K380" i="14" s="1"/>
  <c r="K361" i="14"/>
  <c r="K388" i="14" s="1"/>
  <c r="K400" i="14"/>
  <c r="K392" i="14"/>
  <c r="K394" i="14"/>
  <c r="K401" i="14"/>
  <c r="J303" i="14"/>
  <c r="J307" i="14"/>
  <c r="J321" i="14"/>
  <c r="J313" i="14"/>
  <c r="J327" i="14"/>
  <c r="J312" i="14"/>
  <c r="J326" i="14"/>
  <c r="J308" i="14"/>
  <c r="J322" i="14"/>
  <c r="J315" i="14"/>
  <c r="J329" i="14"/>
  <c r="J316" i="14"/>
  <c r="J330" i="14"/>
  <c r="J309" i="14"/>
  <c r="J323" i="14"/>
  <c r="J306" i="14"/>
  <c r="J320" i="14"/>
  <c r="J314" i="14"/>
  <c r="J328" i="14"/>
  <c r="K311" i="14"/>
  <c r="J298" i="14"/>
  <c r="K310" i="14"/>
  <c r="J297" i="14"/>
  <c r="J278" i="14"/>
  <c r="AF26" i="19" s="1"/>
  <c r="D1265" i="14"/>
  <c r="D1253" i="14"/>
  <c r="D1257" i="14"/>
  <c r="K1334" i="14"/>
  <c r="K1308" i="14"/>
  <c r="K1347" i="14"/>
  <c r="K1321" i="14"/>
  <c r="M1334" i="14"/>
  <c r="M1308" i="14"/>
  <c r="M1347" i="14"/>
  <c r="M1321" i="14"/>
  <c r="L1347" i="14"/>
  <c r="L1321" i="14"/>
  <c r="L1334" i="14"/>
  <c r="L1308" i="14"/>
  <c r="N1347" i="14"/>
  <c r="N1321" i="14"/>
  <c r="N1334" i="14"/>
  <c r="N1308" i="14"/>
  <c r="D1342" i="14"/>
  <c r="K1342" i="14" s="1"/>
  <c r="D1316" i="14"/>
  <c r="L1316" i="14" s="1"/>
  <c r="D1330" i="14"/>
  <c r="L1330" i="14" s="1"/>
  <c r="D1304" i="14"/>
  <c r="K1304" i="14" s="1"/>
  <c r="D1254" i="14"/>
  <c r="D1256" i="14"/>
  <c r="D1260" i="14"/>
  <c r="D1262" i="14"/>
  <c r="D1266" i="14"/>
  <c r="D1284" i="14"/>
  <c r="D1285" i="14"/>
  <c r="J1287" i="14"/>
  <c r="L1287" i="14"/>
  <c r="L1293" i="14" s="1"/>
  <c r="L1298" i="14" s="1"/>
  <c r="N1287" i="14"/>
  <c r="J1292" i="14"/>
  <c r="D1296" i="14"/>
  <c r="D1297" i="14"/>
  <c r="D1317" i="14"/>
  <c r="K1317" i="14" s="1"/>
  <c r="D1343" i="14"/>
  <c r="L1343" i="14" s="1"/>
  <c r="K1287" i="14"/>
  <c r="K1293" i="14" s="1"/>
  <c r="K1298" i="14" s="1"/>
  <c r="M1287" i="14"/>
  <c r="M1293" i="14" s="1"/>
  <c r="M1298" i="14" s="1"/>
  <c r="J1296" i="14"/>
  <c r="J1297" i="14"/>
  <c r="D1303" i="14"/>
  <c r="L1303" i="14" s="1"/>
  <c r="D1329" i="14"/>
  <c r="K1329" i="14" s="1"/>
  <c r="P32" i="21"/>
  <c r="R44" i="21"/>
  <c r="L44" i="21"/>
  <c r="Q32" i="21"/>
  <c r="I32" i="21"/>
  <c r="J32" i="21"/>
  <c r="K32" i="21"/>
  <c r="N32" i="21"/>
  <c r="J44" i="21"/>
  <c r="H32" i="21"/>
  <c r="O32" i="21"/>
  <c r="M44" i="21"/>
  <c r="R32" i="21"/>
  <c r="H58" i="22" l="1"/>
  <c r="H146" i="22"/>
  <c r="S44" i="21"/>
  <c r="R89" i="22"/>
  <c r="P88" i="22"/>
  <c r="K88" i="22"/>
  <c r="E88" i="22"/>
  <c r="O88" i="22"/>
  <c r="I88" i="22"/>
  <c r="M88" i="22"/>
  <c r="H88" i="22"/>
  <c r="L88" i="22"/>
  <c r="G88" i="22"/>
  <c r="J88" i="22"/>
  <c r="F88" i="22"/>
  <c r="N88" i="22"/>
  <c r="K67" i="21"/>
  <c r="I64" i="22" s="1"/>
  <c r="K69" i="21"/>
  <c r="I76" i="22" s="1"/>
  <c r="H78" i="22"/>
  <c r="K73" i="21"/>
  <c r="I100" i="22" s="1"/>
  <c r="H102" i="22"/>
  <c r="K72" i="21"/>
  <c r="I94" i="22" s="1"/>
  <c r="K68" i="21"/>
  <c r="I70" i="22" s="1"/>
  <c r="N70" i="21"/>
  <c r="L82" i="22" s="1"/>
  <c r="Q79" i="22"/>
  <c r="I145" i="22"/>
  <c r="I149" i="22" s="1"/>
  <c r="I151" i="22" s="1"/>
  <c r="L145" i="22"/>
  <c r="L149" i="22" s="1"/>
  <c r="L151" i="22" s="1"/>
  <c r="E145" i="22"/>
  <c r="E149" i="22" s="1"/>
  <c r="E151" i="22" s="1"/>
  <c r="M145" i="22"/>
  <c r="M149" i="22" s="1"/>
  <c r="M151" i="22" s="1"/>
  <c r="N145" i="22"/>
  <c r="N149" i="22" s="1"/>
  <c r="N151" i="22" s="1"/>
  <c r="G145" i="22"/>
  <c r="G149" i="22" s="1"/>
  <c r="G151" i="22" s="1"/>
  <c r="O145" i="22"/>
  <c r="O149" i="22" s="1"/>
  <c r="O151" i="22" s="1"/>
  <c r="F145" i="22"/>
  <c r="F149" i="22" s="1"/>
  <c r="F151" i="22" s="1"/>
  <c r="Q108" i="22"/>
  <c r="Q109" i="22"/>
  <c r="F16" i="22"/>
  <c r="L16" i="22"/>
  <c r="M16" i="22"/>
  <c r="N16" i="22"/>
  <c r="H16" i="22"/>
  <c r="I16" i="22"/>
  <c r="O16" i="22"/>
  <c r="G16" i="22"/>
  <c r="P16" i="22"/>
  <c r="K51" i="22"/>
  <c r="P51" i="22"/>
  <c r="J51" i="22"/>
  <c r="H51" i="22"/>
  <c r="K66" i="21"/>
  <c r="K76" i="21"/>
  <c r="I118" i="22" s="1"/>
  <c r="J390" i="14"/>
  <c r="N385" i="14"/>
  <c r="J385" i="14" s="1"/>
  <c r="N621" i="14"/>
  <c r="N656" i="14" s="1"/>
  <c r="N387" i="14"/>
  <c r="J387" i="14" s="1"/>
  <c r="N623" i="14"/>
  <c r="N658" i="14" s="1"/>
  <c r="N386" i="14"/>
  <c r="J386" i="14" s="1"/>
  <c r="N622" i="14"/>
  <c r="N657" i="14" s="1"/>
  <c r="N380" i="14"/>
  <c r="J380" i="14" s="1"/>
  <c r="N616" i="14"/>
  <c r="N651" i="14" s="1"/>
  <c r="M304" i="14"/>
  <c r="M317" i="14"/>
  <c r="J305" i="14"/>
  <c r="L671" i="14"/>
  <c r="L685" i="14" s="1"/>
  <c r="L699" i="14" s="1"/>
  <c r="N673" i="14"/>
  <c r="M659" i="14"/>
  <c r="M673" i="14"/>
  <c r="G1166" i="14"/>
  <c r="M1168" i="14"/>
  <c r="M1170" i="14" s="1"/>
  <c r="M1167" i="14"/>
  <c r="M1169" i="14" s="1"/>
  <c r="L1168" i="14"/>
  <c r="L1170" i="14" s="1"/>
  <c r="L1167" i="14"/>
  <c r="L1169" i="14" s="1"/>
  <c r="F1166" i="14"/>
  <c r="J1166" i="14"/>
  <c r="H1166" i="14"/>
  <c r="M623" i="14"/>
  <c r="L617" i="14"/>
  <c r="L666" i="14" s="1"/>
  <c r="M1130" i="14"/>
  <c r="L1130" i="14"/>
  <c r="L1071" i="14"/>
  <c r="N1072" i="14"/>
  <c r="J1072" i="14" s="1"/>
  <c r="K1130" i="14"/>
  <c r="K1075" i="14"/>
  <c r="K1100" i="14" s="1"/>
  <c r="J1130" i="14"/>
  <c r="L621" i="14"/>
  <c r="J1293" i="14"/>
  <c r="L615" i="14"/>
  <c r="M619" i="14"/>
  <c r="M616" i="14"/>
  <c r="M617" i="14"/>
  <c r="M618" i="14"/>
  <c r="L613" i="14"/>
  <c r="M613" i="14"/>
  <c r="L679" i="14"/>
  <c r="L693" i="14" s="1"/>
  <c r="L655" i="14"/>
  <c r="N304" i="14"/>
  <c r="N664" i="14"/>
  <c r="N669" i="14"/>
  <c r="L669" i="14"/>
  <c r="N666" i="14"/>
  <c r="L658" i="14"/>
  <c r="L672" i="14"/>
  <c r="L659" i="14"/>
  <c r="L673" i="14"/>
  <c r="M655" i="14"/>
  <c r="M669" i="14"/>
  <c r="J368" i="14"/>
  <c r="J366" i="14"/>
  <c r="J372" i="14"/>
  <c r="J375" i="14"/>
  <c r="J367" i="14"/>
  <c r="J374" i="14"/>
  <c r="J373" i="14"/>
  <c r="N350" i="14"/>
  <c r="K304" i="14"/>
  <c r="N364" i="14"/>
  <c r="K336" i="14"/>
  <c r="M336" i="14"/>
  <c r="N336" i="14"/>
  <c r="N378" i="14"/>
  <c r="M414" i="14"/>
  <c r="M378" i="14"/>
  <c r="L336" i="14"/>
  <c r="N414" i="14"/>
  <c r="K413" i="14"/>
  <c r="J413" i="14" s="1"/>
  <c r="K377" i="14"/>
  <c r="K369" i="14"/>
  <c r="K365" i="14"/>
  <c r="K370" i="14"/>
  <c r="L396" i="14"/>
  <c r="L419" i="14" s="1"/>
  <c r="L433" i="14" s="1"/>
  <c r="K371" i="14"/>
  <c r="M398" i="14"/>
  <c r="M421" i="14" s="1"/>
  <c r="M435" i="14" s="1"/>
  <c r="N395" i="14"/>
  <c r="N418" i="14" s="1"/>
  <c r="N432" i="14" s="1"/>
  <c r="J360" i="14"/>
  <c r="J358" i="14"/>
  <c r="J361" i="14"/>
  <c r="J388" i="14"/>
  <c r="J354" i="14"/>
  <c r="J381" i="14"/>
  <c r="J359" i="14"/>
  <c r="J353" i="14"/>
  <c r="J352" i="14"/>
  <c r="J379" i="14"/>
  <c r="J401" i="14"/>
  <c r="K424" i="14"/>
  <c r="J394" i="14"/>
  <c r="K417" i="14"/>
  <c r="J392" i="14"/>
  <c r="K415" i="14"/>
  <c r="J399" i="14"/>
  <c r="K422" i="14"/>
  <c r="J393" i="14"/>
  <c r="K416" i="14"/>
  <c r="J400" i="14"/>
  <c r="K423" i="14"/>
  <c r="J398" i="14"/>
  <c r="K421" i="14"/>
  <c r="N356" i="14"/>
  <c r="N370" i="14"/>
  <c r="L369" i="14"/>
  <c r="L355" i="14"/>
  <c r="L382" i="14" s="1"/>
  <c r="M366" i="14"/>
  <c r="M352" i="14"/>
  <c r="M379" i="14" s="1"/>
  <c r="L351" i="14"/>
  <c r="L365" i="14"/>
  <c r="M359" i="14"/>
  <c r="M386" i="14" s="1"/>
  <c r="M373" i="14"/>
  <c r="N396" i="14"/>
  <c r="N419" i="14" s="1"/>
  <c r="N433" i="14" s="1"/>
  <c r="L395" i="14"/>
  <c r="L418" i="14" s="1"/>
  <c r="L432" i="14" s="1"/>
  <c r="M372" i="14"/>
  <c r="M358" i="14"/>
  <c r="M385" i="14" s="1"/>
  <c r="L356" i="14"/>
  <c r="L383" i="14" s="1"/>
  <c r="L370" i="14"/>
  <c r="N369" i="14"/>
  <c r="N355" i="14"/>
  <c r="M392" i="14"/>
  <c r="M415" i="14" s="1"/>
  <c r="M429" i="14" s="1"/>
  <c r="L391" i="14"/>
  <c r="M399" i="14"/>
  <c r="M422" i="14" s="1"/>
  <c r="M436" i="14" s="1"/>
  <c r="K357" i="14"/>
  <c r="K384" i="14" s="1"/>
  <c r="K355" i="14"/>
  <c r="K382" i="14" s="1"/>
  <c r="K351" i="14"/>
  <c r="J344" i="14"/>
  <c r="K397" i="14"/>
  <c r="J342" i="14"/>
  <c r="K391" i="14"/>
  <c r="J338" i="14"/>
  <c r="K356" i="14"/>
  <c r="K383" i="14" s="1"/>
  <c r="K396" i="14"/>
  <c r="K395" i="14"/>
  <c r="J291" i="14"/>
  <c r="AB26" i="19" s="1"/>
  <c r="J311" i="14"/>
  <c r="J325" i="14"/>
  <c r="J310" i="14"/>
  <c r="J324" i="14"/>
  <c r="M1331" i="14"/>
  <c r="M1305" i="14"/>
  <c r="M1344" i="14"/>
  <c r="M1318" i="14"/>
  <c r="K1331" i="14"/>
  <c r="K1305" i="14"/>
  <c r="K1344" i="14"/>
  <c r="K1318" i="14"/>
  <c r="L1344" i="14"/>
  <c r="L1318" i="14"/>
  <c r="L1331" i="14"/>
  <c r="L1305" i="14"/>
  <c r="J1343" i="14"/>
  <c r="J1317" i="14"/>
  <c r="J1330" i="14"/>
  <c r="J1304" i="14"/>
  <c r="M1294" i="14"/>
  <c r="M1289" i="14"/>
  <c r="M1288" i="14"/>
  <c r="J1347" i="14"/>
  <c r="J1321" i="14"/>
  <c r="J1334" i="14"/>
  <c r="J1308" i="14"/>
  <c r="L1294" i="14"/>
  <c r="L1289" i="14"/>
  <c r="L1288" i="14"/>
  <c r="M1343" i="14"/>
  <c r="M1330" i="14"/>
  <c r="K1343" i="14"/>
  <c r="K1330" i="14"/>
  <c r="N1342" i="14"/>
  <c r="N1329" i="14"/>
  <c r="L1342" i="14"/>
  <c r="L1329" i="14"/>
  <c r="N1304" i="14"/>
  <c r="N1317" i="14"/>
  <c r="L1304" i="14"/>
  <c r="L1317" i="14"/>
  <c r="M1303" i="14"/>
  <c r="M1316" i="14"/>
  <c r="K1303" i="14"/>
  <c r="K1316" i="14"/>
  <c r="J1329" i="14"/>
  <c r="J1303" i="14"/>
  <c r="J1342" i="14"/>
  <c r="J1316" i="14"/>
  <c r="K1294" i="14"/>
  <c r="K1289" i="14"/>
  <c r="K1288" i="14"/>
  <c r="N1294" i="14"/>
  <c r="N1289" i="14"/>
  <c r="N1288" i="14"/>
  <c r="J1294" i="14"/>
  <c r="J1289" i="14"/>
  <c r="J1288" i="14"/>
  <c r="N1293" i="14"/>
  <c r="N1298" i="14" s="1"/>
  <c r="M1317" i="14"/>
  <c r="M1304" i="14"/>
  <c r="N1316" i="14"/>
  <c r="N1303" i="14"/>
  <c r="N1330" i="14"/>
  <c r="N1343" i="14"/>
  <c r="M1329" i="14"/>
  <c r="M1342" i="14"/>
  <c r="L32" i="21"/>
  <c r="J23" i="21"/>
  <c r="O23" i="21"/>
  <c r="G32" i="21"/>
  <c r="K48" i="21"/>
  <c r="P23" i="21"/>
  <c r="I23" i="21"/>
  <c r="J48" i="21"/>
  <c r="R23" i="21"/>
  <c r="K23" i="21"/>
  <c r="Q48" i="21"/>
  <c r="R48" i="21"/>
  <c r="G50" i="21"/>
  <c r="M32" i="21"/>
  <c r="I48" i="21"/>
  <c r="O48" i="21"/>
  <c r="Q23" i="21"/>
  <c r="P48" i="21"/>
  <c r="I58" i="22" l="1"/>
  <c r="I146" i="22"/>
  <c r="I148" i="22" s="1"/>
  <c r="I150" i="22" s="1"/>
  <c r="Q51" i="22"/>
  <c r="L171" i="22"/>
  <c r="L167" i="22"/>
  <c r="H171" i="22"/>
  <c r="H167" i="22"/>
  <c r="G171" i="22"/>
  <c r="G167" i="22"/>
  <c r="N171" i="22"/>
  <c r="N167" i="22"/>
  <c r="I171" i="22"/>
  <c r="I167" i="22"/>
  <c r="P171" i="22"/>
  <c r="P167" i="22"/>
  <c r="F171" i="22"/>
  <c r="F167" i="22"/>
  <c r="O171" i="22"/>
  <c r="O167" i="22"/>
  <c r="M171" i="22"/>
  <c r="M167" i="22"/>
  <c r="I89" i="22"/>
  <c r="G89" i="22"/>
  <c r="H89" i="22"/>
  <c r="K89" i="22"/>
  <c r="E89" i="22"/>
  <c r="J89" i="22"/>
  <c r="N89" i="22"/>
  <c r="O89" i="22"/>
  <c r="P89" i="22"/>
  <c r="F89" i="22"/>
  <c r="M89" i="22"/>
  <c r="L89" i="22"/>
  <c r="M18" i="22"/>
  <c r="M191" i="22" s="1"/>
  <c r="L18" i="22"/>
  <c r="L191" i="22" s="1"/>
  <c r="P18" i="22"/>
  <c r="P191" i="22" s="1"/>
  <c r="H18" i="22"/>
  <c r="H191" i="22" s="1"/>
  <c r="F18" i="22"/>
  <c r="F191" i="22" s="1"/>
  <c r="O18" i="22"/>
  <c r="O191" i="22" s="1"/>
  <c r="I18" i="22"/>
  <c r="I191" i="22" s="1"/>
  <c r="G18" i="22"/>
  <c r="G191" i="22" s="1"/>
  <c r="N18" i="22"/>
  <c r="N191" i="22" s="1"/>
  <c r="O70" i="21"/>
  <c r="M82" i="22" s="1"/>
  <c r="L72" i="21"/>
  <c r="J94" i="22" s="1"/>
  <c r="L69" i="21"/>
  <c r="J76" i="22" s="1"/>
  <c r="I78" i="22"/>
  <c r="L68" i="21"/>
  <c r="J70" i="22" s="1"/>
  <c r="L73" i="21"/>
  <c r="J100" i="22" s="1"/>
  <c r="I102" i="22"/>
  <c r="L67" i="21"/>
  <c r="J64" i="22" s="1"/>
  <c r="E148" i="22"/>
  <c r="E150" i="22" s="1"/>
  <c r="F148" i="22"/>
  <c r="F150" i="22" s="1"/>
  <c r="P145" i="22"/>
  <c r="P149" i="22" s="1"/>
  <c r="K145" i="22"/>
  <c r="K149" i="22" s="1"/>
  <c r="K151" i="22" s="1"/>
  <c r="H145" i="22"/>
  <c r="H148" i="22" s="1"/>
  <c r="G148" i="22"/>
  <c r="G150" i="22" s="1"/>
  <c r="J145" i="22"/>
  <c r="J149" i="22" s="1"/>
  <c r="J151" i="22" s="1"/>
  <c r="P152" i="22"/>
  <c r="O152" i="22"/>
  <c r="O154" i="22" s="1"/>
  <c r="H152" i="22"/>
  <c r="M152" i="22"/>
  <c r="M154" i="22" s="1"/>
  <c r="F152" i="22"/>
  <c r="G152" i="22"/>
  <c r="I152" i="22"/>
  <c r="I154" i="22" s="1"/>
  <c r="N152" i="22"/>
  <c r="N154" i="22" s="1"/>
  <c r="L152" i="22"/>
  <c r="L154" i="22" s="1"/>
  <c r="J16" i="22"/>
  <c r="K16" i="22"/>
  <c r="E16" i="22"/>
  <c r="P53" i="22"/>
  <c r="E54" i="22"/>
  <c r="S32" i="21"/>
  <c r="H53" i="22"/>
  <c r="O53" i="22"/>
  <c r="G53" i="22"/>
  <c r="I53" i="22"/>
  <c r="N53" i="22"/>
  <c r="M53" i="22"/>
  <c r="L76" i="21"/>
  <c r="J118" i="22" s="1"/>
  <c r="L66" i="21"/>
  <c r="N671" i="14"/>
  <c r="N685" i="14" s="1"/>
  <c r="N670" i="14"/>
  <c r="N684" i="14" s="1"/>
  <c r="N383" i="14"/>
  <c r="J383" i="14" s="1"/>
  <c r="N619" i="14"/>
  <c r="N654" i="14" s="1"/>
  <c r="N377" i="14"/>
  <c r="N613" i="14"/>
  <c r="N648" i="14" s="1"/>
  <c r="N382" i="14"/>
  <c r="J382" i="14" s="1"/>
  <c r="N618" i="14"/>
  <c r="N653" i="14" s="1"/>
  <c r="L652" i="14"/>
  <c r="L680" i="14" s="1"/>
  <c r="N687" i="14"/>
  <c r="N701" i="14" s="1"/>
  <c r="N743" i="14" s="1"/>
  <c r="M621" i="14"/>
  <c r="M687" i="14"/>
  <c r="M701" i="14" s="1"/>
  <c r="M743" i="14" s="1"/>
  <c r="E1166" i="14"/>
  <c r="K1168" i="14"/>
  <c r="K1170" i="14" s="1"/>
  <c r="K1167" i="14"/>
  <c r="K1169" i="14" s="1"/>
  <c r="J364" i="14"/>
  <c r="J350" i="14"/>
  <c r="L1083" i="14"/>
  <c r="L1096" i="14"/>
  <c r="K1087" i="14"/>
  <c r="J1298" i="14"/>
  <c r="L619" i="14"/>
  <c r="M622" i="14"/>
  <c r="M615" i="14"/>
  <c r="L618" i="14"/>
  <c r="L727" i="14"/>
  <c r="L713" i="14"/>
  <c r="L721" i="14"/>
  <c r="L707" i="14"/>
  <c r="L755" i="14"/>
  <c r="L749" i="14"/>
  <c r="N680" i="14"/>
  <c r="N694" i="14" s="1"/>
  <c r="L683" i="14"/>
  <c r="L697" i="14" s="1"/>
  <c r="L741" i="14"/>
  <c r="L735" i="14"/>
  <c r="M683" i="14"/>
  <c r="L687" i="14"/>
  <c r="L686" i="14"/>
  <c r="N683" i="14"/>
  <c r="N678" i="14"/>
  <c r="L650" i="14"/>
  <c r="L664" i="14"/>
  <c r="N672" i="14"/>
  <c r="L648" i="14"/>
  <c r="L662" i="14"/>
  <c r="L656" i="14"/>
  <c r="L670" i="14"/>
  <c r="N665" i="14"/>
  <c r="M651" i="14"/>
  <c r="M665" i="14"/>
  <c r="M654" i="14"/>
  <c r="M668" i="14"/>
  <c r="M652" i="14"/>
  <c r="M666" i="14"/>
  <c r="M653" i="14"/>
  <c r="M667" i="14"/>
  <c r="M658" i="14"/>
  <c r="M672" i="14"/>
  <c r="M648" i="14"/>
  <c r="M662" i="14"/>
  <c r="J371" i="14"/>
  <c r="J369" i="14"/>
  <c r="J370" i="14"/>
  <c r="M363" i="14"/>
  <c r="M1148" i="14" s="1"/>
  <c r="M389" i="14"/>
  <c r="N363" i="14"/>
  <c r="N1148" i="14" s="1"/>
  <c r="M349" i="14"/>
  <c r="M1143" i="14" s="1"/>
  <c r="K389" i="14"/>
  <c r="M376" i="14"/>
  <c r="K378" i="14"/>
  <c r="K376" i="14" s="1"/>
  <c r="K349" i="14"/>
  <c r="K1143" i="14" s="1"/>
  <c r="L363" i="14"/>
  <c r="L1148" i="14" s="1"/>
  <c r="J365" i="14"/>
  <c r="K363" i="14"/>
  <c r="K1148" i="14" s="1"/>
  <c r="N389" i="14"/>
  <c r="M428" i="14"/>
  <c r="M614" i="14" s="1"/>
  <c r="M412" i="14"/>
  <c r="M1073" i="14" s="1"/>
  <c r="N428" i="14"/>
  <c r="N614" i="14" s="1"/>
  <c r="N649" i="14" s="1"/>
  <c r="N412" i="14"/>
  <c r="N349" i="14"/>
  <c r="L414" i="14"/>
  <c r="L389" i="14"/>
  <c r="L378" i="14"/>
  <c r="L376" i="14" s="1"/>
  <c r="L349" i="14"/>
  <c r="L1143" i="14" s="1"/>
  <c r="K427" i="14"/>
  <c r="K613" i="14" s="1"/>
  <c r="J357" i="14"/>
  <c r="J384" i="14"/>
  <c r="J356" i="14"/>
  <c r="J355" i="14"/>
  <c r="J351" i="14"/>
  <c r="J421" i="14"/>
  <c r="K435" i="14"/>
  <c r="K621" i="14" s="1"/>
  <c r="J415" i="14"/>
  <c r="K429" i="14"/>
  <c r="K615" i="14" s="1"/>
  <c r="J416" i="14"/>
  <c r="K430" i="14"/>
  <c r="K616" i="14" s="1"/>
  <c r="J424" i="14"/>
  <c r="K438" i="14"/>
  <c r="K624" i="14" s="1"/>
  <c r="J423" i="14"/>
  <c r="K437" i="14"/>
  <c r="K623" i="14" s="1"/>
  <c r="J422" i="14"/>
  <c r="K436" i="14"/>
  <c r="K622" i="14" s="1"/>
  <c r="J417" i="14"/>
  <c r="K431" i="14"/>
  <c r="K617" i="14" s="1"/>
  <c r="J397" i="14"/>
  <c r="K420" i="14"/>
  <c r="J395" i="14"/>
  <c r="K418" i="14"/>
  <c r="J396" i="14"/>
  <c r="K419" i="14"/>
  <c r="J391" i="14"/>
  <c r="K414" i="14"/>
  <c r="J336" i="14"/>
  <c r="AF21" i="19" s="1"/>
  <c r="J318" i="14"/>
  <c r="J304" i="14"/>
  <c r="AF27" i="19" s="1"/>
  <c r="J1345" i="14"/>
  <c r="J1319" i="14"/>
  <c r="J1332" i="14"/>
  <c r="J1306" i="14"/>
  <c r="J1290" i="14"/>
  <c r="J1348" i="14"/>
  <c r="J1322" i="14"/>
  <c r="J1335" i="14"/>
  <c r="J1309" i="14"/>
  <c r="N1345" i="14"/>
  <c r="N1319" i="14"/>
  <c r="N1332" i="14"/>
  <c r="N1306" i="14"/>
  <c r="N1290" i="14"/>
  <c r="N1348" i="14"/>
  <c r="N1322" i="14"/>
  <c r="N1335" i="14"/>
  <c r="N1309" i="14"/>
  <c r="K1333" i="14"/>
  <c r="K1307" i="14"/>
  <c r="K1346" i="14"/>
  <c r="K1320" i="14"/>
  <c r="L1345" i="14"/>
  <c r="L1319" i="14"/>
  <c r="L1332" i="14"/>
  <c r="L1306" i="14"/>
  <c r="L1290" i="14"/>
  <c r="L1348" i="14"/>
  <c r="L1322" i="14"/>
  <c r="L1335" i="14"/>
  <c r="L1309" i="14"/>
  <c r="M1332" i="14"/>
  <c r="M1306" i="14"/>
  <c r="M1290" i="14"/>
  <c r="M1345" i="14"/>
  <c r="M1319" i="14"/>
  <c r="M1348" i="14"/>
  <c r="M1335" i="14"/>
  <c r="M1309" i="14"/>
  <c r="M1322" i="14"/>
  <c r="N1344" i="14"/>
  <c r="N1318" i="14"/>
  <c r="N1331" i="14"/>
  <c r="N1305" i="14"/>
  <c r="J1346" i="14"/>
  <c r="J1320" i="14"/>
  <c r="J1333" i="14"/>
  <c r="J1307" i="14"/>
  <c r="N1346" i="14"/>
  <c r="N1320" i="14"/>
  <c r="N1333" i="14"/>
  <c r="N1307" i="14"/>
  <c r="K1332" i="14"/>
  <c r="K1306" i="14"/>
  <c r="K1345" i="14"/>
  <c r="K1319" i="14"/>
  <c r="K1290" i="14"/>
  <c r="K1348" i="14"/>
  <c r="K1335" i="14"/>
  <c r="K1309" i="14"/>
  <c r="K1322" i="14"/>
  <c r="L1346" i="14"/>
  <c r="L1320" i="14"/>
  <c r="L1333" i="14"/>
  <c r="L1307" i="14"/>
  <c r="M1333" i="14"/>
  <c r="M1307" i="14"/>
  <c r="M1346" i="14"/>
  <c r="M1320" i="14"/>
  <c r="O9" i="21"/>
  <c r="J9" i="21"/>
  <c r="L9" i="21"/>
  <c r="I50" i="21"/>
  <c r="P50" i="21"/>
  <c r="K50" i="21"/>
  <c r="O50" i="21"/>
  <c r="M48" i="21"/>
  <c r="N48" i="21"/>
  <c r="Q9" i="21"/>
  <c r="K9" i="21"/>
  <c r="L23" i="21"/>
  <c r="R9" i="21"/>
  <c r="R50" i="21"/>
  <c r="G9" i="21"/>
  <c r="N9" i="21"/>
  <c r="H23" i="21"/>
  <c r="N23" i="21"/>
  <c r="J50" i="21"/>
  <c r="I9" i="21"/>
  <c r="M9" i="21"/>
  <c r="L48" i="21"/>
  <c r="H9" i="21"/>
  <c r="P9" i="21"/>
  <c r="M23" i="21"/>
  <c r="G23" i="21"/>
  <c r="Q50" i="21"/>
  <c r="E69" i="22" l="1"/>
  <c r="E73" i="22" s="1"/>
  <c r="E93" i="22"/>
  <c r="J58" i="22"/>
  <c r="J146" i="22"/>
  <c r="J148" i="22" s="1"/>
  <c r="J150" i="22" s="1"/>
  <c r="E81" i="22"/>
  <c r="E85" i="22" s="1"/>
  <c r="O189" i="22"/>
  <c r="O190" i="22"/>
  <c r="L189" i="22"/>
  <c r="L190" i="22"/>
  <c r="N189" i="22"/>
  <c r="N190" i="22"/>
  <c r="F189" i="22"/>
  <c r="F190" i="22"/>
  <c r="M189" i="22"/>
  <c r="M190" i="22"/>
  <c r="G189" i="22"/>
  <c r="G190" i="22"/>
  <c r="H189" i="22"/>
  <c r="H190" i="22"/>
  <c r="I189" i="22"/>
  <c r="I190" i="22"/>
  <c r="P189" i="22"/>
  <c r="P190" i="22"/>
  <c r="F153" i="22"/>
  <c r="E171" i="22"/>
  <c r="E167" i="22"/>
  <c r="K171" i="22"/>
  <c r="K167" i="22"/>
  <c r="J171" i="22"/>
  <c r="J167" i="22"/>
  <c r="J18" i="22"/>
  <c r="J191" i="22" s="1"/>
  <c r="K18" i="22"/>
  <c r="K191" i="22" s="1"/>
  <c r="E18" i="22"/>
  <c r="E191" i="22" s="1"/>
  <c r="H149" i="22"/>
  <c r="H151" i="22" s="1"/>
  <c r="H154" i="22" s="1"/>
  <c r="M67" i="21"/>
  <c r="K64" i="22" s="1"/>
  <c r="M73" i="21"/>
  <c r="K100" i="22" s="1"/>
  <c r="J102" i="22"/>
  <c r="M69" i="21"/>
  <c r="K76" i="22" s="1"/>
  <c r="J78" i="22"/>
  <c r="P70" i="21"/>
  <c r="N82" i="22" s="1"/>
  <c r="M68" i="21"/>
  <c r="K70" i="22" s="1"/>
  <c r="M72" i="21"/>
  <c r="K94" i="22" s="1"/>
  <c r="I117" i="22"/>
  <c r="I121" i="22" s="1"/>
  <c r="I87" i="22"/>
  <c r="H117" i="22"/>
  <c r="H121" i="22" s="1"/>
  <c r="H87" i="22"/>
  <c r="P117" i="22"/>
  <c r="P121" i="22" s="1"/>
  <c r="P87" i="22"/>
  <c r="N117" i="22"/>
  <c r="N121" i="22" s="1"/>
  <c r="N87" i="22"/>
  <c r="O117" i="22"/>
  <c r="O121" i="22" s="1"/>
  <c r="O87" i="22"/>
  <c r="G117" i="22"/>
  <c r="G121" i="22" s="1"/>
  <c r="G87" i="22"/>
  <c r="M117" i="22"/>
  <c r="M121" i="22" s="1"/>
  <c r="M87" i="22"/>
  <c r="Q145" i="22"/>
  <c r="G153" i="22"/>
  <c r="H52" i="22"/>
  <c r="H63" i="22" s="1"/>
  <c r="H67" i="22" s="1"/>
  <c r="P52" i="22"/>
  <c r="P63" i="22" s="1"/>
  <c r="P67" i="22" s="1"/>
  <c r="M52" i="22"/>
  <c r="M63" i="22" s="1"/>
  <c r="J52" i="22"/>
  <c r="J63" i="22" s="1"/>
  <c r="J67" i="22" s="1"/>
  <c r="O52" i="22"/>
  <c r="O63" i="22" s="1"/>
  <c r="L52" i="22"/>
  <c r="L63" i="22" s="1"/>
  <c r="F52" i="22"/>
  <c r="F63" i="22" s="1"/>
  <c r="N52" i="22"/>
  <c r="N63" i="22" s="1"/>
  <c r="K52" i="22"/>
  <c r="K63" i="22" s="1"/>
  <c r="K67" i="22" s="1"/>
  <c r="G52" i="22"/>
  <c r="G63" i="22" s="1"/>
  <c r="E52" i="22"/>
  <c r="I52" i="22"/>
  <c r="I63" i="22" s="1"/>
  <c r="I153" i="22"/>
  <c r="G154" i="22"/>
  <c r="F154" i="22"/>
  <c r="J152" i="22"/>
  <c r="J154" i="22" s="1"/>
  <c r="K152" i="22"/>
  <c r="K154" i="22" s="1"/>
  <c r="E152" i="22"/>
  <c r="E154" i="22" s="1"/>
  <c r="P151" i="22"/>
  <c r="P154" i="22" s="1"/>
  <c r="H150" i="22"/>
  <c r="H153" i="22" s="1"/>
  <c r="M9" i="22"/>
  <c r="I9" i="22"/>
  <c r="P9" i="22"/>
  <c r="L9" i="22"/>
  <c r="H9" i="22"/>
  <c r="O9" i="22"/>
  <c r="K9" i="22"/>
  <c r="G9" i="22"/>
  <c r="N9" i="22"/>
  <c r="J9" i="22"/>
  <c r="F9" i="22"/>
  <c r="E9" i="22"/>
  <c r="Q16" i="22"/>
  <c r="S9" i="21"/>
  <c r="I54" i="22"/>
  <c r="I93" i="22" s="1"/>
  <c r="O54" i="22"/>
  <c r="H54" i="22"/>
  <c r="M54" i="22"/>
  <c r="M93" i="22" s="1"/>
  <c r="M97" i="22" s="1"/>
  <c r="S23" i="21"/>
  <c r="L53" i="22"/>
  <c r="K53" i="22"/>
  <c r="N54" i="22"/>
  <c r="N93" i="22" s="1"/>
  <c r="N97" i="22" s="1"/>
  <c r="P54" i="22"/>
  <c r="P93" i="22" s="1"/>
  <c r="P97" i="22" s="1"/>
  <c r="G54" i="22"/>
  <c r="G93" i="22" s="1"/>
  <c r="J53" i="22"/>
  <c r="M66" i="21"/>
  <c r="M76" i="21"/>
  <c r="K118" i="22" s="1"/>
  <c r="N376" i="14"/>
  <c r="N1147" i="14" s="1"/>
  <c r="J1147" i="14" s="1"/>
  <c r="J377" i="14"/>
  <c r="N757" i="14"/>
  <c r="N771" i="14" s="1"/>
  <c r="N1143" i="14"/>
  <c r="J1143" i="14" s="1"/>
  <c r="N715" i="14"/>
  <c r="N729" i="14"/>
  <c r="N662" i="14"/>
  <c r="N676" i="14" s="1"/>
  <c r="N690" i="14" s="1"/>
  <c r="M715" i="14"/>
  <c r="M757" i="14"/>
  <c r="M729" i="14"/>
  <c r="J1148" i="14"/>
  <c r="N1075" i="14"/>
  <c r="J1075" i="14" s="1"/>
  <c r="N1071" i="14"/>
  <c r="L1109" i="14"/>
  <c r="K1113" i="14"/>
  <c r="M1085" i="14"/>
  <c r="M1098" i="14"/>
  <c r="L1147" i="14"/>
  <c r="L1079" i="14"/>
  <c r="M1147" i="14"/>
  <c r="M1079" i="14"/>
  <c r="M1071" i="14"/>
  <c r="K1147" i="14"/>
  <c r="K1079" i="14"/>
  <c r="K1104" i="14" s="1"/>
  <c r="N1151" i="14"/>
  <c r="M1151" i="14"/>
  <c r="J1305" i="14"/>
  <c r="J1310" i="14" s="1"/>
  <c r="J1344" i="14"/>
  <c r="J1349" i="14" s="1"/>
  <c r="J1331" i="14"/>
  <c r="J1336" i="14" s="1"/>
  <c r="J1318" i="14"/>
  <c r="J1323" i="14" s="1"/>
  <c r="N708" i="14"/>
  <c r="N722" i="14"/>
  <c r="L725" i="14"/>
  <c r="L711" i="14"/>
  <c r="L753" i="14"/>
  <c r="L763" i="14"/>
  <c r="L777" i="14"/>
  <c r="N750" i="14"/>
  <c r="L769" i="14"/>
  <c r="L783" i="14"/>
  <c r="L676" i="14"/>
  <c r="L690" i="14" s="1"/>
  <c r="N736" i="14"/>
  <c r="N686" i="14"/>
  <c r="N700" i="14" s="1"/>
  <c r="L678" i="14"/>
  <c r="L692" i="14" s="1"/>
  <c r="L739" i="14"/>
  <c r="N697" i="14"/>
  <c r="N753" i="14" s="1"/>
  <c r="L694" i="14"/>
  <c r="L750" i="14" s="1"/>
  <c r="L701" i="14"/>
  <c r="L757" i="14" s="1"/>
  <c r="N692" i="14"/>
  <c r="N748" i="14" s="1"/>
  <c r="N699" i="14"/>
  <c r="N755" i="14" s="1"/>
  <c r="L700" i="14"/>
  <c r="L756" i="14" s="1"/>
  <c r="M697" i="14"/>
  <c r="M753" i="14" s="1"/>
  <c r="N698" i="14"/>
  <c r="N754" i="14" s="1"/>
  <c r="M676" i="14"/>
  <c r="M686" i="14"/>
  <c r="M681" i="14"/>
  <c r="M680" i="14"/>
  <c r="M682" i="14"/>
  <c r="M679" i="14"/>
  <c r="N679" i="14"/>
  <c r="L684" i="14"/>
  <c r="N667" i="14"/>
  <c r="L653" i="14"/>
  <c r="L667" i="14"/>
  <c r="N668" i="14"/>
  <c r="L654" i="14"/>
  <c r="L668" i="14"/>
  <c r="M656" i="14"/>
  <c r="M670" i="14"/>
  <c r="M657" i="14"/>
  <c r="M671" i="14"/>
  <c r="M650" i="14"/>
  <c r="M664" i="14"/>
  <c r="J427" i="14"/>
  <c r="J613" i="14"/>
  <c r="J363" i="14"/>
  <c r="AB23" i="19" s="1"/>
  <c r="J436" i="14"/>
  <c r="J622" i="14"/>
  <c r="J438" i="14"/>
  <c r="J624" i="14"/>
  <c r="J429" i="14"/>
  <c r="J615" i="14"/>
  <c r="N426" i="14"/>
  <c r="N611" i="14" s="1"/>
  <c r="N646" i="14" s="1"/>
  <c r="M426" i="14"/>
  <c r="J431" i="14"/>
  <c r="J617" i="14"/>
  <c r="J437" i="14"/>
  <c r="J623" i="14"/>
  <c r="J430" i="14"/>
  <c r="J616" i="14"/>
  <c r="J435" i="14"/>
  <c r="J621" i="14"/>
  <c r="J378" i="14"/>
  <c r="K412" i="14"/>
  <c r="K1071" i="14" s="1"/>
  <c r="K1096" i="14" s="1"/>
  <c r="L428" i="14"/>
  <c r="L614" i="14" s="1"/>
  <c r="L412" i="14"/>
  <c r="L1072" i="14" s="1"/>
  <c r="J349" i="14"/>
  <c r="AB21" i="19" s="1"/>
  <c r="J420" i="14"/>
  <c r="K434" i="14"/>
  <c r="K620" i="14" s="1"/>
  <c r="J419" i="14"/>
  <c r="K433" i="14"/>
  <c r="K619" i="14" s="1"/>
  <c r="J389" i="14"/>
  <c r="AF17" i="19" s="1"/>
  <c r="J414" i="14"/>
  <c r="K428" i="14"/>
  <c r="K614" i="14" s="1"/>
  <c r="J418" i="14"/>
  <c r="K432" i="14"/>
  <c r="K618" i="14" s="1"/>
  <c r="M1310" i="14"/>
  <c r="K1310" i="14"/>
  <c r="M1323" i="14"/>
  <c r="N1349" i="14"/>
  <c r="K1349" i="14"/>
  <c r="L1349" i="14"/>
  <c r="K1323" i="14"/>
  <c r="N1336" i="14"/>
  <c r="M1336" i="14"/>
  <c r="L1336" i="14"/>
  <c r="K1336" i="14"/>
  <c r="N1310" i="14"/>
  <c r="N1323" i="14"/>
  <c r="M1349" i="14"/>
  <c r="L1310" i="14"/>
  <c r="L1323" i="14"/>
  <c r="L50" i="21"/>
  <c r="Q24" i="21"/>
  <c r="G24" i="21"/>
  <c r="H48" i="21"/>
  <c r="K24" i="21"/>
  <c r="M50" i="21"/>
  <c r="G48" i="21"/>
  <c r="H50" i="21"/>
  <c r="I24" i="21"/>
  <c r="O24" i="21"/>
  <c r="P24" i="21"/>
  <c r="N50" i="21"/>
  <c r="J24" i="21"/>
  <c r="R24" i="21"/>
  <c r="E72" i="22" l="1"/>
  <c r="H69" i="22"/>
  <c r="H73" i="22" s="1"/>
  <c r="H93" i="22"/>
  <c r="E96" i="22"/>
  <c r="E97" i="22"/>
  <c r="I97" i="22"/>
  <c r="I96" i="22"/>
  <c r="G97" i="22"/>
  <c r="G96" i="22"/>
  <c r="O69" i="22"/>
  <c r="O73" i="22" s="1"/>
  <c r="O93" i="22"/>
  <c r="O97" i="22" s="1"/>
  <c r="G81" i="22"/>
  <c r="G84" i="22" s="1"/>
  <c r="G69" i="22"/>
  <c r="P81" i="22"/>
  <c r="P85" i="22" s="1"/>
  <c r="P69" i="22"/>
  <c r="P73" i="22" s="1"/>
  <c r="I81" i="22"/>
  <c r="I84" i="22" s="1"/>
  <c r="I69" i="22"/>
  <c r="N81" i="22"/>
  <c r="N84" i="22" s="1"/>
  <c r="N69" i="22"/>
  <c r="N73" i="22" s="1"/>
  <c r="M81" i="22"/>
  <c r="M84" i="22" s="1"/>
  <c r="M69" i="22"/>
  <c r="M73" i="22" s="1"/>
  <c r="H72" i="22"/>
  <c r="K58" i="22"/>
  <c r="K146" i="22"/>
  <c r="K148" i="22" s="1"/>
  <c r="K150" i="22" s="1"/>
  <c r="K153" i="22" s="1"/>
  <c r="E84" i="22"/>
  <c r="Q52" i="22"/>
  <c r="S48" i="21"/>
  <c r="S50" i="21"/>
  <c r="E189" i="22"/>
  <c r="E190" i="22"/>
  <c r="K189" i="22"/>
  <c r="K190" i="22"/>
  <c r="J189" i="22"/>
  <c r="J190" i="22"/>
  <c r="Q171" i="22"/>
  <c r="Q167" i="22"/>
  <c r="Q149" i="22"/>
  <c r="Q18" i="22"/>
  <c r="I120" i="22"/>
  <c r="N72" i="21"/>
  <c r="L94" i="22" s="1"/>
  <c r="Q70" i="21"/>
  <c r="O82" i="22" s="1"/>
  <c r="N73" i="21"/>
  <c r="L100" i="22" s="1"/>
  <c r="K102" i="22"/>
  <c r="N68" i="21"/>
  <c r="L70" i="22" s="1"/>
  <c r="N69" i="21"/>
  <c r="L76" i="22" s="1"/>
  <c r="K78" i="22"/>
  <c r="N67" i="21"/>
  <c r="L64" i="22" s="1"/>
  <c r="K66" i="22"/>
  <c r="G120" i="22"/>
  <c r="J117" i="22"/>
  <c r="J121" i="22" s="1"/>
  <c r="J87" i="22"/>
  <c r="K117" i="22"/>
  <c r="K121" i="22" s="1"/>
  <c r="K87" i="22"/>
  <c r="G91" i="22"/>
  <c r="G90" i="22"/>
  <c r="N90" i="22"/>
  <c r="N91" i="22"/>
  <c r="H91" i="22"/>
  <c r="H90" i="22"/>
  <c r="L117" i="22"/>
  <c r="L121" i="22" s="1"/>
  <c r="L87" i="22"/>
  <c r="H120" i="22"/>
  <c r="M91" i="22"/>
  <c r="M90" i="22"/>
  <c r="O90" i="22"/>
  <c r="O91" i="22"/>
  <c r="P91" i="22"/>
  <c r="P90" i="22"/>
  <c r="I91" i="22"/>
  <c r="I90" i="22"/>
  <c r="H57" i="22"/>
  <c r="H61" i="22" s="1"/>
  <c r="H81" i="22"/>
  <c r="O57" i="22"/>
  <c r="O61" i="22" s="1"/>
  <c r="O81" i="22"/>
  <c r="J66" i="22"/>
  <c r="H66" i="22"/>
  <c r="L67" i="22"/>
  <c r="N67" i="22"/>
  <c r="E57" i="22"/>
  <c r="E61" i="22" s="1"/>
  <c r="E63" i="22"/>
  <c r="F67" i="22"/>
  <c r="F66" i="22"/>
  <c r="M67" i="22"/>
  <c r="G67" i="22"/>
  <c r="G66" i="22"/>
  <c r="I67" i="22"/>
  <c r="I66" i="22"/>
  <c r="O67" i="22"/>
  <c r="N57" i="22"/>
  <c r="N61" i="22" s="1"/>
  <c r="G57" i="22"/>
  <c r="G61" i="22" s="1"/>
  <c r="I57" i="22"/>
  <c r="I61" i="22" s="1"/>
  <c r="M57" i="22"/>
  <c r="M61" i="22" s="1"/>
  <c r="P57" i="22"/>
  <c r="P61" i="22" s="1"/>
  <c r="E153" i="22"/>
  <c r="J153" i="22"/>
  <c r="Q152" i="22"/>
  <c r="Q151" i="22"/>
  <c r="Q9" i="22"/>
  <c r="H10" i="22"/>
  <c r="P10" i="22"/>
  <c r="M10" i="22"/>
  <c r="E10" i="22"/>
  <c r="N10" i="22"/>
  <c r="I10" i="22"/>
  <c r="G10" i="22"/>
  <c r="O10" i="22"/>
  <c r="K54" i="22"/>
  <c r="M12" i="22"/>
  <c r="M161" i="22" s="1"/>
  <c r="L54" i="22"/>
  <c r="E12" i="22"/>
  <c r="F54" i="22"/>
  <c r="O12" i="22"/>
  <c r="O161" i="22" s="1"/>
  <c r="P12" i="22"/>
  <c r="J54" i="22"/>
  <c r="F53" i="22"/>
  <c r="H12" i="22"/>
  <c r="I12" i="22"/>
  <c r="G12" i="22"/>
  <c r="G161" i="22" s="1"/>
  <c r="N12" i="22"/>
  <c r="E53" i="22"/>
  <c r="N76" i="21"/>
  <c r="L118" i="22" s="1"/>
  <c r="N66" i="21"/>
  <c r="L826" i="14"/>
  <c r="L812" i="14"/>
  <c r="L827" i="14"/>
  <c r="L813" i="14"/>
  <c r="M785" i="14"/>
  <c r="M827" i="14"/>
  <c r="M813" i="14"/>
  <c r="N785" i="14"/>
  <c r="N1079" i="14"/>
  <c r="J1079" i="14" s="1"/>
  <c r="J376" i="14"/>
  <c r="AB22" i="19" s="1"/>
  <c r="M771" i="14"/>
  <c r="J1165" i="14"/>
  <c r="M611" i="14"/>
  <c r="M660" i="14" s="1"/>
  <c r="M1155" i="14"/>
  <c r="N1155" i="14"/>
  <c r="M1111" i="14"/>
  <c r="L1091" i="14"/>
  <c r="L1104" i="14"/>
  <c r="L1084" i="14"/>
  <c r="L1097" i="14"/>
  <c r="M1083" i="14"/>
  <c r="M1096" i="14"/>
  <c r="M1091" i="14"/>
  <c r="M1104" i="14"/>
  <c r="J1071" i="14"/>
  <c r="K1083" i="14"/>
  <c r="K1109" i="14" s="1"/>
  <c r="K1091" i="14"/>
  <c r="L1151" i="14"/>
  <c r="K1151" i="14"/>
  <c r="N714" i="14"/>
  <c r="N728" i="14"/>
  <c r="N704" i="14"/>
  <c r="N718" i="14"/>
  <c r="N726" i="14"/>
  <c r="M725" i="14"/>
  <c r="N713" i="14"/>
  <c r="N720" i="14"/>
  <c r="N711" i="14"/>
  <c r="N712" i="14"/>
  <c r="M711" i="14"/>
  <c r="N727" i="14"/>
  <c r="N706" i="14"/>
  <c r="N725" i="14"/>
  <c r="L728" i="14"/>
  <c r="L715" i="14"/>
  <c r="L708" i="14"/>
  <c r="L720" i="14"/>
  <c r="L706" i="14"/>
  <c r="L718" i="14"/>
  <c r="L704" i="14"/>
  <c r="L714" i="14"/>
  <c r="L729" i="14"/>
  <c r="L722" i="14"/>
  <c r="N782" i="14"/>
  <c r="N768" i="14"/>
  <c r="L784" i="14"/>
  <c r="L770" i="14"/>
  <c r="N776" i="14"/>
  <c r="N762" i="14"/>
  <c r="L778" i="14"/>
  <c r="L764" i="14"/>
  <c r="M781" i="14"/>
  <c r="M767" i="14"/>
  <c r="N783" i="14"/>
  <c r="N769" i="14"/>
  <c r="L785" i="14"/>
  <c r="L771" i="14"/>
  <c r="N781" i="14"/>
  <c r="N767" i="14"/>
  <c r="N756" i="14"/>
  <c r="N746" i="14"/>
  <c r="N778" i="14"/>
  <c r="N764" i="14"/>
  <c r="L781" i="14"/>
  <c r="L767" i="14"/>
  <c r="L748" i="14"/>
  <c r="L746" i="14"/>
  <c r="M690" i="14"/>
  <c r="M746" i="14" s="1"/>
  <c r="L732" i="14"/>
  <c r="N740" i="14"/>
  <c r="L742" i="14"/>
  <c r="N734" i="14"/>
  <c r="N742" i="14"/>
  <c r="L736" i="14"/>
  <c r="N732" i="14"/>
  <c r="M739" i="14"/>
  <c r="N741" i="14"/>
  <c r="L734" i="14"/>
  <c r="L743" i="14"/>
  <c r="N739" i="14"/>
  <c r="M693" i="14"/>
  <c r="M749" i="14" s="1"/>
  <c r="M694" i="14"/>
  <c r="M750" i="14" s="1"/>
  <c r="M700" i="14"/>
  <c r="M756" i="14" s="1"/>
  <c r="L698" i="14"/>
  <c r="L754" i="14" s="1"/>
  <c r="N693" i="14"/>
  <c r="N749" i="14" s="1"/>
  <c r="M696" i="14"/>
  <c r="M752" i="14" s="1"/>
  <c r="M695" i="14"/>
  <c r="M751" i="14" s="1"/>
  <c r="K670" i="14"/>
  <c r="K672" i="14"/>
  <c r="M663" i="14"/>
  <c r="M661" i="14" s="1"/>
  <c r="M678" i="14"/>
  <c r="M685" i="14"/>
  <c r="M684" i="14"/>
  <c r="L682" i="14"/>
  <c r="N682" i="14"/>
  <c r="L681" i="14"/>
  <c r="N681" i="14"/>
  <c r="K663" i="14"/>
  <c r="K665" i="14"/>
  <c r="K666" i="14"/>
  <c r="N663" i="14"/>
  <c r="N661" i="14" s="1"/>
  <c r="K664" i="14"/>
  <c r="K673" i="14"/>
  <c r="K671" i="14"/>
  <c r="K648" i="14"/>
  <c r="K662" i="14"/>
  <c r="K656" i="14"/>
  <c r="K658" i="14"/>
  <c r="M612" i="14"/>
  <c r="M1061" i="14" s="1"/>
  <c r="M649" i="14"/>
  <c r="K649" i="14"/>
  <c r="K651" i="14"/>
  <c r="K652" i="14"/>
  <c r="N612" i="14"/>
  <c r="N1061" i="14" s="1"/>
  <c r="K650" i="14"/>
  <c r="K659" i="14"/>
  <c r="K657" i="14"/>
  <c r="J432" i="14"/>
  <c r="J618" i="14"/>
  <c r="J433" i="14"/>
  <c r="J619" i="14"/>
  <c r="J434" i="14"/>
  <c r="J620" i="14"/>
  <c r="L426" i="14"/>
  <c r="J614" i="14"/>
  <c r="J428" i="14"/>
  <c r="K426" i="14"/>
  <c r="J412" i="14"/>
  <c r="AB17" i="19" s="1"/>
  <c r="N24" i="21"/>
  <c r="M24" i="21"/>
  <c r="H24" i="21"/>
  <c r="L24" i="21"/>
  <c r="I85" i="22" l="1"/>
  <c r="L69" i="22"/>
  <c r="L73" i="22" s="1"/>
  <c r="L93" i="22"/>
  <c r="L97" i="22" s="1"/>
  <c r="H97" i="22"/>
  <c r="H96" i="22"/>
  <c r="J69" i="22"/>
  <c r="J73" i="22" s="1"/>
  <c r="J93" i="22"/>
  <c r="F69" i="22"/>
  <c r="F72" i="22" s="1"/>
  <c r="F93" i="22"/>
  <c r="K69" i="22"/>
  <c r="K73" i="22" s="1"/>
  <c r="K93" i="22"/>
  <c r="G85" i="22"/>
  <c r="M85" i="22"/>
  <c r="M124" i="22" s="1"/>
  <c r="N85" i="22"/>
  <c r="N124" i="22" s="1"/>
  <c r="I73" i="22"/>
  <c r="I72" i="22"/>
  <c r="G73" i="22"/>
  <c r="G72" i="22"/>
  <c r="L58" i="22"/>
  <c r="L146" i="22"/>
  <c r="L148" i="22" s="1"/>
  <c r="L150" i="22" s="1"/>
  <c r="L153" i="22" s="1"/>
  <c r="Q53" i="22"/>
  <c r="Q54" i="22"/>
  <c r="N23" i="22"/>
  <c r="N24" i="22" s="1"/>
  <c r="N26" i="22" s="1"/>
  <c r="N161" i="22"/>
  <c r="N164" i="22" s="1"/>
  <c r="N176" i="22" s="1"/>
  <c r="I23" i="22"/>
  <c r="I24" i="22" s="1"/>
  <c r="I26" i="22" s="1"/>
  <c r="I161" i="22"/>
  <c r="I164" i="22" s="1"/>
  <c r="I176" i="22" s="1"/>
  <c r="P23" i="22"/>
  <c r="P24" i="22" s="1"/>
  <c r="P26" i="22" s="1"/>
  <c r="P161" i="22"/>
  <c r="P164" i="22" s="1"/>
  <c r="P176" i="22" s="1"/>
  <c r="H23" i="22"/>
  <c r="H24" i="22" s="1"/>
  <c r="H26" i="22" s="1"/>
  <c r="H161" i="22"/>
  <c r="H164" i="22" s="1"/>
  <c r="H176" i="22" s="1"/>
  <c r="E23" i="22"/>
  <c r="E24" i="22" s="1"/>
  <c r="E26" i="22" s="1"/>
  <c r="E192" i="22" s="1"/>
  <c r="E161" i="22"/>
  <c r="O67" i="21"/>
  <c r="M64" i="22" s="1"/>
  <c r="L66" i="22"/>
  <c r="O68" i="21"/>
  <c r="M70" i="22" s="1"/>
  <c r="R70" i="21"/>
  <c r="O84" i="22"/>
  <c r="O69" i="21"/>
  <c r="M76" i="22" s="1"/>
  <c r="L78" i="22"/>
  <c r="O73" i="21"/>
  <c r="M100" i="22" s="1"/>
  <c r="L102" i="22"/>
  <c r="O72" i="21"/>
  <c r="M94" i="22" s="1"/>
  <c r="P124" i="22"/>
  <c r="J120" i="22"/>
  <c r="K120" i="22"/>
  <c r="L91" i="22"/>
  <c r="L90" i="22"/>
  <c r="K91" i="22"/>
  <c r="K90" i="22"/>
  <c r="E117" i="22"/>
  <c r="E121" i="22" s="1"/>
  <c r="E87" i="22"/>
  <c r="F117" i="22"/>
  <c r="F87" i="22"/>
  <c r="J90" i="22"/>
  <c r="J91" i="22"/>
  <c r="H60" i="22"/>
  <c r="L57" i="22"/>
  <c r="L61" i="22" s="1"/>
  <c r="L81" i="22"/>
  <c r="H84" i="22"/>
  <c r="H85" i="22"/>
  <c r="J57" i="22"/>
  <c r="J61" i="22" s="1"/>
  <c r="J81" i="22"/>
  <c r="F57" i="22"/>
  <c r="F61" i="22" s="1"/>
  <c r="F81" i="22"/>
  <c r="K57" i="22"/>
  <c r="K61" i="22" s="1"/>
  <c r="K81" i="22"/>
  <c r="O85" i="22"/>
  <c r="O124" i="22" s="1"/>
  <c r="E60" i="22"/>
  <c r="E67" i="22"/>
  <c r="Q67" i="22" s="1"/>
  <c r="E66" i="22"/>
  <c r="Q63" i="22"/>
  <c r="I60" i="22"/>
  <c r="G60" i="22"/>
  <c r="G164" i="22"/>
  <c r="G176" i="22" s="1"/>
  <c r="M164" i="22"/>
  <c r="M176" i="22" s="1"/>
  <c r="O164" i="22"/>
  <c r="O176" i="22" s="1"/>
  <c r="M23" i="22"/>
  <c r="M24" i="22" s="1"/>
  <c r="M26" i="22" s="1"/>
  <c r="M194" i="22" s="1"/>
  <c r="M197" i="22" s="1"/>
  <c r="G23" i="22"/>
  <c r="G24" i="22" s="1"/>
  <c r="G26" i="22" s="1"/>
  <c r="G194" i="22" s="1"/>
  <c r="G197" i="22" s="1"/>
  <c r="O23" i="22"/>
  <c r="O24" i="22" s="1"/>
  <c r="O26" i="22" s="1"/>
  <c r="O194" i="22" s="1"/>
  <c r="O197" i="22" s="1"/>
  <c r="L10" i="22"/>
  <c r="F10" i="22"/>
  <c r="J10" i="22"/>
  <c r="K10" i="22"/>
  <c r="L12" i="22"/>
  <c r="K12" i="22"/>
  <c r="F12" i="22"/>
  <c r="S24" i="21"/>
  <c r="J12" i="22"/>
  <c r="O66" i="21"/>
  <c r="O76" i="21"/>
  <c r="M118" i="22" s="1"/>
  <c r="L120" i="22"/>
  <c r="M826" i="14"/>
  <c r="M812" i="14"/>
  <c r="L816" i="14"/>
  <c r="L802" i="14"/>
  <c r="M816" i="14"/>
  <c r="M802" i="14"/>
  <c r="M732" i="14"/>
  <c r="K1155" i="14"/>
  <c r="J1155" i="14" s="1"/>
  <c r="L1110" i="14"/>
  <c r="L1117" i="14"/>
  <c r="N660" i="14"/>
  <c r="N674" i="14" s="1"/>
  <c r="M646" i="14"/>
  <c r="M674" i="14" s="1"/>
  <c r="L611" i="14"/>
  <c r="L660" i="14" s="1"/>
  <c r="L1155" i="14"/>
  <c r="K1117" i="14"/>
  <c r="M1117" i="14"/>
  <c r="M1109" i="14"/>
  <c r="J1151" i="14"/>
  <c r="K611" i="14"/>
  <c r="J611" i="14" s="1"/>
  <c r="M718" i="14"/>
  <c r="M709" i="14"/>
  <c r="M724" i="14"/>
  <c r="N721" i="14"/>
  <c r="M714" i="14"/>
  <c r="M708" i="14"/>
  <c r="M721" i="14"/>
  <c r="M704" i="14"/>
  <c r="M723" i="14"/>
  <c r="M710" i="14"/>
  <c r="N707" i="14"/>
  <c r="M728" i="14"/>
  <c r="M722" i="14"/>
  <c r="M707" i="14"/>
  <c r="L712" i="14"/>
  <c r="L726" i="14"/>
  <c r="M780" i="14"/>
  <c r="M766" i="14"/>
  <c r="L782" i="14"/>
  <c r="L768" i="14"/>
  <c r="M778" i="14"/>
  <c r="M764" i="14"/>
  <c r="M779" i="14"/>
  <c r="M765" i="14"/>
  <c r="N777" i="14"/>
  <c r="N763" i="14"/>
  <c r="M784" i="14"/>
  <c r="M770" i="14"/>
  <c r="M777" i="14"/>
  <c r="M763" i="14"/>
  <c r="M774" i="14"/>
  <c r="M760" i="14"/>
  <c r="M647" i="14"/>
  <c r="J658" i="14"/>
  <c r="L774" i="14"/>
  <c r="L760" i="14"/>
  <c r="N760" i="14"/>
  <c r="N774" i="14"/>
  <c r="J659" i="14"/>
  <c r="N647" i="14"/>
  <c r="J648" i="14"/>
  <c r="L776" i="14"/>
  <c r="L762" i="14"/>
  <c r="N784" i="14"/>
  <c r="N770" i="14"/>
  <c r="J662" i="14"/>
  <c r="J671" i="14"/>
  <c r="J664" i="14"/>
  <c r="J666" i="14"/>
  <c r="J670" i="14"/>
  <c r="J673" i="14"/>
  <c r="J665" i="14"/>
  <c r="J672" i="14"/>
  <c r="M737" i="14"/>
  <c r="N735" i="14"/>
  <c r="M736" i="14"/>
  <c r="M738" i="14"/>
  <c r="L740" i="14"/>
  <c r="M742" i="14"/>
  <c r="M735" i="14"/>
  <c r="K680" i="14"/>
  <c r="K694" i="14" s="1"/>
  <c r="J652" i="14"/>
  <c r="K677" i="14"/>
  <c r="K691" i="14" s="1"/>
  <c r="K684" i="14"/>
  <c r="K698" i="14" s="1"/>
  <c r="J656" i="14"/>
  <c r="K685" i="14"/>
  <c r="K699" i="14" s="1"/>
  <c r="J657" i="14"/>
  <c r="K678" i="14"/>
  <c r="K692" i="14" s="1"/>
  <c r="J650" i="14"/>
  <c r="K679" i="14"/>
  <c r="K693" i="14" s="1"/>
  <c r="J651" i="14"/>
  <c r="K676" i="14"/>
  <c r="K690" i="14" s="1"/>
  <c r="L695" i="14"/>
  <c r="L751" i="14" s="1"/>
  <c r="L696" i="14"/>
  <c r="L752" i="14" s="1"/>
  <c r="M699" i="14"/>
  <c r="M755" i="14" s="1"/>
  <c r="N695" i="14"/>
  <c r="N751" i="14" s="1"/>
  <c r="N696" i="14"/>
  <c r="N752" i="14" s="1"/>
  <c r="M698" i="14"/>
  <c r="M754" i="14" s="1"/>
  <c r="M692" i="14"/>
  <c r="M748" i="14" s="1"/>
  <c r="L663" i="14"/>
  <c r="J663" i="14" s="1"/>
  <c r="K669" i="14"/>
  <c r="K668" i="14"/>
  <c r="K667" i="14"/>
  <c r="M677" i="14"/>
  <c r="K686" i="14"/>
  <c r="K687" i="14"/>
  <c r="N677" i="14"/>
  <c r="K655" i="14"/>
  <c r="L612" i="14"/>
  <c r="L1061" i="14" s="1"/>
  <c r="L649" i="14"/>
  <c r="J649" i="14" s="1"/>
  <c r="K654" i="14"/>
  <c r="J612" i="14"/>
  <c r="K653" i="14"/>
  <c r="K612" i="14"/>
  <c r="K1061" i="14" s="1"/>
  <c r="J1061" i="14" s="1"/>
  <c r="J426" i="14"/>
  <c r="AB18" i="19" s="1"/>
  <c r="J72" i="22" l="1"/>
  <c r="I124" i="22"/>
  <c r="H124" i="22"/>
  <c r="G124" i="22"/>
  <c r="L96" i="22"/>
  <c r="L72" i="22"/>
  <c r="K72" i="22"/>
  <c r="Q69" i="22"/>
  <c r="I123" i="22"/>
  <c r="F73" i="22"/>
  <c r="Q73" i="22" s="1"/>
  <c r="K97" i="22"/>
  <c r="K96" i="22"/>
  <c r="J97" i="22"/>
  <c r="J96" i="22"/>
  <c r="F97" i="22"/>
  <c r="F96" i="22"/>
  <c r="Q93" i="22"/>
  <c r="G123" i="22"/>
  <c r="P82" i="22"/>
  <c r="P84" i="22" s="1"/>
  <c r="M58" i="22"/>
  <c r="M146" i="22"/>
  <c r="M148" i="22" s="1"/>
  <c r="M150" i="22" s="1"/>
  <c r="M153" i="22" s="1"/>
  <c r="H193" i="22"/>
  <c r="H196" i="22" s="1"/>
  <c r="H194" i="22"/>
  <c r="H197" i="22" s="1"/>
  <c r="I193" i="22"/>
  <c r="I196" i="22" s="1"/>
  <c r="I194" i="22"/>
  <c r="I197" i="22" s="1"/>
  <c r="E193" i="22"/>
  <c r="E196" i="22" s="1"/>
  <c r="E194" i="22"/>
  <c r="E197" i="22" s="1"/>
  <c r="P193" i="22"/>
  <c r="P196" i="22" s="1"/>
  <c r="P194" i="22"/>
  <c r="P197" i="22" s="1"/>
  <c r="N193" i="22"/>
  <c r="N196" i="22" s="1"/>
  <c r="N194" i="22"/>
  <c r="N197" i="22" s="1"/>
  <c r="J23" i="22"/>
  <c r="J24" i="22" s="1"/>
  <c r="J26" i="22" s="1"/>
  <c r="J161" i="22"/>
  <c r="J164" i="22" s="1"/>
  <c r="J176" i="22" s="1"/>
  <c r="L23" i="22"/>
  <c r="L24" i="22" s="1"/>
  <c r="L26" i="22" s="1"/>
  <c r="L161" i="22"/>
  <c r="L164" i="22" s="1"/>
  <c r="L176" i="22" s="1"/>
  <c r="K23" i="22"/>
  <c r="K24" i="22" s="1"/>
  <c r="K26" i="22" s="1"/>
  <c r="K161" i="22"/>
  <c r="K164" i="22" s="1"/>
  <c r="K176" i="22" s="1"/>
  <c r="F23" i="22"/>
  <c r="F24" i="22" s="1"/>
  <c r="F26" i="22" s="1"/>
  <c r="F161" i="22"/>
  <c r="F164" i="22" s="1"/>
  <c r="F176" i="22" s="1"/>
  <c r="M60" i="22"/>
  <c r="P72" i="21"/>
  <c r="N94" i="22" s="1"/>
  <c r="M96" i="22"/>
  <c r="P69" i="21"/>
  <c r="N76" i="22" s="1"/>
  <c r="M78" i="22"/>
  <c r="P67" i="21"/>
  <c r="N64" i="22" s="1"/>
  <c r="M66" i="22"/>
  <c r="P68" i="21"/>
  <c r="N70" i="22" s="1"/>
  <c r="M72" i="22"/>
  <c r="P73" i="21"/>
  <c r="N100" i="22" s="1"/>
  <c r="M102" i="22"/>
  <c r="H123" i="22"/>
  <c r="E120" i="22"/>
  <c r="J60" i="22"/>
  <c r="Q117" i="22"/>
  <c r="F120" i="22"/>
  <c r="F121" i="22"/>
  <c r="Q121" i="22" s="1"/>
  <c r="Q57" i="22"/>
  <c r="Q61" i="22"/>
  <c r="E91" i="22"/>
  <c r="E124" i="22" s="1"/>
  <c r="Q87" i="22"/>
  <c r="E90" i="22"/>
  <c r="F90" i="22"/>
  <c r="F91" i="22"/>
  <c r="K60" i="22"/>
  <c r="L60" i="22"/>
  <c r="F60" i="22"/>
  <c r="K84" i="22"/>
  <c r="K85" i="22"/>
  <c r="J85" i="22"/>
  <c r="J84" i="22"/>
  <c r="L85" i="22"/>
  <c r="L124" i="22" s="1"/>
  <c r="L84" i="22"/>
  <c r="F85" i="22"/>
  <c r="F84" i="22"/>
  <c r="Q81" i="22"/>
  <c r="G192" i="22"/>
  <c r="G195" i="22" s="1"/>
  <c r="G193" i="22"/>
  <c r="G196" i="22" s="1"/>
  <c r="O192" i="22"/>
  <c r="O195" i="22" s="1"/>
  <c r="O193" i="22"/>
  <c r="O196" i="22" s="1"/>
  <c r="M192" i="22"/>
  <c r="M195" i="22" s="1"/>
  <c r="M193" i="22"/>
  <c r="M196" i="22" s="1"/>
  <c r="P27" i="22"/>
  <c r="P192" i="22"/>
  <c r="P195" i="22" s="1"/>
  <c r="H27" i="22"/>
  <c r="H192" i="22"/>
  <c r="H195" i="22" s="1"/>
  <c r="N27" i="22"/>
  <c r="N192" i="22"/>
  <c r="N195" i="22" s="1"/>
  <c r="I27" i="22"/>
  <c r="I192" i="22"/>
  <c r="I195" i="22" s="1"/>
  <c r="E31" i="22"/>
  <c r="E195" i="22"/>
  <c r="I166" i="22"/>
  <c r="I168" i="22" s="1"/>
  <c r="I178" i="22" s="1"/>
  <c r="I182" i="22" s="1"/>
  <c r="I186" i="22" s="1"/>
  <c r="I202" i="22" s="1"/>
  <c r="H166" i="22"/>
  <c r="H168" i="22" s="1"/>
  <c r="H178" i="22" s="1"/>
  <c r="H182" i="22" s="1"/>
  <c r="H186" i="22" s="1"/>
  <c r="H202" i="22" s="1"/>
  <c r="N166" i="22"/>
  <c r="N168" i="22" s="1"/>
  <c r="N178" i="22" s="1"/>
  <c r="N182" i="22" s="1"/>
  <c r="N186" i="22" s="1"/>
  <c r="N202" i="22" s="1"/>
  <c r="P166" i="22"/>
  <c r="P168" i="22" s="1"/>
  <c r="P178" i="22" s="1"/>
  <c r="P182" i="22" s="1"/>
  <c r="P186" i="22" s="1"/>
  <c r="P202" i="22" s="1"/>
  <c r="O166" i="22"/>
  <c r="O168" i="22" s="1"/>
  <c r="O178" i="22" s="1"/>
  <c r="O182" i="22" s="1"/>
  <c r="O186" i="22" s="1"/>
  <c r="O202" i="22" s="1"/>
  <c r="M166" i="22"/>
  <c r="M168" i="22" s="1"/>
  <c r="M178" i="22" s="1"/>
  <c r="M182" i="22" s="1"/>
  <c r="M186" i="22" s="1"/>
  <c r="M202" i="22" s="1"/>
  <c r="G166" i="22"/>
  <c r="G168" i="22" s="1"/>
  <c r="G178" i="22" s="1"/>
  <c r="G182" i="22" s="1"/>
  <c r="G186" i="22" s="1"/>
  <c r="G202" i="22" s="1"/>
  <c r="E164" i="22"/>
  <c r="E176" i="22" s="1"/>
  <c r="G31" i="22"/>
  <c r="G27" i="22"/>
  <c r="O31" i="22"/>
  <c r="O27" i="22"/>
  <c r="M31" i="22"/>
  <c r="M27" i="22"/>
  <c r="Q10" i="22"/>
  <c r="Q12" i="22"/>
  <c r="E27" i="22"/>
  <c r="E256" i="22" s="1"/>
  <c r="E12" i="23" s="1"/>
  <c r="P31" i="22"/>
  <c r="N31" i="22"/>
  <c r="H31" i="22"/>
  <c r="I31" i="22"/>
  <c r="P76" i="21"/>
  <c r="N118" i="22" s="1"/>
  <c r="M120" i="22"/>
  <c r="P66" i="21"/>
  <c r="M818" i="14"/>
  <c r="M804" i="14"/>
  <c r="AQ18" i="19"/>
  <c r="L646" i="14"/>
  <c r="L674" i="14" s="1"/>
  <c r="K660" i="14"/>
  <c r="J660" i="14" s="1"/>
  <c r="L661" i="14"/>
  <c r="K646" i="14"/>
  <c r="K721" i="14"/>
  <c r="J721" i="14" s="1"/>
  <c r="K707" i="14"/>
  <c r="J707" i="14" s="1"/>
  <c r="K706" i="14"/>
  <c r="K720" i="14"/>
  <c r="K727" i="14"/>
  <c r="J727" i="14" s="1"/>
  <c r="K713" i="14"/>
  <c r="J713" i="14" s="1"/>
  <c r="K712" i="14"/>
  <c r="K726" i="14"/>
  <c r="K719" i="14"/>
  <c r="K705" i="14"/>
  <c r="K708" i="14"/>
  <c r="J708" i="14" s="1"/>
  <c r="K722" i="14"/>
  <c r="J722" i="14" s="1"/>
  <c r="M706" i="14"/>
  <c r="M712" i="14"/>
  <c r="N724" i="14"/>
  <c r="N709" i="14"/>
  <c r="M713" i="14"/>
  <c r="K704" i="14"/>
  <c r="J704" i="14" s="1"/>
  <c r="K718" i="14"/>
  <c r="J718" i="14" s="1"/>
  <c r="M720" i="14"/>
  <c r="M726" i="14"/>
  <c r="N710" i="14"/>
  <c r="N723" i="14"/>
  <c r="M727" i="14"/>
  <c r="L710" i="14"/>
  <c r="L709" i="14"/>
  <c r="L724" i="14"/>
  <c r="L723" i="14"/>
  <c r="M776" i="14"/>
  <c r="M762" i="14"/>
  <c r="M782" i="14"/>
  <c r="M768" i="14"/>
  <c r="N779" i="14"/>
  <c r="N765" i="14"/>
  <c r="L780" i="14"/>
  <c r="L766" i="14"/>
  <c r="N780" i="14"/>
  <c r="N766" i="14"/>
  <c r="M783" i="14"/>
  <c r="M769" i="14"/>
  <c r="L779" i="14"/>
  <c r="L765" i="14"/>
  <c r="L647" i="14"/>
  <c r="K749" i="14"/>
  <c r="K748" i="14"/>
  <c r="K755" i="14"/>
  <c r="K754" i="14"/>
  <c r="K747" i="14"/>
  <c r="K750" i="14"/>
  <c r="K746" i="14"/>
  <c r="J667" i="14"/>
  <c r="J668" i="14"/>
  <c r="J669" i="14"/>
  <c r="J686" i="14"/>
  <c r="J679" i="14"/>
  <c r="J678" i="14"/>
  <c r="J685" i="14"/>
  <c r="J684" i="14"/>
  <c r="J680" i="14"/>
  <c r="J687" i="14"/>
  <c r="J676" i="14"/>
  <c r="M734" i="14"/>
  <c r="N738" i="14"/>
  <c r="L738" i="14"/>
  <c r="M740" i="14"/>
  <c r="N737" i="14"/>
  <c r="M741" i="14"/>
  <c r="L737" i="14"/>
  <c r="K683" i="14"/>
  <c r="K697" i="14" s="1"/>
  <c r="J655" i="14"/>
  <c r="K732" i="14"/>
  <c r="J732" i="14" s="1"/>
  <c r="J690" i="14"/>
  <c r="J698" i="14"/>
  <c r="J694" i="14"/>
  <c r="K681" i="14"/>
  <c r="K695" i="14" s="1"/>
  <c r="J653" i="14"/>
  <c r="K682" i="14"/>
  <c r="K696" i="14" s="1"/>
  <c r="J654" i="14"/>
  <c r="J699" i="14"/>
  <c r="J693" i="14"/>
  <c r="J692" i="14"/>
  <c r="N688" i="14"/>
  <c r="N744" i="14" s="1"/>
  <c r="M688" i="14"/>
  <c r="M744" i="14" s="1"/>
  <c r="K733" i="14"/>
  <c r="K741" i="14"/>
  <c r="K740" i="14"/>
  <c r="J740" i="14" s="1"/>
  <c r="K735" i="14"/>
  <c r="J735" i="14" s="1"/>
  <c r="K736" i="14"/>
  <c r="J736" i="14" s="1"/>
  <c r="K734" i="14"/>
  <c r="K701" i="14"/>
  <c r="K757" i="14" s="1"/>
  <c r="M691" i="14"/>
  <c r="M747" i="14" s="1"/>
  <c r="M675" i="14"/>
  <c r="L677" i="14"/>
  <c r="J677" i="14" s="1"/>
  <c r="N691" i="14"/>
  <c r="N747" i="14" s="1"/>
  <c r="N675" i="14"/>
  <c r="K700" i="14"/>
  <c r="K756" i="14" s="1"/>
  <c r="K647" i="14"/>
  <c r="J124" i="22" l="1"/>
  <c r="Q97" i="22"/>
  <c r="K124" i="22"/>
  <c r="N58" i="22"/>
  <c r="N146" i="22"/>
  <c r="N148" i="22" s="1"/>
  <c r="N150" i="22" s="1"/>
  <c r="N153" i="22" s="1"/>
  <c r="I28" i="22"/>
  <c r="I29" i="22" s="1"/>
  <c r="I256" i="22"/>
  <c r="I12" i="23" s="1"/>
  <c r="H28" i="22"/>
  <c r="H29" i="22" s="1"/>
  <c r="H256" i="22"/>
  <c r="H12" i="23" s="1"/>
  <c r="O28" i="22"/>
  <c r="O29" i="22" s="1"/>
  <c r="O256" i="22"/>
  <c r="O12" i="23" s="1"/>
  <c r="N28" i="22"/>
  <c r="N29" i="22" s="1"/>
  <c r="N256" i="22"/>
  <c r="N12" i="23" s="1"/>
  <c r="P28" i="22"/>
  <c r="P29" i="22" s="1"/>
  <c r="P256" i="22"/>
  <c r="P12" i="23" s="1"/>
  <c r="M28" i="22"/>
  <c r="M29" i="22" s="1"/>
  <c r="M256" i="22"/>
  <c r="M12" i="23" s="1"/>
  <c r="G28" i="22"/>
  <c r="G29" i="22" s="1"/>
  <c r="G256" i="22"/>
  <c r="G12" i="23" s="1"/>
  <c r="K193" i="22"/>
  <c r="K196" i="22" s="1"/>
  <c r="K194" i="22"/>
  <c r="K197" i="22" s="1"/>
  <c r="J193" i="22"/>
  <c r="J196" i="22" s="1"/>
  <c r="J194" i="22"/>
  <c r="J197" i="22" s="1"/>
  <c r="F193" i="22"/>
  <c r="F196" i="22" s="1"/>
  <c r="F194" i="22"/>
  <c r="F197" i="22" s="1"/>
  <c r="L193" i="22"/>
  <c r="L196" i="22" s="1"/>
  <c r="L194" i="22"/>
  <c r="L197" i="22" s="1"/>
  <c r="Q164" i="22"/>
  <c r="Q161" i="22"/>
  <c r="Q73" i="21"/>
  <c r="O100" i="22" s="1"/>
  <c r="N102" i="22"/>
  <c r="Q72" i="21"/>
  <c r="O94" i="22" s="1"/>
  <c r="N96" i="22"/>
  <c r="Q67" i="21"/>
  <c r="O64" i="22" s="1"/>
  <c r="N66" i="22"/>
  <c r="N60" i="22"/>
  <c r="Q68" i="21"/>
  <c r="O70" i="22" s="1"/>
  <c r="N72" i="22"/>
  <c r="Q69" i="21"/>
  <c r="O76" i="22" s="1"/>
  <c r="N78" i="22"/>
  <c r="K123" i="22"/>
  <c r="F124" i="22"/>
  <c r="L123" i="22"/>
  <c r="E123" i="22"/>
  <c r="J123" i="22"/>
  <c r="M123" i="22"/>
  <c r="F123" i="22"/>
  <c r="Q91" i="22"/>
  <c r="Q90" i="22"/>
  <c r="Q85" i="22"/>
  <c r="Q84" i="22"/>
  <c r="J712" i="14"/>
  <c r="J706" i="14"/>
  <c r="J27" i="22"/>
  <c r="J192" i="22"/>
  <c r="J195" i="22" s="1"/>
  <c r="L27" i="22"/>
  <c r="L192" i="22"/>
  <c r="L195" i="22" s="1"/>
  <c r="K27" i="22"/>
  <c r="K192" i="22"/>
  <c r="K195" i="22" s="1"/>
  <c r="F27" i="22"/>
  <c r="F256" i="22" s="1"/>
  <c r="F12" i="23" s="1"/>
  <c r="F192" i="22"/>
  <c r="M170" i="22"/>
  <c r="M180" i="22"/>
  <c r="M184" i="22" s="1"/>
  <c r="M200" i="22" s="1"/>
  <c r="P170" i="22"/>
  <c r="P180" i="22"/>
  <c r="P184" i="22" s="1"/>
  <c r="P200" i="22" s="1"/>
  <c r="H170" i="22"/>
  <c r="H180" i="22"/>
  <c r="H184" i="22" s="1"/>
  <c r="H200" i="22" s="1"/>
  <c r="G170" i="22"/>
  <c r="G180" i="22"/>
  <c r="G184" i="22" s="1"/>
  <c r="G200" i="22" s="1"/>
  <c r="O170" i="22"/>
  <c r="O180" i="22"/>
  <c r="O184" i="22" s="1"/>
  <c r="O200" i="22" s="1"/>
  <c r="N170" i="22"/>
  <c r="N180" i="22"/>
  <c r="N184" i="22" s="1"/>
  <c r="N200" i="22" s="1"/>
  <c r="I170" i="22"/>
  <c r="I180" i="22"/>
  <c r="I184" i="22" s="1"/>
  <c r="I200" i="22" s="1"/>
  <c r="J166" i="22"/>
  <c r="J168" i="22" s="1"/>
  <c r="J178" i="22" s="1"/>
  <c r="J182" i="22" s="1"/>
  <c r="J186" i="22" s="1"/>
  <c r="J202" i="22" s="1"/>
  <c r="K166" i="22"/>
  <c r="K168" i="22" s="1"/>
  <c r="K178" i="22" s="1"/>
  <c r="K182" i="22" s="1"/>
  <c r="K186" i="22" s="1"/>
  <c r="K202" i="22" s="1"/>
  <c r="L166" i="22"/>
  <c r="L168" i="22" s="1"/>
  <c r="L178" i="22" s="1"/>
  <c r="L182" i="22" s="1"/>
  <c r="L186" i="22" s="1"/>
  <c r="L202" i="22" s="1"/>
  <c r="F166" i="22"/>
  <c r="F168" i="22" s="1"/>
  <c r="F178" i="22" s="1"/>
  <c r="F182" i="22" s="1"/>
  <c r="F186" i="22" s="1"/>
  <c r="F202" i="22" s="1"/>
  <c r="E166" i="22"/>
  <c r="K31" i="22"/>
  <c r="L31" i="22"/>
  <c r="Q26" i="22"/>
  <c r="E28" i="22"/>
  <c r="J31" i="22"/>
  <c r="F31" i="22"/>
  <c r="Q66" i="21"/>
  <c r="Q76" i="21"/>
  <c r="O118" i="22" s="1"/>
  <c r="N120" i="22"/>
  <c r="J734" i="14"/>
  <c r="J726" i="14"/>
  <c r="J720" i="14"/>
  <c r="J741" i="14"/>
  <c r="M817" i="14"/>
  <c r="M803" i="14"/>
  <c r="K817" i="14"/>
  <c r="K803" i="14"/>
  <c r="J749" i="14"/>
  <c r="J746" i="14"/>
  <c r="K816" i="14"/>
  <c r="K802" i="14"/>
  <c r="J755" i="14"/>
  <c r="K827" i="14"/>
  <c r="K813" i="14"/>
  <c r="J754" i="14"/>
  <c r="K826" i="14"/>
  <c r="K812" i="14"/>
  <c r="J748" i="14"/>
  <c r="J646" i="14"/>
  <c r="K674" i="14"/>
  <c r="K688" i="14" s="1"/>
  <c r="K730" i="14" s="1"/>
  <c r="K675" i="14"/>
  <c r="K710" i="14"/>
  <c r="J710" i="14" s="1"/>
  <c r="K724" i="14"/>
  <c r="J724" i="14" s="1"/>
  <c r="K723" i="14"/>
  <c r="K709" i="14"/>
  <c r="M705" i="14"/>
  <c r="M703" i="14" s="1"/>
  <c r="K729" i="14"/>
  <c r="J729" i="14" s="1"/>
  <c r="M702" i="14"/>
  <c r="N716" i="14"/>
  <c r="K714" i="14"/>
  <c r="J714" i="14" s="1"/>
  <c r="N719" i="14"/>
  <c r="N717" i="14" s="1"/>
  <c r="N1135" i="14" s="1"/>
  <c r="K725" i="14"/>
  <c r="J725" i="14" s="1"/>
  <c r="K711" i="14"/>
  <c r="J711" i="14" s="1"/>
  <c r="M719" i="14"/>
  <c r="M717" i="14" s="1"/>
  <c r="M1135" i="14" s="1"/>
  <c r="K715" i="14"/>
  <c r="J715" i="14" s="1"/>
  <c r="M716" i="14"/>
  <c r="N702" i="14"/>
  <c r="K728" i="14"/>
  <c r="J728" i="14" s="1"/>
  <c r="N705" i="14"/>
  <c r="N703" i="14" s="1"/>
  <c r="N761" i="14"/>
  <c r="N775" i="14"/>
  <c r="N745" i="14"/>
  <c r="K785" i="14"/>
  <c r="K771" i="14"/>
  <c r="J771" i="14" s="1"/>
  <c r="J757" i="14"/>
  <c r="M761" i="14"/>
  <c r="M759" i="14" s="1"/>
  <c r="M775" i="14"/>
  <c r="M745" i="14"/>
  <c r="M758" i="14"/>
  <c r="M772" i="14"/>
  <c r="K784" i="14"/>
  <c r="K770" i="14"/>
  <c r="J770" i="14" s="1"/>
  <c r="J756" i="14"/>
  <c r="N772" i="14"/>
  <c r="N758" i="14"/>
  <c r="K774" i="14"/>
  <c r="K760" i="14"/>
  <c r="K764" i="14"/>
  <c r="J750" i="14"/>
  <c r="K778" i="14"/>
  <c r="J778" i="14" s="1"/>
  <c r="K752" i="14"/>
  <c r="K751" i="14"/>
  <c r="K753" i="14"/>
  <c r="K761" i="14"/>
  <c r="K775" i="14"/>
  <c r="K768" i="14"/>
  <c r="K782" i="14"/>
  <c r="K783" i="14"/>
  <c r="J783" i="14" s="1"/>
  <c r="K769" i="14"/>
  <c r="K776" i="14"/>
  <c r="J776" i="14" s="1"/>
  <c r="K762" i="14"/>
  <c r="K777" i="14"/>
  <c r="J777" i="14" s="1"/>
  <c r="K763" i="14"/>
  <c r="J682" i="14"/>
  <c r="J681" i="14"/>
  <c r="J683" i="14"/>
  <c r="M730" i="14"/>
  <c r="J782" i="14"/>
  <c r="N730" i="14"/>
  <c r="J701" i="14"/>
  <c r="J697" i="14"/>
  <c r="J700" i="14"/>
  <c r="J696" i="14"/>
  <c r="J695" i="14"/>
  <c r="L688" i="14"/>
  <c r="L744" i="14" s="1"/>
  <c r="K742" i="14"/>
  <c r="J742" i="14" s="1"/>
  <c r="K743" i="14"/>
  <c r="J743" i="14" s="1"/>
  <c r="K739" i="14"/>
  <c r="J739" i="14" s="1"/>
  <c r="K738" i="14"/>
  <c r="J738" i="14" s="1"/>
  <c r="N689" i="14"/>
  <c r="N733" i="14"/>
  <c r="M689" i="14"/>
  <c r="M733" i="14"/>
  <c r="K737" i="14"/>
  <c r="J737" i="14" s="1"/>
  <c r="L691" i="14"/>
  <c r="L675" i="14"/>
  <c r="K689" i="14"/>
  <c r="J647" i="14"/>
  <c r="J661" i="14"/>
  <c r="K661" i="14"/>
  <c r="Q124" i="22" l="1"/>
  <c r="O58" i="22"/>
  <c r="O146" i="22"/>
  <c r="O148" i="22" s="1"/>
  <c r="O150" i="22" s="1"/>
  <c r="O153" i="22" s="1"/>
  <c r="J28" i="22"/>
  <c r="J29" i="22" s="1"/>
  <c r="J256" i="22"/>
  <c r="J12" i="23" s="1"/>
  <c r="L28" i="22"/>
  <c r="L29" i="22" s="1"/>
  <c r="L256" i="22"/>
  <c r="L12" i="23" s="1"/>
  <c r="K28" i="22"/>
  <c r="K29" i="22" s="1"/>
  <c r="K256" i="22"/>
  <c r="K12" i="23" s="1"/>
  <c r="E29" i="22"/>
  <c r="Q197" i="22"/>
  <c r="Q193" i="22"/>
  <c r="Q194" i="22"/>
  <c r="Q196" i="22"/>
  <c r="I172" i="22"/>
  <c r="O172" i="22"/>
  <c r="H172" i="22"/>
  <c r="M172" i="22"/>
  <c r="N172" i="22"/>
  <c r="G172" i="22"/>
  <c r="P172" i="22"/>
  <c r="O60" i="22"/>
  <c r="R68" i="21"/>
  <c r="O72" i="22"/>
  <c r="R67" i="21"/>
  <c r="O66" i="22"/>
  <c r="R73" i="21"/>
  <c r="O102" i="22"/>
  <c r="R69" i="21"/>
  <c r="O78" i="22"/>
  <c r="R72" i="21"/>
  <c r="O96" i="22"/>
  <c r="N123" i="22"/>
  <c r="J674" i="14"/>
  <c r="Q27" i="22"/>
  <c r="F28" i="22"/>
  <c r="F29" i="22" s="1"/>
  <c r="Q192" i="22"/>
  <c r="F195" i="22"/>
  <c r="Q195" i="22" s="1"/>
  <c r="Q166" i="22"/>
  <c r="J170" i="22"/>
  <c r="J180" i="22"/>
  <c r="J184" i="22" s="1"/>
  <c r="J200" i="22" s="1"/>
  <c r="K170" i="22"/>
  <c r="K180" i="22"/>
  <c r="K184" i="22" s="1"/>
  <c r="K200" i="22" s="1"/>
  <c r="L170" i="22"/>
  <c r="L180" i="22"/>
  <c r="L184" i="22" s="1"/>
  <c r="L200" i="22" s="1"/>
  <c r="F170" i="22"/>
  <c r="F180" i="22"/>
  <c r="F184" i="22" s="1"/>
  <c r="F200" i="22" s="1"/>
  <c r="E168" i="22"/>
  <c r="E178" i="22" s="1"/>
  <c r="Q32" i="22"/>
  <c r="R76" i="21"/>
  <c r="O120" i="22"/>
  <c r="R66" i="21"/>
  <c r="N759" i="14"/>
  <c r="AF37" i="19"/>
  <c r="K744" i="14"/>
  <c r="J744" i="14" s="1"/>
  <c r="K702" i="14"/>
  <c r="K716" i="14"/>
  <c r="N828" i="14"/>
  <c r="N870" i="14" s="1"/>
  <c r="M773" i="14"/>
  <c r="N773" i="14"/>
  <c r="L747" i="14"/>
  <c r="J691" i="14"/>
  <c r="J689" i="14" s="1"/>
  <c r="J688" i="14"/>
  <c r="K745" i="14"/>
  <c r="K717" i="14"/>
  <c r="K1135" i="14" s="1"/>
  <c r="J723" i="14"/>
  <c r="J709" i="14"/>
  <c r="K703" i="14"/>
  <c r="L702" i="14"/>
  <c r="L705" i="14"/>
  <c r="L716" i="14"/>
  <c r="L719" i="14"/>
  <c r="J763" i="14"/>
  <c r="J762" i="14"/>
  <c r="J769" i="14"/>
  <c r="J764" i="14"/>
  <c r="J768" i="14"/>
  <c r="J760" i="14"/>
  <c r="L772" i="14"/>
  <c r="L758" i="14"/>
  <c r="K781" i="14"/>
  <c r="J781" i="14" s="1"/>
  <c r="K767" i="14"/>
  <c r="J753" i="14"/>
  <c r="K780" i="14"/>
  <c r="J780" i="14" s="1"/>
  <c r="K766" i="14"/>
  <c r="J752" i="14"/>
  <c r="K779" i="14"/>
  <c r="J779" i="14" s="1"/>
  <c r="J751" i="14"/>
  <c r="K765" i="14"/>
  <c r="J675" i="14"/>
  <c r="J784" i="14"/>
  <c r="J774" i="14"/>
  <c r="L730" i="14"/>
  <c r="J730" i="14" s="1"/>
  <c r="J785" i="14"/>
  <c r="M828" i="14"/>
  <c r="M731" i="14"/>
  <c r="M787" i="14" s="1"/>
  <c r="M796" i="14" s="1"/>
  <c r="N731" i="14"/>
  <c r="L689" i="14"/>
  <c r="L733" i="14"/>
  <c r="K731" i="14"/>
  <c r="P100" i="22" l="1"/>
  <c r="P102" i="22" s="1"/>
  <c r="Q102" i="22" s="1"/>
  <c r="P70" i="22"/>
  <c r="P72" i="22" s="1"/>
  <c r="Q72" i="22" s="1"/>
  <c r="P118" i="22"/>
  <c r="P120" i="22" s="1"/>
  <c r="Q120" i="22" s="1"/>
  <c r="P58" i="22"/>
  <c r="P60" i="22" s="1"/>
  <c r="P146" i="22"/>
  <c r="P148" i="22" s="1"/>
  <c r="P150" i="22" s="1"/>
  <c r="P153" i="22" s="1"/>
  <c r="P94" i="22"/>
  <c r="P96" i="22" s="1"/>
  <c r="Q96" i="22" s="1"/>
  <c r="P76" i="22"/>
  <c r="P78" i="22" s="1"/>
  <c r="Q78" i="22" s="1"/>
  <c r="P64" i="22"/>
  <c r="P66" i="22" s="1"/>
  <c r="Q66" i="22" s="1"/>
  <c r="Q12" i="23"/>
  <c r="Q256" i="22"/>
  <c r="Q30" i="22"/>
  <c r="Q33" i="22" s="1"/>
  <c r="M35" i="22" s="1"/>
  <c r="Q178" i="22"/>
  <c r="E182" i="22"/>
  <c r="G174" i="22"/>
  <c r="G177" i="22"/>
  <c r="G181" i="22" s="1"/>
  <c r="G185" i="22" s="1"/>
  <c r="O174" i="22"/>
  <c r="O177" i="22"/>
  <c r="O181" i="22" s="1"/>
  <c r="O185" i="22" s="1"/>
  <c r="N174" i="22"/>
  <c r="N177" i="22"/>
  <c r="N181" i="22" s="1"/>
  <c r="N185" i="22" s="1"/>
  <c r="M174" i="22"/>
  <c r="M177" i="22"/>
  <c r="M181" i="22" s="1"/>
  <c r="M185" i="22" s="1"/>
  <c r="P174" i="22"/>
  <c r="P177" i="22"/>
  <c r="P181" i="22" s="1"/>
  <c r="P185" i="22" s="1"/>
  <c r="H174" i="22"/>
  <c r="H177" i="22"/>
  <c r="H181" i="22" s="1"/>
  <c r="H185" i="22" s="1"/>
  <c r="I174" i="22"/>
  <c r="I177" i="22"/>
  <c r="I181" i="22" s="1"/>
  <c r="I185" i="22" s="1"/>
  <c r="Q168" i="22"/>
  <c r="F172" i="22"/>
  <c r="K172" i="22"/>
  <c r="L172" i="22"/>
  <c r="J172" i="22"/>
  <c r="O123" i="22"/>
  <c r="J716" i="14"/>
  <c r="Q28" i="22"/>
  <c r="E170" i="22"/>
  <c r="Q170" i="22" s="1"/>
  <c r="J702" i="14"/>
  <c r="M824" i="14"/>
  <c r="M810" i="14"/>
  <c r="J747" i="14"/>
  <c r="J745" i="14" s="1"/>
  <c r="L817" i="14"/>
  <c r="L803" i="14"/>
  <c r="M794" i="14"/>
  <c r="M795" i="14"/>
  <c r="M798" i="14"/>
  <c r="M797" i="14"/>
  <c r="M791" i="14"/>
  <c r="K787" i="14"/>
  <c r="M788" i="14"/>
  <c r="M789" i="14"/>
  <c r="M792" i="14"/>
  <c r="M799" i="14"/>
  <c r="M790" i="14"/>
  <c r="M793" i="14"/>
  <c r="N829" i="14"/>
  <c r="N787" i="14"/>
  <c r="N789" i="14" s="1"/>
  <c r="N1031" i="14"/>
  <c r="K1031" i="14"/>
  <c r="M1031" i="14"/>
  <c r="K772" i="14"/>
  <c r="J772" i="14" s="1"/>
  <c r="K758" i="14"/>
  <c r="K828" i="14" s="1"/>
  <c r="K884" i="14" s="1"/>
  <c r="N842" i="14"/>
  <c r="N898" i="14" s="1"/>
  <c r="N856" i="14"/>
  <c r="N912" i="14" s="1"/>
  <c r="N884" i="14"/>
  <c r="M842" i="14"/>
  <c r="M898" i="14" s="1"/>
  <c r="M856" i="14"/>
  <c r="M912" i="14" s="1"/>
  <c r="L761" i="14"/>
  <c r="L745" i="14"/>
  <c r="L775" i="14"/>
  <c r="J775" i="14" s="1"/>
  <c r="J773" i="14" s="1"/>
  <c r="J733" i="14"/>
  <c r="J731" i="14" s="1"/>
  <c r="L717" i="14"/>
  <c r="L1135" i="14" s="1"/>
  <c r="J1135" i="14" s="1"/>
  <c r="J719" i="14"/>
  <c r="J717" i="14" s="1"/>
  <c r="L703" i="14"/>
  <c r="J705" i="14"/>
  <c r="J703" i="14" s="1"/>
  <c r="K759" i="14"/>
  <c r="M829" i="14"/>
  <c r="M870" i="14"/>
  <c r="M884" i="14"/>
  <c r="J765" i="14"/>
  <c r="J766" i="14"/>
  <c r="J767" i="14"/>
  <c r="K773" i="14"/>
  <c r="L828" i="14"/>
  <c r="L884" i="14" s="1"/>
  <c r="L731" i="14"/>
  <c r="E35" i="22" l="1"/>
  <c r="E41" i="22" s="1"/>
  <c r="G35" i="22"/>
  <c r="G38" i="22" s="1"/>
  <c r="L35" i="22"/>
  <c r="L38" i="22" s="1"/>
  <c r="F35" i="22"/>
  <c r="F41" i="22" s="1"/>
  <c r="F127" i="22" s="1"/>
  <c r="K35" i="22"/>
  <c r="K41" i="22" s="1"/>
  <c r="K127" i="22" s="1"/>
  <c r="P35" i="22"/>
  <c r="P41" i="22" s="1"/>
  <c r="P127" i="22" s="1"/>
  <c r="J35" i="22"/>
  <c r="O35" i="22"/>
  <c r="I35" i="22"/>
  <c r="I41" i="22" s="1"/>
  <c r="I127" i="22" s="1"/>
  <c r="N35" i="22"/>
  <c r="N38" i="22" s="1"/>
  <c r="H35" i="22"/>
  <c r="H38" i="22" s="1"/>
  <c r="I201" i="22"/>
  <c r="I204" i="22" s="1"/>
  <c r="P201" i="22"/>
  <c r="P204" i="22" s="1"/>
  <c r="N201" i="22"/>
  <c r="N204" i="22" s="1"/>
  <c r="G201" i="22"/>
  <c r="G204" i="22" s="1"/>
  <c r="H201" i="22"/>
  <c r="H204" i="22" s="1"/>
  <c r="M201" i="22"/>
  <c r="M204" i="22" s="1"/>
  <c r="O201" i="22"/>
  <c r="O204" i="22" s="1"/>
  <c r="E186" i="22"/>
  <c r="Q182" i="22"/>
  <c r="F174" i="22"/>
  <c r="F177" i="22"/>
  <c r="F181" i="22" s="1"/>
  <c r="F185" i="22" s="1"/>
  <c r="J174" i="22"/>
  <c r="J177" i="22"/>
  <c r="J181" i="22" s="1"/>
  <c r="J185" i="22" s="1"/>
  <c r="L174" i="22"/>
  <c r="L177" i="22"/>
  <c r="L181" i="22" s="1"/>
  <c r="L185" i="22" s="1"/>
  <c r="K174" i="22"/>
  <c r="K177" i="22"/>
  <c r="K181" i="22" s="1"/>
  <c r="K185" i="22" s="1"/>
  <c r="E172" i="22"/>
  <c r="E177" i="22" s="1"/>
  <c r="E181" i="22" s="1"/>
  <c r="Q60" i="22"/>
  <c r="P123" i="22"/>
  <c r="Q123" i="22" s="1"/>
  <c r="E180" i="22"/>
  <c r="Q176" i="22"/>
  <c r="Q150" i="22"/>
  <c r="Q148" i="22"/>
  <c r="O41" i="22"/>
  <c r="O127" i="22" s="1"/>
  <c r="J34" i="22"/>
  <c r="J36" i="22" s="1"/>
  <c r="H34" i="22"/>
  <c r="H36" i="22" s="1"/>
  <c r="G34" i="22"/>
  <c r="G42" i="22" s="1"/>
  <c r="L34" i="22"/>
  <c r="L42" i="22" s="1"/>
  <c r="E34" i="22"/>
  <c r="E36" i="22" s="1"/>
  <c r="M34" i="22"/>
  <c r="M36" i="22" s="1"/>
  <c r="Q37" i="22"/>
  <c r="O34" i="22"/>
  <c r="O42" i="22" s="1"/>
  <c r="I34" i="22"/>
  <c r="I42" i="22" s="1"/>
  <c r="K34" i="22"/>
  <c r="F34" i="22"/>
  <c r="P34" i="22"/>
  <c r="N34" i="22"/>
  <c r="J758" i="14"/>
  <c r="N803" i="14"/>
  <c r="N817" i="14"/>
  <c r="M823" i="14"/>
  <c r="M809" i="14"/>
  <c r="M820" i="14"/>
  <c r="M806" i="14"/>
  <c r="M819" i="14"/>
  <c r="M805" i="14"/>
  <c r="M822" i="14"/>
  <c r="M808" i="14"/>
  <c r="M821" i="14"/>
  <c r="M807" i="14"/>
  <c r="M825" i="14"/>
  <c r="M811" i="14"/>
  <c r="L787" i="14"/>
  <c r="K829" i="14"/>
  <c r="K841" i="14" s="1"/>
  <c r="K869" i="14" s="1"/>
  <c r="K797" i="14"/>
  <c r="K793" i="14"/>
  <c r="K789" i="14"/>
  <c r="K798" i="14"/>
  <c r="K794" i="14"/>
  <c r="K790" i="14"/>
  <c r="K799" i="14"/>
  <c r="K795" i="14"/>
  <c r="K791" i="14"/>
  <c r="K796" i="14"/>
  <c r="K792" i="14"/>
  <c r="K788" i="14"/>
  <c r="N792" i="14"/>
  <c r="N820" i="14" s="1"/>
  <c r="N799" i="14"/>
  <c r="N788" i="14"/>
  <c r="N795" i="14"/>
  <c r="N893" i="14" s="1"/>
  <c r="N796" i="14"/>
  <c r="N810" i="14" s="1"/>
  <c r="N791" i="14"/>
  <c r="N798" i="14"/>
  <c r="N794" i="14"/>
  <c r="N822" i="14" s="1"/>
  <c r="N790" i="14"/>
  <c r="N797" i="14"/>
  <c r="N895" i="14" s="1"/>
  <c r="N793" i="14"/>
  <c r="N807" i="14" s="1"/>
  <c r="N887" i="14"/>
  <c r="L1031" i="14"/>
  <c r="L759" i="14"/>
  <c r="J761" i="14"/>
  <c r="J759" i="14" s="1"/>
  <c r="K842" i="14"/>
  <c r="K898" i="14" s="1"/>
  <c r="K870" i="14"/>
  <c r="K856" i="14"/>
  <c r="K912" i="14" s="1"/>
  <c r="J884" i="14"/>
  <c r="L773" i="14"/>
  <c r="N841" i="14"/>
  <c r="N883" i="14" s="1"/>
  <c r="M840" i="14"/>
  <c r="M882" i="14" s="1"/>
  <c r="M897" i="14"/>
  <c r="M895" i="14"/>
  <c r="M893" i="14"/>
  <c r="M891" i="14"/>
  <c r="M889" i="14"/>
  <c r="M887" i="14"/>
  <c r="M896" i="14"/>
  <c r="M894" i="14"/>
  <c r="M892" i="14"/>
  <c r="M890" i="14"/>
  <c r="M888" i="14"/>
  <c r="M886" i="14"/>
  <c r="J828" i="14"/>
  <c r="N832" i="14"/>
  <c r="N874" i="14" s="1"/>
  <c r="N836" i="14"/>
  <c r="N878" i="14" s="1"/>
  <c r="N840" i="14"/>
  <c r="N882" i="14" s="1"/>
  <c r="N833" i="14"/>
  <c r="N875" i="14" s="1"/>
  <c r="N837" i="14"/>
  <c r="N879" i="14" s="1"/>
  <c r="M839" i="14"/>
  <c r="M881" i="14" s="1"/>
  <c r="N830" i="14"/>
  <c r="N872" i="14" s="1"/>
  <c r="N834" i="14"/>
  <c r="N876" i="14" s="1"/>
  <c r="N838" i="14"/>
  <c r="N880" i="14" s="1"/>
  <c r="N831" i="14"/>
  <c r="N835" i="14"/>
  <c r="N877" i="14" s="1"/>
  <c r="N839" i="14"/>
  <c r="N881" i="14" s="1"/>
  <c r="M831" i="14"/>
  <c r="M834" i="14"/>
  <c r="M876" i="14" s="1"/>
  <c r="M835" i="14"/>
  <c r="M877" i="14" s="1"/>
  <c r="M830" i="14"/>
  <c r="M872" i="14" s="1"/>
  <c r="M838" i="14"/>
  <c r="M880" i="14" s="1"/>
  <c r="M833" i="14"/>
  <c r="M875" i="14" s="1"/>
  <c r="M837" i="14"/>
  <c r="M879" i="14" s="1"/>
  <c r="M841" i="14"/>
  <c r="M883" i="14" s="1"/>
  <c r="M832" i="14"/>
  <c r="M874" i="14" s="1"/>
  <c r="M836" i="14"/>
  <c r="M878" i="14" s="1"/>
  <c r="L870" i="14"/>
  <c r="L856" i="14"/>
  <c r="L912" i="14" s="1"/>
  <c r="L842" i="14"/>
  <c r="L898" i="14" s="1"/>
  <c r="P38" i="22" l="1"/>
  <c r="G207" i="22"/>
  <c r="G212" i="22" s="1"/>
  <c r="G206" i="22"/>
  <c r="G211" i="22" s="1"/>
  <c r="O207" i="22"/>
  <c r="O234" i="22" s="1"/>
  <c r="O206" i="22"/>
  <c r="O209" i="22" s="1"/>
  <c r="N206" i="22"/>
  <c r="N207" i="22"/>
  <c r="N232" i="22" s="1"/>
  <c r="M206" i="22"/>
  <c r="M213" i="22" s="1"/>
  <c r="M207" i="22"/>
  <c r="M232" i="22" s="1"/>
  <c r="P206" i="22"/>
  <c r="P231" i="22" s="1"/>
  <c r="P207" i="22"/>
  <c r="H206" i="22"/>
  <c r="H213" i="22" s="1"/>
  <c r="H207" i="22"/>
  <c r="H232" i="22" s="1"/>
  <c r="I206" i="22"/>
  <c r="I211" i="22" s="1"/>
  <c r="I207" i="22"/>
  <c r="I232" i="22" s="1"/>
  <c r="Q186" i="22"/>
  <c r="E202" i="22"/>
  <c r="Q202" i="22" s="1"/>
  <c r="F201" i="22"/>
  <c r="F204" i="22" s="1"/>
  <c r="L201" i="22"/>
  <c r="L204" i="22" s="1"/>
  <c r="K201" i="22"/>
  <c r="K204" i="22" s="1"/>
  <c r="J201" i="22"/>
  <c r="J204" i="22" s="1"/>
  <c r="Q177" i="22"/>
  <c r="E174" i="22"/>
  <c r="Q174" i="22" s="1"/>
  <c r="Q172" i="22"/>
  <c r="Q180" i="22"/>
  <c r="E184" i="22"/>
  <c r="E200" i="22" s="1"/>
  <c r="Q181" i="22"/>
  <c r="E185" i="22"/>
  <c r="E201" i="22" s="1"/>
  <c r="J42" i="22"/>
  <c r="O38" i="22"/>
  <c r="H41" i="22"/>
  <c r="H127" i="22" s="1"/>
  <c r="H130" i="22" s="1"/>
  <c r="H133" i="22" s="1"/>
  <c r="I38" i="22"/>
  <c r="M42" i="22"/>
  <c r="M43" i="22" s="1"/>
  <c r="F38" i="22"/>
  <c r="L41" i="22"/>
  <c r="L127" i="22" s="1"/>
  <c r="L131" i="22" s="1"/>
  <c r="L134" i="22" s="1"/>
  <c r="E42" i="22"/>
  <c r="E43" i="22" s="1"/>
  <c r="G36" i="22"/>
  <c r="E38" i="22"/>
  <c r="O36" i="22"/>
  <c r="H42" i="22"/>
  <c r="I36" i="22"/>
  <c r="N41" i="22"/>
  <c r="N127" i="22" s="1"/>
  <c r="N130" i="22" s="1"/>
  <c r="N133" i="22" s="1"/>
  <c r="K38" i="22"/>
  <c r="L36" i="22"/>
  <c r="Q35" i="22"/>
  <c r="Q39" i="22" s="1"/>
  <c r="G41" i="22"/>
  <c r="G127" i="22" s="1"/>
  <c r="G131" i="22" s="1"/>
  <c r="G134" i="22" s="1"/>
  <c r="N42" i="22"/>
  <c r="N36" i="22"/>
  <c r="Q34" i="22"/>
  <c r="F131" i="22"/>
  <c r="F134" i="22" s="1"/>
  <c r="F130" i="22"/>
  <c r="F133" i="22" s="1"/>
  <c r="E127" i="22"/>
  <c r="P42" i="22"/>
  <c r="P36" i="22"/>
  <c r="J41" i="22"/>
  <c r="J127" i="22" s="1"/>
  <c r="J38" i="22"/>
  <c r="O131" i="22"/>
  <c r="O134" i="22" s="1"/>
  <c r="O130" i="22"/>
  <c r="O133" i="22" s="1"/>
  <c r="F42" i="22"/>
  <c r="F36" i="22"/>
  <c r="I131" i="22"/>
  <c r="I134" i="22" s="1"/>
  <c r="I130" i="22"/>
  <c r="I133" i="22" s="1"/>
  <c r="P131" i="22"/>
  <c r="P134" i="22" s="1"/>
  <c r="P130" i="22"/>
  <c r="P133" i="22" s="1"/>
  <c r="M41" i="22"/>
  <c r="M127" i="22" s="1"/>
  <c r="M38" i="22"/>
  <c r="K42" i="22"/>
  <c r="K36" i="22"/>
  <c r="K131" i="22"/>
  <c r="K134" i="22" s="1"/>
  <c r="K130" i="22"/>
  <c r="K133" i="22" s="1"/>
  <c r="J870" i="14"/>
  <c r="J912" i="14"/>
  <c r="N915" i="14"/>
  <c r="J817" i="14"/>
  <c r="N816" i="14"/>
  <c r="N802" i="14"/>
  <c r="J803" i="14"/>
  <c r="N901" i="14"/>
  <c r="J799" i="14"/>
  <c r="N813" i="14"/>
  <c r="N827" i="14"/>
  <c r="N826" i="14"/>
  <c r="N812" i="14"/>
  <c r="M801" i="14"/>
  <c r="K809" i="14"/>
  <c r="K823" i="14"/>
  <c r="K820" i="14"/>
  <c r="K806" i="14"/>
  <c r="K824" i="14"/>
  <c r="K810" i="14"/>
  <c r="K804" i="14"/>
  <c r="K818" i="14"/>
  <c r="K821" i="14"/>
  <c r="K807" i="14"/>
  <c r="M815" i="14"/>
  <c r="K805" i="14"/>
  <c r="K819" i="14"/>
  <c r="K822" i="14"/>
  <c r="K808" i="14"/>
  <c r="K811" i="14"/>
  <c r="K825" i="14"/>
  <c r="N892" i="14"/>
  <c r="K832" i="14"/>
  <c r="K874" i="14" s="1"/>
  <c r="N809" i="14"/>
  <c r="K890" i="14"/>
  <c r="K895" i="14"/>
  <c r="K896" i="14"/>
  <c r="K837" i="14"/>
  <c r="K879" i="14" s="1"/>
  <c r="K839" i="14"/>
  <c r="K853" i="14" s="1"/>
  <c r="K887" i="14"/>
  <c r="K888" i="14"/>
  <c r="K893" i="14"/>
  <c r="K836" i="14"/>
  <c r="K878" i="14" s="1"/>
  <c r="K830" i="14"/>
  <c r="K858" i="14" s="1"/>
  <c r="K831" i="14"/>
  <c r="K845" i="14" s="1"/>
  <c r="K834" i="14"/>
  <c r="K862" i="14" s="1"/>
  <c r="N808" i="14"/>
  <c r="N906" i="14" s="1"/>
  <c r="L798" i="14"/>
  <c r="J798" i="14" s="1"/>
  <c r="L794" i="14"/>
  <c r="L790" i="14"/>
  <c r="J790" i="14" s="1"/>
  <c r="L799" i="14"/>
  <c r="L795" i="14"/>
  <c r="J795" i="14" s="1"/>
  <c r="L791" i="14"/>
  <c r="J791" i="14" s="1"/>
  <c r="L796" i="14"/>
  <c r="J796" i="14" s="1"/>
  <c r="L792" i="14"/>
  <c r="L788" i="14"/>
  <c r="J788" i="14" s="1"/>
  <c r="L797" i="14"/>
  <c r="J797" i="14" s="1"/>
  <c r="L793" i="14"/>
  <c r="J793" i="14" s="1"/>
  <c r="L789" i="14"/>
  <c r="J789" i="14" s="1"/>
  <c r="K883" i="14"/>
  <c r="K889" i="14"/>
  <c r="K897" i="14"/>
  <c r="K833" i="14"/>
  <c r="K875" i="14" s="1"/>
  <c r="K835" i="14"/>
  <c r="K849" i="14" s="1"/>
  <c r="L829" i="14"/>
  <c r="L841" i="14" s="1"/>
  <c r="L883" i="14" s="1"/>
  <c r="K892" i="14"/>
  <c r="K855" i="14"/>
  <c r="K886" i="14"/>
  <c r="K894" i="14"/>
  <c r="K891" i="14"/>
  <c r="K840" i="14"/>
  <c r="K882" i="14" s="1"/>
  <c r="K838" i="14"/>
  <c r="K880" i="14" s="1"/>
  <c r="J794" i="14"/>
  <c r="N823" i="14"/>
  <c r="N891" i="14"/>
  <c r="N818" i="14"/>
  <c r="N804" i="14"/>
  <c r="N902" i="14" s="1"/>
  <c r="N890" i="14"/>
  <c r="N897" i="14"/>
  <c r="N894" i="14"/>
  <c r="N888" i="14"/>
  <c r="J792" i="14"/>
  <c r="N806" i="14"/>
  <c r="N824" i="14"/>
  <c r="N922" i="14" s="1"/>
  <c r="N825" i="14"/>
  <c r="N923" i="14" s="1"/>
  <c r="N805" i="14"/>
  <c r="N889" i="14"/>
  <c r="N819" i="14"/>
  <c r="N886" i="14"/>
  <c r="N821" i="14"/>
  <c r="N811" i="14"/>
  <c r="N909" i="14" s="1"/>
  <c r="N896" i="14"/>
  <c r="N918" i="14"/>
  <c r="N908" i="14"/>
  <c r="N920" i="14"/>
  <c r="N905" i="14"/>
  <c r="N867" i="14"/>
  <c r="N853" i="14"/>
  <c r="N873" i="14"/>
  <c r="N871" i="14" s="1"/>
  <c r="N859" i="14"/>
  <c r="N845" i="14"/>
  <c r="N862" i="14"/>
  <c r="N848" i="14"/>
  <c r="N865" i="14"/>
  <c r="N851" i="14"/>
  <c r="N868" i="14"/>
  <c r="N854" i="14"/>
  <c r="N864" i="14"/>
  <c r="N850" i="14"/>
  <c r="N860" i="14"/>
  <c r="N846" i="14"/>
  <c r="N863" i="14"/>
  <c r="N849" i="14"/>
  <c r="N866" i="14"/>
  <c r="N852" i="14"/>
  <c r="N858" i="14"/>
  <c r="N844" i="14"/>
  <c r="N861" i="14"/>
  <c r="N847" i="14"/>
  <c r="N869" i="14"/>
  <c r="N855" i="14"/>
  <c r="M864" i="14"/>
  <c r="M850" i="14"/>
  <c r="M869" i="14"/>
  <c r="M855" i="14"/>
  <c r="M861" i="14"/>
  <c r="M847" i="14"/>
  <c r="M858" i="14"/>
  <c r="M844" i="14"/>
  <c r="M862" i="14"/>
  <c r="M848" i="14"/>
  <c r="M860" i="14"/>
  <c r="M846" i="14"/>
  <c r="M865" i="14"/>
  <c r="M851" i="14"/>
  <c r="M866" i="14"/>
  <c r="M852" i="14"/>
  <c r="M863" i="14"/>
  <c r="M849" i="14"/>
  <c r="M873" i="14"/>
  <c r="M871" i="14" s="1"/>
  <c r="M859" i="14"/>
  <c r="M845" i="14"/>
  <c r="M867" i="14"/>
  <c r="M853" i="14"/>
  <c r="M868" i="14"/>
  <c r="M854" i="14"/>
  <c r="J856" i="14"/>
  <c r="J898" i="14"/>
  <c r="J842" i="14"/>
  <c r="M885" i="14"/>
  <c r="N236" i="22" l="1"/>
  <c r="I236" i="22"/>
  <c r="M235" i="22"/>
  <c r="G235" i="22"/>
  <c r="G236" i="22"/>
  <c r="M236" i="22"/>
  <c r="O236" i="22"/>
  <c r="P235" i="22"/>
  <c r="P236" i="22"/>
  <c r="H236" i="22"/>
  <c r="N235" i="22"/>
  <c r="I43" i="22"/>
  <c r="I235" i="22"/>
  <c r="H235" i="22"/>
  <c r="O235" i="22"/>
  <c r="G234" i="22"/>
  <c r="H211" i="22"/>
  <c r="J206" i="22"/>
  <c r="J207" i="22"/>
  <c r="L206" i="22"/>
  <c r="L209" i="22" s="1"/>
  <c r="L207" i="22"/>
  <c r="L214" i="22" s="1"/>
  <c r="K207" i="22"/>
  <c r="K234" i="22" s="1"/>
  <c r="K206" i="22"/>
  <c r="K231" i="22" s="1"/>
  <c r="F206" i="22"/>
  <c r="F209" i="22" s="1"/>
  <c r="F207" i="22"/>
  <c r="F234" i="22" s="1"/>
  <c r="M214" i="22"/>
  <c r="H214" i="22"/>
  <c r="O214" i="22"/>
  <c r="E204" i="22"/>
  <c r="E207" i="22" s="1"/>
  <c r="E236" i="22" s="1"/>
  <c r="O212" i="22"/>
  <c r="I233" i="22"/>
  <c r="M210" i="22"/>
  <c r="G233" i="22"/>
  <c r="I234" i="22"/>
  <c r="G209" i="22"/>
  <c r="O233" i="22"/>
  <c r="O231" i="22"/>
  <c r="O211" i="22"/>
  <c r="I212" i="22"/>
  <c r="G231" i="22"/>
  <c r="H210" i="22"/>
  <c r="I210" i="22"/>
  <c r="N209" i="22"/>
  <c r="N231" i="22"/>
  <c r="G210" i="22"/>
  <c r="G232" i="22"/>
  <c r="P232" i="22"/>
  <c r="P210" i="22"/>
  <c r="N210" i="22"/>
  <c r="P209" i="22"/>
  <c r="H209" i="22"/>
  <c r="H231" i="22"/>
  <c r="O210" i="22"/>
  <c r="O232" i="22"/>
  <c r="I209" i="22"/>
  <c r="I231" i="22"/>
  <c r="M231" i="22"/>
  <c r="M209" i="22"/>
  <c r="J883" i="14"/>
  <c r="J43" i="22"/>
  <c r="Q185" i="22"/>
  <c r="Q201" i="22"/>
  <c r="Q184" i="22"/>
  <c r="M211" i="22"/>
  <c r="L130" i="22"/>
  <c r="L133" i="22" s="1"/>
  <c r="H131" i="22"/>
  <c r="H134" i="22" s="1"/>
  <c r="N131" i="22"/>
  <c r="N134" i="22" s="1"/>
  <c r="M233" i="22"/>
  <c r="M212" i="22"/>
  <c r="M234" i="22"/>
  <c r="G214" i="22"/>
  <c r="H233" i="22"/>
  <c r="H43" i="22"/>
  <c r="G43" i="22"/>
  <c r="G213" i="22"/>
  <c r="O43" i="22"/>
  <c r="H234" i="22"/>
  <c r="O213" i="22"/>
  <c r="H212" i="22"/>
  <c r="Q42" i="22"/>
  <c r="I214" i="22"/>
  <c r="Q38" i="22"/>
  <c r="G130" i="22"/>
  <c r="G133" i="22" s="1"/>
  <c r="I213" i="22"/>
  <c r="L43" i="22"/>
  <c r="F43" i="22"/>
  <c r="E130" i="22"/>
  <c r="E133" i="22" s="1"/>
  <c r="E131" i="22"/>
  <c r="E134" i="22" s="1"/>
  <c r="N213" i="22"/>
  <c r="N43" i="22"/>
  <c r="N214" i="22"/>
  <c r="P213" i="22"/>
  <c r="P43" i="22"/>
  <c r="P214" i="22"/>
  <c r="N212" i="22"/>
  <c r="N211" i="22"/>
  <c r="N234" i="22"/>
  <c r="N233" i="22"/>
  <c r="K43" i="22"/>
  <c r="P233" i="22"/>
  <c r="P234" i="22"/>
  <c r="P212" i="22"/>
  <c r="P211" i="22"/>
  <c r="Q36" i="22"/>
  <c r="M131" i="22"/>
  <c r="M134" i="22" s="1"/>
  <c r="M130" i="22"/>
  <c r="M133" i="22" s="1"/>
  <c r="J131" i="22"/>
  <c r="J134" i="22" s="1"/>
  <c r="J130" i="22"/>
  <c r="J133" i="22" s="1"/>
  <c r="Q41" i="22"/>
  <c r="J841" i="14"/>
  <c r="J838" i="14"/>
  <c r="J823" i="14"/>
  <c r="N914" i="14"/>
  <c r="J816" i="14"/>
  <c r="J802" i="14"/>
  <c r="N900" i="14"/>
  <c r="J827" i="14"/>
  <c r="N925" i="14"/>
  <c r="J813" i="14"/>
  <c r="N911" i="14"/>
  <c r="J812" i="14"/>
  <c r="N910" i="14"/>
  <c r="J826" i="14"/>
  <c r="N924" i="14"/>
  <c r="L805" i="14"/>
  <c r="J805" i="14" s="1"/>
  <c r="L819" i="14"/>
  <c r="L823" i="14"/>
  <c r="L809" i="14"/>
  <c r="J809" i="14" s="1"/>
  <c r="L807" i="14"/>
  <c r="J807" i="14" s="1"/>
  <c r="L821" i="14"/>
  <c r="J821" i="14" s="1"/>
  <c r="L824" i="14"/>
  <c r="L810" i="14"/>
  <c r="J810" i="14" s="1"/>
  <c r="L818" i="14"/>
  <c r="J818" i="14" s="1"/>
  <c r="L804" i="14"/>
  <c r="K815" i="14"/>
  <c r="L825" i="14"/>
  <c r="J825" i="14" s="1"/>
  <c r="L811" i="14"/>
  <c r="J811" i="14" s="1"/>
  <c r="L822" i="14"/>
  <c r="J822" i="14" s="1"/>
  <c r="L808" i="14"/>
  <c r="J808" i="14" s="1"/>
  <c r="K801" i="14"/>
  <c r="L806" i="14"/>
  <c r="J806" i="14" s="1"/>
  <c r="L820" i="14"/>
  <c r="J820" i="14" s="1"/>
  <c r="K861" i="14"/>
  <c r="J861" i="14" s="1"/>
  <c r="K867" i="14"/>
  <c r="K850" i="14"/>
  <c r="K864" i="14"/>
  <c r="K854" i="14"/>
  <c r="K868" i="14"/>
  <c r="K881" i="14"/>
  <c r="K844" i="14"/>
  <c r="L832" i="14"/>
  <c r="L846" i="14" s="1"/>
  <c r="K847" i="14"/>
  <c r="K851" i="14"/>
  <c r="K877" i="14"/>
  <c r="L891" i="14"/>
  <c r="J891" i="14" s="1"/>
  <c r="N907" i="14"/>
  <c r="K860" i="14"/>
  <c r="K848" i="14"/>
  <c r="K872" i="14"/>
  <c r="L855" i="14"/>
  <c r="K846" i="14"/>
  <c r="L894" i="14"/>
  <c r="L839" i="14"/>
  <c r="L867" i="14" s="1"/>
  <c r="K873" i="14"/>
  <c r="K865" i="14"/>
  <c r="K876" i="14"/>
  <c r="L886" i="14"/>
  <c r="J886" i="14" s="1"/>
  <c r="K859" i="14"/>
  <c r="L836" i="14"/>
  <c r="K885" i="14"/>
  <c r="L869" i="14"/>
  <c r="J869" i="14" s="1"/>
  <c r="L888" i="14"/>
  <c r="J888" i="14" s="1"/>
  <c r="L893" i="14"/>
  <c r="J893" i="14" s="1"/>
  <c r="L833" i="14"/>
  <c r="L861" i="14" s="1"/>
  <c r="K852" i="14"/>
  <c r="K866" i="14"/>
  <c r="J866" i="14" s="1"/>
  <c r="L890" i="14"/>
  <c r="L895" i="14"/>
  <c r="J895" i="14" s="1"/>
  <c r="L840" i="14"/>
  <c r="L868" i="14" s="1"/>
  <c r="L830" i="14"/>
  <c r="L858" i="14" s="1"/>
  <c r="J858" i="14" s="1"/>
  <c r="L834" i="14"/>
  <c r="L896" i="14"/>
  <c r="L835" i="14"/>
  <c r="L863" i="14" s="1"/>
  <c r="L887" i="14"/>
  <c r="J887" i="14" s="1"/>
  <c r="L892" i="14"/>
  <c r="J892" i="14" s="1"/>
  <c r="L889" i="14"/>
  <c r="L897" i="14"/>
  <c r="J897" i="14" s="1"/>
  <c r="K863" i="14"/>
  <c r="L838" i="14"/>
  <c r="L866" i="14" s="1"/>
  <c r="L831" i="14"/>
  <c r="L873" i="14" s="1"/>
  <c r="L837" i="14"/>
  <c r="J804" i="14"/>
  <c r="N921" i="14"/>
  <c r="J824" i="14"/>
  <c r="J889" i="14"/>
  <c r="N916" i="14"/>
  <c r="N919" i="14"/>
  <c r="J894" i="14"/>
  <c r="N815" i="14"/>
  <c r="N904" i="14"/>
  <c r="J787" i="14"/>
  <c r="N885" i="14"/>
  <c r="J890" i="14"/>
  <c r="N917" i="14"/>
  <c r="N801" i="14"/>
  <c r="N903" i="14"/>
  <c r="J896" i="14"/>
  <c r="J819" i="14"/>
  <c r="J833" i="14"/>
  <c r="J855" i="14"/>
  <c r="M1034" i="14"/>
  <c r="M1036" i="14"/>
  <c r="N857" i="14"/>
  <c r="N843" i="14"/>
  <c r="N1037" i="14" s="1"/>
  <c r="M843" i="14"/>
  <c r="M1037" i="14" s="1"/>
  <c r="M857" i="14"/>
  <c r="K236" i="22" l="1"/>
  <c r="F236" i="22"/>
  <c r="J232" i="22"/>
  <c r="J236" i="22"/>
  <c r="L236" i="22"/>
  <c r="L235" i="22"/>
  <c r="F235" i="22"/>
  <c r="K235" i="22"/>
  <c r="J211" i="22"/>
  <c r="J235" i="22"/>
  <c r="L211" i="22"/>
  <c r="Q204" i="22"/>
  <c r="E206" i="22"/>
  <c r="E235" i="22" s="1"/>
  <c r="J233" i="22"/>
  <c r="O238" i="22"/>
  <c r="M238" i="22"/>
  <c r="O216" i="22"/>
  <c r="O258" i="22" s="1"/>
  <c r="O14" i="23" s="1"/>
  <c r="O215" i="22"/>
  <c r="L231" i="22"/>
  <c r="M215" i="22"/>
  <c r="I238" i="22"/>
  <c r="F212" i="22"/>
  <c r="M216" i="22"/>
  <c r="M258" i="22" s="1"/>
  <c r="M14" i="23" s="1"/>
  <c r="L233" i="22"/>
  <c r="K212" i="22"/>
  <c r="G215" i="22"/>
  <c r="G257" i="22" s="1"/>
  <c r="G13" i="23" s="1"/>
  <c r="J214" i="22"/>
  <c r="O237" i="22"/>
  <c r="H216" i="22"/>
  <c r="H237" i="22"/>
  <c r="L213" i="22"/>
  <c r="L215" i="22" s="1"/>
  <c r="J234" i="22"/>
  <c r="I216" i="22"/>
  <c r="G238" i="22"/>
  <c r="H238" i="22"/>
  <c r="M237" i="22"/>
  <c r="K213" i="22"/>
  <c r="F213" i="22"/>
  <c r="I237" i="22"/>
  <c r="G216" i="22"/>
  <c r="K209" i="22"/>
  <c r="K232" i="22"/>
  <c r="K210" i="22"/>
  <c r="F232" i="22"/>
  <c r="F210" i="22"/>
  <c r="K211" i="22"/>
  <c r="F233" i="22"/>
  <c r="K214" i="22"/>
  <c r="I215" i="22"/>
  <c r="G237" i="22"/>
  <c r="G248" i="22" s="1"/>
  <c r="G251" i="22" s="1"/>
  <c r="F231" i="22"/>
  <c r="K233" i="22"/>
  <c r="K237" i="22" s="1"/>
  <c r="F211" i="22"/>
  <c r="H215" i="22"/>
  <c r="H257" i="22" s="1"/>
  <c r="H13" i="23" s="1"/>
  <c r="F214" i="22"/>
  <c r="J210" i="22"/>
  <c r="J212" i="22"/>
  <c r="J231" i="22"/>
  <c r="J209" i="22"/>
  <c r="J213" i="22"/>
  <c r="L210" i="22"/>
  <c r="L232" i="22"/>
  <c r="L212" i="22"/>
  <c r="L234" i="22"/>
  <c r="Q200" i="22"/>
  <c r="G218" i="22"/>
  <c r="M219" i="22"/>
  <c r="P237" i="22"/>
  <c r="P215" i="22"/>
  <c r="P257" i="22" s="1"/>
  <c r="P13" i="23" s="1"/>
  <c r="N216" i="22"/>
  <c r="P238" i="22"/>
  <c r="Q43" i="22"/>
  <c r="P216" i="22"/>
  <c r="P258" i="22" s="1"/>
  <c r="P14" i="23" s="1"/>
  <c r="Q133" i="22"/>
  <c r="N237" i="22"/>
  <c r="Q134" i="22"/>
  <c r="N238" i="22"/>
  <c r="N215" i="22"/>
  <c r="N257" i="22" s="1"/>
  <c r="N13" i="23" s="1"/>
  <c r="J867" i="14"/>
  <c r="J832" i="14"/>
  <c r="J831" i="14"/>
  <c r="J863" i="14"/>
  <c r="J873" i="14"/>
  <c r="J868" i="14"/>
  <c r="L865" i="14"/>
  <c r="J865" i="14" s="1"/>
  <c r="J837" i="14"/>
  <c r="J839" i="14"/>
  <c r="L854" i="14"/>
  <c r="J854" i="14" s="1"/>
  <c r="J840" i="14"/>
  <c r="J830" i="14"/>
  <c r="L876" i="14"/>
  <c r="J876" i="14" s="1"/>
  <c r="J834" i="14"/>
  <c r="L850" i="14"/>
  <c r="J850" i="14" s="1"/>
  <c r="J836" i="14"/>
  <c r="J846" i="14"/>
  <c r="J835" i="14"/>
  <c r="L801" i="14"/>
  <c r="L815" i="14"/>
  <c r="L845" i="14"/>
  <c r="J845" i="14" s="1"/>
  <c r="L860" i="14"/>
  <c r="J860" i="14" s="1"/>
  <c r="L874" i="14"/>
  <c r="J874" i="14" s="1"/>
  <c r="L853" i="14"/>
  <c r="J853" i="14" s="1"/>
  <c r="K843" i="14"/>
  <c r="K1037" i="14" s="1"/>
  <c r="K1042" i="14" s="1"/>
  <c r="L864" i="14"/>
  <c r="J864" i="14" s="1"/>
  <c r="L859" i="14"/>
  <c r="J859" i="14" s="1"/>
  <c r="L852" i="14"/>
  <c r="J852" i="14" s="1"/>
  <c r="L878" i="14"/>
  <c r="J878" i="14" s="1"/>
  <c r="L847" i="14"/>
  <c r="J847" i="14" s="1"/>
  <c r="K857" i="14"/>
  <c r="K1136" i="14" s="1"/>
  <c r="K871" i="14"/>
  <c r="L880" i="14"/>
  <c r="J880" i="14" s="1"/>
  <c r="L875" i="14"/>
  <c r="J875" i="14" s="1"/>
  <c r="L879" i="14"/>
  <c r="J879" i="14" s="1"/>
  <c r="L881" i="14"/>
  <c r="J881" i="14" s="1"/>
  <c r="L851" i="14"/>
  <c r="J851" i="14" s="1"/>
  <c r="L872" i="14"/>
  <c r="J872" i="14" s="1"/>
  <c r="L882" i="14"/>
  <c r="J882" i="14" s="1"/>
  <c r="L877" i="14"/>
  <c r="J877" i="14" s="1"/>
  <c r="L844" i="14"/>
  <c r="J844" i="14" s="1"/>
  <c r="L885" i="14"/>
  <c r="L849" i="14"/>
  <c r="J849" i="14" s="1"/>
  <c r="L848" i="14"/>
  <c r="J848" i="14" s="1"/>
  <c r="L862" i="14"/>
  <c r="J862" i="14" s="1"/>
  <c r="J801" i="14"/>
  <c r="J815" i="14"/>
  <c r="J885" i="14"/>
  <c r="N1043" i="14"/>
  <c r="N1136" i="14"/>
  <c r="M1043" i="14"/>
  <c r="M1048" i="14" s="1"/>
  <c r="M1136" i="14"/>
  <c r="M1040" i="14"/>
  <c r="M1042" i="14"/>
  <c r="J1031" i="14"/>
  <c r="K1034" i="14"/>
  <c r="K1036" i="14"/>
  <c r="L1036" i="14"/>
  <c r="M925" i="14"/>
  <c r="M923" i="14"/>
  <c r="M921" i="14"/>
  <c r="M919" i="14"/>
  <c r="M917" i="14"/>
  <c r="M915" i="14"/>
  <c r="M924" i="14"/>
  <c r="M922" i="14"/>
  <c r="M920" i="14"/>
  <c r="M918" i="14"/>
  <c r="M916" i="14"/>
  <c r="M914" i="14"/>
  <c r="M911" i="14"/>
  <c r="M909" i="14"/>
  <c r="M907" i="14"/>
  <c r="M905" i="14"/>
  <c r="M903" i="14"/>
  <c r="M901" i="14"/>
  <c r="M910" i="14"/>
  <c r="M908" i="14"/>
  <c r="M906" i="14"/>
  <c r="M904" i="14"/>
  <c r="M902" i="14"/>
  <c r="M900" i="14"/>
  <c r="Q236" i="22" l="1"/>
  <c r="Q235" i="22"/>
  <c r="F238" i="22"/>
  <c r="M248" i="22"/>
  <c r="M251" i="22" s="1"/>
  <c r="M8" i="23" s="1"/>
  <c r="N219" i="22"/>
  <c r="N258" i="22"/>
  <c r="N14" i="23" s="1"/>
  <c r="O218" i="22"/>
  <c r="O257" i="22"/>
  <c r="O13" i="23" s="1"/>
  <c r="I219" i="22"/>
  <c r="I258" i="22"/>
  <c r="I14" i="23" s="1"/>
  <c r="G219" i="22"/>
  <c r="G220" i="22" s="1"/>
  <c r="G258" i="22"/>
  <c r="G14" i="23" s="1"/>
  <c r="M218" i="22"/>
  <c r="M220" i="22" s="1"/>
  <c r="M257" i="22"/>
  <c r="M13" i="23" s="1"/>
  <c r="I218" i="22"/>
  <c r="I257" i="22"/>
  <c r="I13" i="23" s="1"/>
  <c r="H219" i="22"/>
  <c r="H258" i="22"/>
  <c r="H14" i="23" s="1"/>
  <c r="L218" i="22"/>
  <c r="L257" i="22"/>
  <c r="L13" i="23" s="1"/>
  <c r="J237" i="22"/>
  <c r="H248" i="22"/>
  <c r="H251" i="22" s="1"/>
  <c r="H8" i="23" s="1"/>
  <c r="F237" i="22"/>
  <c r="O249" i="22"/>
  <c r="O252" i="22" s="1"/>
  <c r="O9" i="23" s="1"/>
  <c r="L237" i="22"/>
  <c r="L248" i="22" s="1"/>
  <c r="L251" i="22" s="1"/>
  <c r="L8" i="23" s="1"/>
  <c r="O219" i="22"/>
  <c r="O248" i="22"/>
  <c r="O251" i="22" s="1"/>
  <c r="O8" i="23" s="1"/>
  <c r="M249" i="22"/>
  <c r="M252" i="22" s="1"/>
  <c r="M9" i="23" s="1"/>
  <c r="F216" i="22"/>
  <c r="H249" i="22"/>
  <c r="H252" i="22" s="1"/>
  <c r="H9" i="23" s="1"/>
  <c r="K238" i="22"/>
  <c r="F215" i="22"/>
  <c r="F257" i="22" s="1"/>
  <c r="F13" i="23" s="1"/>
  <c r="G249" i="22"/>
  <c r="G252" i="22" s="1"/>
  <c r="G9" i="23" s="1"/>
  <c r="J238" i="22"/>
  <c r="K216" i="22"/>
  <c r="I248" i="22"/>
  <c r="I251" i="22" s="1"/>
  <c r="I8" i="23" s="1"/>
  <c r="H218" i="22"/>
  <c r="H220" i="22" s="1"/>
  <c r="I249" i="22"/>
  <c r="I252" i="22" s="1"/>
  <c r="I9" i="23" s="1"/>
  <c r="L216" i="22"/>
  <c r="L238" i="22"/>
  <c r="J215" i="22"/>
  <c r="J216" i="22"/>
  <c r="K215" i="22"/>
  <c r="E231" i="22"/>
  <c r="Q231" i="22" s="1"/>
  <c r="P248" i="22"/>
  <c r="P251" i="22" s="1"/>
  <c r="P8" i="23" s="1"/>
  <c r="P218" i="22"/>
  <c r="G8" i="23"/>
  <c r="N249" i="22"/>
  <c r="N252" i="22" s="1"/>
  <c r="N9" i="23" s="1"/>
  <c r="P249" i="22"/>
  <c r="P252" i="22" s="1"/>
  <c r="P219" i="22"/>
  <c r="N248" i="22"/>
  <c r="N251" i="22" s="1"/>
  <c r="N218" i="22"/>
  <c r="J829" i="14"/>
  <c r="K911" i="14"/>
  <c r="K910" i="14"/>
  <c r="K904" i="14"/>
  <c r="K901" i="14"/>
  <c r="K909" i="14"/>
  <c r="K1040" i="14"/>
  <c r="J857" i="14"/>
  <c r="K902" i="14"/>
  <c r="K903" i="14"/>
  <c r="K906" i="14"/>
  <c r="K907" i="14"/>
  <c r="K900" i="14"/>
  <c r="K908" i="14"/>
  <c r="K905" i="14"/>
  <c r="K922" i="14"/>
  <c r="K924" i="14"/>
  <c r="K914" i="14"/>
  <c r="K919" i="14"/>
  <c r="K916" i="14"/>
  <c r="K921" i="14"/>
  <c r="J843" i="14"/>
  <c r="K918" i="14"/>
  <c r="K915" i="14"/>
  <c r="K923" i="14"/>
  <c r="K1043" i="14"/>
  <c r="K1046" i="14" s="1"/>
  <c r="K920" i="14"/>
  <c r="K917" i="14"/>
  <c r="J917" i="14" s="1"/>
  <c r="K925" i="14"/>
  <c r="L857" i="14"/>
  <c r="L917" i="14" s="1"/>
  <c r="L843" i="14"/>
  <c r="L1037" i="14" s="1"/>
  <c r="L1040" i="14" s="1"/>
  <c r="J871" i="14"/>
  <c r="L871" i="14"/>
  <c r="L1034" i="14" s="1"/>
  <c r="M1046" i="14"/>
  <c r="N913" i="14"/>
  <c r="N1137" i="14" s="1"/>
  <c r="N899" i="14"/>
  <c r="N1049" i="14" s="1"/>
  <c r="M899" i="14"/>
  <c r="M1049" i="14" s="1"/>
  <c r="M913" i="14"/>
  <c r="J218" i="22" l="1"/>
  <c r="J257" i="22"/>
  <c r="J13" i="23" s="1"/>
  <c r="F219" i="22"/>
  <c r="F258" i="22"/>
  <c r="F14" i="23" s="1"/>
  <c r="K218" i="22"/>
  <c r="K257" i="22"/>
  <c r="K13" i="23" s="1"/>
  <c r="L219" i="22"/>
  <c r="L220" i="22" s="1"/>
  <c r="L258" i="22"/>
  <c r="L14" i="23" s="1"/>
  <c r="K219" i="22"/>
  <c r="K258" i="22"/>
  <c r="K14" i="23" s="1"/>
  <c r="I220" i="22"/>
  <c r="N220" i="22"/>
  <c r="J219" i="22"/>
  <c r="J258" i="22"/>
  <c r="J14" i="23" s="1"/>
  <c r="O220" i="22"/>
  <c r="F248" i="22"/>
  <c r="F251" i="22" s="1"/>
  <c r="F8" i="23" s="1"/>
  <c r="M253" i="22"/>
  <c r="M10" i="23" s="1"/>
  <c r="F249" i="22"/>
  <c r="F252" i="22" s="1"/>
  <c r="O253" i="22"/>
  <c r="O10" i="23" s="1"/>
  <c r="H253" i="22"/>
  <c r="H10" i="23" s="1"/>
  <c r="G253" i="22"/>
  <c r="G10" i="23" s="1"/>
  <c r="J248" i="22"/>
  <c r="J251" i="22" s="1"/>
  <c r="J8" i="23" s="1"/>
  <c r="K249" i="22"/>
  <c r="K252" i="22" s="1"/>
  <c r="K9" i="23" s="1"/>
  <c r="F218" i="22"/>
  <c r="I253" i="22"/>
  <c r="I10" i="23" s="1"/>
  <c r="K248" i="22"/>
  <c r="K251" i="22" s="1"/>
  <c r="K8" i="23" s="1"/>
  <c r="L249" i="22"/>
  <c r="L252" i="22" s="1"/>
  <c r="L9" i="23" s="1"/>
  <c r="J249" i="22"/>
  <c r="J252" i="22" s="1"/>
  <c r="J9" i="23" s="1"/>
  <c r="E209" i="22"/>
  <c r="Q209" i="22" s="1"/>
  <c r="E211" i="22"/>
  <c r="Q211" i="22" s="1"/>
  <c r="E213" i="22"/>
  <c r="Q213" i="22" s="1"/>
  <c r="E233" i="22"/>
  <c r="E210" i="22"/>
  <c r="Q210" i="22" s="1"/>
  <c r="E232" i="22"/>
  <c r="Q232" i="22" s="1"/>
  <c r="E214" i="22"/>
  <c r="Q214" i="22" s="1"/>
  <c r="E234" i="22"/>
  <c r="Q234" i="22" s="1"/>
  <c r="E212" i="22"/>
  <c r="Q212" i="22" s="1"/>
  <c r="P220" i="22"/>
  <c r="N8" i="23"/>
  <c r="N253" i="22"/>
  <c r="N10" i="23" s="1"/>
  <c r="P9" i="23"/>
  <c r="P253" i="22"/>
  <c r="P10" i="23" s="1"/>
  <c r="J1037" i="14"/>
  <c r="L907" i="14"/>
  <c r="J907" i="14" s="1"/>
  <c r="K899" i="14"/>
  <c r="K1049" i="14" s="1"/>
  <c r="K1052" i="14" s="1"/>
  <c r="L922" i="14"/>
  <c r="J922" i="14" s="1"/>
  <c r="L924" i="14"/>
  <c r="J924" i="14" s="1"/>
  <c r="L904" i="14"/>
  <c r="J904" i="14" s="1"/>
  <c r="L918" i="14"/>
  <c r="J918" i="14" s="1"/>
  <c r="L1043" i="14"/>
  <c r="L925" i="14"/>
  <c r="J925" i="14" s="1"/>
  <c r="L923" i="14"/>
  <c r="J923" i="14" s="1"/>
  <c r="L921" i="14"/>
  <c r="J921" i="14" s="1"/>
  <c r="K913" i="14"/>
  <c r="K1137" i="14" s="1"/>
  <c r="K1138" i="14" s="1"/>
  <c r="L910" i="14"/>
  <c r="J910" i="14" s="1"/>
  <c r="L908" i="14"/>
  <c r="J908" i="14" s="1"/>
  <c r="L909" i="14"/>
  <c r="J909" i="14" s="1"/>
  <c r="K1048" i="14"/>
  <c r="L919" i="14"/>
  <c r="J919" i="14" s="1"/>
  <c r="L914" i="14"/>
  <c r="J914" i="14" s="1"/>
  <c r="L906" i="14"/>
  <c r="J906" i="14" s="1"/>
  <c r="L916" i="14"/>
  <c r="J916" i="14" s="1"/>
  <c r="L901" i="14"/>
  <c r="J901" i="14" s="1"/>
  <c r="L920" i="14"/>
  <c r="J920" i="14" s="1"/>
  <c r="L915" i="14"/>
  <c r="J915" i="14" s="1"/>
  <c r="L911" i="14"/>
  <c r="J911" i="14" s="1"/>
  <c r="L902" i="14"/>
  <c r="J902" i="14" s="1"/>
  <c r="L1136" i="14"/>
  <c r="J1136" i="14" s="1"/>
  <c r="L903" i="14"/>
  <c r="J903" i="14" s="1"/>
  <c r="L1042" i="14"/>
  <c r="L900" i="14"/>
  <c r="J900" i="14" s="1"/>
  <c r="L905" i="14"/>
  <c r="J905" i="14" s="1"/>
  <c r="N1055" i="14"/>
  <c r="M1055" i="14"/>
  <c r="M1058" i="14" s="1"/>
  <c r="M1137" i="14"/>
  <c r="M1052" i="14"/>
  <c r="M1054" i="14"/>
  <c r="E237" i="22" l="1"/>
  <c r="Q237" i="22" s="1"/>
  <c r="Q233" i="22"/>
  <c r="K220" i="22"/>
  <c r="J220" i="22"/>
  <c r="F220" i="22"/>
  <c r="F253" i="22"/>
  <c r="F10" i="23" s="1"/>
  <c r="F9" i="23"/>
  <c r="K253" i="22"/>
  <c r="K10" i="23" s="1"/>
  <c r="L253" i="22"/>
  <c r="L10" i="23" s="1"/>
  <c r="J253" i="22"/>
  <c r="J10" i="23" s="1"/>
  <c r="E216" i="22"/>
  <c r="Q216" i="22" s="1"/>
  <c r="E238" i="22"/>
  <c r="Q238" i="22" s="1"/>
  <c r="E215" i="22"/>
  <c r="Q215" i="22" s="1"/>
  <c r="K1054" i="14"/>
  <c r="L1046" i="14"/>
  <c r="J1043" i="14"/>
  <c r="J1049" i="14"/>
  <c r="K1139" i="14"/>
  <c r="K1142" i="14" s="1"/>
  <c r="K1055" i="14"/>
  <c r="K1060" i="14" s="1"/>
  <c r="L1048" i="14"/>
  <c r="J913" i="14"/>
  <c r="J899" i="14"/>
  <c r="L899" i="14"/>
  <c r="L1049" i="14" s="1"/>
  <c r="L1054" i="14" s="1"/>
  <c r="L913" i="14"/>
  <c r="L1055" i="14" s="1"/>
  <c r="L1060" i="14" s="1"/>
  <c r="K1141" i="14"/>
  <c r="M1139" i="14"/>
  <c r="M1138" i="14"/>
  <c r="M1062" i="14"/>
  <c r="M1060" i="14"/>
  <c r="M1063" i="14" s="1"/>
  <c r="Q248" i="22" l="1"/>
  <c r="Q249" i="22"/>
  <c r="E219" i="22"/>
  <c r="Q219" i="22" s="1"/>
  <c r="E258" i="22"/>
  <c r="E248" i="22"/>
  <c r="E251" i="22" s="1"/>
  <c r="E8" i="23" s="1"/>
  <c r="E257" i="22"/>
  <c r="E249" i="22"/>
  <c r="E252" i="22" s="1"/>
  <c r="E9" i="23" s="1"/>
  <c r="E218" i="22"/>
  <c r="K1063" i="14"/>
  <c r="K1067" i="14" s="1"/>
  <c r="K1069" i="14" s="1"/>
  <c r="J1055" i="14"/>
  <c r="K1058" i="14"/>
  <c r="L1063" i="14"/>
  <c r="L1106" i="14" s="1"/>
  <c r="L1137" i="14"/>
  <c r="L1052" i="14"/>
  <c r="L1058" i="14"/>
  <c r="M1064" i="14"/>
  <c r="M1066" i="14"/>
  <c r="M1068" i="14" s="1"/>
  <c r="M965" i="14" s="1"/>
  <c r="M1065" i="14"/>
  <c r="M1067" i="14"/>
  <c r="M1069" i="14" s="1"/>
  <c r="M1027" i="14" s="1"/>
  <c r="M1142" i="14"/>
  <c r="M1141" i="14"/>
  <c r="M1106" i="14"/>
  <c r="K1062" i="14"/>
  <c r="K1066" i="14" s="1"/>
  <c r="K1068" i="14" s="1"/>
  <c r="M1093" i="14"/>
  <c r="M1094" i="14" s="1"/>
  <c r="M1185" i="14" s="1"/>
  <c r="L1160" i="14"/>
  <c r="L1161" i="14"/>
  <c r="Q258" i="22" l="1"/>
  <c r="E14" i="23"/>
  <c r="Q14" i="23" s="1"/>
  <c r="Q257" i="22"/>
  <c r="E13" i="23"/>
  <c r="Q13" i="23" s="1"/>
  <c r="Q251" i="22"/>
  <c r="Q8" i="23" s="1"/>
  <c r="E220" i="22"/>
  <c r="E253" i="22"/>
  <c r="E10" i="23" s="1"/>
  <c r="Q252" i="22"/>
  <c r="Q218" i="22"/>
  <c r="Q220" i="22" s="1"/>
  <c r="Q221" i="22" s="1"/>
  <c r="K1065" i="14"/>
  <c r="K1106" i="14"/>
  <c r="K1107" i="14" s="1"/>
  <c r="K1186" i="14" s="1"/>
  <c r="L1138" i="14"/>
  <c r="L1141" i="14" s="1"/>
  <c r="J1137" i="14"/>
  <c r="K1027" i="14"/>
  <c r="K1181" i="14" s="1"/>
  <c r="L1139" i="14"/>
  <c r="L1067" i="14" s="1"/>
  <c r="L1069" i="14" s="1"/>
  <c r="L1027" i="14" s="1"/>
  <c r="L1065" i="14"/>
  <c r="L1062" i="14"/>
  <c r="L1093" i="14" s="1"/>
  <c r="L1094" i="14" s="1"/>
  <c r="L1185" i="14" s="1"/>
  <c r="K1093" i="14"/>
  <c r="M1181" i="14"/>
  <c r="K1064" i="14"/>
  <c r="K965" i="14" s="1"/>
  <c r="K1180" i="14" s="1"/>
  <c r="M1164" i="14"/>
  <c r="M1157" i="14"/>
  <c r="M1180" i="14"/>
  <c r="L1107" i="14"/>
  <c r="L1186" i="14" s="1"/>
  <c r="M1107" i="14"/>
  <c r="M1186" i="14" s="1"/>
  <c r="M1119" i="14"/>
  <c r="M1120" i="14" s="1"/>
  <c r="Q253" i="22" l="1"/>
  <c r="Q10" i="23" s="1"/>
  <c r="Q9" i="23"/>
  <c r="K1119" i="14"/>
  <c r="K1120" i="14" s="1"/>
  <c r="L1142" i="14"/>
  <c r="L1064" i="14"/>
  <c r="L1119" i="14"/>
  <c r="L1120" i="14" s="1"/>
  <c r="L1066" i="14"/>
  <c r="L1068" i="14" s="1"/>
  <c r="L965" i="14" s="1"/>
  <c r="L1180" i="14" s="1"/>
  <c r="L1164" i="14"/>
  <c r="L1129" i="14"/>
  <c r="L1157" i="14"/>
  <c r="L1181" i="14"/>
  <c r="L1146" i="14"/>
  <c r="L1150" i="14" s="1"/>
  <c r="K1094" i="14"/>
  <c r="K1185" i="14" s="1"/>
  <c r="M1150" i="14"/>
  <c r="M1129" i="14"/>
  <c r="M1128" i="14"/>
  <c r="M1156" i="14"/>
  <c r="M1163" i="14"/>
  <c r="K1157" i="14"/>
  <c r="K1156" i="14"/>
  <c r="M1149" i="14"/>
  <c r="K1146" i="14"/>
  <c r="K1150" i="14" s="1"/>
  <c r="K1129" i="14"/>
  <c r="K1145" i="14"/>
  <c r="K1149" i="14" s="1"/>
  <c r="K1128" i="14"/>
  <c r="K1161" i="14"/>
  <c r="K1164" i="14" s="1"/>
  <c r="K1160" i="14"/>
  <c r="K1163" i="14" s="1"/>
  <c r="Q254" i="22" l="1"/>
  <c r="Q11" i="23" s="1"/>
  <c r="L1145" i="14"/>
  <c r="L1149" i="14" s="1"/>
  <c r="L1163" i="14"/>
  <c r="L1156" i="14"/>
  <c r="L1128" i="14"/>
  <c r="L1183" i="14"/>
  <c r="M1183" i="14"/>
  <c r="K1182" i="14"/>
  <c r="M1182" i="14"/>
  <c r="K1183" i="14"/>
  <c r="L1182" i="14" l="1"/>
  <c r="L1187" i="14" s="1"/>
  <c r="M1187" i="14"/>
  <c r="K1187" i="14"/>
  <c r="J935" i="14"/>
  <c r="E10" i="19" s="1"/>
  <c r="N934" i="14"/>
  <c r="N957" i="14" l="1"/>
  <c r="J957" i="14" s="1"/>
  <c r="N958" i="14"/>
  <c r="J958" i="14" s="1"/>
  <c r="N947" i="14"/>
  <c r="N951" i="14"/>
  <c r="J951" i="14" s="1"/>
  <c r="N948" i="14"/>
  <c r="J948" i="14" s="1"/>
  <c r="N949" i="14"/>
  <c r="J949" i="14" s="1"/>
  <c r="N950" i="14"/>
  <c r="J950" i="14" s="1"/>
  <c r="N1019" i="14"/>
  <c r="J1019" i="14" s="1"/>
  <c r="N1020" i="14"/>
  <c r="J1020" i="14" s="1"/>
  <c r="N1010" i="14"/>
  <c r="J1010" i="14" s="1"/>
  <c r="N1013" i="14"/>
  <c r="J1013" i="14" s="1"/>
  <c r="N1011" i="14"/>
  <c r="J1011" i="14" s="1"/>
  <c r="N1012" i="14"/>
  <c r="J1012" i="14" s="1"/>
  <c r="N1009" i="14"/>
  <c r="N1035" i="14" s="1"/>
  <c r="N995" i="14"/>
  <c r="J995" i="14" s="1"/>
  <c r="N994" i="14"/>
  <c r="J994" i="14" s="1"/>
  <c r="N993" i="14"/>
  <c r="J993" i="14" s="1"/>
  <c r="N992" i="14"/>
  <c r="J992" i="14" s="1"/>
  <c r="N991" i="14"/>
  <c r="J991" i="14" s="1"/>
  <c r="N990" i="14"/>
  <c r="J990" i="14" s="1"/>
  <c r="N989" i="14"/>
  <c r="J989" i="14" s="1"/>
  <c r="N988" i="14"/>
  <c r="J988" i="14" s="1"/>
  <c r="N987" i="14"/>
  <c r="J987" i="14" s="1"/>
  <c r="N986" i="14"/>
  <c r="J986" i="14" s="1"/>
  <c r="N985" i="14"/>
  <c r="J985" i="14" s="1"/>
  <c r="N984" i="14"/>
  <c r="J984" i="14" s="1"/>
  <c r="N983" i="14"/>
  <c r="J983" i="14" s="1"/>
  <c r="N982" i="14"/>
  <c r="J982" i="14" s="1"/>
  <c r="N981" i="14"/>
  <c r="J981" i="14" s="1"/>
  <c r="N980" i="14"/>
  <c r="J980" i="14" s="1"/>
  <c r="N979" i="14"/>
  <c r="J979" i="14" s="1"/>
  <c r="N978" i="14"/>
  <c r="J978" i="14" s="1"/>
  <c r="N977" i="14"/>
  <c r="J977" i="14" s="1"/>
  <c r="N976" i="14"/>
  <c r="J976" i="14" s="1"/>
  <c r="N975" i="14"/>
  <c r="J975" i="14" s="1"/>
  <c r="N974" i="14"/>
  <c r="J974" i="14" s="1"/>
  <c r="N973" i="14"/>
  <c r="J973" i="14" s="1"/>
  <c r="N972" i="14"/>
  <c r="J972" i="14" s="1"/>
  <c r="N971" i="14"/>
  <c r="J971" i="14" s="1"/>
  <c r="N970" i="14"/>
  <c r="J970" i="14" s="1"/>
  <c r="N969" i="14"/>
  <c r="J969" i="14" s="1"/>
  <c r="N968" i="14"/>
  <c r="J968" i="14" s="1"/>
  <c r="N999" i="14"/>
  <c r="N1008" i="14"/>
  <c r="J1008" i="14" s="1"/>
  <c r="N959" i="14"/>
  <c r="J959" i="14" s="1"/>
  <c r="N938" i="14"/>
  <c r="N1026" i="14"/>
  <c r="J1026" i="14" s="1"/>
  <c r="N963" i="14"/>
  <c r="J963" i="14" s="1"/>
  <c r="N952" i="14"/>
  <c r="J952" i="14" s="1"/>
  <c r="N962" i="14"/>
  <c r="J962" i="14" s="1"/>
  <c r="N1014" i="14"/>
  <c r="J1014" i="14" s="1"/>
  <c r="N1021" i="14"/>
  <c r="J1021" i="14" s="1"/>
  <c r="N1005" i="14"/>
  <c r="N943" i="14"/>
  <c r="N1001" i="14"/>
  <c r="N946" i="14"/>
  <c r="J946" i="14" s="1"/>
  <c r="N960" i="14"/>
  <c r="J960" i="14" s="1"/>
  <c r="N1024" i="14"/>
  <c r="J1024" i="14" s="1"/>
  <c r="N1025" i="14"/>
  <c r="J1025" i="14" s="1"/>
  <c r="N1022" i="14"/>
  <c r="J1022" i="14" s="1"/>
  <c r="N964" i="14"/>
  <c r="J964" i="14" s="1"/>
  <c r="N941" i="14"/>
  <c r="N1016" i="14"/>
  <c r="N942" i="14"/>
  <c r="N1006" i="14"/>
  <c r="N1004" i="14"/>
  <c r="N1002" i="14"/>
  <c r="N953" i="14"/>
  <c r="N940" i="14"/>
  <c r="N939" i="14"/>
  <c r="N1007" i="14"/>
  <c r="N945" i="14"/>
  <c r="N1003" i="14"/>
  <c r="N1018" i="14"/>
  <c r="N1023" i="14"/>
  <c r="N1017" i="14"/>
  <c r="N1015" i="14"/>
  <c r="N954" i="14"/>
  <c r="N944" i="14"/>
  <c r="N1000" i="14"/>
  <c r="N955" i="14"/>
  <c r="N956" i="14"/>
  <c r="N961" i="14"/>
  <c r="N937" i="14"/>
  <c r="J1009" i="14" l="1"/>
  <c r="J961" i="14"/>
  <c r="N1092" i="14"/>
  <c r="J1092" i="14" s="1"/>
  <c r="N1167" i="14"/>
  <c r="N1125" i="14"/>
  <c r="J955" i="14"/>
  <c r="N1039" i="14"/>
  <c r="J1023" i="14"/>
  <c r="N1105" i="14"/>
  <c r="N1168" i="14"/>
  <c r="N1126" i="14"/>
  <c r="J937" i="14"/>
  <c r="N1083" i="14"/>
  <c r="N1153" i="14"/>
  <c r="N1132" i="14"/>
  <c r="J956" i="14"/>
  <c r="N1045" i="14"/>
  <c r="J1000" i="14"/>
  <c r="N1097" i="14"/>
  <c r="J954" i="14"/>
  <c r="N1057" i="14"/>
  <c r="J1017" i="14"/>
  <c r="N1041" i="14"/>
  <c r="J1018" i="14"/>
  <c r="N1047" i="14"/>
  <c r="J945" i="14"/>
  <c r="N1091" i="14"/>
  <c r="J1091" i="14" s="1"/>
  <c r="J939" i="14"/>
  <c r="N1085" i="14"/>
  <c r="J1085" i="14" s="1"/>
  <c r="J953" i="14"/>
  <c r="N1051" i="14"/>
  <c r="N1101" i="14"/>
  <c r="J1004" i="14"/>
  <c r="J942" i="14"/>
  <c r="N1088" i="14"/>
  <c r="J1088" i="14" s="1"/>
  <c r="J941" i="14"/>
  <c r="N1087" i="14"/>
  <c r="J1087" i="14" s="1"/>
  <c r="J1001" i="14"/>
  <c r="N1098" i="14"/>
  <c r="J1005" i="14"/>
  <c r="N1102" i="14"/>
  <c r="J938" i="14"/>
  <c r="N1084" i="14"/>
  <c r="J1084" i="14" s="1"/>
  <c r="J947" i="14"/>
  <c r="N1138" i="14"/>
  <c r="J1138" i="14" s="1"/>
  <c r="N1033" i="14"/>
  <c r="N1139" i="14"/>
  <c r="J1139" i="14" s="1"/>
  <c r="J944" i="14"/>
  <c r="N1090" i="14"/>
  <c r="J1090" i="14" s="1"/>
  <c r="J1015" i="14"/>
  <c r="N1053" i="14"/>
  <c r="J1003" i="14"/>
  <c r="N1100" i="14"/>
  <c r="J1007" i="14"/>
  <c r="N1104" i="14"/>
  <c r="J940" i="14"/>
  <c r="N1086" i="14"/>
  <c r="J1086" i="14" s="1"/>
  <c r="J1002" i="14"/>
  <c r="N1099" i="14"/>
  <c r="J1006" i="14"/>
  <c r="N1103" i="14"/>
  <c r="J1016" i="14"/>
  <c r="N1059" i="14"/>
  <c r="J943" i="14"/>
  <c r="N1089" i="14"/>
  <c r="J1089" i="14" s="1"/>
  <c r="J999" i="14"/>
  <c r="N1133" i="14"/>
  <c r="N1154" i="14"/>
  <c r="N1096" i="14"/>
  <c r="J1035" i="14"/>
  <c r="N1036" i="14"/>
  <c r="H44" i="19" l="1"/>
  <c r="J1154" i="14"/>
  <c r="J1033" i="14"/>
  <c r="N1034" i="14"/>
  <c r="N1115" i="14"/>
  <c r="J1115" i="14" s="1"/>
  <c r="J1102" i="14"/>
  <c r="J1098" i="14"/>
  <c r="N1111" i="14"/>
  <c r="J1111" i="14" s="1"/>
  <c r="J1051" i="14"/>
  <c r="N1052" i="14"/>
  <c r="J1052" i="14" s="1"/>
  <c r="J1047" i="14"/>
  <c r="N1048" i="14"/>
  <c r="J1048" i="14" s="1"/>
  <c r="J1041" i="14"/>
  <c r="N1042" i="14"/>
  <c r="J1042" i="14" s="1"/>
  <c r="J1057" i="14"/>
  <c r="N1058" i="14"/>
  <c r="J1058" i="14" s="1"/>
  <c r="J1097" i="14"/>
  <c r="N1110" i="14"/>
  <c r="J1110" i="14" s="1"/>
  <c r="J1045" i="14"/>
  <c r="N1046" i="14"/>
  <c r="J1046" i="14" s="1"/>
  <c r="J1132" i="14"/>
  <c r="N1141" i="14"/>
  <c r="J1141" i="14" s="1"/>
  <c r="J1083" i="14"/>
  <c r="J1126" i="14"/>
  <c r="N1118" i="14"/>
  <c r="J1118" i="14" s="1"/>
  <c r="J1105" i="14"/>
  <c r="J1039" i="14"/>
  <c r="N1040" i="14"/>
  <c r="J1040" i="14" s="1"/>
  <c r="J1125" i="14"/>
  <c r="J1036" i="14"/>
  <c r="J1096" i="14"/>
  <c r="N1109" i="14"/>
  <c r="J1133" i="14"/>
  <c r="N1142" i="14"/>
  <c r="J1142" i="14" s="1"/>
  <c r="J1059" i="14"/>
  <c r="N1060" i="14"/>
  <c r="J1060" i="14" s="1"/>
  <c r="J1103" i="14"/>
  <c r="N1116" i="14"/>
  <c r="J1116" i="14" s="1"/>
  <c r="J1099" i="14"/>
  <c r="N1112" i="14"/>
  <c r="J1112" i="14" s="1"/>
  <c r="N1117" i="14"/>
  <c r="J1117" i="14" s="1"/>
  <c r="J1104" i="14"/>
  <c r="J1100" i="14"/>
  <c r="N1113" i="14"/>
  <c r="J1113" i="14" s="1"/>
  <c r="J1053" i="14"/>
  <c r="N1054" i="14"/>
  <c r="J1054" i="14" s="1"/>
  <c r="J1101" i="14"/>
  <c r="N1114" i="14"/>
  <c r="J1114" i="14" s="1"/>
  <c r="J1153" i="14"/>
  <c r="N1170" i="14"/>
  <c r="J1170" i="14" s="1"/>
  <c r="J1168" i="14"/>
  <c r="J1167" i="14"/>
  <c r="N1169" i="14"/>
  <c r="J1169" i="14" s="1"/>
  <c r="J44" i="19" l="1"/>
  <c r="F44" i="19"/>
  <c r="F58" i="19" s="1"/>
  <c r="J1109" i="14"/>
  <c r="N1063" i="14"/>
  <c r="J1034" i="14"/>
  <c r="N1062" i="14"/>
  <c r="N1064" i="14" l="1"/>
  <c r="J1064" i="14" s="1"/>
  <c r="J1062" i="14"/>
  <c r="N1093" i="14"/>
  <c r="N1066" i="14"/>
  <c r="J1063" i="14"/>
  <c r="N1065" i="14"/>
  <c r="J1065" i="14" s="1"/>
  <c r="N1106" i="14"/>
  <c r="N1067" i="14"/>
  <c r="N1119" i="14" l="1"/>
  <c r="J1106" i="14"/>
  <c r="N1107" i="14"/>
  <c r="J1093" i="14"/>
  <c r="N1094" i="14"/>
  <c r="J1067" i="14"/>
  <c r="N1069" i="14"/>
  <c r="J1066" i="14"/>
  <c r="N1068" i="14"/>
  <c r="J1069" i="14" l="1"/>
  <c r="N1027" i="14"/>
  <c r="J1094" i="14"/>
  <c r="N1185" i="14"/>
  <c r="J1068" i="14"/>
  <c r="N965" i="14"/>
  <c r="J1107" i="14"/>
  <c r="N1186" i="14"/>
  <c r="J1119" i="14"/>
  <c r="N1120" i="14"/>
  <c r="J1120" i="14" s="1"/>
  <c r="J965" i="14" l="1"/>
  <c r="N1145" i="14"/>
  <c r="N1160" i="14"/>
  <c r="N1180" i="14"/>
  <c r="N1156" i="14"/>
  <c r="J1156" i="14" s="1"/>
  <c r="N1128" i="14"/>
  <c r="J1128" i="14" s="1"/>
  <c r="J1027" i="14"/>
  <c r="N1181" i="14"/>
  <c r="N1146" i="14"/>
  <c r="N1161" i="14"/>
  <c r="N1157" i="14"/>
  <c r="J1157" i="14" s="1"/>
  <c r="N1129" i="14"/>
  <c r="J1129" i="14" s="1"/>
  <c r="J1160" i="14" l="1"/>
  <c r="N1163" i="14"/>
  <c r="J1163" i="14" s="1"/>
  <c r="N1150" i="14"/>
  <c r="J1150" i="14" s="1"/>
  <c r="J1146" i="14"/>
  <c r="J1161" i="14"/>
  <c r="N1164" i="14"/>
  <c r="J1164" i="14" s="1"/>
  <c r="J1181" i="14"/>
  <c r="J1180" i="14"/>
  <c r="N1149" i="14"/>
  <c r="J1149" i="14" s="1"/>
  <c r="J1145" i="14"/>
  <c r="N1182" i="14" l="1"/>
  <c r="J1182" i="14" s="1"/>
  <c r="N1183" i="14"/>
  <c r="J1183" i="14" l="1"/>
  <c r="N1187" i="14"/>
</calcChain>
</file>

<file path=xl/comments1.xml><?xml version="1.0" encoding="utf-8"?>
<comments xmlns="http://schemas.openxmlformats.org/spreadsheetml/2006/main">
  <authors>
    <author>Laurent</author>
  </authors>
  <commentList>
    <comment ref="C22" authorId="0">
      <text>
        <r>
          <rPr>
            <b/>
            <sz val="8"/>
            <color indexed="81"/>
            <rFont val="Tahoma"/>
            <family val="2"/>
          </rPr>
          <t>Laurent:</t>
        </r>
        <r>
          <rPr>
            <sz val="8"/>
            <color indexed="81"/>
            <rFont val="Tahoma"/>
            <family val="2"/>
          </rPr>
          <t xml:space="preserve">
There should be  a separate item for heat captured by heat pumps and free heating/cooling</t>
        </r>
      </text>
    </comment>
    <comment ref="C24" authorId="0">
      <text>
        <r>
          <rPr>
            <b/>
            <sz val="8"/>
            <color indexed="81"/>
            <rFont val="Tahoma"/>
            <family val="2"/>
          </rPr>
          <t>Laurent:</t>
        </r>
        <r>
          <rPr>
            <sz val="8"/>
            <color indexed="81"/>
            <rFont val="Tahoma"/>
            <family val="2"/>
          </rPr>
          <t xml:space="preserve">
To be completed for simmetry with heat pumps</t>
        </r>
      </text>
    </comment>
    <comment ref="F44" authorId="0">
      <text>
        <r>
          <rPr>
            <b/>
            <sz val="8"/>
            <color indexed="81"/>
            <rFont val="Tahoma"/>
            <family val="2"/>
          </rPr>
          <t>Laurent:</t>
        </r>
        <r>
          <rPr>
            <sz val="8"/>
            <color indexed="81"/>
            <rFont val="Tahoma"/>
            <family val="2"/>
          </rPr>
          <t xml:space="preserve">
Total primary energy rating</t>
        </r>
      </text>
    </comment>
    <comment ref="H44" authorId="0">
      <text>
        <r>
          <rPr>
            <b/>
            <sz val="8"/>
            <color indexed="81"/>
            <rFont val="Tahoma"/>
            <family val="2"/>
          </rPr>
          <t>Laurent:</t>
        </r>
        <r>
          <rPr>
            <sz val="8"/>
            <color indexed="81"/>
            <rFont val="Tahoma"/>
            <family val="2"/>
          </rPr>
          <t xml:space="preserve">
Total primary energy rating</t>
        </r>
      </text>
    </comment>
    <comment ref="J44" authorId="0">
      <text>
        <r>
          <rPr>
            <b/>
            <sz val="8"/>
            <color indexed="81"/>
            <rFont val="Tahoma"/>
            <family val="2"/>
          </rPr>
          <t>Laurent:</t>
        </r>
        <r>
          <rPr>
            <sz val="8"/>
            <color indexed="81"/>
            <rFont val="Tahoma"/>
            <family val="2"/>
          </rPr>
          <t xml:space="preserve">
Non renewable primary energy rating.</t>
        </r>
      </text>
    </comment>
  </commentList>
</comments>
</file>

<file path=xl/comments2.xml><?xml version="1.0" encoding="utf-8"?>
<comments xmlns="http://schemas.openxmlformats.org/spreadsheetml/2006/main">
  <authors>
    <author>Laurent</author>
  </authors>
  <commentList>
    <comment ref="E14" authorId="0">
      <text>
        <r>
          <rPr>
            <b/>
            <sz val="8"/>
            <color indexed="81"/>
            <rFont val="Tahoma"/>
            <family val="2"/>
          </rPr>
          <t>Laurent:</t>
        </r>
        <r>
          <rPr>
            <sz val="8"/>
            <color indexed="81"/>
            <rFont val="Tahoma"/>
            <family val="2"/>
          </rPr>
          <t xml:space="preserve">
Auxiliary comlumns fopr selection purposwe</t>
        </r>
      </text>
    </comment>
  </commentList>
</comments>
</file>

<file path=xl/comments3.xml><?xml version="1.0" encoding="utf-8"?>
<comments xmlns="http://schemas.openxmlformats.org/spreadsheetml/2006/main">
  <authors>
    <author>Laurent</author>
  </authors>
  <commentList>
    <comment ref="I30" authorId="0">
      <text>
        <r>
          <rPr>
            <b/>
            <sz val="8"/>
            <color indexed="81"/>
            <rFont val="Tahoma"/>
            <family val="2"/>
          </rPr>
          <t>Laurent:</t>
        </r>
        <r>
          <rPr>
            <sz val="8"/>
            <color indexed="81"/>
            <rFont val="Tahoma"/>
            <family val="2"/>
          </rPr>
          <t xml:space="preserve">
prEN15603
Updated to prEN dated 2015-04</t>
        </r>
      </text>
    </comment>
    <comment ref="J30" authorId="0">
      <text>
        <r>
          <rPr>
            <b/>
            <sz val="8"/>
            <color indexed="81"/>
            <rFont val="Tahoma"/>
            <family val="2"/>
          </rPr>
          <t>Laurent:</t>
        </r>
        <r>
          <rPr>
            <sz val="8"/>
            <color indexed="81"/>
            <rFont val="Tahoma"/>
            <family val="2"/>
          </rPr>
          <t xml:space="preserve">
Some values are missing in the DIN</t>
        </r>
      </text>
    </comment>
    <comment ref="K30" authorId="0">
      <text>
        <r>
          <rPr>
            <b/>
            <sz val="8"/>
            <color indexed="81"/>
            <rFont val="Tahoma"/>
            <family val="2"/>
          </rPr>
          <t>Laurent:</t>
        </r>
        <r>
          <rPr>
            <sz val="8"/>
            <color indexed="81"/>
            <rFont val="Tahoma"/>
            <family val="2"/>
          </rPr>
          <t xml:space="preserve">
Current EN 15603:2008</t>
        </r>
      </text>
    </comment>
    <comment ref="J34" authorId="0">
      <text>
        <r>
          <rPr>
            <b/>
            <sz val="8"/>
            <color indexed="81"/>
            <rFont val="Tahoma"/>
            <family val="2"/>
          </rPr>
          <t>Laurent:</t>
        </r>
        <r>
          <rPr>
            <sz val="8"/>
            <color indexed="81"/>
            <rFont val="Tahoma"/>
            <family val="2"/>
          </rPr>
          <t xml:space="preserve">
Lignite</t>
        </r>
      </text>
    </comment>
    <comment ref="O38" authorId="0">
      <text>
        <r>
          <rPr>
            <b/>
            <sz val="8"/>
            <color indexed="81"/>
            <rFont val="Tahoma"/>
            <family val="2"/>
          </rPr>
          <t>Laurent:</t>
        </r>
        <r>
          <rPr>
            <sz val="8"/>
            <color indexed="81"/>
            <rFont val="Tahoma"/>
            <family val="2"/>
          </rPr>
          <t xml:space="preserve">
To be calculated according to EN 15316-4-5</t>
        </r>
      </text>
    </comment>
    <comment ref="P38" authorId="0">
      <text>
        <r>
          <rPr>
            <b/>
            <sz val="8"/>
            <color indexed="81"/>
            <rFont val="Tahoma"/>
            <family val="2"/>
          </rPr>
          <t>Laurent:</t>
        </r>
        <r>
          <rPr>
            <sz val="8"/>
            <color indexed="81"/>
            <rFont val="Tahoma"/>
            <family val="2"/>
          </rPr>
          <t xml:space="preserve">
To be calculated according to EN 15316-4-5</t>
        </r>
      </text>
    </comment>
    <comment ref="O39" authorId="0">
      <text>
        <r>
          <rPr>
            <b/>
            <sz val="8"/>
            <color indexed="81"/>
            <rFont val="Tahoma"/>
            <family val="2"/>
          </rPr>
          <t>Laurent:</t>
        </r>
        <r>
          <rPr>
            <sz val="8"/>
            <color indexed="81"/>
            <rFont val="Tahoma"/>
            <family val="2"/>
          </rPr>
          <t xml:space="preserve">
To be calculated according to EN 15316-4-5</t>
        </r>
      </text>
    </comment>
    <comment ref="P39" authorId="0">
      <text>
        <r>
          <rPr>
            <b/>
            <sz val="8"/>
            <color indexed="81"/>
            <rFont val="Tahoma"/>
            <family val="2"/>
          </rPr>
          <t>Laurent:</t>
        </r>
        <r>
          <rPr>
            <sz val="8"/>
            <color indexed="81"/>
            <rFont val="Tahoma"/>
            <family val="2"/>
          </rPr>
          <t xml:space="preserve">
To be calculated according to EN 15316-4-5</t>
        </r>
      </text>
    </comment>
    <comment ref="J53" authorId="0">
      <text>
        <r>
          <rPr>
            <b/>
            <sz val="8"/>
            <color indexed="81"/>
            <rFont val="Tahoma"/>
            <family val="2"/>
          </rPr>
          <t>Laurent:</t>
        </r>
        <r>
          <rPr>
            <sz val="8"/>
            <color indexed="81"/>
            <rFont val="Tahoma"/>
            <family val="2"/>
          </rPr>
          <t xml:space="preserve">
Lignite</t>
        </r>
      </text>
    </comment>
    <comment ref="O57" authorId="0">
      <text>
        <r>
          <rPr>
            <b/>
            <sz val="8"/>
            <color indexed="81"/>
            <rFont val="Tahoma"/>
            <family val="2"/>
          </rPr>
          <t>Laurent:</t>
        </r>
        <r>
          <rPr>
            <sz val="8"/>
            <color indexed="81"/>
            <rFont val="Tahoma"/>
            <family val="2"/>
          </rPr>
          <t xml:space="preserve">
To be calculated according to EN 15316-4-5</t>
        </r>
      </text>
    </comment>
    <comment ref="P57" authorId="0">
      <text>
        <r>
          <rPr>
            <b/>
            <sz val="8"/>
            <color indexed="81"/>
            <rFont val="Tahoma"/>
            <family val="2"/>
          </rPr>
          <t>Laurent:</t>
        </r>
        <r>
          <rPr>
            <sz val="8"/>
            <color indexed="81"/>
            <rFont val="Tahoma"/>
            <family val="2"/>
          </rPr>
          <t xml:space="preserve">
To be calculated according to EN 15316-4-5</t>
        </r>
      </text>
    </comment>
    <comment ref="O58" authorId="0">
      <text>
        <r>
          <rPr>
            <b/>
            <sz val="8"/>
            <color indexed="81"/>
            <rFont val="Tahoma"/>
            <family val="2"/>
          </rPr>
          <t>Laurent:</t>
        </r>
        <r>
          <rPr>
            <sz val="8"/>
            <color indexed="81"/>
            <rFont val="Tahoma"/>
            <family val="2"/>
          </rPr>
          <t xml:space="preserve">
To be calculated according to EN 15316-4-5</t>
        </r>
      </text>
    </comment>
    <comment ref="P58" authorId="0">
      <text>
        <r>
          <rPr>
            <b/>
            <sz val="8"/>
            <color indexed="81"/>
            <rFont val="Tahoma"/>
            <family val="2"/>
          </rPr>
          <t>Laurent:</t>
        </r>
        <r>
          <rPr>
            <sz val="8"/>
            <color indexed="81"/>
            <rFont val="Tahoma"/>
            <family val="2"/>
          </rPr>
          <t xml:space="preserve">
To be calculated according to EN 15316-4-5</t>
        </r>
      </text>
    </comment>
    <comment ref="O76" authorId="0">
      <text>
        <r>
          <rPr>
            <b/>
            <sz val="8"/>
            <color indexed="81"/>
            <rFont val="Tahoma"/>
            <family val="2"/>
          </rPr>
          <t>Laurent:</t>
        </r>
        <r>
          <rPr>
            <sz val="8"/>
            <color indexed="81"/>
            <rFont val="Tahoma"/>
            <family val="2"/>
          </rPr>
          <t xml:space="preserve">
To be calculated according to EN 15316-4-5</t>
        </r>
      </text>
    </comment>
    <comment ref="P76" authorId="0">
      <text>
        <r>
          <rPr>
            <b/>
            <sz val="8"/>
            <color indexed="81"/>
            <rFont val="Tahoma"/>
            <family val="2"/>
          </rPr>
          <t>Laurent:</t>
        </r>
        <r>
          <rPr>
            <sz val="8"/>
            <color indexed="81"/>
            <rFont val="Tahoma"/>
            <family val="2"/>
          </rPr>
          <t xml:space="preserve">
To be calculated according to EN 15316-4-5</t>
        </r>
      </text>
    </comment>
    <comment ref="O77" authorId="0">
      <text>
        <r>
          <rPr>
            <b/>
            <sz val="8"/>
            <color indexed="81"/>
            <rFont val="Tahoma"/>
            <family val="2"/>
          </rPr>
          <t>Laurent:</t>
        </r>
        <r>
          <rPr>
            <sz val="8"/>
            <color indexed="81"/>
            <rFont val="Tahoma"/>
            <family val="2"/>
          </rPr>
          <t xml:space="preserve">
To be calculated according to EN 15316-4-5</t>
        </r>
      </text>
    </comment>
    <comment ref="P77" authorId="0">
      <text>
        <r>
          <rPr>
            <b/>
            <sz val="8"/>
            <color indexed="81"/>
            <rFont val="Tahoma"/>
            <family val="2"/>
          </rPr>
          <t>Laurent:</t>
        </r>
        <r>
          <rPr>
            <sz val="8"/>
            <color indexed="81"/>
            <rFont val="Tahoma"/>
            <family val="2"/>
          </rPr>
          <t xml:space="preserve">
To be calculated according to EN 15316-4-5</t>
        </r>
      </text>
    </comment>
    <comment ref="O97" authorId="0">
      <text>
        <r>
          <rPr>
            <b/>
            <sz val="8"/>
            <color indexed="81"/>
            <rFont val="Tahoma"/>
            <family val="2"/>
          </rPr>
          <t>Laurent:</t>
        </r>
        <r>
          <rPr>
            <sz val="8"/>
            <color indexed="81"/>
            <rFont val="Tahoma"/>
            <family val="2"/>
          </rPr>
          <t xml:space="preserve">
To be calculated according to EN 15316-4-5</t>
        </r>
      </text>
    </comment>
    <comment ref="O98" authorId="0">
      <text>
        <r>
          <rPr>
            <b/>
            <sz val="8"/>
            <color indexed="81"/>
            <rFont val="Tahoma"/>
            <family val="2"/>
          </rPr>
          <t>Laurent:</t>
        </r>
        <r>
          <rPr>
            <sz val="8"/>
            <color indexed="81"/>
            <rFont val="Tahoma"/>
            <family val="2"/>
          </rPr>
          <t xml:space="preserve">
To be calculated according to EN 15316-4-5</t>
        </r>
      </text>
    </comment>
    <comment ref="O118" authorId="0">
      <text>
        <r>
          <rPr>
            <b/>
            <sz val="8"/>
            <color indexed="81"/>
            <rFont val="Tahoma"/>
            <family val="2"/>
          </rPr>
          <t>Laurent:</t>
        </r>
        <r>
          <rPr>
            <sz val="8"/>
            <color indexed="81"/>
            <rFont val="Tahoma"/>
            <family val="2"/>
          </rPr>
          <t xml:space="preserve">
To be calculated according to EN 15316-4-5</t>
        </r>
      </text>
    </comment>
    <comment ref="O119" authorId="0">
      <text>
        <r>
          <rPr>
            <b/>
            <sz val="8"/>
            <color indexed="81"/>
            <rFont val="Tahoma"/>
            <family val="2"/>
          </rPr>
          <t>Laurent:</t>
        </r>
        <r>
          <rPr>
            <sz val="8"/>
            <color indexed="81"/>
            <rFont val="Tahoma"/>
            <family val="2"/>
          </rPr>
          <t xml:space="preserve">
To be calculated according to EN 15316-4-5</t>
        </r>
      </text>
    </comment>
  </commentList>
</comments>
</file>

<file path=xl/comments4.xml><?xml version="1.0" encoding="utf-8"?>
<comments xmlns="http://schemas.openxmlformats.org/spreadsheetml/2006/main">
  <authors>
    <author>Laurent</author>
  </authors>
  <commentList>
    <comment ref="C5" authorId="0">
      <text>
        <r>
          <rPr>
            <b/>
            <sz val="8"/>
            <color indexed="81"/>
            <rFont val="Tahoma"/>
            <family val="2"/>
          </rPr>
          <t>Laurent:</t>
        </r>
        <r>
          <rPr>
            <sz val="8"/>
            <color indexed="81"/>
            <rFont val="Tahoma"/>
            <family val="2"/>
          </rPr>
          <t xml:space="preserve">
See sheet "soft_name" for the translation of the greek letters into plain text.</t>
        </r>
      </text>
    </comment>
    <comment ref="E5" authorId="0">
      <text>
        <r>
          <rPr>
            <b/>
            <sz val="8"/>
            <color indexed="81"/>
            <rFont val="Tahoma"/>
            <family val="2"/>
          </rPr>
          <t>Laurent:</t>
        </r>
        <r>
          <rPr>
            <sz val="8"/>
            <color indexed="81"/>
            <rFont val="Tahoma"/>
            <family val="2"/>
          </rPr>
          <t xml:space="preserve">
Row and column pointer are used to speed up  reference.
Please hide them when using this spreadsheet </t>
        </r>
      </text>
    </comment>
    <comment ref="U5"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V5"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W5" authorId="0">
      <text>
        <r>
          <rPr>
            <b/>
            <sz val="8"/>
            <color indexed="81"/>
            <rFont val="Tahoma"/>
            <family val="2"/>
          </rPr>
          <t>Laurent:</t>
        </r>
        <r>
          <rPr>
            <sz val="8"/>
            <color indexed="81"/>
            <rFont val="Tahoma"/>
            <family val="2"/>
          </rPr>
          <t xml:space="preserve">
Means if this value changes from one time-step to the other </t>
        </r>
      </text>
    </comment>
    <comment ref="T9" authorId="0">
      <text>
        <r>
          <rPr>
            <b/>
            <sz val="8"/>
            <color indexed="81"/>
            <rFont val="Tahoma"/>
            <family val="2"/>
          </rPr>
          <t>Laurent:</t>
        </r>
        <r>
          <rPr>
            <sz val="8"/>
            <color indexed="81"/>
            <rFont val="Tahoma"/>
            <family val="2"/>
          </rPr>
          <t xml:space="preserve">
Repeated for calcualtion purpose</t>
        </r>
      </text>
    </comment>
    <comment ref="T11" authorId="0">
      <text>
        <r>
          <rPr>
            <b/>
            <sz val="8"/>
            <color indexed="81"/>
            <rFont val="Tahoma"/>
            <family val="2"/>
          </rPr>
          <t>Laurent:</t>
        </r>
        <r>
          <rPr>
            <sz val="8"/>
            <color indexed="81"/>
            <rFont val="Tahoma"/>
            <family val="2"/>
          </rPr>
          <t xml:space="preserve">
Repeated for calcualtion purpose</t>
        </r>
      </text>
    </comment>
    <comment ref="T19" authorId="0">
      <text>
        <r>
          <rPr>
            <b/>
            <sz val="8"/>
            <color indexed="81"/>
            <rFont val="Tahoma"/>
            <family val="2"/>
          </rPr>
          <t>Laurent:</t>
        </r>
        <r>
          <rPr>
            <sz val="8"/>
            <color indexed="81"/>
            <rFont val="Tahoma"/>
            <family val="2"/>
          </rPr>
          <t xml:space="preserve">
To be connected to the use</t>
        </r>
      </text>
    </comment>
    <comment ref="T42" authorId="0">
      <text>
        <r>
          <rPr>
            <b/>
            <sz val="8"/>
            <color indexed="81"/>
            <rFont val="Tahoma"/>
            <family val="2"/>
          </rPr>
          <t>Laurent:</t>
        </r>
        <r>
          <rPr>
            <sz val="8"/>
            <color indexed="81"/>
            <rFont val="Tahoma"/>
            <family val="2"/>
          </rPr>
          <t xml:space="preserve">
Repeated for calcualtion purpose</t>
        </r>
      </text>
    </comment>
    <comment ref="G43" authorId="0">
      <text>
        <r>
          <rPr>
            <b/>
            <sz val="8"/>
            <color indexed="81"/>
            <rFont val="Tahoma"/>
            <family val="2"/>
          </rPr>
          <t>Laurent:</t>
        </r>
        <r>
          <rPr>
            <sz val="8"/>
            <color indexed="81"/>
            <rFont val="Tahoma"/>
            <family val="2"/>
          </rPr>
          <t xml:space="preserve">
Get the correct identifier for solar</t>
        </r>
      </text>
    </comment>
    <comment ref="T44" authorId="0">
      <text>
        <r>
          <rPr>
            <b/>
            <sz val="8"/>
            <color indexed="81"/>
            <rFont val="Tahoma"/>
            <family val="2"/>
          </rPr>
          <t>Laurent:</t>
        </r>
        <r>
          <rPr>
            <sz val="8"/>
            <color indexed="81"/>
            <rFont val="Tahoma"/>
            <family val="2"/>
          </rPr>
          <t xml:space="preserve">
Repeated for calcualtion purpose</t>
        </r>
      </text>
    </comment>
    <comment ref="T46" authorId="0">
      <text>
        <r>
          <rPr>
            <b/>
            <sz val="8"/>
            <color indexed="81"/>
            <rFont val="Tahoma"/>
            <family val="2"/>
          </rPr>
          <t>Laurent:</t>
        </r>
        <r>
          <rPr>
            <sz val="8"/>
            <color indexed="81"/>
            <rFont val="Tahoma"/>
            <family val="2"/>
          </rPr>
          <t xml:space="preserve">
Repeated for calcualtion purpose</t>
        </r>
      </text>
    </comment>
    <comment ref="T48" authorId="0">
      <text>
        <r>
          <rPr>
            <b/>
            <sz val="8"/>
            <color indexed="81"/>
            <rFont val="Tahoma"/>
            <family val="2"/>
          </rPr>
          <t>Laurent:</t>
        </r>
        <r>
          <rPr>
            <sz val="8"/>
            <color indexed="81"/>
            <rFont val="Tahoma"/>
            <family val="2"/>
          </rPr>
          <t xml:space="preserve">
Repeated for calcualtion purpose</t>
        </r>
      </text>
    </comment>
    <comment ref="T50" authorId="0">
      <text>
        <r>
          <rPr>
            <b/>
            <sz val="8"/>
            <color indexed="81"/>
            <rFont val="Tahoma"/>
            <family val="2"/>
          </rPr>
          <t>Laurent:</t>
        </r>
        <r>
          <rPr>
            <sz val="8"/>
            <color indexed="81"/>
            <rFont val="Tahoma"/>
            <family val="2"/>
          </rPr>
          <t xml:space="preserve">
Repeated for calcualtion purpose</t>
        </r>
      </text>
    </comment>
    <comment ref="T52" authorId="0">
      <text>
        <r>
          <rPr>
            <b/>
            <sz val="8"/>
            <color indexed="81"/>
            <rFont val="Tahoma"/>
            <family val="2"/>
          </rPr>
          <t>Laurent:</t>
        </r>
        <r>
          <rPr>
            <sz val="8"/>
            <color indexed="81"/>
            <rFont val="Tahoma"/>
            <family val="2"/>
          </rPr>
          <t xml:space="preserve">
Repeated for calcualtion purpose</t>
        </r>
      </text>
    </comment>
  </commentList>
</comments>
</file>

<file path=xl/comments5.xml><?xml version="1.0" encoding="utf-8"?>
<comments xmlns="http://schemas.openxmlformats.org/spreadsheetml/2006/main">
  <authors>
    <author>Laurent</author>
  </authors>
  <commentList>
    <comment ref="C3" authorId="0">
      <text>
        <r>
          <rPr>
            <b/>
            <sz val="8"/>
            <color indexed="81"/>
            <rFont val="Tahoma"/>
            <family val="2"/>
          </rPr>
          <t>Laurent:</t>
        </r>
        <r>
          <rPr>
            <sz val="8"/>
            <color indexed="81"/>
            <rFont val="Tahoma"/>
            <family val="2"/>
          </rPr>
          <t xml:space="preserve">
See sheet "soft_name" for the translation of the greek letters into plain text.</t>
        </r>
      </text>
    </comment>
  </commentList>
</comments>
</file>

<file path=xl/comments6.xml><?xml version="1.0" encoding="utf-8"?>
<comments xmlns="http://schemas.openxmlformats.org/spreadsheetml/2006/main">
  <authors>
    <author>Laurent</author>
  </authors>
  <commentList>
    <comment ref="C4" authorId="0">
      <text>
        <r>
          <rPr>
            <b/>
            <sz val="8"/>
            <color indexed="81"/>
            <rFont val="Tahoma"/>
            <family val="2"/>
          </rPr>
          <t>Laurent:</t>
        </r>
        <r>
          <rPr>
            <sz val="8"/>
            <color indexed="81"/>
            <rFont val="Tahoma"/>
            <family val="2"/>
          </rPr>
          <t xml:space="preserve">
See sheet "soft_name" for the translation of the greek letters into plain text.</t>
        </r>
      </text>
    </comment>
    <comment ref="R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S4" authorId="0">
      <text>
        <r>
          <rPr>
            <b/>
            <sz val="8"/>
            <color indexed="81"/>
            <rFont val="Tahoma"/>
            <family val="2"/>
          </rPr>
          <t>Laurent:</t>
        </r>
        <r>
          <rPr>
            <sz val="8"/>
            <color indexed="81"/>
            <rFont val="Tahoma"/>
            <family val="2"/>
          </rPr>
          <t xml:space="preserve">
Intended destination of calculated output</t>
        </r>
      </text>
    </comment>
    <comment ref="T4" authorId="0">
      <text>
        <r>
          <rPr>
            <b/>
            <sz val="8"/>
            <color indexed="81"/>
            <rFont val="Tahoma"/>
            <family val="2"/>
          </rPr>
          <t>Laurent:</t>
        </r>
        <r>
          <rPr>
            <sz val="8"/>
            <color indexed="81"/>
            <rFont val="Tahoma"/>
            <family val="2"/>
          </rPr>
          <t xml:space="preserve">
Kept for consistency
Obviously result will often vary from time to time...</t>
        </r>
      </text>
    </comment>
  </commentList>
</comments>
</file>

<file path=xl/sharedStrings.xml><?xml version="1.0" encoding="utf-8"?>
<sst xmlns="http://schemas.openxmlformats.org/spreadsheetml/2006/main" count="5399" uniqueCount="2456">
  <si>
    <t>Unit</t>
  </si>
  <si>
    <t>Origin</t>
  </si>
  <si>
    <t>VALUES</t>
  </si>
  <si>
    <t>Name</t>
  </si>
  <si>
    <t>Value</t>
  </si>
  <si>
    <t>Description</t>
  </si>
  <si>
    <t>Notes</t>
  </si>
  <si>
    <t>Symbol</t>
  </si>
  <si>
    <t>kWh</t>
  </si>
  <si>
    <t>-</t>
  </si>
  <si>
    <t>%</t>
  </si>
  <si>
    <t>Range</t>
  </si>
  <si>
    <r>
      <t>0...</t>
    </r>
    <r>
      <rPr>
        <sz val="10"/>
        <rFont val="Calibri"/>
        <family val="2"/>
      </rPr>
      <t>∞</t>
    </r>
  </si>
  <si>
    <t>Varying</t>
  </si>
  <si>
    <t>Yes</t>
  </si>
  <si>
    <t>NO</t>
  </si>
  <si>
    <t>System design data</t>
  </si>
  <si>
    <t>Formula</t>
  </si>
  <si>
    <t>Local</t>
  </si>
  <si>
    <t>Product data</t>
  </si>
  <si>
    <t>Gas</t>
  </si>
  <si>
    <t>0…1</t>
  </si>
  <si>
    <t>Fuel</t>
  </si>
  <si>
    <t>Formula ref</t>
  </si>
  <si>
    <t>Method output</t>
  </si>
  <si>
    <t>Heating</t>
  </si>
  <si>
    <t>Input data</t>
  </si>
  <si>
    <t>Intended destination</t>
  </si>
  <si>
    <t>Date</t>
  </si>
  <si>
    <t>Issued for discussion in CTL</t>
  </si>
  <si>
    <t>Version scope</t>
  </si>
  <si>
    <t>Changes, notes</t>
  </si>
  <si>
    <t>Improved readability</t>
  </si>
  <si>
    <t>Issued for comments in TC 371</t>
  </si>
  <si>
    <t>Process design</t>
  </si>
  <si>
    <t>Your selection</t>
  </si>
  <si>
    <t>gas</t>
  </si>
  <si>
    <t>oil</t>
  </si>
  <si>
    <t>coal</t>
  </si>
  <si>
    <t>wood</t>
  </si>
  <si>
    <t>custom</t>
  </si>
  <si>
    <t>DH</t>
  </si>
  <si>
    <t>DC</t>
  </si>
  <si>
    <t>el</t>
  </si>
  <si>
    <t>T</t>
  </si>
  <si>
    <r>
      <t>K</t>
    </r>
    <r>
      <rPr>
        <sz val="8"/>
        <rFont val="Arial"/>
        <family val="2"/>
      </rPr>
      <t>CO2;del;gas</t>
    </r>
  </si>
  <si>
    <t>kg/MJ</t>
  </si>
  <si>
    <r>
      <t>K</t>
    </r>
    <r>
      <rPr>
        <sz val="8"/>
        <rFont val="Arial"/>
        <family val="2"/>
      </rPr>
      <t>CO2;del;oil</t>
    </r>
  </si>
  <si>
    <r>
      <t>K</t>
    </r>
    <r>
      <rPr>
        <sz val="8"/>
        <rFont val="Arial"/>
        <family val="2"/>
      </rPr>
      <t>CO2;del;coal</t>
    </r>
  </si>
  <si>
    <r>
      <t>K</t>
    </r>
    <r>
      <rPr>
        <sz val="8"/>
        <rFont val="Arial"/>
        <family val="2"/>
      </rPr>
      <t>CO2;del;wood</t>
    </r>
  </si>
  <si>
    <r>
      <t>K</t>
    </r>
    <r>
      <rPr>
        <sz val="8"/>
        <rFont val="Arial"/>
        <family val="2"/>
      </rPr>
      <t>CO2;del;custom</t>
    </r>
  </si>
  <si>
    <r>
      <t>K</t>
    </r>
    <r>
      <rPr>
        <sz val="8"/>
        <rFont val="Arial"/>
        <family val="2"/>
      </rPr>
      <t>CO2;del;DH</t>
    </r>
  </si>
  <si>
    <r>
      <t>K</t>
    </r>
    <r>
      <rPr>
        <sz val="8"/>
        <rFont val="Arial"/>
        <family val="2"/>
      </rPr>
      <t>CO2;del;el</t>
    </r>
  </si>
  <si>
    <t>Dick van Dijk, TNO (NL)</t>
  </si>
  <si>
    <t>version:</t>
  </si>
  <si>
    <t>Worked out example of</t>
  </si>
  <si>
    <t>red: input (unlocked)</t>
  </si>
  <si>
    <t xml:space="preserve"> full set of equations overall energy performance</t>
  </si>
  <si>
    <t>purple: mixed technical / policy choice</t>
  </si>
  <si>
    <t>CHOOSE LANGUAGE:</t>
  </si>
  <si>
    <r>
      <t>Q</t>
    </r>
    <r>
      <rPr>
        <sz val="8"/>
        <rFont val="Arial"/>
        <family val="2"/>
      </rPr>
      <t>H;nd</t>
    </r>
  </si>
  <si>
    <t>--</t>
  </si>
  <si>
    <t>MJ</t>
  </si>
  <si>
    <r>
      <t>Q</t>
    </r>
    <r>
      <rPr>
        <sz val="8"/>
        <rFont val="Arial"/>
        <family val="2"/>
      </rPr>
      <t>W;nd</t>
    </r>
  </si>
  <si>
    <r>
      <t>Q</t>
    </r>
    <r>
      <rPr>
        <sz val="8"/>
        <rFont val="Arial"/>
        <family val="2"/>
      </rPr>
      <t>hum;nd</t>
    </r>
  </si>
  <si>
    <r>
      <t>Q</t>
    </r>
    <r>
      <rPr>
        <sz val="8"/>
        <rFont val="Arial"/>
        <family val="2"/>
      </rPr>
      <t>C;nd</t>
    </r>
  </si>
  <si>
    <r>
      <t>Q</t>
    </r>
    <r>
      <rPr>
        <sz val="8"/>
        <rFont val="Arial"/>
        <family val="2"/>
      </rPr>
      <t>dhum;nd</t>
    </r>
  </si>
  <si>
    <r>
      <t>Q</t>
    </r>
    <r>
      <rPr>
        <sz val="8"/>
        <rFont val="Arial"/>
        <family val="2"/>
      </rPr>
      <t>V;nd</t>
    </r>
  </si>
  <si>
    <t>n.a.</t>
  </si>
  <si>
    <t>Pro forma added, but not obvious how to calculate these needs</t>
  </si>
  <si>
    <r>
      <t>Q</t>
    </r>
    <r>
      <rPr>
        <sz val="8"/>
        <rFont val="Arial"/>
        <family val="2"/>
      </rPr>
      <t>L;nd</t>
    </r>
  </si>
  <si>
    <r>
      <t>Q</t>
    </r>
    <r>
      <rPr>
        <sz val="8"/>
        <rFont val="Arial"/>
        <family val="2"/>
      </rPr>
      <t>TR;nd</t>
    </r>
  </si>
  <si>
    <r>
      <t xml:space="preserve">Pro forma added, but nonot obvious how to calculate these needs; </t>
    </r>
    <r>
      <rPr>
        <b/>
        <sz val="10"/>
        <color indexed="14"/>
        <rFont val="Arial"/>
        <family val="2"/>
      </rPr>
      <t>symbol = TR?</t>
    </r>
  </si>
  <si>
    <r>
      <t>Q</t>
    </r>
    <r>
      <rPr>
        <sz val="8"/>
        <rFont val="Arial"/>
        <family val="2"/>
      </rPr>
      <t>A;nd</t>
    </r>
  </si>
  <si>
    <r>
      <t>Q</t>
    </r>
    <r>
      <rPr>
        <sz val="8"/>
        <rFont val="Arial"/>
        <family val="2"/>
      </rPr>
      <t>A;nEP;nd</t>
    </r>
  </si>
  <si>
    <t>ci1 = :</t>
  </si>
  <si>
    <t>ci2 = :</t>
  </si>
  <si>
    <r>
      <t>E</t>
    </r>
    <r>
      <rPr>
        <sz val="8"/>
        <rFont val="Arial"/>
        <family val="2"/>
      </rPr>
      <t>H;ci1</t>
    </r>
  </si>
  <si>
    <t>idem</t>
  </si>
  <si>
    <r>
      <t>E</t>
    </r>
    <r>
      <rPr>
        <sz val="8"/>
        <rFont val="Arial"/>
        <family val="2"/>
      </rPr>
      <t>H;ci2</t>
    </r>
  </si>
  <si>
    <r>
      <t>E</t>
    </r>
    <r>
      <rPr>
        <sz val="8"/>
        <rFont val="Arial"/>
        <family val="2"/>
      </rPr>
      <t>H;el</t>
    </r>
  </si>
  <si>
    <r>
      <t>E</t>
    </r>
    <r>
      <rPr>
        <sz val="8"/>
        <rFont val="Arial"/>
        <family val="2"/>
      </rPr>
      <t>W;ci1</t>
    </r>
  </si>
  <si>
    <r>
      <t>E</t>
    </r>
    <r>
      <rPr>
        <sz val="8"/>
        <rFont val="Arial"/>
        <family val="2"/>
      </rPr>
      <t>W;ci2</t>
    </r>
  </si>
  <si>
    <r>
      <t>E</t>
    </r>
    <r>
      <rPr>
        <sz val="8"/>
        <rFont val="Arial"/>
        <family val="2"/>
      </rPr>
      <t>W;el</t>
    </r>
  </si>
  <si>
    <r>
      <t>E</t>
    </r>
    <r>
      <rPr>
        <sz val="8"/>
        <rFont val="Arial"/>
        <family val="2"/>
      </rPr>
      <t>hum;ci1</t>
    </r>
  </si>
  <si>
    <r>
      <t>E</t>
    </r>
    <r>
      <rPr>
        <sz val="8"/>
        <rFont val="Arial"/>
        <family val="2"/>
      </rPr>
      <t>hum;ci2</t>
    </r>
  </si>
  <si>
    <r>
      <t>E</t>
    </r>
    <r>
      <rPr>
        <sz val="8"/>
        <rFont val="Arial"/>
        <family val="2"/>
      </rPr>
      <t>hum;el</t>
    </r>
  </si>
  <si>
    <r>
      <t>E</t>
    </r>
    <r>
      <rPr>
        <sz val="8"/>
        <rFont val="Arial"/>
        <family val="2"/>
      </rPr>
      <t>C;c1</t>
    </r>
  </si>
  <si>
    <r>
      <t>E</t>
    </r>
    <r>
      <rPr>
        <sz val="8"/>
        <rFont val="Arial"/>
        <family val="2"/>
      </rPr>
      <t>C;c2</t>
    </r>
  </si>
  <si>
    <r>
      <t>E</t>
    </r>
    <r>
      <rPr>
        <sz val="8"/>
        <rFont val="Arial"/>
        <family val="2"/>
      </rPr>
      <t>C;el</t>
    </r>
  </si>
  <si>
    <r>
      <t>E</t>
    </r>
    <r>
      <rPr>
        <sz val="8"/>
        <rFont val="Arial"/>
        <family val="2"/>
      </rPr>
      <t>dhum;ci1</t>
    </r>
  </si>
  <si>
    <r>
      <t>E</t>
    </r>
    <r>
      <rPr>
        <sz val="8"/>
        <rFont val="Arial"/>
        <family val="2"/>
      </rPr>
      <t>dhum;ci2</t>
    </r>
  </si>
  <si>
    <r>
      <t>E</t>
    </r>
    <r>
      <rPr>
        <sz val="8"/>
        <rFont val="Arial"/>
        <family val="2"/>
      </rPr>
      <t>dhum;el</t>
    </r>
  </si>
  <si>
    <r>
      <t>E</t>
    </r>
    <r>
      <rPr>
        <sz val="8"/>
        <rFont val="Arial"/>
        <family val="2"/>
      </rPr>
      <t>V;el</t>
    </r>
  </si>
  <si>
    <r>
      <t>E</t>
    </r>
    <r>
      <rPr>
        <sz val="8"/>
        <rFont val="Arial"/>
        <family val="2"/>
      </rPr>
      <t>L;el</t>
    </r>
  </si>
  <si>
    <r>
      <t>E</t>
    </r>
    <r>
      <rPr>
        <sz val="8"/>
        <rFont val="Arial"/>
        <family val="2"/>
      </rPr>
      <t>TR;el</t>
    </r>
  </si>
  <si>
    <r>
      <t>E</t>
    </r>
    <r>
      <rPr>
        <sz val="8"/>
        <rFont val="Arial"/>
        <family val="2"/>
      </rPr>
      <t>A;el</t>
    </r>
  </si>
  <si>
    <r>
      <t>E</t>
    </r>
    <r>
      <rPr>
        <sz val="8"/>
        <rFont val="Arial"/>
        <family val="2"/>
      </rPr>
      <t>nEPus;el</t>
    </r>
  </si>
  <si>
    <t>term appliances not correct?! Compare illustration and standards</t>
  </si>
  <si>
    <r>
      <t>E</t>
    </r>
    <r>
      <rPr>
        <sz val="8"/>
        <rFont val="Arial"/>
        <family val="2"/>
      </rPr>
      <t>pr,el,CHP</t>
    </r>
  </si>
  <si>
    <r>
      <t>E</t>
    </r>
    <r>
      <rPr>
        <sz val="8"/>
        <rFont val="Arial"/>
        <family val="2"/>
      </rPr>
      <t>pr,el,PV</t>
    </r>
  </si>
  <si>
    <r>
      <t>E</t>
    </r>
    <r>
      <rPr>
        <sz val="8"/>
        <rFont val="Arial"/>
        <family val="2"/>
      </rPr>
      <t>pr,el</t>
    </r>
  </si>
  <si>
    <r>
      <t>E</t>
    </r>
    <r>
      <rPr>
        <sz val="8"/>
        <rFont val="Arial"/>
        <family val="2"/>
      </rPr>
      <t>pr,T,ren</t>
    </r>
  </si>
  <si>
    <t>To be completed: allow also non-renewable thermal energy produced at site, but see note at equation 7.6 of ISO JWG draft version</t>
  </si>
  <si>
    <r>
      <t>f</t>
    </r>
    <r>
      <rPr>
        <vertAlign val="subscript"/>
        <sz val="10"/>
        <rFont val="Arial"/>
        <family val="2"/>
      </rPr>
      <t>us;el;CHP</t>
    </r>
  </si>
  <si>
    <r>
      <t>f</t>
    </r>
    <r>
      <rPr>
        <vertAlign val="subscript"/>
        <sz val="10"/>
        <rFont val="Arial"/>
        <family val="2"/>
      </rPr>
      <t>us;el;PV</t>
    </r>
  </si>
  <si>
    <r>
      <t>f</t>
    </r>
    <r>
      <rPr>
        <sz val="10"/>
        <rFont val="Arial"/>
        <family val="2"/>
      </rPr>
      <t>EP;</t>
    </r>
    <r>
      <rPr>
        <vertAlign val="subscript"/>
        <sz val="10"/>
        <rFont val="Arial"/>
        <family val="2"/>
      </rPr>
      <t>s;T;ren</t>
    </r>
  </si>
  <si>
    <t>To be completed: allow also non-renewable thermal energy produced at site, but see note at equation 7.6 of ISO JWG draft version.
NOTE: This does NOT INCLUDE renewable thermal energy that is already implicitly taken into account in heating, hot water or cooling!</t>
  </si>
  <si>
    <r>
      <t>E</t>
    </r>
    <r>
      <rPr>
        <sz val="8"/>
        <rFont val="Arial"/>
        <family val="2"/>
      </rPr>
      <t>EPus;ci1</t>
    </r>
  </si>
  <si>
    <r>
      <t>E</t>
    </r>
    <r>
      <rPr>
        <sz val="8"/>
        <rFont val="Arial"/>
        <family val="2"/>
      </rPr>
      <t>EPus;ci2</t>
    </r>
  </si>
  <si>
    <r>
      <t>E</t>
    </r>
    <r>
      <rPr>
        <sz val="8"/>
        <rFont val="Arial"/>
        <family val="2"/>
      </rPr>
      <t>EPus;el</t>
    </r>
  </si>
  <si>
    <r>
      <t>E</t>
    </r>
    <r>
      <rPr>
        <sz val="8"/>
        <rFont val="Arial"/>
        <family val="2"/>
      </rPr>
      <t>pr;us;el</t>
    </r>
  </si>
  <si>
    <t>Upper limit is what is used at building site for EP and nEP</t>
  </si>
  <si>
    <r>
      <t>E</t>
    </r>
    <r>
      <rPr>
        <sz val="8"/>
        <rFont val="Arial"/>
        <family val="2"/>
      </rPr>
      <t>exp;el;CHP</t>
    </r>
  </si>
  <si>
    <r>
      <t>E</t>
    </r>
    <r>
      <rPr>
        <sz val="8"/>
        <rFont val="Arial"/>
        <family val="2"/>
      </rPr>
      <t>exp;el;PV</t>
    </r>
  </si>
  <si>
    <r>
      <t>E</t>
    </r>
    <r>
      <rPr>
        <sz val="8"/>
        <rFont val="Arial"/>
        <family val="2"/>
      </rPr>
      <t>exp;el</t>
    </r>
  </si>
  <si>
    <r>
      <t>E</t>
    </r>
    <r>
      <rPr>
        <sz val="8"/>
        <rFont val="Arial"/>
        <family val="2"/>
      </rPr>
      <t>pr;EPus;T;ren</t>
    </r>
  </si>
  <si>
    <r>
      <t>E</t>
    </r>
    <r>
      <rPr>
        <sz val="8"/>
        <rFont val="Arial"/>
        <family val="2"/>
      </rPr>
      <t>exp;T;ren</t>
    </r>
  </si>
  <si>
    <r>
      <t>E</t>
    </r>
    <r>
      <rPr>
        <sz val="8"/>
        <rFont val="Arial"/>
        <family val="2"/>
      </rPr>
      <t>pr;EPus;el</t>
    </r>
  </si>
  <si>
    <r>
      <t>E</t>
    </r>
    <r>
      <rPr>
        <sz val="8"/>
        <rFont val="Arial"/>
        <family val="2"/>
      </rPr>
      <t>pr;nEPus;el</t>
    </r>
  </si>
  <si>
    <r>
      <t>E</t>
    </r>
    <r>
      <rPr>
        <sz val="8"/>
        <rFont val="Arial"/>
        <family val="2"/>
      </rPr>
      <t>EPdel;ci1</t>
    </r>
  </si>
  <si>
    <r>
      <t>E</t>
    </r>
    <r>
      <rPr>
        <sz val="8"/>
        <rFont val="Arial"/>
        <family val="2"/>
      </rPr>
      <t>EPdel;ci2</t>
    </r>
  </si>
  <si>
    <r>
      <t>E</t>
    </r>
    <r>
      <rPr>
        <sz val="8"/>
        <rFont val="Arial"/>
        <family val="2"/>
      </rPr>
      <t>EPdel;el</t>
    </r>
  </si>
  <si>
    <t>May be negative, if electricity produced and exported</t>
  </si>
  <si>
    <r>
      <t>E</t>
    </r>
    <r>
      <rPr>
        <sz val="8"/>
        <rFont val="Arial"/>
        <family val="2"/>
      </rPr>
      <t>P;del;ci1</t>
    </r>
  </si>
  <si>
    <t>MJ(prim)</t>
  </si>
  <si>
    <r>
      <t>E</t>
    </r>
    <r>
      <rPr>
        <sz val="8"/>
        <rFont val="Arial"/>
        <family val="2"/>
      </rPr>
      <t>P;del;ci2</t>
    </r>
  </si>
  <si>
    <r>
      <t>E</t>
    </r>
    <r>
      <rPr>
        <sz val="8"/>
        <rFont val="Arial"/>
        <family val="2"/>
      </rPr>
      <t>P;del;el</t>
    </r>
  </si>
  <si>
    <r>
      <t>E</t>
    </r>
    <r>
      <rPr>
        <sz val="8"/>
        <rFont val="Arial"/>
        <family val="2"/>
      </rPr>
      <t>P;exp;el;CHP</t>
    </r>
  </si>
  <si>
    <r>
      <t>E</t>
    </r>
    <r>
      <rPr>
        <sz val="8"/>
        <rFont val="Arial"/>
        <family val="2"/>
      </rPr>
      <t>P;exp;el;PV</t>
    </r>
  </si>
  <si>
    <r>
      <t>E</t>
    </r>
    <r>
      <rPr>
        <sz val="8"/>
        <rFont val="Arial"/>
        <family val="2"/>
      </rPr>
      <t>P;exp;T;ren</t>
    </r>
  </si>
  <si>
    <r>
      <t>E</t>
    </r>
    <r>
      <rPr>
        <sz val="8"/>
        <rFont val="Arial"/>
        <family val="2"/>
      </rPr>
      <t>P;pr;nEPus;el</t>
    </r>
  </si>
  <si>
    <r>
      <t>E</t>
    </r>
    <r>
      <rPr>
        <sz val="8"/>
        <rFont val="Arial"/>
        <family val="2"/>
      </rPr>
      <t>P</t>
    </r>
  </si>
  <si>
    <r>
      <t>m</t>
    </r>
    <r>
      <rPr>
        <sz val="8"/>
        <rFont val="Arial"/>
        <family val="2"/>
      </rPr>
      <t>CO2;del;ci1</t>
    </r>
  </si>
  <si>
    <t>kg</t>
  </si>
  <si>
    <r>
      <t>m</t>
    </r>
    <r>
      <rPr>
        <sz val="8"/>
        <rFont val="Arial"/>
        <family val="2"/>
      </rPr>
      <t>CO2;del;ci2</t>
    </r>
  </si>
  <si>
    <r>
      <t>m</t>
    </r>
    <r>
      <rPr>
        <sz val="8"/>
        <rFont val="Arial"/>
        <family val="2"/>
      </rPr>
      <t>CO2;del;el</t>
    </r>
  </si>
  <si>
    <r>
      <t>m</t>
    </r>
    <r>
      <rPr>
        <sz val="8"/>
        <rFont val="Arial"/>
        <family val="2"/>
      </rPr>
      <t>CO2;exp;el;CHP</t>
    </r>
  </si>
  <si>
    <r>
      <t>m</t>
    </r>
    <r>
      <rPr>
        <sz val="8"/>
        <rFont val="Arial"/>
        <family val="2"/>
      </rPr>
      <t>CO2;exp;el;PV</t>
    </r>
  </si>
  <si>
    <r>
      <t>m</t>
    </r>
    <r>
      <rPr>
        <sz val="8"/>
        <rFont val="Arial"/>
        <family val="2"/>
      </rPr>
      <t>CO2;exp;T;ren</t>
    </r>
  </si>
  <si>
    <r>
      <t>m</t>
    </r>
    <r>
      <rPr>
        <sz val="8"/>
        <rFont val="Arial"/>
        <family val="2"/>
      </rPr>
      <t>CO2;pr;nEPus;el</t>
    </r>
  </si>
  <si>
    <r>
      <t>m</t>
    </r>
    <r>
      <rPr>
        <sz val="8"/>
        <rFont val="Arial"/>
        <family val="2"/>
      </rPr>
      <t>CO2</t>
    </r>
  </si>
  <si>
    <r>
      <t>E</t>
    </r>
    <r>
      <rPr>
        <sz val="8"/>
        <rFont val="Arial"/>
        <family val="2"/>
      </rPr>
      <t>ISO;del;ci1</t>
    </r>
  </si>
  <si>
    <t>MJ(ISO)</t>
  </si>
  <si>
    <r>
      <t>E</t>
    </r>
    <r>
      <rPr>
        <sz val="8"/>
        <rFont val="Arial"/>
        <family val="2"/>
      </rPr>
      <t>ISO;del;ci2</t>
    </r>
  </si>
  <si>
    <r>
      <t>E</t>
    </r>
    <r>
      <rPr>
        <sz val="8"/>
        <rFont val="Arial"/>
        <family val="2"/>
      </rPr>
      <t>ISO;del;el</t>
    </r>
  </si>
  <si>
    <r>
      <t>E</t>
    </r>
    <r>
      <rPr>
        <sz val="8"/>
        <rFont val="Arial"/>
        <family val="2"/>
      </rPr>
      <t>ISO;exp;el;CHP</t>
    </r>
  </si>
  <si>
    <r>
      <t>E</t>
    </r>
    <r>
      <rPr>
        <sz val="8"/>
        <rFont val="Arial"/>
        <family val="2"/>
      </rPr>
      <t>ISO;exp;el;PV</t>
    </r>
  </si>
  <si>
    <r>
      <t>E</t>
    </r>
    <r>
      <rPr>
        <sz val="8"/>
        <rFont val="Arial"/>
        <family val="2"/>
      </rPr>
      <t>ISO;exp;T;ren</t>
    </r>
  </si>
  <si>
    <r>
      <t>E</t>
    </r>
    <r>
      <rPr>
        <sz val="8"/>
        <rFont val="Arial"/>
        <family val="2"/>
      </rPr>
      <t>ISO;pr;nEPus;el</t>
    </r>
  </si>
  <si>
    <r>
      <t>E</t>
    </r>
    <r>
      <rPr>
        <sz val="8"/>
        <rFont val="Arial"/>
        <family val="2"/>
      </rPr>
      <t>ISO</t>
    </r>
  </si>
  <si>
    <r>
      <t>E</t>
    </r>
    <r>
      <rPr>
        <sz val="8"/>
        <rFont val="Arial"/>
        <family val="2"/>
      </rPr>
      <t>EQ;del;ci1</t>
    </r>
  </si>
  <si>
    <t>kWh(EQ)</t>
  </si>
  <si>
    <r>
      <t>E</t>
    </r>
    <r>
      <rPr>
        <sz val="8"/>
        <rFont val="Arial"/>
        <family val="2"/>
      </rPr>
      <t>EQ;del;ci2</t>
    </r>
  </si>
  <si>
    <r>
      <t>E</t>
    </r>
    <r>
      <rPr>
        <sz val="8"/>
        <rFont val="Arial"/>
        <family val="2"/>
      </rPr>
      <t>EQ;del;el</t>
    </r>
  </si>
  <si>
    <r>
      <t>E</t>
    </r>
    <r>
      <rPr>
        <sz val="8"/>
        <rFont val="Arial"/>
        <family val="2"/>
      </rPr>
      <t>EQ;exp;el;CHP</t>
    </r>
  </si>
  <si>
    <r>
      <t>E</t>
    </r>
    <r>
      <rPr>
        <sz val="8"/>
        <rFont val="Arial"/>
        <family val="2"/>
      </rPr>
      <t>EQ;exp;el;PV</t>
    </r>
  </si>
  <si>
    <r>
      <t>E</t>
    </r>
    <r>
      <rPr>
        <sz val="8"/>
        <rFont val="Arial"/>
        <family val="2"/>
      </rPr>
      <t>EQ;exp;T;ren</t>
    </r>
  </si>
  <si>
    <r>
      <t>E</t>
    </r>
    <r>
      <rPr>
        <sz val="8"/>
        <rFont val="Arial"/>
        <family val="2"/>
      </rPr>
      <t>EQ;pr;nEPus;el</t>
    </r>
  </si>
  <si>
    <r>
      <t>E</t>
    </r>
    <r>
      <rPr>
        <sz val="8"/>
        <rFont val="Arial"/>
        <family val="2"/>
      </rPr>
      <t>EQ</t>
    </r>
  </si>
  <si>
    <t>English</t>
  </si>
  <si>
    <t>French</t>
  </si>
  <si>
    <t>German</t>
  </si>
  <si>
    <t>Dutch</t>
  </si>
  <si>
    <t>Greek</t>
  </si>
  <si>
    <t>Future option</t>
  </si>
  <si>
    <t>Francais</t>
  </si>
  <si>
    <t>Deutch</t>
  </si>
  <si>
    <t>Nederlands</t>
  </si>
  <si>
    <t>Ελληνικά</t>
  </si>
  <si>
    <t>Comments</t>
  </si>
  <si>
    <t>Commentaires</t>
  </si>
  <si>
    <t>Bemerkungen</t>
  </si>
  <si>
    <t>Opmerkingen</t>
  </si>
  <si>
    <t>energiebehoefte</t>
  </si>
  <si>
    <t>energy use</t>
  </si>
  <si>
    <t>energiegebruik</t>
  </si>
  <si>
    <t>heating</t>
  </si>
  <si>
    <t>verwarming</t>
  </si>
  <si>
    <t>hot water</t>
  </si>
  <si>
    <t>warmtapwater</t>
  </si>
  <si>
    <t>humidification</t>
  </si>
  <si>
    <t>bevochtiging</t>
  </si>
  <si>
    <t>cooling</t>
  </si>
  <si>
    <t>koeling</t>
  </si>
  <si>
    <t>dehumidification</t>
  </si>
  <si>
    <t>ontvochtiging</t>
  </si>
  <si>
    <t>ventilation</t>
  </si>
  <si>
    <t>ventilatie</t>
  </si>
  <si>
    <t>lighting</t>
  </si>
  <si>
    <t>verlichting</t>
  </si>
  <si>
    <t>transport (people) in bldng</t>
  </si>
  <si>
    <t>transport van mensen in gebw</t>
  </si>
  <si>
    <t>appliances</t>
  </si>
  <si>
    <t>apparatuur</t>
  </si>
  <si>
    <t>if not included in heating</t>
  </si>
  <si>
    <t>als niet inbegrepen in verwarming</t>
  </si>
  <si>
    <t>if not included in cooling</t>
  </si>
  <si>
    <t>als niet inbegrepen in koeling</t>
  </si>
  <si>
    <t>if part of EP</t>
  </si>
  <si>
    <t>indien onderdeel van EP</t>
  </si>
  <si>
    <t>other appliances</t>
  </si>
  <si>
    <t>overige apparatuur</t>
  </si>
  <si>
    <t>not included in the energy performance</t>
  </si>
  <si>
    <t>niet inbegrepen in de energieprestatie</t>
  </si>
  <si>
    <t>the annual used</t>
  </si>
  <si>
    <t>de jaarlijks gebruikte</t>
  </si>
  <si>
    <t>for the energy performance</t>
  </si>
  <si>
    <t>voor de energieprestatie</t>
  </si>
  <si>
    <t>per energy carrier</t>
  </si>
  <si>
    <t>per energiedrager</t>
  </si>
  <si>
    <t>First fuel type (in addition to electricity)</t>
  </si>
  <si>
    <t>Eerste type brandstof (naast elektriciteit)</t>
  </si>
  <si>
    <t>Second fuel type (in addition to electricity)</t>
  </si>
  <si>
    <t>Tweede type brandstof (naast elektriciteit)</t>
  </si>
  <si>
    <t>type in: "gas" or "oil" or "coal" or "wood" or "custom" or "DH"or "DC"</t>
  </si>
  <si>
    <t>tik in: "gas" of "oil" of "coal" of "wood" of "custom" of "DH"of "DC"</t>
  </si>
  <si>
    <t>air transport and -circulation</t>
  </si>
  <si>
    <t>luchttransport en -circulatie</t>
  </si>
  <si>
    <t>the annual produced</t>
  </si>
  <si>
    <t>de jaarlijks geproduceerde</t>
  </si>
  <si>
    <t>at the building site</t>
  </si>
  <si>
    <t>op eigen perceel</t>
  </si>
  <si>
    <t>by CHP</t>
  </si>
  <si>
    <t>van WKK</t>
  </si>
  <si>
    <t>by PV</t>
  </si>
  <si>
    <t>van PV (zonnestroom)</t>
  </si>
  <si>
    <t>part</t>
  </si>
  <si>
    <t>gedeelte</t>
  </si>
  <si>
    <t>from renewable sources</t>
  </si>
  <si>
    <t>van duurzame bronnen</t>
  </si>
  <si>
    <t xml:space="preserve">the fraction of </t>
  </si>
  <si>
    <t xml:space="preserve">de fractie van </t>
  </si>
  <si>
    <t>that, on annual basis, is usable at the building site</t>
  </si>
  <si>
    <t>dat, op jaarbasis, gebruikt kan worden op eigen perceel</t>
  </si>
  <si>
    <t>that is used at the building site</t>
  </si>
  <si>
    <t>dat op het eigen perceel gebruikt wordt</t>
  </si>
  <si>
    <t>the annual exported</t>
  </si>
  <si>
    <t>de jaarlijks geëxporteerde</t>
  </si>
  <si>
    <t xml:space="preserve">the part of </t>
  </si>
  <si>
    <t xml:space="preserve">het deel van </t>
  </si>
  <si>
    <t>for other energy uses</t>
  </si>
  <si>
    <t>voor overige energiefuncties</t>
  </si>
  <si>
    <t>of which</t>
  </si>
  <si>
    <t>waarvan</t>
  </si>
  <si>
    <t>the annual delivered energy</t>
  </si>
  <si>
    <t>de jaarlijkse afgenomen energie</t>
  </si>
  <si>
    <t xml:space="preserve"> including (if any) energy used to produce electricity at the building site</t>
  </si>
  <si>
    <t>inclusief (indien van toepassing) energie gebruikt om elektriciteit op het eigen perceel te produceren</t>
  </si>
  <si>
    <t>as electricity</t>
  </si>
  <si>
    <t>in de vorm van elektriciteit</t>
  </si>
  <si>
    <t>energy performance</t>
  </si>
  <si>
    <t>energieprestatie</t>
  </si>
  <si>
    <t>building</t>
  </si>
  <si>
    <t>gebouw</t>
  </si>
  <si>
    <t>system</t>
  </si>
  <si>
    <t>installatie</t>
  </si>
  <si>
    <t>of</t>
  </si>
  <si>
    <t>van</t>
  </si>
  <si>
    <t>losses</t>
  </si>
  <si>
    <t>verliezen</t>
  </si>
  <si>
    <t>non-recovered</t>
  </si>
  <si>
    <t>niet-teruggewonnen</t>
  </si>
  <si>
    <t>total</t>
  </si>
  <si>
    <t>totaal</t>
  </si>
  <si>
    <t>energy</t>
  </si>
  <si>
    <t>energie</t>
  </si>
  <si>
    <t>electricity</t>
  </si>
  <si>
    <t>elektriciteit</t>
  </si>
  <si>
    <t>thermal</t>
  </si>
  <si>
    <t>thermische</t>
  </si>
  <si>
    <t>sum</t>
  </si>
  <si>
    <t>som</t>
  </si>
  <si>
    <t>avoided</t>
  </si>
  <si>
    <t>vermeden</t>
  </si>
  <si>
    <t>contribution</t>
  </si>
  <si>
    <t>bijdrage</t>
  </si>
  <si>
    <t>by</t>
  </si>
  <si>
    <t>door</t>
  </si>
  <si>
    <t>for</t>
  </si>
  <si>
    <t>voor</t>
  </si>
  <si>
    <t>Shown fuel choice is for case "Showcase"</t>
  </si>
  <si>
    <t>Getoonde brandstofkeuze is voor case: "Showcase"</t>
  </si>
  <si>
    <t>Shown in left columns and in diagram</t>
  </si>
  <si>
    <t>Getoond in linker kolommen en in diagram</t>
  </si>
  <si>
    <t>Case</t>
  </si>
  <si>
    <t>not to scale</t>
  </si>
  <si>
    <t>niet op schaal</t>
  </si>
  <si>
    <t>only</t>
  </si>
  <si>
    <t>uitsluitend</t>
  </si>
  <si>
    <t>for the moment</t>
  </si>
  <si>
    <t>vooralsnog</t>
  </si>
  <si>
    <t>Aggregation</t>
  </si>
  <si>
    <t>Aggregatie</t>
  </si>
  <si>
    <t>Conversion type</t>
  </si>
  <si>
    <t>Conversiesoort</t>
  </si>
  <si>
    <t>Conversion factor</t>
  </si>
  <si>
    <t>Conversiefactor</t>
  </si>
  <si>
    <t>primary energy</t>
  </si>
  <si>
    <t>primaire energie</t>
  </si>
  <si>
    <t>CO2-emission</t>
  </si>
  <si>
    <t>CO2-uitstoot</t>
  </si>
  <si>
    <t>ISO weighted energy</t>
  </si>
  <si>
    <t>ISO gewogen energie</t>
  </si>
  <si>
    <t>electricity equivalent</t>
  </si>
  <si>
    <t>elektriciteitsequivalent</t>
  </si>
  <si>
    <t>for delivered fuel</t>
  </si>
  <si>
    <t>voor aangeleverde brandstof</t>
  </si>
  <si>
    <t>for delivered heat</t>
  </si>
  <si>
    <t>voor aangeleverde warmte</t>
  </si>
  <si>
    <t>for delivered cold</t>
  </si>
  <si>
    <t>voor aangeleverde koude</t>
  </si>
  <si>
    <t>for delivered electricity</t>
  </si>
  <si>
    <t>voor aangeleverde elektriciteit</t>
  </si>
  <si>
    <t>from the grid</t>
  </si>
  <si>
    <t>van het landelijke net</t>
  </si>
  <si>
    <t>for exported electricity</t>
  </si>
  <si>
    <t>voor geëxporteerde elektriciteit</t>
  </si>
  <si>
    <t>for exported thermal energy</t>
  </si>
  <si>
    <t>voor geëxporteerde thermische energie</t>
  </si>
  <si>
    <t>converted to</t>
  </si>
  <si>
    <t>geconverteerd naar</t>
  </si>
  <si>
    <t>reduction for</t>
  </si>
  <si>
    <t>aftrek voor</t>
  </si>
  <si>
    <t>factor</t>
  </si>
  <si>
    <t>annual numbers</t>
  </si>
  <si>
    <t>jaarlijkse cijfers</t>
  </si>
  <si>
    <t>matrix</t>
  </si>
  <si>
    <t>breakdown</t>
  </si>
  <si>
    <t>uitsplitsing</t>
  </si>
  <si>
    <t>heat pump</t>
  </si>
  <si>
    <t>warmtepomp</t>
  </si>
  <si>
    <t>windturbines</t>
  </si>
  <si>
    <t>daylight</t>
  </si>
  <si>
    <t>daglichttoetreding</t>
  </si>
  <si>
    <t>passive solar</t>
  </si>
  <si>
    <t>passieve zonne-</t>
  </si>
  <si>
    <t>Omschrijving</t>
  </si>
  <si>
    <t>Symbool</t>
  </si>
  <si>
    <t>Brandstof</t>
  </si>
  <si>
    <t>Eenheid</t>
  </si>
  <si>
    <t>Getalswaarde</t>
  </si>
  <si>
    <t>Type</t>
  </si>
  <si>
    <t>Result expressed as</t>
  </si>
  <si>
    <t>Resultaat uitgedrukt als</t>
  </si>
  <si>
    <t>Energy carrier</t>
  </si>
  <si>
    <t>Energiedrager</t>
  </si>
  <si>
    <t>Conversion</t>
  </si>
  <si>
    <t>Conversie</t>
  </si>
  <si>
    <t>invoergegevens</t>
  </si>
  <si>
    <t>Results</t>
  </si>
  <si>
    <t>Resultaten</t>
  </si>
  <si>
    <t>policy related</t>
  </si>
  <si>
    <t>beleidsgerelateerd</t>
  </si>
  <si>
    <t>not calculated</t>
  </si>
  <si>
    <t>niet berekend</t>
  </si>
  <si>
    <t>not provided</t>
  </si>
  <si>
    <t>niet in voorzien</t>
  </si>
  <si>
    <t>n.v.t.</t>
  </si>
  <si>
    <t>implicitly calculated as part of</t>
  </si>
  <si>
    <t>impliciet verrekend als onderdeel van</t>
  </si>
  <si>
    <t>each generator can have it's own conversion factor</t>
  </si>
  <si>
    <t>elke opwekker kan eigen conversiefactor hebben</t>
  </si>
  <si>
    <t xml:space="preserve">due to many influencing factors the contribution can only be calculated as the difference between a calculation with the renewable energy provision and with a conventional reference provision (as a "black box") </t>
  </si>
  <si>
    <t>wegens vele invloedsfactoren kan de bijdrage uitsluitend berekend worden als het verschil tussen berekening met de duurzeme voorziening en met een conventionele referentievoorziening (als een "black box")</t>
  </si>
  <si>
    <t>absolute</t>
  </si>
  <si>
    <t>relative</t>
  </si>
  <si>
    <t>relatieve</t>
  </si>
  <si>
    <t>values</t>
  </si>
  <si>
    <t>waarden</t>
  </si>
  <si>
    <t>OK</t>
  </si>
  <si>
    <t>Not yet available!</t>
  </si>
  <si>
    <t>Non renewable primary energy factor</t>
  </si>
  <si>
    <t>Renewable primary energy factor</t>
  </si>
  <si>
    <t>Total primary energy factor</t>
  </si>
  <si>
    <t>District heating</t>
  </si>
  <si>
    <t>District cooling</t>
  </si>
  <si>
    <t>Environment heat</t>
  </si>
  <si>
    <t>Conversion factor for exported thermal energy</t>
  </si>
  <si>
    <t>Delivered electricity from the grid</t>
  </si>
  <si>
    <t>Exported electricity by CHP</t>
  </si>
  <si>
    <t>Exported electricity by PV</t>
  </si>
  <si>
    <t>Exported electricity to the grid</t>
  </si>
  <si>
    <t>black: calculated using the equations</t>
  </si>
  <si>
    <t>Energy unit</t>
  </si>
  <si>
    <t>Case shown</t>
  </si>
  <si>
    <t>time step numbers</t>
  </si>
  <si>
    <t>UNI</t>
  </si>
  <si>
    <t>DIN</t>
  </si>
  <si>
    <t>CEN</t>
  </si>
  <si>
    <t>UNIT</t>
  </si>
  <si>
    <t>kg/kWh</t>
  </si>
  <si>
    <t>Redelivered electricity</t>
  </si>
  <si>
    <r>
      <t>f</t>
    </r>
    <r>
      <rPr>
        <i/>
        <sz val="8"/>
        <rFont val="Arial"/>
        <family val="2"/>
      </rPr>
      <t>P,nren</t>
    </r>
  </si>
  <si>
    <r>
      <t>f</t>
    </r>
    <r>
      <rPr>
        <sz val="8"/>
        <rFont val="Arial"/>
        <family val="2"/>
      </rPr>
      <t>P;nren,del;gas</t>
    </r>
  </si>
  <si>
    <r>
      <t>f</t>
    </r>
    <r>
      <rPr>
        <sz val="8"/>
        <rFont val="Arial"/>
        <family val="2"/>
      </rPr>
      <t>P;nren,del;oil</t>
    </r>
  </si>
  <si>
    <r>
      <t>f</t>
    </r>
    <r>
      <rPr>
        <sz val="8"/>
        <rFont val="Arial"/>
        <family val="2"/>
      </rPr>
      <t>P;nren,del;coal</t>
    </r>
  </si>
  <si>
    <r>
      <t>f</t>
    </r>
    <r>
      <rPr>
        <sz val="8"/>
        <rFont val="Arial"/>
        <family val="2"/>
      </rPr>
      <t>P;nren,del;wood</t>
    </r>
  </si>
  <si>
    <r>
      <t>f</t>
    </r>
    <r>
      <rPr>
        <sz val="8"/>
        <rFont val="Arial"/>
        <family val="2"/>
      </rPr>
      <t>P;nren,del;custom</t>
    </r>
  </si>
  <si>
    <r>
      <t>f</t>
    </r>
    <r>
      <rPr>
        <sz val="8"/>
        <rFont val="Arial"/>
        <family val="2"/>
      </rPr>
      <t>P;nren,del;DH</t>
    </r>
  </si>
  <si>
    <r>
      <t>f</t>
    </r>
    <r>
      <rPr>
        <sz val="8"/>
        <rFont val="Arial"/>
        <family val="2"/>
      </rPr>
      <t>P;nren,del;DC</t>
    </r>
  </si>
  <si>
    <r>
      <t>f</t>
    </r>
    <r>
      <rPr>
        <sz val="8"/>
        <rFont val="Arial"/>
        <family val="2"/>
      </rPr>
      <t>P;nren,del;env</t>
    </r>
  </si>
  <si>
    <r>
      <t>f</t>
    </r>
    <r>
      <rPr>
        <sz val="8"/>
        <rFont val="Arial"/>
        <family val="2"/>
      </rPr>
      <t>P;nren,del;el</t>
    </r>
  </si>
  <si>
    <r>
      <t>f</t>
    </r>
    <r>
      <rPr>
        <sz val="8"/>
        <rFont val="Arial"/>
        <family val="2"/>
      </rPr>
      <t>P;nren,exp;el;CHP</t>
    </r>
  </si>
  <si>
    <r>
      <t>f</t>
    </r>
    <r>
      <rPr>
        <sz val="8"/>
        <rFont val="Arial"/>
        <family val="2"/>
      </rPr>
      <t>P;nren,exp;el;PV</t>
    </r>
  </si>
  <si>
    <r>
      <t>f</t>
    </r>
    <r>
      <rPr>
        <sz val="8"/>
        <rFont val="Arial"/>
        <family val="2"/>
      </rPr>
      <t>P;nren,exp;T;…</t>
    </r>
  </si>
  <si>
    <r>
      <t>f</t>
    </r>
    <r>
      <rPr>
        <sz val="8"/>
        <rFont val="Arial"/>
        <family val="2"/>
      </rPr>
      <t>P;nren,exp;el</t>
    </r>
  </si>
  <si>
    <r>
      <t>f</t>
    </r>
    <r>
      <rPr>
        <sz val="8"/>
        <rFont val="Arial"/>
        <family val="2"/>
      </rPr>
      <t>P;nren,rdel;el</t>
    </r>
  </si>
  <si>
    <r>
      <t>f</t>
    </r>
    <r>
      <rPr>
        <i/>
        <sz val="8"/>
        <rFont val="Arial"/>
        <family val="2"/>
      </rPr>
      <t>P,tot</t>
    </r>
  </si>
  <si>
    <t xml:space="preserve">From            to --&gt; </t>
  </si>
  <si>
    <t>Unit 3</t>
  </si>
  <si>
    <t>Unit 4</t>
  </si>
  <si>
    <t>Raw CO2 conversion factors</t>
  </si>
  <si>
    <t>Adapted CO2 conversion factor</t>
  </si>
  <si>
    <t>CO2 Unit conversion table</t>
  </si>
  <si>
    <t>Unit index</t>
  </si>
  <si>
    <r>
      <t xml:space="preserve">   Q</t>
    </r>
    <r>
      <rPr>
        <sz val="8"/>
        <rFont val="Arial"/>
        <family val="2"/>
      </rPr>
      <t>W;nd,1</t>
    </r>
  </si>
  <si>
    <r>
      <t xml:space="preserve">  Q</t>
    </r>
    <r>
      <rPr>
        <sz val="8"/>
        <rFont val="Arial"/>
        <family val="2"/>
      </rPr>
      <t>H;nd,1</t>
    </r>
  </si>
  <si>
    <r>
      <t xml:space="preserve">  Q</t>
    </r>
    <r>
      <rPr>
        <sz val="8"/>
        <rFont val="Arial"/>
        <family val="2"/>
      </rPr>
      <t>H;nd,2</t>
    </r>
    <r>
      <rPr>
        <sz val="11"/>
        <color theme="1"/>
        <rFont val="Calibri"/>
        <family val="2"/>
        <scheme val="minor"/>
      </rPr>
      <t/>
    </r>
  </si>
  <si>
    <r>
      <t xml:space="preserve">  Q</t>
    </r>
    <r>
      <rPr>
        <sz val="8"/>
        <rFont val="Arial"/>
        <family val="2"/>
      </rPr>
      <t>H;nd,3</t>
    </r>
    <r>
      <rPr>
        <sz val="11"/>
        <color theme="1"/>
        <rFont val="Calibri"/>
        <family val="2"/>
        <scheme val="minor"/>
      </rPr>
      <t/>
    </r>
  </si>
  <si>
    <r>
      <t xml:space="preserve">  Q</t>
    </r>
    <r>
      <rPr>
        <sz val="8"/>
        <rFont val="Arial"/>
        <family val="2"/>
      </rPr>
      <t>H;nd,4</t>
    </r>
    <r>
      <rPr>
        <sz val="11"/>
        <color theme="1"/>
        <rFont val="Calibri"/>
        <family val="2"/>
        <scheme val="minor"/>
      </rPr>
      <t/>
    </r>
  </si>
  <si>
    <r>
      <t xml:space="preserve">  Q</t>
    </r>
    <r>
      <rPr>
        <sz val="8"/>
        <rFont val="Arial"/>
        <family val="2"/>
      </rPr>
      <t>H;nd,5</t>
    </r>
    <r>
      <rPr>
        <sz val="11"/>
        <color theme="1"/>
        <rFont val="Calibri"/>
        <family val="2"/>
        <scheme val="minor"/>
      </rPr>
      <t/>
    </r>
  </si>
  <si>
    <r>
      <t xml:space="preserve">  Q</t>
    </r>
    <r>
      <rPr>
        <sz val="8"/>
        <rFont val="Arial"/>
        <family val="2"/>
      </rPr>
      <t>H;nd,6</t>
    </r>
    <r>
      <rPr>
        <sz val="11"/>
        <color theme="1"/>
        <rFont val="Calibri"/>
        <family val="2"/>
        <scheme val="minor"/>
      </rPr>
      <t/>
    </r>
  </si>
  <si>
    <r>
      <t xml:space="preserve">  Q</t>
    </r>
    <r>
      <rPr>
        <sz val="8"/>
        <rFont val="Arial"/>
        <family val="2"/>
      </rPr>
      <t>H;nd,7</t>
    </r>
    <r>
      <rPr>
        <sz val="11"/>
        <color theme="1"/>
        <rFont val="Calibri"/>
        <family val="2"/>
        <scheme val="minor"/>
      </rPr>
      <t/>
    </r>
  </si>
  <si>
    <r>
      <t xml:space="preserve">  Q</t>
    </r>
    <r>
      <rPr>
        <sz val="8"/>
        <rFont val="Arial"/>
        <family val="2"/>
      </rPr>
      <t>H;nd,8</t>
    </r>
    <r>
      <rPr>
        <sz val="11"/>
        <color theme="1"/>
        <rFont val="Calibri"/>
        <family val="2"/>
        <scheme val="minor"/>
      </rPr>
      <t/>
    </r>
  </si>
  <si>
    <r>
      <t xml:space="preserve">  Q</t>
    </r>
    <r>
      <rPr>
        <sz val="8"/>
        <rFont val="Arial"/>
        <family val="2"/>
      </rPr>
      <t>H;nd,9</t>
    </r>
    <r>
      <rPr>
        <sz val="11"/>
        <color theme="1"/>
        <rFont val="Calibri"/>
        <family val="2"/>
        <scheme val="minor"/>
      </rPr>
      <t/>
    </r>
  </si>
  <si>
    <r>
      <t xml:space="preserve">  Q</t>
    </r>
    <r>
      <rPr>
        <sz val="8"/>
        <rFont val="Arial"/>
        <family val="2"/>
      </rPr>
      <t>H;nd,10</t>
    </r>
    <r>
      <rPr>
        <sz val="11"/>
        <color theme="1"/>
        <rFont val="Calibri"/>
        <family val="2"/>
        <scheme val="minor"/>
      </rPr>
      <t/>
    </r>
  </si>
  <si>
    <r>
      <t xml:space="preserve">  Q</t>
    </r>
    <r>
      <rPr>
        <sz val="8"/>
        <rFont val="Arial"/>
        <family val="2"/>
      </rPr>
      <t>H;nd,11</t>
    </r>
    <r>
      <rPr>
        <sz val="11"/>
        <color theme="1"/>
        <rFont val="Calibri"/>
        <family val="2"/>
        <scheme val="minor"/>
      </rPr>
      <t/>
    </r>
  </si>
  <si>
    <r>
      <t xml:space="preserve">  Q</t>
    </r>
    <r>
      <rPr>
        <sz val="8"/>
        <rFont val="Arial"/>
        <family val="2"/>
      </rPr>
      <t>H;nd,12</t>
    </r>
    <r>
      <rPr>
        <sz val="11"/>
        <color theme="1"/>
        <rFont val="Calibri"/>
        <family val="2"/>
        <scheme val="minor"/>
      </rPr>
      <t/>
    </r>
  </si>
  <si>
    <r>
      <t xml:space="preserve">   Q</t>
    </r>
    <r>
      <rPr>
        <sz val="8"/>
        <rFont val="Arial"/>
        <family val="2"/>
      </rPr>
      <t>W;nd,2</t>
    </r>
    <r>
      <rPr>
        <sz val="11"/>
        <color theme="1"/>
        <rFont val="Calibri"/>
        <family val="2"/>
        <scheme val="minor"/>
      </rPr>
      <t/>
    </r>
  </si>
  <si>
    <r>
      <t xml:space="preserve">   Q</t>
    </r>
    <r>
      <rPr>
        <sz val="8"/>
        <rFont val="Arial"/>
        <family val="2"/>
      </rPr>
      <t>W;nd,3</t>
    </r>
    <r>
      <rPr>
        <sz val="11"/>
        <color theme="1"/>
        <rFont val="Calibri"/>
        <family val="2"/>
        <scheme val="minor"/>
      </rPr>
      <t/>
    </r>
  </si>
  <si>
    <r>
      <t xml:space="preserve">   Q</t>
    </r>
    <r>
      <rPr>
        <sz val="8"/>
        <rFont val="Arial"/>
        <family val="2"/>
      </rPr>
      <t>W;nd,4</t>
    </r>
    <r>
      <rPr>
        <sz val="11"/>
        <color theme="1"/>
        <rFont val="Calibri"/>
        <family val="2"/>
        <scheme val="minor"/>
      </rPr>
      <t/>
    </r>
  </si>
  <si>
    <r>
      <t xml:space="preserve">   Q</t>
    </r>
    <r>
      <rPr>
        <sz val="8"/>
        <rFont val="Arial"/>
        <family val="2"/>
      </rPr>
      <t>W;nd,5</t>
    </r>
    <r>
      <rPr>
        <sz val="11"/>
        <color theme="1"/>
        <rFont val="Calibri"/>
        <family val="2"/>
        <scheme val="minor"/>
      </rPr>
      <t/>
    </r>
  </si>
  <si>
    <r>
      <t xml:space="preserve">   Q</t>
    </r>
    <r>
      <rPr>
        <sz val="8"/>
        <rFont val="Arial"/>
        <family val="2"/>
      </rPr>
      <t>W;nd,6</t>
    </r>
    <r>
      <rPr>
        <sz val="11"/>
        <color theme="1"/>
        <rFont val="Calibri"/>
        <family val="2"/>
        <scheme val="minor"/>
      </rPr>
      <t/>
    </r>
  </si>
  <si>
    <r>
      <t xml:space="preserve">   Q</t>
    </r>
    <r>
      <rPr>
        <sz val="8"/>
        <rFont val="Arial"/>
        <family val="2"/>
      </rPr>
      <t>W;nd,7</t>
    </r>
    <r>
      <rPr>
        <sz val="11"/>
        <color theme="1"/>
        <rFont val="Calibri"/>
        <family val="2"/>
        <scheme val="minor"/>
      </rPr>
      <t/>
    </r>
  </si>
  <si>
    <r>
      <t xml:space="preserve">   Q</t>
    </r>
    <r>
      <rPr>
        <sz val="8"/>
        <rFont val="Arial"/>
        <family val="2"/>
      </rPr>
      <t>W;nd,8</t>
    </r>
    <r>
      <rPr>
        <sz val="11"/>
        <color theme="1"/>
        <rFont val="Calibri"/>
        <family val="2"/>
        <scheme val="minor"/>
      </rPr>
      <t/>
    </r>
  </si>
  <si>
    <r>
      <t xml:space="preserve">   Q</t>
    </r>
    <r>
      <rPr>
        <sz val="8"/>
        <rFont val="Arial"/>
        <family val="2"/>
      </rPr>
      <t>W;nd,9</t>
    </r>
    <r>
      <rPr>
        <sz val="11"/>
        <color theme="1"/>
        <rFont val="Calibri"/>
        <family val="2"/>
        <scheme val="minor"/>
      </rPr>
      <t/>
    </r>
  </si>
  <si>
    <r>
      <t xml:space="preserve">   Q</t>
    </r>
    <r>
      <rPr>
        <sz val="8"/>
        <rFont val="Arial"/>
        <family val="2"/>
      </rPr>
      <t>W;nd,10</t>
    </r>
    <r>
      <rPr>
        <sz val="11"/>
        <color theme="1"/>
        <rFont val="Calibri"/>
        <family val="2"/>
        <scheme val="minor"/>
      </rPr>
      <t/>
    </r>
  </si>
  <si>
    <r>
      <t xml:space="preserve">   Q</t>
    </r>
    <r>
      <rPr>
        <sz val="8"/>
        <rFont val="Arial"/>
        <family val="2"/>
      </rPr>
      <t>W;nd,11</t>
    </r>
    <r>
      <rPr>
        <sz val="11"/>
        <color theme="1"/>
        <rFont val="Calibri"/>
        <family val="2"/>
        <scheme val="minor"/>
      </rPr>
      <t/>
    </r>
  </si>
  <si>
    <r>
      <t xml:space="preserve">   Q</t>
    </r>
    <r>
      <rPr>
        <sz val="8"/>
        <rFont val="Arial"/>
        <family val="2"/>
      </rPr>
      <t>W;nd,12</t>
    </r>
    <r>
      <rPr>
        <sz val="11"/>
        <color theme="1"/>
        <rFont val="Calibri"/>
        <family val="2"/>
        <scheme val="minor"/>
      </rPr>
      <t/>
    </r>
  </si>
  <si>
    <r>
      <t xml:space="preserve">   Q</t>
    </r>
    <r>
      <rPr>
        <sz val="8"/>
        <rFont val="Arial"/>
        <family val="2"/>
      </rPr>
      <t>hum;nd,1</t>
    </r>
  </si>
  <si>
    <r>
      <t xml:space="preserve">   Q</t>
    </r>
    <r>
      <rPr>
        <sz val="8"/>
        <rFont val="Arial"/>
        <family val="2"/>
      </rPr>
      <t>hum;nd,2</t>
    </r>
    <r>
      <rPr>
        <sz val="11"/>
        <color theme="1"/>
        <rFont val="Calibri"/>
        <family val="2"/>
        <scheme val="minor"/>
      </rPr>
      <t/>
    </r>
  </si>
  <si>
    <r>
      <t xml:space="preserve">   Q</t>
    </r>
    <r>
      <rPr>
        <sz val="8"/>
        <rFont val="Arial"/>
        <family val="2"/>
      </rPr>
      <t>hum;nd,3</t>
    </r>
    <r>
      <rPr>
        <sz val="11"/>
        <color theme="1"/>
        <rFont val="Calibri"/>
        <family val="2"/>
        <scheme val="minor"/>
      </rPr>
      <t/>
    </r>
  </si>
  <si>
    <r>
      <t xml:space="preserve">   Q</t>
    </r>
    <r>
      <rPr>
        <sz val="8"/>
        <rFont val="Arial"/>
        <family val="2"/>
      </rPr>
      <t>hum;nd,4</t>
    </r>
    <r>
      <rPr>
        <sz val="11"/>
        <color theme="1"/>
        <rFont val="Calibri"/>
        <family val="2"/>
        <scheme val="minor"/>
      </rPr>
      <t/>
    </r>
  </si>
  <si>
    <r>
      <t xml:space="preserve">   Q</t>
    </r>
    <r>
      <rPr>
        <sz val="8"/>
        <rFont val="Arial"/>
        <family val="2"/>
      </rPr>
      <t>hum;nd,5</t>
    </r>
    <r>
      <rPr>
        <sz val="11"/>
        <color theme="1"/>
        <rFont val="Calibri"/>
        <family val="2"/>
        <scheme val="minor"/>
      </rPr>
      <t/>
    </r>
  </si>
  <si>
    <r>
      <t xml:space="preserve">   Q</t>
    </r>
    <r>
      <rPr>
        <sz val="8"/>
        <rFont val="Arial"/>
        <family val="2"/>
      </rPr>
      <t>hum;nd,6</t>
    </r>
    <r>
      <rPr>
        <sz val="11"/>
        <color theme="1"/>
        <rFont val="Calibri"/>
        <family val="2"/>
        <scheme val="minor"/>
      </rPr>
      <t/>
    </r>
  </si>
  <si>
    <r>
      <t xml:space="preserve">   Q</t>
    </r>
    <r>
      <rPr>
        <sz val="8"/>
        <rFont val="Arial"/>
        <family val="2"/>
      </rPr>
      <t>hum;nd,7</t>
    </r>
    <r>
      <rPr>
        <sz val="11"/>
        <color theme="1"/>
        <rFont val="Calibri"/>
        <family val="2"/>
        <scheme val="minor"/>
      </rPr>
      <t/>
    </r>
  </si>
  <si>
    <r>
      <t xml:space="preserve">   Q</t>
    </r>
    <r>
      <rPr>
        <sz val="8"/>
        <rFont val="Arial"/>
        <family val="2"/>
      </rPr>
      <t>hum;nd,8</t>
    </r>
    <r>
      <rPr>
        <sz val="11"/>
        <color theme="1"/>
        <rFont val="Calibri"/>
        <family val="2"/>
        <scheme val="minor"/>
      </rPr>
      <t/>
    </r>
  </si>
  <si>
    <r>
      <t xml:space="preserve">   Q</t>
    </r>
    <r>
      <rPr>
        <sz val="8"/>
        <rFont val="Arial"/>
        <family val="2"/>
      </rPr>
      <t>hum;nd,9</t>
    </r>
    <r>
      <rPr>
        <sz val="11"/>
        <color theme="1"/>
        <rFont val="Calibri"/>
        <family val="2"/>
        <scheme val="minor"/>
      </rPr>
      <t/>
    </r>
  </si>
  <si>
    <r>
      <t xml:space="preserve">   Q</t>
    </r>
    <r>
      <rPr>
        <sz val="8"/>
        <rFont val="Arial"/>
        <family val="2"/>
      </rPr>
      <t>hum;nd,10</t>
    </r>
    <r>
      <rPr>
        <sz val="11"/>
        <color theme="1"/>
        <rFont val="Calibri"/>
        <family val="2"/>
        <scheme val="minor"/>
      </rPr>
      <t/>
    </r>
  </si>
  <si>
    <r>
      <t xml:space="preserve">   Q</t>
    </r>
    <r>
      <rPr>
        <sz val="8"/>
        <rFont val="Arial"/>
        <family val="2"/>
      </rPr>
      <t>hum;nd,11</t>
    </r>
    <r>
      <rPr>
        <sz val="11"/>
        <color theme="1"/>
        <rFont val="Calibri"/>
        <family val="2"/>
        <scheme val="minor"/>
      </rPr>
      <t/>
    </r>
  </si>
  <si>
    <r>
      <t xml:space="preserve">   Q</t>
    </r>
    <r>
      <rPr>
        <sz val="8"/>
        <rFont val="Arial"/>
        <family val="2"/>
      </rPr>
      <t>hum;nd,12</t>
    </r>
    <r>
      <rPr>
        <sz val="11"/>
        <color theme="1"/>
        <rFont val="Calibri"/>
        <family val="2"/>
        <scheme val="minor"/>
      </rPr>
      <t/>
    </r>
  </si>
  <si>
    <r>
      <t xml:space="preserve">    Q</t>
    </r>
    <r>
      <rPr>
        <sz val="8"/>
        <rFont val="Arial"/>
        <family val="2"/>
      </rPr>
      <t>C;nd,1</t>
    </r>
  </si>
  <si>
    <r>
      <t xml:space="preserve">    Q</t>
    </r>
    <r>
      <rPr>
        <sz val="8"/>
        <rFont val="Arial"/>
        <family val="2"/>
      </rPr>
      <t>C;nd,2</t>
    </r>
    <r>
      <rPr>
        <sz val="11"/>
        <color theme="1"/>
        <rFont val="Calibri"/>
        <family val="2"/>
        <scheme val="minor"/>
      </rPr>
      <t/>
    </r>
  </si>
  <si>
    <r>
      <t xml:space="preserve">    Q</t>
    </r>
    <r>
      <rPr>
        <sz val="8"/>
        <rFont val="Arial"/>
        <family val="2"/>
      </rPr>
      <t>C;nd,3</t>
    </r>
    <r>
      <rPr>
        <sz val="11"/>
        <color theme="1"/>
        <rFont val="Calibri"/>
        <family val="2"/>
        <scheme val="minor"/>
      </rPr>
      <t/>
    </r>
  </si>
  <si>
    <r>
      <t xml:space="preserve">    Q</t>
    </r>
    <r>
      <rPr>
        <sz val="8"/>
        <rFont val="Arial"/>
        <family val="2"/>
      </rPr>
      <t>C;nd,4</t>
    </r>
    <r>
      <rPr>
        <sz val="11"/>
        <color theme="1"/>
        <rFont val="Calibri"/>
        <family val="2"/>
        <scheme val="minor"/>
      </rPr>
      <t/>
    </r>
  </si>
  <si>
    <r>
      <t xml:space="preserve">    Q</t>
    </r>
    <r>
      <rPr>
        <sz val="8"/>
        <rFont val="Arial"/>
        <family val="2"/>
      </rPr>
      <t>C;nd,5</t>
    </r>
    <r>
      <rPr>
        <sz val="11"/>
        <color theme="1"/>
        <rFont val="Calibri"/>
        <family val="2"/>
        <scheme val="minor"/>
      </rPr>
      <t/>
    </r>
  </si>
  <si>
    <r>
      <t xml:space="preserve">    Q</t>
    </r>
    <r>
      <rPr>
        <sz val="8"/>
        <rFont val="Arial"/>
        <family val="2"/>
      </rPr>
      <t>C;nd,6</t>
    </r>
    <r>
      <rPr>
        <sz val="11"/>
        <color theme="1"/>
        <rFont val="Calibri"/>
        <family val="2"/>
        <scheme val="minor"/>
      </rPr>
      <t/>
    </r>
  </si>
  <si>
    <r>
      <t xml:space="preserve">    Q</t>
    </r>
    <r>
      <rPr>
        <sz val="8"/>
        <rFont val="Arial"/>
        <family val="2"/>
      </rPr>
      <t>C;nd,7</t>
    </r>
    <r>
      <rPr>
        <sz val="11"/>
        <color theme="1"/>
        <rFont val="Calibri"/>
        <family val="2"/>
        <scheme val="minor"/>
      </rPr>
      <t/>
    </r>
  </si>
  <si>
    <r>
      <t xml:space="preserve">    Q</t>
    </r>
    <r>
      <rPr>
        <sz val="8"/>
        <rFont val="Arial"/>
        <family val="2"/>
      </rPr>
      <t>C;nd,8</t>
    </r>
    <r>
      <rPr>
        <sz val="11"/>
        <color theme="1"/>
        <rFont val="Calibri"/>
        <family val="2"/>
        <scheme val="minor"/>
      </rPr>
      <t/>
    </r>
  </si>
  <si>
    <r>
      <t xml:space="preserve">    Q</t>
    </r>
    <r>
      <rPr>
        <sz val="8"/>
        <rFont val="Arial"/>
        <family val="2"/>
      </rPr>
      <t>C;nd,9</t>
    </r>
    <r>
      <rPr>
        <sz val="11"/>
        <color theme="1"/>
        <rFont val="Calibri"/>
        <family val="2"/>
        <scheme val="minor"/>
      </rPr>
      <t/>
    </r>
  </si>
  <si>
    <r>
      <t xml:space="preserve">    Q</t>
    </r>
    <r>
      <rPr>
        <sz val="8"/>
        <rFont val="Arial"/>
        <family val="2"/>
      </rPr>
      <t>C;nd,10</t>
    </r>
    <r>
      <rPr>
        <sz val="11"/>
        <color theme="1"/>
        <rFont val="Calibri"/>
        <family val="2"/>
        <scheme val="minor"/>
      </rPr>
      <t/>
    </r>
  </si>
  <si>
    <r>
      <t xml:space="preserve">    Q</t>
    </r>
    <r>
      <rPr>
        <sz val="8"/>
        <rFont val="Arial"/>
        <family val="2"/>
      </rPr>
      <t>C;nd,11</t>
    </r>
    <r>
      <rPr>
        <sz val="11"/>
        <color theme="1"/>
        <rFont val="Calibri"/>
        <family val="2"/>
        <scheme val="minor"/>
      </rPr>
      <t/>
    </r>
  </si>
  <si>
    <r>
      <t xml:space="preserve">    Q</t>
    </r>
    <r>
      <rPr>
        <sz val="8"/>
        <rFont val="Arial"/>
        <family val="2"/>
      </rPr>
      <t>C;nd,12</t>
    </r>
    <r>
      <rPr>
        <sz val="11"/>
        <color theme="1"/>
        <rFont val="Calibri"/>
        <family val="2"/>
        <scheme val="minor"/>
      </rPr>
      <t/>
    </r>
  </si>
  <si>
    <r>
      <t xml:space="preserve">     Q</t>
    </r>
    <r>
      <rPr>
        <sz val="8"/>
        <rFont val="Arial"/>
        <family val="2"/>
      </rPr>
      <t>dhum;nd,1</t>
    </r>
  </si>
  <si>
    <r>
      <t xml:space="preserve">     Q</t>
    </r>
    <r>
      <rPr>
        <sz val="8"/>
        <rFont val="Arial"/>
        <family val="2"/>
      </rPr>
      <t>dhum;nd,2</t>
    </r>
    <r>
      <rPr>
        <sz val="11"/>
        <color theme="1"/>
        <rFont val="Calibri"/>
        <family val="2"/>
        <scheme val="minor"/>
      </rPr>
      <t/>
    </r>
  </si>
  <si>
    <r>
      <t xml:space="preserve">     Q</t>
    </r>
    <r>
      <rPr>
        <sz val="8"/>
        <rFont val="Arial"/>
        <family val="2"/>
      </rPr>
      <t>dhum;nd,3</t>
    </r>
    <r>
      <rPr>
        <sz val="11"/>
        <color theme="1"/>
        <rFont val="Calibri"/>
        <family val="2"/>
        <scheme val="minor"/>
      </rPr>
      <t/>
    </r>
  </si>
  <si>
    <r>
      <t xml:space="preserve">     Q</t>
    </r>
    <r>
      <rPr>
        <sz val="8"/>
        <rFont val="Arial"/>
        <family val="2"/>
      </rPr>
      <t>dhum;nd,4</t>
    </r>
    <r>
      <rPr>
        <sz val="11"/>
        <color theme="1"/>
        <rFont val="Calibri"/>
        <family val="2"/>
        <scheme val="minor"/>
      </rPr>
      <t/>
    </r>
  </si>
  <si>
    <r>
      <t xml:space="preserve">     Q</t>
    </r>
    <r>
      <rPr>
        <sz val="8"/>
        <rFont val="Arial"/>
        <family val="2"/>
      </rPr>
      <t>dhum;nd,5</t>
    </r>
    <r>
      <rPr>
        <sz val="11"/>
        <color theme="1"/>
        <rFont val="Calibri"/>
        <family val="2"/>
        <scheme val="minor"/>
      </rPr>
      <t/>
    </r>
  </si>
  <si>
    <r>
      <t xml:space="preserve">     Q</t>
    </r>
    <r>
      <rPr>
        <sz val="8"/>
        <rFont val="Arial"/>
        <family val="2"/>
      </rPr>
      <t>dhum;nd,6</t>
    </r>
    <r>
      <rPr>
        <sz val="11"/>
        <color theme="1"/>
        <rFont val="Calibri"/>
        <family val="2"/>
        <scheme val="minor"/>
      </rPr>
      <t/>
    </r>
  </si>
  <si>
    <r>
      <t xml:space="preserve">     Q</t>
    </r>
    <r>
      <rPr>
        <sz val="8"/>
        <rFont val="Arial"/>
        <family val="2"/>
      </rPr>
      <t>dhum;nd,7</t>
    </r>
    <r>
      <rPr>
        <sz val="11"/>
        <color theme="1"/>
        <rFont val="Calibri"/>
        <family val="2"/>
        <scheme val="minor"/>
      </rPr>
      <t/>
    </r>
  </si>
  <si>
    <r>
      <t xml:space="preserve">     Q</t>
    </r>
    <r>
      <rPr>
        <sz val="8"/>
        <rFont val="Arial"/>
        <family val="2"/>
      </rPr>
      <t>dhum;nd,8</t>
    </r>
    <r>
      <rPr>
        <sz val="11"/>
        <color theme="1"/>
        <rFont val="Calibri"/>
        <family val="2"/>
        <scheme val="minor"/>
      </rPr>
      <t/>
    </r>
  </si>
  <si>
    <r>
      <t xml:space="preserve">     Q</t>
    </r>
    <r>
      <rPr>
        <sz val="8"/>
        <rFont val="Arial"/>
        <family val="2"/>
      </rPr>
      <t>dhum;nd,9</t>
    </r>
    <r>
      <rPr>
        <sz val="11"/>
        <color theme="1"/>
        <rFont val="Calibri"/>
        <family val="2"/>
        <scheme val="minor"/>
      </rPr>
      <t/>
    </r>
  </si>
  <si>
    <r>
      <t xml:space="preserve">     Q</t>
    </r>
    <r>
      <rPr>
        <sz val="8"/>
        <rFont val="Arial"/>
        <family val="2"/>
      </rPr>
      <t>dhum;nd,10</t>
    </r>
    <r>
      <rPr>
        <sz val="11"/>
        <color theme="1"/>
        <rFont val="Calibri"/>
        <family val="2"/>
        <scheme val="minor"/>
      </rPr>
      <t/>
    </r>
  </si>
  <si>
    <r>
      <t xml:space="preserve">     Q</t>
    </r>
    <r>
      <rPr>
        <sz val="8"/>
        <rFont val="Arial"/>
        <family val="2"/>
      </rPr>
      <t>dhum;nd,11</t>
    </r>
    <r>
      <rPr>
        <sz val="11"/>
        <color theme="1"/>
        <rFont val="Calibri"/>
        <family val="2"/>
        <scheme val="minor"/>
      </rPr>
      <t/>
    </r>
  </si>
  <si>
    <r>
      <t xml:space="preserve">     Q</t>
    </r>
    <r>
      <rPr>
        <sz val="8"/>
        <rFont val="Arial"/>
        <family val="2"/>
      </rPr>
      <t>dhum;nd,12</t>
    </r>
    <r>
      <rPr>
        <sz val="11"/>
        <color theme="1"/>
        <rFont val="Calibri"/>
        <family val="2"/>
        <scheme val="minor"/>
      </rPr>
      <t/>
    </r>
  </si>
  <si>
    <t>Heating system efficiency except generation</t>
  </si>
  <si>
    <r>
      <rPr>
        <sz val="10"/>
        <rFont val="Calibri"/>
        <family val="2"/>
      </rPr>
      <t>η</t>
    </r>
    <r>
      <rPr>
        <i/>
        <sz val="8"/>
        <rFont val="Arial"/>
        <family val="2"/>
      </rPr>
      <t>H,ngen</t>
    </r>
  </si>
  <si>
    <t>Cooling system efficiency except generation</t>
  </si>
  <si>
    <t>Dhw system efficiency except generation</t>
  </si>
  <si>
    <t>PV solar contribution profile</t>
  </si>
  <si>
    <t>Free cooling contribution</t>
  </si>
  <si>
    <r>
      <rPr>
        <sz val="10"/>
        <rFont val="Calibri"/>
        <family val="2"/>
      </rPr>
      <t>η</t>
    </r>
    <r>
      <rPr>
        <i/>
        <sz val="8"/>
        <rFont val="Arial"/>
        <family val="2"/>
      </rPr>
      <t>C,ngen</t>
    </r>
  </si>
  <si>
    <r>
      <rPr>
        <sz val="10"/>
        <rFont val="Calibri"/>
        <family val="2"/>
      </rPr>
      <t>η</t>
    </r>
    <r>
      <rPr>
        <i/>
        <sz val="8"/>
        <rFont val="Arial"/>
        <family val="2"/>
      </rPr>
      <t>W,ngen</t>
    </r>
  </si>
  <si>
    <t>PV solar contribution multiplier</t>
  </si>
  <si>
    <r>
      <t xml:space="preserve">   Q</t>
    </r>
    <r>
      <rPr>
        <i/>
        <sz val="8"/>
        <rFont val="Arial"/>
        <family val="2"/>
      </rPr>
      <t>PV,out,1</t>
    </r>
  </si>
  <si>
    <r>
      <t xml:space="preserve">   Q</t>
    </r>
    <r>
      <rPr>
        <i/>
        <sz val="8"/>
        <rFont val="Arial"/>
        <family val="2"/>
      </rPr>
      <t>PV,out,2</t>
    </r>
    <r>
      <rPr>
        <sz val="11"/>
        <color theme="1"/>
        <rFont val="Calibri"/>
        <family val="2"/>
        <scheme val="minor"/>
      </rPr>
      <t/>
    </r>
  </si>
  <si>
    <r>
      <t xml:space="preserve">   Q</t>
    </r>
    <r>
      <rPr>
        <i/>
        <sz val="8"/>
        <rFont val="Arial"/>
        <family val="2"/>
      </rPr>
      <t>PV,out,3</t>
    </r>
    <r>
      <rPr>
        <sz val="11"/>
        <color theme="1"/>
        <rFont val="Calibri"/>
        <family val="2"/>
        <scheme val="minor"/>
      </rPr>
      <t/>
    </r>
  </si>
  <si>
    <r>
      <t xml:space="preserve">   Q</t>
    </r>
    <r>
      <rPr>
        <i/>
        <sz val="8"/>
        <rFont val="Arial"/>
        <family val="2"/>
      </rPr>
      <t>PV,out,4</t>
    </r>
    <r>
      <rPr>
        <sz val="11"/>
        <color theme="1"/>
        <rFont val="Calibri"/>
        <family val="2"/>
        <scheme val="minor"/>
      </rPr>
      <t/>
    </r>
  </si>
  <si>
    <r>
      <t xml:space="preserve">   Q</t>
    </r>
    <r>
      <rPr>
        <i/>
        <sz val="8"/>
        <rFont val="Arial"/>
        <family val="2"/>
      </rPr>
      <t>PV,out,5</t>
    </r>
    <r>
      <rPr>
        <sz val="11"/>
        <color theme="1"/>
        <rFont val="Calibri"/>
        <family val="2"/>
        <scheme val="minor"/>
      </rPr>
      <t/>
    </r>
  </si>
  <si>
    <r>
      <t xml:space="preserve">   Q</t>
    </r>
    <r>
      <rPr>
        <i/>
        <sz val="8"/>
        <rFont val="Arial"/>
        <family val="2"/>
      </rPr>
      <t>PV,out,6</t>
    </r>
    <r>
      <rPr>
        <sz val="11"/>
        <color theme="1"/>
        <rFont val="Calibri"/>
        <family val="2"/>
        <scheme val="minor"/>
      </rPr>
      <t/>
    </r>
  </si>
  <si>
    <r>
      <t xml:space="preserve">   Q</t>
    </r>
    <r>
      <rPr>
        <i/>
        <sz val="8"/>
        <rFont val="Arial"/>
        <family val="2"/>
      </rPr>
      <t>PV,out,7</t>
    </r>
    <r>
      <rPr>
        <sz val="11"/>
        <color theme="1"/>
        <rFont val="Calibri"/>
        <family val="2"/>
        <scheme val="minor"/>
      </rPr>
      <t/>
    </r>
  </si>
  <si>
    <r>
      <t xml:space="preserve">   Q</t>
    </r>
    <r>
      <rPr>
        <i/>
        <sz val="8"/>
        <rFont val="Arial"/>
        <family val="2"/>
      </rPr>
      <t>PV,out,8</t>
    </r>
    <r>
      <rPr>
        <sz val="11"/>
        <color theme="1"/>
        <rFont val="Calibri"/>
        <family val="2"/>
        <scheme val="minor"/>
      </rPr>
      <t/>
    </r>
  </si>
  <si>
    <r>
      <t xml:space="preserve">   Q</t>
    </r>
    <r>
      <rPr>
        <i/>
        <sz val="8"/>
        <rFont val="Arial"/>
        <family val="2"/>
      </rPr>
      <t>PV,out,9</t>
    </r>
    <r>
      <rPr>
        <sz val="11"/>
        <color theme="1"/>
        <rFont val="Calibri"/>
        <family val="2"/>
        <scheme val="minor"/>
      </rPr>
      <t/>
    </r>
  </si>
  <si>
    <r>
      <t xml:space="preserve">   Q</t>
    </r>
    <r>
      <rPr>
        <i/>
        <sz val="8"/>
        <rFont val="Arial"/>
        <family val="2"/>
      </rPr>
      <t>PV,out,10</t>
    </r>
    <r>
      <rPr>
        <sz val="11"/>
        <color theme="1"/>
        <rFont val="Calibri"/>
        <family val="2"/>
        <scheme val="minor"/>
      </rPr>
      <t/>
    </r>
  </si>
  <si>
    <r>
      <t xml:space="preserve">   Q</t>
    </r>
    <r>
      <rPr>
        <i/>
        <sz val="8"/>
        <rFont val="Arial"/>
        <family val="2"/>
      </rPr>
      <t>PV,out,11</t>
    </r>
    <r>
      <rPr>
        <sz val="11"/>
        <color theme="1"/>
        <rFont val="Calibri"/>
        <family val="2"/>
        <scheme val="minor"/>
      </rPr>
      <t/>
    </r>
  </si>
  <si>
    <r>
      <t xml:space="preserve">   Q</t>
    </r>
    <r>
      <rPr>
        <i/>
        <sz val="8"/>
        <rFont val="Arial"/>
        <family val="2"/>
      </rPr>
      <t>PV,out,12</t>
    </r>
    <r>
      <rPr>
        <sz val="11"/>
        <color theme="1"/>
        <rFont val="Calibri"/>
        <family val="2"/>
        <scheme val="minor"/>
      </rPr>
      <t/>
    </r>
  </si>
  <si>
    <t>Heat generator output for dhw</t>
  </si>
  <si>
    <r>
      <t>Q</t>
    </r>
    <r>
      <rPr>
        <i/>
        <sz val="8"/>
        <rFont val="Arial"/>
        <family val="2"/>
      </rPr>
      <t>W,gen,out</t>
    </r>
  </si>
  <si>
    <r>
      <t xml:space="preserve">    Q</t>
    </r>
    <r>
      <rPr>
        <i/>
        <sz val="8"/>
        <rFont val="Arial"/>
        <family val="2"/>
      </rPr>
      <t>W,gen,out,1</t>
    </r>
  </si>
  <si>
    <r>
      <t xml:space="preserve">    Q</t>
    </r>
    <r>
      <rPr>
        <i/>
        <sz val="8"/>
        <rFont val="Arial"/>
        <family val="2"/>
      </rPr>
      <t>W,gen,out,2</t>
    </r>
    <r>
      <rPr>
        <sz val="11"/>
        <color theme="1"/>
        <rFont val="Calibri"/>
        <family val="2"/>
        <scheme val="minor"/>
      </rPr>
      <t/>
    </r>
  </si>
  <si>
    <r>
      <t xml:space="preserve">    Q</t>
    </r>
    <r>
      <rPr>
        <i/>
        <sz val="8"/>
        <rFont val="Arial"/>
        <family val="2"/>
      </rPr>
      <t>W,gen,out,3</t>
    </r>
    <r>
      <rPr>
        <sz val="11"/>
        <color theme="1"/>
        <rFont val="Calibri"/>
        <family val="2"/>
        <scheme val="minor"/>
      </rPr>
      <t/>
    </r>
  </si>
  <si>
    <r>
      <t xml:space="preserve">    Q</t>
    </r>
    <r>
      <rPr>
        <i/>
        <sz val="8"/>
        <rFont val="Arial"/>
        <family val="2"/>
      </rPr>
      <t>W,gen,out,4</t>
    </r>
    <r>
      <rPr>
        <sz val="11"/>
        <color theme="1"/>
        <rFont val="Calibri"/>
        <family val="2"/>
        <scheme val="minor"/>
      </rPr>
      <t/>
    </r>
  </si>
  <si>
    <r>
      <t xml:space="preserve">    Q</t>
    </r>
    <r>
      <rPr>
        <i/>
        <sz val="8"/>
        <rFont val="Arial"/>
        <family val="2"/>
      </rPr>
      <t>W,gen,out,5</t>
    </r>
    <r>
      <rPr>
        <sz val="11"/>
        <color theme="1"/>
        <rFont val="Calibri"/>
        <family val="2"/>
        <scheme val="minor"/>
      </rPr>
      <t/>
    </r>
  </si>
  <si>
    <r>
      <t xml:space="preserve">    Q</t>
    </r>
    <r>
      <rPr>
        <i/>
        <sz val="8"/>
        <rFont val="Arial"/>
        <family val="2"/>
      </rPr>
      <t>W,gen,out,6</t>
    </r>
    <r>
      <rPr>
        <sz val="11"/>
        <color theme="1"/>
        <rFont val="Calibri"/>
        <family val="2"/>
        <scheme val="minor"/>
      </rPr>
      <t/>
    </r>
  </si>
  <si>
    <r>
      <t xml:space="preserve">    Q</t>
    </r>
    <r>
      <rPr>
        <i/>
        <sz val="8"/>
        <rFont val="Arial"/>
        <family val="2"/>
      </rPr>
      <t>W,gen,out,7</t>
    </r>
    <r>
      <rPr>
        <sz val="11"/>
        <color theme="1"/>
        <rFont val="Calibri"/>
        <family val="2"/>
        <scheme val="minor"/>
      </rPr>
      <t/>
    </r>
  </si>
  <si>
    <r>
      <t xml:space="preserve">    Q</t>
    </r>
    <r>
      <rPr>
        <i/>
        <sz val="8"/>
        <rFont val="Arial"/>
        <family val="2"/>
      </rPr>
      <t>W,gen,out,8</t>
    </r>
    <r>
      <rPr>
        <sz val="11"/>
        <color theme="1"/>
        <rFont val="Calibri"/>
        <family val="2"/>
        <scheme val="minor"/>
      </rPr>
      <t/>
    </r>
  </si>
  <si>
    <r>
      <t xml:space="preserve">    Q</t>
    </r>
    <r>
      <rPr>
        <i/>
        <sz val="8"/>
        <rFont val="Arial"/>
        <family val="2"/>
      </rPr>
      <t>W,gen,out,9</t>
    </r>
    <r>
      <rPr>
        <sz val="11"/>
        <color theme="1"/>
        <rFont val="Calibri"/>
        <family val="2"/>
        <scheme val="minor"/>
      </rPr>
      <t/>
    </r>
  </si>
  <si>
    <r>
      <t xml:space="preserve">    Q</t>
    </r>
    <r>
      <rPr>
        <i/>
        <sz val="8"/>
        <rFont val="Arial"/>
        <family val="2"/>
      </rPr>
      <t>W,gen,out,10</t>
    </r>
    <r>
      <rPr>
        <sz val="11"/>
        <color theme="1"/>
        <rFont val="Calibri"/>
        <family val="2"/>
        <scheme val="minor"/>
      </rPr>
      <t/>
    </r>
  </si>
  <si>
    <r>
      <t xml:space="preserve">    Q</t>
    </r>
    <r>
      <rPr>
        <i/>
        <sz val="8"/>
        <rFont val="Arial"/>
        <family val="2"/>
      </rPr>
      <t>W,gen,out,11</t>
    </r>
    <r>
      <rPr>
        <sz val="11"/>
        <color theme="1"/>
        <rFont val="Calibri"/>
        <family val="2"/>
        <scheme val="minor"/>
      </rPr>
      <t/>
    </r>
  </si>
  <si>
    <r>
      <t xml:space="preserve">    Q</t>
    </r>
    <r>
      <rPr>
        <i/>
        <sz val="8"/>
        <rFont val="Arial"/>
        <family val="2"/>
      </rPr>
      <t>W,gen,out,12</t>
    </r>
    <r>
      <rPr>
        <sz val="11"/>
        <color theme="1"/>
        <rFont val="Calibri"/>
        <family val="2"/>
        <scheme val="minor"/>
      </rPr>
      <t/>
    </r>
  </si>
  <si>
    <t>Heat generator output for heating and hum</t>
  </si>
  <si>
    <r>
      <t>Q</t>
    </r>
    <r>
      <rPr>
        <i/>
        <sz val="8"/>
        <rFont val="Arial"/>
        <family val="2"/>
      </rPr>
      <t>H,gen,out</t>
    </r>
  </si>
  <si>
    <r>
      <t xml:space="preserve">    Q</t>
    </r>
    <r>
      <rPr>
        <i/>
        <sz val="8"/>
        <rFont val="Arial"/>
        <family val="2"/>
      </rPr>
      <t>H,gen,out,1</t>
    </r>
  </si>
  <si>
    <r>
      <t xml:space="preserve">    Q</t>
    </r>
    <r>
      <rPr>
        <i/>
        <sz val="8"/>
        <rFont val="Arial"/>
        <family val="2"/>
      </rPr>
      <t>H,gen,out,2</t>
    </r>
    <r>
      <rPr>
        <sz val="11"/>
        <color theme="1"/>
        <rFont val="Calibri"/>
        <family val="2"/>
        <scheme val="minor"/>
      </rPr>
      <t/>
    </r>
  </si>
  <si>
    <r>
      <t xml:space="preserve">    Q</t>
    </r>
    <r>
      <rPr>
        <i/>
        <sz val="8"/>
        <rFont val="Arial"/>
        <family val="2"/>
      </rPr>
      <t>H,gen,out,3</t>
    </r>
    <r>
      <rPr>
        <sz val="11"/>
        <color theme="1"/>
        <rFont val="Calibri"/>
        <family val="2"/>
        <scheme val="minor"/>
      </rPr>
      <t/>
    </r>
  </si>
  <si>
    <r>
      <t xml:space="preserve">    Q</t>
    </r>
    <r>
      <rPr>
        <i/>
        <sz val="8"/>
        <rFont val="Arial"/>
        <family val="2"/>
      </rPr>
      <t>H,gen,out,4</t>
    </r>
    <r>
      <rPr>
        <sz val="11"/>
        <color theme="1"/>
        <rFont val="Calibri"/>
        <family val="2"/>
        <scheme val="minor"/>
      </rPr>
      <t/>
    </r>
  </si>
  <si>
    <r>
      <t xml:space="preserve">    Q</t>
    </r>
    <r>
      <rPr>
        <i/>
        <sz val="8"/>
        <rFont val="Arial"/>
        <family val="2"/>
      </rPr>
      <t>H,gen,out,5</t>
    </r>
    <r>
      <rPr>
        <sz val="11"/>
        <color theme="1"/>
        <rFont val="Calibri"/>
        <family val="2"/>
        <scheme val="minor"/>
      </rPr>
      <t/>
    </r>
  </si>
  <si>
    <r>
      <t xml:space="preserve">    Q</t>
    </r>
    <r>
      <rPr>
        <i/>
        <sz val="8"/>
        <rFont val="Arial"/>
        <family val="2"/>
      </rPr>
      <t>H,gen,out,6</t>
    </r>
    <r>
      <rPr>
        <sz val="11"/>
        <color theme="1"/>
        <rFont val="Calibri"/>
        <family val="2"/>
        <scheme val="minor"/>
      </rPr>
      <t/>
    </r>
  </si>
  <si>
    <r>
      <t xml:space="preserve">    Q</t>
    </r>
    <r>
      <rPr>
        <i/>
        <sz val="8"/>
        <rFont val="Arial"/>
        <family val="2"/>
      </rPr>
      <t>H,gen,out,7</t>
    </r>
    <r>
      <rPr>
        <sz val="11"/>
        <color theme="1"/>
        <rFont val="Calibri"/>
        <family val="2"/>
        <scheme val="minor"/>
      </rPr>
      <t/>
    </r>
  </si>
  <si>
    <r>
      <t xml:space="preserve">    Q</t>
    </r>
    <r>
      <rPr>
        <i/>
        <sz val="8"/>
        <rFont val="Arial"/>
        <family val="2"/>
      </rPr>
      <t>H,gen,out,8</t>
    </r>
    <r>
      <rPr>
        <sz val="11"/>
        <color theme="1"/>
        <rFont val="Calibri"/>
        <family val="2"/>
        <scheme val="minor"/>
      </rPr>
      <t/>
    </r>
  </si>
  <si>
    <r>
      <t xml:space="preserve">    Q</t>
    </r>
    <r>
      <rPr>
        <i/>
        <sz val="8"/>
        <rFont val="Arial"/>
        <family val="2"/>
      </rPr>
      <t>H,gen,out,9</t>
    </r>
    <r>
      <rPr>
        <sz val="11"/>
        <color theme="1"/>
        <rFont val="Calibri"/>
        <family val="2"/>
        <scheme val="minor"/>
      </rPr>
      <t/>
    </r>
  </si>
  <si>
    <r>
      <t xml:space="preserve">    Q</t>
    </r>
    <r>
      <rPr>
        <i/>
        <sz val="8"/>
        <rFont val="Arial"/>
        <family val="2"/>
      </rPr>
      <t>H,gen,out,10</t>
    </r>
    <r>
      <rPr>
        <sz val="11"/>
        <color theme="1"/>
        <rFont val="Calibri"/>
        <family val="2"/>
        <scheme val="minor"/>
      </rPr>
      <t/>
    </r>
  </si>
  <si>
    <r>
      <t xml:space="preserve">    Q</t>
    </r>
    <r>
      <rPr>
        <i/>
        <sz val="8"/>
        <rFont val="Arial"/>
        <family val="2"/>
      </rPr>
      <t>H,gen,out,11</t>
    </r>
    <r>
      <rPr>
        <sz val="11"/>
        <color theme="1"/>
        <rFont val="Calibri"/>
        <family val="2"/>
        <scheme val="minor"/>
      </rPr>
      <t/>
    </r>
  </si>
  <si>
    <r>
      <t xml:space="preserve">    Q</t>
    </r>
    <r>
      <rPr>
        <i/>
        <sz val="8"/>
        <rFont val="Arial"/>
        <family val="2"/>
      </rPr>
      <t>H,gen,out,12</t>
    </r>
    <r>
      <rPr>
        <sz val="11"/>
        <color theme="1"/>
        <rFont val="Calibri"/>
        <family val="2"/>
        <scheme val="minor"/>
      </rPr>
      <t/>
    </r>
  </si>
  <si>
    <t>Cooling generator output for cooling and dhum</t>
  </si>
  <si>
    <r>
      <t>Q</t>
    </r>
    <r>
      <rPr>
        <i/>
        <sz val="8"/>
        <rFont val="Arial"/>
        <family val="2"/>
      </rPr>
      <t>C,gen,out</t>
    </r>
  </si>
  <si>
    <r>
      <t xml:space="preserve">    Q</t>
    </r>
    <r>
      <rPr>
        <i/>
        <sz val="8"/>
        <rFont val="Arial"/>
        <family val="2"/>
      </rPr>
      <t>C,gen,out,1</t>
    </r>
  </si>
  <si>
    <r>
      <t xml:space="preserve">    Q</t>
    </r>
    <r>
      <rPr>
        <i/>
        <sz val="8"/>
        <rFont val="Arial"/>
        <family val="2"/>
      </rPr>
      <t>C,gen,out,2</t>
    </r>
    <r>
      <rPr>
        <sz val="11"/>
        <color theme="1"/>
        <rFont val="Calibri"/>
        <family val="2"/>
        <scheme val="minor"/>
      </rPr>
      <t/>
    </r>
  </si>
  <si>
    <r>
      <t xml:space="preserve">    Q</t>
    </r>
    <r>
      <rPr>
        <i/>
        <sz val="8"/>
        <rFont val="Arial"/>
        <family val="2"/>
      </rPr>
      <t>C,gen,out,3</t>
    </r>
    <r>
      <rPr>
        <sz val="11"/>
        <color theme="1"/>
        <rFont val="Calibri"/>
        <family val="2"/>
        <scheme val="minor"/>
      </rPr>
      <t/>
    </r>
  </si>
  <si>
    <r>
      <t xml:space="preserve">    Q</t>
    </r>
    <r>
      <rPr>
        <i/>
        <sz val="8"/>
        <rFont val="Arial"/>
        <family val="2"/>
      </rPr>
      <t>C,gen,out,4</t>
    </r>
    <r>
      <rPr>
        <sz val="11"/>
        <color theme="1"/>
        <rFont val="Calibri"/>
        <family val="2"/>
        <scheme val="minor"/>
      </rPr>
      <t/>
    </r>
  </si>
  <si>
    <r>
      <t xml:space="preserve">    Q</t>
    </r>
    <r>
      <rPr>
        <i/>
        <sz val="8"/>
        <rFont val="Arial"/>
        <family val="2"/>
      </rPr>
      <t>C,gen,out,5</t>
    </r>
    <r>
      <rPr>
        <sz val="11"/>
        <color theme="1"/>
        <rFont val="Calibri"/>
        <family val="2"/>
        <scheme val="minor"/>
      </rPr>
      <t/>
    </r>
  </si>
  <si>
    <r>
      <t xml:space="preserve">    Q</t>
    </r>
    <r>
      <rPr>
        <i/>
        <sz val="8"/>
        <rFont val="Arial"/>
        <family val="2"/>
      </rPr>
      <t>C,gen,out,6</t>
    </r>
    <r>
      <rPr>
        <sz val="11"/>
        <color theme="1"/>
        <rFont val="Calibri"/>
        <family val="2"/>
        <scheme val="minor"/>
      </rPr>
      <t/>
    </r>
  </si>
  <si>
    <r>
      <t xml:space="preserve">    Q</t>
    </r>
    <r>
      <rPr>
        <i/>
        <sz val="8"/>
        <rFont val="Arial"/>
        <family val="2"/>
      </rPr>
      <t>C,gen,out,7</t>
    </r>
    <r>
      <rPr>
        <sz val="11"/>
        <color theme="1"/>
        <rFont val="Calibri"/>
        <family val="2"/>
        <scheme val="minor"/>
      </rPr>
      <t/>
    </r>
  </si>
  <si>
    <r>
      <t xml:space="preserve">    Q</t>
    </r>
    <r>
      <rPr>
        <i/>
        <sz val="8"/>
        <rFont val="Arial"/>
        <family val="2"/>
      </rPr>
      <t>C,gen,out,8</t>
    </r>
    <r>
      <rPr>
        <sz val="11"/>
        <color theme="1"/>
        <rFont val="Calibri"/>
        <family val="2"/>
        <scheme val="minor"/>
      </rPr>
      <t/>
    </r>
  </si>
  <si>
    <r>
      <t xml:space="preserve">    Q</t>
    </r>
    <r>
      <rPr>
        <i/>
        <sz val="8"/>
        <rFont val="Arial"/>
        <family val="2"/>
      </rPr>
      <t>C,gen,out,9</t>
    </r>
    <r>
      <rPr>
        <sz val="11"/>
        <color theme="1"/>
        <rFont val="Calibri"/>
        <family val="2"/>
        <scheme val="minor"/>
      </rPr>
      <t/>
    </r>
  </si>
  <si>
    <r>
      <t xml:space="preserve">    Q</t>
    </r>
    <r>
      <rPr>
        <i/>
        <sz val="8"/>
        <rFont val="Arial"/>
        <family val="2"/>
      </rPr>
      <t>C,gen,out,10</t>
    </r>
    <r>
      <rPr>
        <sz val="11"/>
        <color theme="1"/>
        <rFont val="Calibri"/>
        <family val="2"/>
        <scheme val="minor"/>
      </rPr>
      <t/>
    </r>
  </si>
  <si>
    <r>
      <t xml:space="preserve">    Q</t>
    </r>
    <r>
      <rPr>
        <i/>
        <sz val="8"/>
        <rFont val="Arial"/>
        <family val="2"/>
      </rPr>
      <t>C,gen,out,11</t>
    </r>
    <r>
      <rPr>
        <sz val="11"/>
        <color theme="1"/>
        <rFont val="Calibri"/>
        <family val="2"/>
        <scheme val="minor"/>
      </rPr>
      <t/>
    </r>
  </si>
  <si>
    <r>
      <t xml:space="preserve">    Q</t>
    </r>
    <r>
      <rPr>
        <i/>
        <sz val="8"/>
        <rFont val="Arial"/>
        <family val="2"/>
      </rPr>
      <t>C,gen,out,12</t>
    </r>
    <r>
      <rPr>
        <sz val="11"/>
        <color theme="1"/>
        <rFont val="Calibri"/>
        <family val="2"/>
        <scheme val="minor"/>
      </rPr>
      <t/>
    </r>
  </si>
  <si>
    <t>Heating system auxiliaries except generation</t>
  </si>
  <si>
    <t>Cooling system auxiliaries except generation</t>
  </si>
  <si>
    <t>Dhw system auxiliaries except generation</t>
  </si>
  <si>
    <r>
      <t>W</t>
    </r>
    <r>
      <rPr>
        <i/>
        <sz val="8"/>
        <rFont val="Arial"/>
        <family val="2"/>
      </rPr>
      <t>H,ngen,aux</t>
    </r>
  </si>
  <si>
    <r>
      <t>W</t>
    </r>
    <r>
      <rPr>
        <i/>
        <sz val="8"/>
        <rFont val="Arial"/>
        <family val="2"/>
      </rPr>
      <t>C,ngen,aux</t>
    </r>
  </si>
  <si>
    <r>
      <t>W</t>
    </r>
    <r>
      <rPr>
        <i/>
        <sz val="8"/>
        <rFont val="Arial"/>
        <family val="2"/>
      </rPr>
      <t>W,ngen,aux</t>
    </r>
  </si>
  <si>
    <r>
      <t xml:space="preserve">    W</t>
    </r>
    <r>
      <rPr>
        <i/>
        <sz val="8"/>
        <rFont val="Arial"/>
        <family val="2"/>
      </rPr>
      <t>H,ngen,aux,1</t>
    </r>
  </si>
  <si>
    <r>
      <t xml:space="preserve">    W</t>
    </r>
    <r>
      <rPr>
        <i/>
        <sz val="8"/>
        <rFont val="Arial"/>
        <family val="2"/>
      </rPr>
      <t>H,ngen,aux,2</t>
    </r>
    <r>
      <rPr>
        <sz val="11"/>
        <color theme="1"/>
        <rFont val="Calibri"/>
        <family val="2"/>
        <scheme val="minor"/>
      </rPr>
      <t/>
    </r>
  </si>
  <si>
    <r>
      <t xml:space="preserve">    W</t>
    </r>
    <r>
      <rPr>
        <i/>
        <sz val="8"/>
        <rFont val="Arial"/>
        <family val="2"/>
      </rPr>
      <t>H,ngen,aux,3</t>
    </r>
    <r>
      <rPr>
        <sz val="11"/>
        <color theme="1"/>
        <rFont val="Calibri"/>
        <family val="2"/>
        <scheme val="minor"/>
      </rPr>
      <t/>
    </r>
  </si>
  <si>
    <r>
      <t xml:space="preserve">    W</t>
    </r>
    <r>
      <rPr>
        <i/>
        <sz val="8"/>
        <rFont val="Arial"/>
        <family val="2"/>
      </rPr>
      <t>H,ngen,aux,4</t>
    </r>
    <r>
      <rPr>
        <sz val="11"/>
        <color theme="1"/>
        <rFont val="Calibri"/>
        <family val="2"/>
        <scheme val="minor"/>
      </rPr>
      <t/>
    </r>
  </si>
  <si>
    <r>
      <t xml:space="preserve">    W</t>
    </r>
    <r>
      <rPr>
        <i/>
        <sz val="8"/>
        <rFont val="Arial"/>
        <family val="2"/>
      </rPr>
      <t>H,ngen,aux,5</t>
    </r>
    <r>
      <rPr>
        <sz val="11"/>
        <color theme="1"/>
        <rFont val="Calibri"/>
        <family val="2"/>
        <scheme val="minor"/>
      </rPr>
      <t/>
    </r>
  </si>
  <si>
    <r>
      <t xml:space="preserve">    W</t>
    </r>
    <r>
      <rPr>
        <i/>
        <sz val="8"/>
        <rFont val="Arial"/>
        <family val="2"/>
      </rPr>
      <t>H,ngen,aux,6</t>
    </r>
    <r>
      <rPr>
        <sz val="11"/>
        <color theme="1"/>
        <rFont val="Calibri"/>
        <family val="2"/>
        <scheme val="minor"/>
      </rPr>
      <t/>
    </r>
  </si>
  <si>
    <r>
      <t xml:space="preserve">    W</t>
    </r>
    <r>
      <rPr>
        <i/>
        <sz val="8"/>
        <rFont val="Arial"/>
        <family val="2"/>
      </rPr>
      <t>H,ngen,aux,7</t>
    </r>
    <r>
      <rPr>
        <sz val="11"/>
        <color theme="1"/>
        <rFont val="Calibri"/>
        <family val="2"/>
        <scheme val="minor"/>
      </rPr>
      <t/>
    </r>
  </si>
  <si>
    <r>
      <t xml:space="preserve">    W</t>
    </r>
    <r>
      <rPr>
        <i/>
        <sz val="8"/>
        <rFont val="Arial"/>
        <family val="2"/>
      </rPr>
      <t>H,ngen,aux,8</t>
    </r>
    <r>
      <rPr>
        <sz val="11"/>
        <color theme="1"/>
        <rFont val="Calibri"/>
        <family val="2"/>
        <scheme val="minor"/>
      </rPr>
      <t/>
    </r>
  </si>
  <si>
    <r>
      <t xml:space="preserve">    W</t>
    </r>
    <r>
      <rPr>
        <i/>
        <sz val="8"/>
        <rFont val="Arial"/>
        <family val="2"/>
      </rPr>
      <t>H,ngen,aux,9</t>
    </r>
    <r>
      <rPr>
        <sz val="11"/>
        <color theme="1"/>
        <rFont val="Calibri"/>
        <family val="2"/>
        <scheme val="minor"/>
      </rPr>
      <t/>
    </r>
  </si>
  <si>
    <r>
      <t xml:space="preserve">    W</t>
    </r>
    <r>
      <rPr>
        <i/>
        <sz val="8"/>
        <rFont val="Arial"/>
        <family val="2"/>
      </rPr>
      <t>H,ngen,aux,10</t>
    </r>
    <r>
      <rPr>
        <sz val="11"/>
        <color theme="1"/>
        <rFont val="Calibri"/>
        <family val="2"/>
        <scheme val="minor"/>
      </rPr>
      <t/>
    </r>
  </si>
  <si>
    <r>
      <t xml:space="preserve">    W</t>
    </r>
    <r>
      <rPr>
        <i/>
        <sz val="8"/>
        <rFont val="Arial"/>
        <family val="2"/>
      </rPr>
      <t>H,ngen,aux,11</t>
    </r>
    <r>
      <rPr>
        <sz val="11"/>
        <color theme="1"/>
        <rFont val="Calibri"/>
        <family val="2"/>
        <scheme val="minor"/>
      </rPr>
      <t/>
    </r>
  </si>
  <si>
    <r>
      <t xml:space="preserve">    W</t>
    </r>
    <r>
      <rPr>
        <i/>
        <sz val="8"/>
        <rFont val="Arial"/>
        <family val="2"/>
      </rPr>
      <t>H,ngen,aux,12</t>
    </r>
    <r>
      <rPr>
        <sz val="11"/>
        <color theme="1"/>
        <rFont val="Calibri"/>
        <family val="2"/>
        <scheme val="minor"/>
      </rPr>
      <t/>
    </r>
  </si>
  <si>
    <r>
      <t xml:space="preserve">   W</t>
    </r>
    <r>
      <rPr>
        <i/>
        <sz val="8"/>
        <rFont val="Arial"/>
        <family val="2"/>
      </rPr>
      <t>W,ngen,aux,1</t>
    </r>
  </si>
  <si>
    <r>
      <t xml:space="preserve">   W</t>
    </r>
    <r>
      <rPr>
        <i/>
        <sz val="8"/>
        <rFont val="Arial"/>
        <family val="2"/>
      </rPr>
      <t>W,ngen,aux,2</t>
    </r>
    <r>
      <rPr>
        <sz val="11"/>
        <color theme="1"/>
        <rFont val="Calibri"/>
        <family val="2"/>
        <scheme val="minor"/>
      </rPr>
      <t/>
    </r>
  </si>
  <si>
    <r>
      <t xml:space="preserve">   W</t>
    </r>
    <r>
      <rPr>
        <i/>
        <sz val="8"/>
        <rFont val="Arial"/>
        <family val="2"/>
      </rPr>
      <t>W,ngen,aux,3</t>
    </r>
    <r>
      <rPr>
        <sz val="11"/>
        <color theme="1"/>
        <rFont val="Calibri"/>
        <family val="2"/>
        <scheme val="minor"/>
      </rPr>
      <t/>
    </r>
  </si>
  <si>
    <r>
      <t xml:space="preserve">   W</t>
    </r>
    <r>
      <rPr>
        <i/>
        <sz val="8"/>
        <rFont val="Arial"/>
        <family val="2"/>
      </rPr>
      <t>W,ngen,aux,4</t>
    </r>
    <r>
      <rPr>
        <sz val="11"/>
        <color theme="1"/>
        <rFont val="Calibri"/>
        <family val="2"/>
        <scheme val="minor"/>
      </rPr>
      <t/>
    </r>
  </si>
  <si>
    <r>
      <t xml:space="preserve">   W</t>
    </r>
    <r>
      <rPr>
        <i/>
        <sz val="8"/>
        <rFont val="Arial"/>
        <family val="2"/>
      </rPr>
      <t>W,ngen,aux,5</t>
    </r>
    <r>
      <rPr>
        <sz val="11"/>
        <color theme="1"/>
        <rFont val="Calibri"/>
        <family val="2"/>
        <scheme val="minor"/>
      </rPr>
      <t/>
    </r>
  </si>
  <si>
    <r>
      <t xml:space="preserve">   W</t>
    </r>
    <r>
      <rPr>
        <i/>
        <sz val="8"/>
        <rFont val="Arial"/>
        <family val="2"/>
      </rPr>
      <t>W,ngen,aux,6</t>
    </r>
    <r>
      <rPr>
        <sz val="11"/>
        <color theme="1"/>
        <rFont val="Calibri"/>
        <family val="2"/>
        <scheme val="minor"/>
      </rPr>
      <t/>
    </r>
  </si>
  <si>
    <r>
      <t xml:space="preserve">   W</t>
    </r>
    <r>
      <rPr>
        <i/>
        <sz val="8"/>
        <rFont val="Arial"/>
        <family val="2"/>
      </rPr>
      <t>W,ngen,aux,7</t>
    </r>
    <r>
      <rPr>
        <sz val="11"/>
        <color theme="1"/>
        <rFont val="Calibri"/>
        <family val="2"/>
        <scheme val="minor"/>
      </rPr>
      <t/>
    </r>
  </si>
  <si>
    <r>
      <t xml:space="preserve">   W</t>
    </r>
    <r>
      <rPr>
        <i/>
        <sz val="8"/>
        <rFont val="Arial"/>
        <family val="2"/>
      </rPr>
      <t>W,ngen,aux,8</t>
    </r>
    <r>
      <rPr>
        <sz val="11"/>
        <color theme="1"/>
        <rFont val="Calibri"/>
        <family val="2"/>
        <scheme val="minor"/>
      </rPr>
      <t/>
    </r>
  </si>
  <si>
    <r>
      <t xml:space="preserve">   W</t>
    </r>
    <r>
      <rPr>
        <i/>
        <sz val="8"/>
        <rFont val="Arial"/>
        <family val="2"/>
      </rPr>
      <t>W,ngen,aux,9</t>
    </r>
    <r>
      <rPr>
        <sz val="11"/>
        <color theme="1"/>
        <rFont val="Calibri"/>
        <family val="2"/>
        <scheme val="minor"/>
      </rPr>
      <t/>
    </r>
  </si>
  <si>
    <r>
      <t xml:space="preserve">   W</t>
    </r>
    <r>
      <rPr>
        <i/>
        <sz val="8"/>
        <rFont val="Arial"/>
        <family val="2"/>
      </rPr>
      <t>W,ngen,aux,10</t>
    </r>
    <r>
      <rPr>
        <sz val="11"/>
        <color theme="1"/>
        <rFont val="Calibri"/>
        <family val="2"/>
        <scheme val="minor"/>
      </rPr>
      <t/>
    </r>
  </si>
  <si>
    <r>
      <t xml:space="preserve">   W</t>
    </r>
    <r>
      <rPr>
        <i/>
        <sz val="8"/>
        <rFont val="Arial"/>
        <family val="2"/>
      </rPr>
      <t>W,ngen,aux,11</t>
    </r>
    <r>
      <rPr>
        <sz val="11"/>
        <color theme="1"/>
        <rFont val="Calibri"/>
        <family val="2"/>
        <scheme val="minor"/>
      </rPr>
      <t/>
    </r>
  </si>
  <si>
    <r>
      <t xml:space="preserve">   W</t>
    </r>
    <r>
      <rPr>
        <i/>
        <sz val="8"/>
        <rFont val="Arial"/>
        <family val="2"/>
      </rPr>
      <t>W,ngen,aux,12</t>
    </r>
    <r>
      <rPr>
        <sz val="11"/>
        <color theme="1"/>
        <rFont val="Calibri"/>
        <family val="2"/>
        <scheme val="minor"/>
      </rPr>
      <t/>
    </r>
  </si>
  <si>
    <r>
      <t xml:space="preserve">   W</t>
    </r>
    <r>
      <rPr>
        <i/>
        <sz val="8"/>
        <rFont val="Arial"/>
        <family val="2"/>
      </rPr>
      <t>C,ngen,aux,1</t>
    </r>
  </si>
  <si>
    <r>
      <t xml:space="preserve">   W</t>
    </r>
    <r>
      <rPr>
        <i/>
        <sz val="8"/>
        <rFont val="Arial"/>
        <family val="2"/>
      </rPr>
      <t>C,ngen,aux,2</t>
    </r>
    <r>
      <rPr>
        <sz val="11"/>
        <color theme="1"/>
        <rFont val="Calibri"/>
        <family val="2"/>
        <scheme val="minor"/>
      </rPr>
      <t/>
    </r>
  </si>
  <si>
    <r>
      <t xml:space="preserve">   W</t>
    </r>
    <r>
      <rPr>
        <i/>
        <sz val="8"/>
        <rFont val="Arial"/>
        <family val="2"/>
      </rPr>
      <t>C,ngen,aux,3</t>
    </r>
    <r>
      <rPr>
        <sz val="11"/>
        <color theme="1"/>
        <rFont val="Calibri"/>
        <family val="2"/>
        <scheme val="minor"/>
      </rPr>
      <t/>
    </r>
  </si>
  <si>
    <r>
      <t xml:space="preserve">   W</t>
    </r>
    <r>
      <rPr>
        <i/>
        <sz val="8"/>
        <rFont val="Arial"/>
        <family val="2"/>
      </rPr>
      <t>C,ngen,aux,4</t>
    </r>
    <r>
      <rPr>
        <sz val="11"/>
        <color theme="1"/>
        <rFont val="Calibri"/>
        <family val="2"/>
        <scheme val="minor"/>
      </rPr>
      <t/>
    </r>
  </si>
  <si>
    <r>
      <t xml:space="preserve">   W</t>
    </r>
    <r>
      <rPr>
        <i/>
        <sz val="8"/>
        <rFont val="Arial"/>
        <family val="2"/>
      </rPr>
      <t>C,ngen,aux,5</t>
    </r>
    <r>
      <rPr>
        <sz val="11"/>
        <color theme="1"/>
        <rFont val="Calibri"/>
        <family val="2"/>
        <scheme val="minor"/>
      </rPr>
      <t/>
    </r>
  </si>
  <si>
    <r>
      <t xml:space="preserve">   W</t>
    </r>
    <r>
      <rPr>
        <i/>
        <sz val="8"/>
        <rFont val="Arial"/>
        <family val="2"/>
      </rPr>
      <t>C,ngen,aux,6</t>
    </r>
    <r>
      <rPr>
        <sz val="11"/>
        <color theme="1"/>
        <rFont val="Calibri"/>
        <family val="2"/>
        <scheme val="minor"/>
      </rPr>
      <t/>
    </r>
  </si>
  <si>
    <r>
      <t xml:space="preserve">   W</t>
    </r>
    <r>
      <rPr>
        <i/>
        <sz val="8"/>
        <rFont val="Arial"/>
        <family val="2"/>
      </rPr>
      <t>C,ngen,aux,7</t>
    </r>
    <r>
      <rPr>
        <sz val="11"/>
        <color theme="1"/>
        <rFont val="Calibri"/>
        <family val="2"/>
        <scheme val="minor"/>
      </rPr>
      <t/>
    </r>
  </si>
  <si>
    <r>
      <t xml:space="preserve">   W</t>
    </r>
    <r>
      <rPr>
        <i/>
        <sz val="8"/>
        <rFont val="Arial"/>
        <family val="2"/>
      </rPr>
      <t>C,ngen,aux,8</t>
    </r>
    <r>
      <rPr>
        <sz val="11"/>
        <color theme="1"/>
        <rFont val="Calibri"/>
        <family val="2"/>
        <scheme val="minor"/>
      </rPr>
      <t/>
    </r>
  </si>
  <si>
    <r>
      <t xml:space="preserve">   W</t>
    </r>
    <r>
      <rPr>
        <i/>
        <sz val="8"/>
        <rFont val="Arial"/>
        <family val="2"/>
      </rPr>
      <t>C,ngen,aux,9</t>
    </r>
    <r>
      <rPr>
        <sz val="11"/>
        <color theme="1"/>
        <rFont val="Calibri"/>
        <family val="2"/>
        <scheme val="minor"/>
      </rPr>
      <t/>
    </r>
  </si>
  <si>
    <r>
      <t xml:space="preserve">   W</t>
    </r>
    <r>
      <rPr>
        <i/>
        <sz val="8"/>
        <rFont val="Arial"/>
        <family val="2"/>
      </rPr>
      <t>C,ngen,aux,10</t>
    </r>
    <r>
      <rPr>
        <sz val="11"/>
        <color theme="1"/>
        <rFont val="Calibri"/>
        <family val="2"/>
        <scheme val="minor"/>
      </rPr>
      <t/>
    </r>
  </si>
  <si>
    <r>
      <t xml:space="preserve">   W</t>
    </r>
    <r>
      <rPr>
        <i/>
        <sz val="8"/>
        <rFont val="Arial"/>
        <family val="2"/>
      </rPr>
      <t>C,ngen,aux,11</t>
    </r>
    <r>
      <rPr>
        <sz val="11"/>
        <color theme="1"/>
        <rFont val="Calibri"/>
        <family val="2"/>
        <scheme val="minor"/>
      </rPr>
      <t/>
    </r>
  </si>
  <si>
    <r>
      <t xml:space="preserve">   W</t>
    </r>
    <r>
      <rPr>
        <i/>
        <sz val="8"/>
        <rFont val="Arial"/>
        <family val="2"/>
      </rPr>
      <t>C,ngen,aux,12</t>
    </r>
    <r>
      <rPr>
        <sz val="11"/>
        <color theme="1"/>
        <rFont val="Calibri"/>
        <family val="2"/>
        <scheme val="minor"/>
      </rPr>
      <t/>
    </r>
  </si>
  <si>
    <t>Thermal solar auxiliaries</t>
  </si>
  <si>
    <r>
      <t>W</t>
    </r>
    <r>
      <rPr>
        <i/>
        <sz val="8"/>
        <rFont val="Arial"/>
        <family val="2"/>
      </rPr>
      <t>W,sol,aux</t>
    </r>
  </si>
  <si>
    <r>
      <t xml:space="preserve">   W</t>
    </r>
    <r>
      <rPr>
        <i/>
        <sz val="8"/>
        <rFont val="Arial"/>
        <family val="2"/>
      </rPr>
      <t>W,sol,aux,1</t>
    </r>
  </si>
  <si>
    <r>
      <t xml:space="preserve">   W</t>
    </r>
    <r>
      <rPr>
        <i/>
        <sz val="8"/>
        <rFont val="Arial"/>
        <family val="2"/>
      </rPr>
      <t>W,sol,aux,2</t>
    </r>
    <r>
      <rPr>
        <sz val="11"/>
        <color theme="1"/>
        <rFont val="Calibri"/>
        <family val="2"/>
        <scheme val="minor"/>
      </rPr>
      <t/>
    </r>
  </si>
  <si>
    <r>
      <t xml:space="preserve">   W</t>
    </r>
    <r>
      <rPr>
        <i/>
        <sz val="8"/>
        <rFont val="Arial"/>
        <family val="2"/>
      </rPr>
      <t>W,sol,aux,3</t>
    </r>
    <r>
      <rPr>
        <sz val="11"/>
        <color theme="1"/>
        <rFont val="Calibri"/>
        <family val="2"/>
        <scheme val="minor"/>
      </rPr>
      <t/>
    </r>
  </si>
  <si>
    <r>
      <t xml:space="preserve">   W</t>
    </r>
    <r>
      <rPr>
        <i/>
        <sz val="8"/>
        <rFont val="Arial"/>
        <family val="2"/>
      </rPr>
      <t>W,sol,aux,4</t>
    </r>
    <r>
      <rPr>
        <sz val="11"/>
        <color theme="1"/>
        <rFont val="Calibri"/>
        <family val="2"/>
        <scheme val="minor"/>
      </rPr>
      <t/>
    </r>
  </si>
  <si>
    <r>
      <t xml:space="preserve">   W</t>
    </r>
    <r>
      <rPr>
        <i/>
        <sz val="8"/>
        <rFont val="Arial"/>
        <family val="2"/>
      </rPr>
      <t>W,sol,aux,5</t>
    </r>
    <r>
      <rPr>
        <sz val="11"/>
        <color theme="1"/>
        <rFont val="Calibri"/>
        <family val="2"/>
        <scheme val="minor"/>
      </rPr>
      <t/>
    </r>
  </si>
  <si>
    <r>
      <t xml:space="preserve">   W</t>
    </r>
    <r>
      <rPr>
        <i/>
        <sz val="8"/>
        <rFont val="Arial"/>
        <family val="2"/>
      </rPr>
      <t>W,sol,aux,6</t>
    </r>
    <r>
      <rPr>
        <sz val="11"/>
        <color theme="1"/>
        <rFont val="Calibri"/>
        <family val="2"/>
        <scheme val="minor"/>
      </rPr>
      <t/>
    </r>
  </si>
  <si>
    <r>
      <t xml:space="preserve">   W</t>
    </r>
    <r>
      <rPr>
        <i/>
        <sz val="8"/>
        <rFont val="Arial"/>
        <family val="2"/>
      </rPr>
      <t>W,sol,aux,7</t>
    </r>
    <r>
      <rPr>
        <sz val="11"/>
        <color theme="1"/>
        <rFont val="Calibri"/>
        <family val="2"/>
        <scheme val="minor"/>
      </rPr>
      <t/>
    </r>
  </si>
  <si>
    <r>
      <t xml:space="preserve">   W</t>
    </r>
    <r>
      <rPr>
        <i/>
        <sz val="8"/>
        <rFont val="Arial"/>
        <family val="2"/>
      </rPr>
      <t>W,sol,aux,8</t>
    </r>
    <r>
      <rPr>
        <sz val="11"/>
        <color theme="1"/>
        <rFont val="Calibri"/>
        <family val="2"/>
        <scheme val="minor"/>
      </rPr>
      <t/>
    </r>
  </si>
  <si>
    <r>
      <t xml:space="preserve">   W</t>
    </r>
    <r>
      <rPr>
        <i/>
        <sz val="8"/>
        <rFont val="Arial"/>
        <family val="2"/>
      </rPr>
      <t>W,sol,aux,9</t>
    </r>
    <r>
      <rPr>
        <sz val="11"/>
        <color theme="1"/>
        <rFont val="Calibri"/>
        <family val="2"/>
        <scheme val="minor"/>
      </rPr>
      <t/>
    </r>
  </si>
  <si>
    <r>
      <t xml:space="preserve">   W</t>
    </r>
    <r>
      <rPr>
        <i/>
        <sz val="8"/>
        <rFont val="Arial"/>
        <family val="2"/>
      </rPr>
      <t>W,sol,aux,10</t>
    </r>
    <r>
      <rPr>
        <sz val="11"/>
        <color theme="1"/>
        <rFont val="Calibri"/>
        <family val="2"/>
        <scheme val="minor"/>
      </rPr>
      <t/>
    </r>
  </si>
  <si>
    <r>
      <t xml:space="preserve">   W</t>
    </r>
    <r>
      <rPr>
        <i/>
        <sz val="8"/>
        <rFont val="Arial"/>
        <family val="2"/>
      </rPr>
      <t>W,sol,aux,11</t>
    </r>
    <r>
      <rPr>
        <sz val="11"/>
        <color theme="1"/>
        <rFont val="Calibri"/>
        <family val="2"/>
        <scheme val="minor"/>
      </rPr>
      <t/>
    </r>
  </si>
  <si>
    <r>
      <t xml:space="preserve">   W</t>
    </r>
    <r>
      <rPr>
        <i/>
        <sz val="8"/>
        <rFont val="Arial"/>
        <family val="2"/>
      </rPr>
      <t>W,sol,aux,12</t>
    </r>
    <r>
      <rPr>
        <sz val="11"/>
        <color theme="1"/>
        <rFont val="Calibri"/>
        <family val="2"/>
        <scheme val="minor"/>
      </rPr>
      <t/>
    </r>
  </si>
  <si>
    <t>Heat generator output for heating, hum and dhw</t>
  </si>
  <si>
    <r>
      <t>Q</t>
    </r>
    <r>
      <rPr>
        <i/>
        <sz val="8"/>
        <rFont val="Arial"/>
        <family val="2"/>
      </rPr>
      <t>HW,gen,out</t>
    </r>
  </si>
  <si>
    <r>
      <t xml:space="preserve">    Q</t>
    </r>
    <r>
      <rPr>
        <i/>
        <sz val="8"/>
        <rFont val="Arial"/>
        <family val="2"/>
      </rPr>
      <t>HW,gen,out,1</t>
    </r>
  </si>
  <si>
    <r>
      <t xml:space="preserve">    Q</t>
    </r>
    <r>
      <rPr>
        <i/>
        <sz val="8"/>
        <rFont val="Arial"/>
        <family val="2"/>
      </rPr>
      <t>HW,gen,out,2</t>
    </r>
    <r>
      <rPr>
        <sz val="11"/>
        <color theme="1"/>
        <rFont val="Calibri"/>
        <family val="2"/>
        <scheme val="minor"/>
      </rPr>
      <t/>
    </r>
  </si>
  <si>
    <r>
      <t xml:space="preserve">    Q</t>
    </r>
    <r>
      <rPr>
        <i/>
        <sz val="8"/>
        <rFont val="Arial"/>
        <family val="2"/>
      </rPr>
      <t>HW,gen,out,3</t>
    </r>
    <r>
      <rPr>
        <sz val="11"/>
        <color theme="1"/>
        <rFont val="Calibri"/>
        <family val="2"/>
        <scheme val="minor"/>
      </rPr>
      <t/>
    </r>
  </si>
  <si>
    <r>
      <t xml:space="preserve">    Q</t>
    </r>
    <r>
      <rPr>
        <i/>
        <sz val="8"/>
        <rFont val="Arial"/>
        <family val="2"/>
      </rPr>
      <t>HW,gen,out,4</t>
    </r>
    <r>
      <rPr>
        <sz val="11"/>
        <color theme="1"/>
        <rFont val="Calibri"/>
        <family val="2"/>
        <scheme val="minor"/>
      </rPr>
      <t/>
    </r>
  </si>
  <si>
    <r>
      <t xml:space="preserve">    Q</t>
    </r>
    <r>
      <rPr>
        <i/>
        <sz val="8"/>
        <rFont val="Arial"/>
        <family val="2"/>
      </rPr>
      <t>HW,gen,out,5</t>
    </r>
    <r>
      <rPr>
        <sz val="11"/>
        <color theme="1"/>
        <rFont val="Calibri"/>
        <family val="2"/>
        <scheme val="minor"/>
      </rPr>
      <t/>
    </r>
  </si>
  <si>
    <r>
      <t xml:space="preserve">    Q</t>
    </r>
    <r>
      <rPr>
        <i/>
        <sz val="8"/>
        <rFont val="Arial"/>
        <family val="2"/>
      </rPr>
      <t>HW,gen,out,6</t>
    </r>
    <r>
      <rPr>
        <sz val="11"/>
        <color theme="1"/>
        <rFont val="Calibri"/>
        <family val="2"/>
        <scheme val="minor"/>
      </rPr>
      <t/>
    </r>
  </si>
  <si>
    <r>
      <t xml:space="preserve">    Q</t>
    </r>
    <r>
      <rPr>
        <i/>
        <sz val="8"/>
        <rFont val="Arial"/>
        <family val="2"/>
      </rPr>
      <t>HW,gen,out,7</t>
    </r>
    <r>
      <rPr>
        <sz val="11"/>
        <color theme="1"/>
        <rFont val="Calibri"/>
        <family val="2"/>
        <scheme val="minor"/>
      </rPr>
      <t/>
    </r>
  </si>
  <si>
    <r>
      <t xml:space="preserve">    Q</t>
    </r>
    <r>
      <rPr>
        <i/>
        <sz val="8"/>
        <rFont val="Arial"/>
        <family val="2"/>
      </rPr>
      <t>HW,gen,out,8</t>
    </r>
    <r>
      <rPr>
        <sz val="11"/>
        <color theme="1"/>
        <rFont val="Calibri"/>
        <family val="2"/>
        <scheme val="minor"/>
      </rPr>
      <t/>
    </r>
  </si>
  <si>
    <r>
      <t xml:space="preserve">    Q</t>
    </r>
    <r>
      <rPr>
        <i/>
        <sz val="8"/>
        <rFont val="Arial"/>
        <family val="2"/>
      </rPr>
      <t>HW,gen,out,9</t>
    </r>
    <r>
      <rPr>
        <sz val="11"/>
        <color theme="1"/>
        <rFont val="Calibri"/>
        <family val="2"/>
        <scheme val="minor"/>
      </rPr>
      <t/>
    </r>
  </si>
  <si>
    <r>
      <t xml:space="preserve">    Q</t>
    </r>
    <r>
      <rPr>
        <i/>
        <sz val="8"/>
        <rFont val="Arial"/>
        <family val="2"/>
      </rPr>
      <t>HW,gen,out,10</t>
    </r>
    <r>
      <rPr>
        <sz val="11"/>
        <color theme="1"/>
        <rFont val="Calibri"/>
        <family val="2"/>
        <scheme val="minor"/>
      </rPr>
      <t/>
    </r>
  </si>
  <si>
    <r>
      <t xml:space="preserve">    Q</t>
    </r>
    <r>
      <rPr>
        <i/>
        <sz val="8"/>
        <rFont val="Arial"/>
        <family val="2"/>
      </rPr>
      <t>HW,gen,out,11</t>
    </r>
    <r>
      <rPr>
        <sz val="11"/>
        <color theme="1"/>
        <rFont val="Calibri"/>
        <family val="2"/>
        <scheme val="minor"/>
      </rPr>
      <t/>
    </r>
  </si>
  <si>
    <r>
      <t xml:space="preserve">    Q</t>
    </r>
    <r>
      <rPr>
        <i/>
        <sz val="8"/>
        <rFont val="Arial"/>
        <family val="2"/>
      </rPr>
      <t>HW,gen,out,12</t>
    </r>
    <r>
      <rPr>
        <sz val="11"/>
        <color theme="1"/>
        <rFont val="Calibri"/>
        <family val="2"/>
        <scheme val="minor"/>
      </rPr>
      <t/>
    </r>
  </si>
  <si>
    <t>Cogenerator max output</t>
  </si>
  <si>
    <t>biomass</t>
  </si>
  <si>
    <r>
      <t>f</t>
    </r>
    <r>
      <rPr>
        <sz val="8"/>
        <rFont val="Arial"/>
        <family val="2"/>
      </rPr>
      <t>P;nren,del;bmss</t>
    </r>
  </si>
  <si>
    <r>
      <t>K</t>
    </r>
    <r>
      <rPr>
        <sz val="8"/>
        <rFont val="Arial"/>
        <family val="2"/>
      </rPr>
      <t>CO2;del;bmss</t>
    </r>
  </si>
  <si>
    <t>Cogenerator thermal efficiency</t>
  </si>
  <si>
    <t>Cogenerator electric efficiency</t>
  </si>
  <si>
    <t>Cogenerator fuel</t>
  </si>
  <si>
    <t>Available fuel for cogen</t>
  </si>
  <si>
    <t>Cogenerator input</t>
  </si>
  <si>
    <t>Cogenerator heat output</t>
  </si>
  <si>
    <t>Cogenerator electric output</t>
  </si>
  <si>
    <r>
      <t>Q</t>
    </r>
    <r>
      <rPr>
        <i/>
        <sz val="8"/>
        <rFont val="Arial"/>
        <family val="2"/>
      </rPr>
      <t>HW,CHP,out,max</t>
    </r>
  </si>
  <si>
    <r>
      <rPr>
        <sz val="10"/>
        <rFont val="Calibri"/>
        <family val="2"/>
      </rPr>
      <t>η</t>
    </r>
    <r>
      <rPr>
        <i/>
        <sz val="8"/>
        <rFont val="Arial"/>
        <family val="2"/>
      </rPr>
      <t>CHP,th</t>
    </r>
  </si>
  <si>
    <r>
      <rPr>
        <sz val="10"/>
        <rFont val="Calibri"/>
        <family val="2"/>
      </rPr>
      <t>η</t>
    </r>
    <r>
      <rPr>
        <i/>
        <sz val="8"/>
        <rFont val="Arial"/>
        <family val="2"/>
      </rPr>
      <t>CHP,el</t>
    </r>
  </si>
  <si>
    <r>
      <t>Q</t>
    </r>
    <r>
      <rPr>
        <i/>
        <sz val="8"/>
        <rFont val="Arial"/>
        <family val="2"/>
      </rPr>
      <t>HW,CHP,out</t>
    </r>
  </si>
  <si>
    <r>
      <t xml:space="preserve">     Q</t>
    </r>
    <r>
      <rPr>
        <i/>
        <sz val="8"/>
        <rFont val="Arial"/>
        <family val="2"/>
      </rPr>
      <t>HW,CHP,out,1</t>
    </r>
  </si>
  <si>
    <r>
      <t xml:space="preserve">     Q</t>
    </r>
    <r>
      <rPr>
        <i/>
        <sz val="8"/>
        <rFont val="Arial"/>
        <family val="2"/>
      </rPr>
      <t>HW,CHP,out,2</t>
    </r>
    <r>
      <rPr>
        <sz val="11"/>
        <color theme="1"/>
        <rFont val="Calibri"/>
        <family val="2"/>
        <scheme val="minor"/>
      </rPr>
      <t/>
    </r>
  </si>
  <si>
    <r>
      <t xml:space="preserve">     Q</t>
    </r>
    <r>
      <rPr>
        <i/>
        <sz val="8"/>
        <rFont val="Arial"/>
        <family val="2"/>
      </rPr>
      <t>HW,CHP,out,3</t>
    </r>
    <r>
      <rPr>
        <sz val="11"/>
        <color theme="1"/>
        <rFont val="Calibri"/>
        <family val="2"/>
        <scheme val="minor"/>
      </rPr>
      <t/>
    </r>
  </si>
  <si>
    <r>
      <t xml:space="preserve">     Q</t>
    </r>
    <r>
      <rPr>
        <i/>
        <sz val="8"/>
        <rFont val="Arial"/>
        <family val="2"/>
      </rPr>
      <t>HW,CHP,out,4</t>
    </r>
    <r>
      <rPr>
        <sz val="11"/>
        <color theme="1"/>
        <rFont val="Calibri"/>
        <family val="2"/>
        <scheme val="minor"/>
      </rPr>
      <t/>
    </r>
  </si>
  <si>
    <r>
      <t xml:space="preserve">     Q</t>
    </r>
    <r>
      <rPr>
        <i/>
        <sz val="8"/>
        <rFont val="Arial"/>
        <family val="2"/>
      </rPr>
      <t>HW,CHP,out,5</t>
    </r>
    <r>
      <rPr>
        <sz val="11"/>
        <color theme="1"/>
        <rFont val="Calibri"/>
        <family val="2"/>
        <scheme val="minor"/>
      </rPr>
      <t/>
    </r>
  </si>
  <si>
    <r>
      <t xml:space="preserve">     Q</t>
    </r>
    <r>
      <rPr>
        <i/>
        <sz val="8"/>
        <rFont val="Arial"/>
        <family val="2"/>
      </rPr>
      <t>HW,CHP,out,6</t>
    </r>
    <r>
      <rPr>
        <sz val="11"/>
        <color theme="1"/>
        <rFont val="Calibri"/>
        <family val="2"/>
        <scheme val="minor"/>
      </rPr>
      <t/>
    </r>
  </si>
  <si>
    <r>
      <t xml:space="preserve">     Q</t>
    </r>
    <r>
      <rPr>
        <i/>
        <sz val="8"/>
        <rFont val="Arial"/>
        <family val="2"/>
      </rPr>
      <t>HW,CHP,out,7</t>
    </r>
    <r>
      <rPr>
        <sz val="11"/>
        <color theme="1"/>
        <rFont val="Calibri"/>
        <family val="2"/>
        <scheme val="minor"/>
      </rPr>
      <t/>
    </r>
  </si>
  <si>
    <r>
      <t xml:space="preserve">     Q</t>
    </r>
    <r>
      <rPr>
        <i/>
        <sz val="8"/>
        <rFont val="Arial"/>
        <family val="2"/>
      </rPr>
      <t>HW,CHP,out,8</t>
    </r>
    <r>
      <rPr>
        <sz val="11"/>
        <color theme="1"/>
        <rFont val="Calibri"/>
        <family val="2"/>
        <scheme val="minor"/>
      </rPr>
      <t/>
    </r>
  </si>
  <si>
    <r>
      <t xml:space="preserve">     Q</t>
    </r>
    <r>
      <rPr>
        <i/>
        <sz val="8"/>
        <rFont val="Arial"/>
        <family val="2"/>
      </rPr>
      <t>HW,CHP,out,9</t>
    </r>
    <r>
      <rPr>
        <sz val="11"/>
        <color theme="1"/>
        <rFont val="Calibri"/>
        <family val="2"/>
        <scheme val="minor"/>
      </rPr>
      <t/>
    </r>
  </si>
  <si>
    <r>
      <t xml:space="preserve">     Q</t>
    </r>
    <r>
      <rPr>
        <i/>
        <sz val="8"/>
        <rFont val="Arial"/>
        <family val="2"/>
      </rPr>
      <t>HW,CHP,out,10</t>
    </r>
    <r>
      <rPr>
        <sz val="11"/>
        <color theme="1"/>
        <rFont val="Calibri"/>
        <family val="2"/>
        <scheme val="minor"/>
      </rPr>
      <t/>
    </r>
  </si>
  <si>
    <r>
      <t xml:space="preserve">     Q</t>
    </r>
    <r>
      <rPr>
        <i/>
        <sz val="8"/>
        <rFont val="Arial"/>
        <family val="2"/>
      </rPr>
      <t>HW,CHP,out,11</t>
    </r>
    <r>
      <rPr>
        <sz val="11"/>
        <color theme="1"/>
        <rFont val="Calibri"/>
        <family val="2"/>
        <scheme val="minor"/>
      </rPr>
      <t/>
    </r>
  </si>
  <si>
    <r>
      <t xml:space="preserve">     Q</t>
    </r>
    <r>
      <rPr>
        <i/>
        <sz val="8"/>
        <rFont val="Arial"/>
        <family val="2"/>
      </rPr>
      <t>HW,CHP,out,12</t>
    </r>
    <r>
      <rPr>
        <sz val="11"/>
        <color theme="1"/>
        <rFont val="Calibri"/>
        <family val="2"/>
        <scheme val="minor"/>
      </rPr>
      <t/>
    </r>
  </si>
  <si>
    <r>
      <t xml:space="preserve">     E</t>
    </r>
    <r>
      <rPr>
        <i/>
        <sz val="8"/>
        <rFont val="Arial"/>
        <family val="2"/>
      </rPr>
      <t>HW,CHP,in,1</t>
    </r>
  </si>
  <si>
    <r>
      <t>E</t>
    </r>
    <r>
      <rPr>
        <i/>
        <sz val="8"/>
        <rFont val="Arial"/>
        <family val="2"/>
      </rPr>
      <t>HW,CHP,in</t>
    </r>
  </si>
  <si>
    <r>
      <t xml:space="preserve">     E</t>
    </r>
    <r>
      <rPr>
        <i/>
        <sz val="8"/>
        <rFont val="Arial"/>
        <family val="2"/>
      </rPr>
      <t>HW,CHP,in,2</t>
    </r>
    <r>
      <rPr>
        <sz val="11"/>
        <color theme="1"/>
        <rFont val="Calibri"/>
        <family val="2"/>
        <scheme val="minor"/>
      </rPr>
      <t/>
    </r>
  </si>
  <si>
    <r>
      <t xml:space="preserve">     E</t>
    </r>
    <r>
      <rPr>
        <i/>
        <sz val="8"/>
        <rFont val="Arial"/>
        <family val="2"/>
      </rPr>
      <t>HW,CHP,in,3</t>
    </r>
    <r>
      <rPr>
        <sz val="11"/>
        <color theme="1"/>
        <rFont val="Calibri"/>
        <family val="2"/>
        <scheme val="minor"/>
      </rPr>
      <t/>
    </r>
  </si>
  <si>
    <r>
      <t xml:space="preserve">     E</t>
    </r>
    <r>
      <rPr>
        <i/>
        <sz val="8"/>
        <rFont val="Arial"/>
        <family val="2"/>
      </rPr>
      <t>HW,CHP,in,4</t>
    </r>
    <r>
      <rPr>
        <sz val="11"/>
        <color theme="1"/>
        <rFont val="Calibri"/>
        <family val="2"/>
        <scheme val="minor"/>
      </rPr>
      <t/>
    </r>
  </si>
  <si>
    <r>
      <t xml:space="preserve">     E</t>
    </r>
    <r>
      <rPr>
        <i/>
        <sz val="8"/>
        <rFont val="Arial"/>
        <family val="2"/>
      </rPr>
      <t>HW,CHP,in,5</t>
    </r>
    <r>
      <rPr>
        <sz val="11"/>
        <color theme="1"/>
        <rFont val="Calibri"/>
        <family val="2"/>
        <scheme val="minor"/>
      </rPr>
      <t/>
    </r>
  </si>
  <si>
    <r>
      <t xml:space="preserve">     E</t>
    </r>
    <r>
      <rPr>
        <i/>
        <sz val="8"/>
        <rFont val="Arial"/>
        <family val="2"/>
      </rPr>
      <t>HW,CHP,in,6</t>
    </r>
    <r>
      <rPr>
        <sz val="11"/>
        <color theme="1"/>
        <rFont val="Calibri"/>
        <family val="2"/>
        <scheme val="minor"/>
      </rPr>
      <t/>
    </r>
  </si>
  <si>
    <r>
      <t xml:space="preserve">     E</t>
    </r>
    <r>
      <rPr>
        <i/>
        <sz val="8"/>
        <rFont val="Arial"/>
        <family val="2"/>
      </rPr>
      <t>HW,CHP,in,7</t>
    </r>
    <r>
      <rPr>
        <sz val="11"/>
        <color theme="1"/>
        <rFont val="Calibri"/>
        <family val="2"/>
        <scheme val="minor"/>
      </rPr>
      <t/>
    </r>
  </si>
  <si>
    <r>
      <t xml:space="preserve">     E</t>
    </r>
    <r>
      <rPr>
        <i/>
        <sz val="8"/>
        <rFont val="Arial"/>
        <family val="2"/>
      </rPr>
      <t>HW,CHP,in,8</t>
    </r>
    <r>
      <rPr>
        <sz val="11"/>
        <color theme="1"/>
        <rFont val="Calibri"/>
        <family val="2"/>
        <scheme val="minor"/>
      </rPr>
      <t/>
    </r>
  </si>
  <si>
    <r>
      <t xml:space="preserve">     E</t>
    </r>
    <r>
      <rPr>
        <i/>
        <sz val="8"/>
        <rFont val="Arial"/>
        <family val="2"/>
      </rPr>
      <t>HW,CHP,in,9</t>
    </r>
    <r>
      <rPr>
        <sz val="11"/>
        <color theme="1"/>
        <rFont val="Calibri"/>
        <family val="2"/>
        <scheme val="minor"/>
      </rPr>
      <t/>
    </r>
  </si>
  <si>
    <r>
      <t xml:space="preserve">     E</t>
    </r>
    <r>
      <rPr>
        <i/>
        <sz val="8"/>
        <rFont val="Arial"/>
        <family val="2"/>
      </rPr>
      <t>HW,CHP,in,10</t>
    </r>
    <r>
      <rPr>
        <sz val="11"/>
        <color theme="1"/>
        <rFont val="Calibri"/>
        <family val="2"/>
        <scheme val="minor"/>
      </rPr>
      <t/>
    </r>
  </si>
  <si>
    <r>
      <t xml:space="preserve">     E</t>
    </r>
    <r>
      <rPr>
        <i/>
        <sz val="8"/>
        <rFont val="Arial"/>
        <family val="2"/>
      </rPr>
      <t>HW,CHP,in,11</t>
    </r>
    <r>
      <rPr>
        <sz val="11"/>
        <color theme="1"/>
        <rFont val="Calibri"/>
        <family val="2"/>
        <scheme val="minor"/>
      </rPr>
      <t/>
    </r>
  </si>
  <si>
    <r>
      <t xml:space="preserve">     E</t>
    </r>
    <r>
      <rPr>
        <i/>
        <sz val="8"/>
        <rFont val="Arial"/>
        <family val="2"/>
      </rPr>
      <t>HW,CHP,in,12</t>
    </r>
    <r>
      <rPr>
        <sz val="11"/>
        <color theme="1"/>
        <rFont val="Calibri"/>
        <family val="2"/>
        <scheme val="minor"/>
      </rPr>
      <t/>
    </r>
  </si>
  <si>
    <r>
      <t>E</t>
    </r>
    <r>
      <rPr>
        <i/>
        <sz val="8"/>
        <rFont val="Arial"/>
        <family val="2"/>
      </rPr>
      <t>el,pr,CHP</t>
    </r>
  </si>
  <si>
    <r>
      <t xml:space="preserve">     E</t>
    </r>
    <r>
      <rPr>
        <i/>
        <sz val="8"/>
        <rFont val="Arial"/>
        <family val="2"/>
      </rPr>
      <t>el,pr,CHP,1</t>
    </r>
  </si>
  <si>
    <r>
      <t xml:space="preserve">     E</t>
    </r>
    <r>
      <rPr>
        <i/>
        <sz val="8"/>
        <rFont val="Arial"/>
        <family val="2"/>
      </rPr>
      <t>el,pr,CHP,2</t>
    </r>
    <r>
      <rPr>
        <sz val="11"/>
        <color theme="1"/>
        <rFont val="Calibri"/>
        <family val="2"/>
        <scheme val="minor"/>
      </rPr>
      <t/>
    </r>
  </si>
  <si>
    <r>
      <t xml:space="preserve">     E</t>
    </r>
    <r>
      <rPr>
        <i/>
        <sz val="8"/>
        <rFont val="Arial"/>
        <family val="2"/>
      </rPr>
      <t>el,pr,CHP,3</t>
    </r>
    <r>
      <rPr>
        <sz val="11"/>
        <color theme="1"/>
        <rFont val="Calibri"/>
        <family val="2"/>
        <scheme val="minor"/>
      </rPr>
      <t/>
    </r>
  </si>
  <si>
    <r>
      <t xml:space="preserve">     E</t>
    </r>
    <r>
      <rPr>
        <i/>
        <sz val="8"/>
        <rFont val="Arial"/>
        <family val="2"/>
      </rPr>
      <t>el,pr,CHP,4</t>
    </r>
    <r>
      <rPr>
        <sz val="11"/>
        <color theme="1"/>
        <rFont val="Calibri"/>
        <family val="2"/>
        <scheme val="minor"/>
      </rPr>
      <t/>
    </r>
  </si>
  <si>
    <r>
      <t xml:space="preserve">     E</t>
    </r>
    <r>
      <rPr>
        <i/>
        <sz val="8"/>
        <rFont val="Arial"/>
        <family val="2"/>
      </rPr>
      <t>el,pr,CHP,5</t>
    </r>
    <r>
      <rPr>
        <sz val="11"/>
        <color theme="1"/>
        <rFont val="Calibri"/>
        <family val="2"/>
        <scheme val="minor"/>
      </rPr>
      <t/>
    </r>
  </si>
  <si>
    <r>
      <t xml:space="preserve">     E</t>
    </r>
    <r>
      <rPr>
        <i/>
        <sz val="8"/>
        <rFont val="Arial"/>
        <family val="2"/>
      </rPr>
      <t>el,pr,CHP,6</t>
    </r>
    <r>
      <rPr>
        <sz val="11"/>
        <color theme="1"/>
        <rFont val="Calibri"/>
        <family val="2"/>
        <scheme val="minor"/>
      </rPr>
      <t/>
    </r>
  </si>
  <si>
    <r>
      <t xml:space="preserve">     E</t>
    </r>
    <r>
      <rPr>
        <i/>
        <sz val="8"/>
        <rFont val="Arial"/>
        <family val="2"/>
      </rPr>
      <t>el,pr,CHP,7</t>
    </r>
    <r>
      <rPr>
        <sz val="11"/>
        <color theme="1"/>
        <rFont val="Calibri"/>
        <family val="2"/>
        <scheme val="minor"/>
      </rPr>
      <t/>
    </r>
  </si>
  <si>
    <r>
      <t xml:space="preserve">     E</t>
    </r>
    <r>
      <rPr>
        <i/>
        <sz val="8"/>
        <rFont val="Arial"/>
        <family val="2"/>
      </rPr>
      <t>el,pr,CHP,8</t>
    </r>
    <r>
      <rPr>
        <sz val="11"/>
        <color theme="1"/>
        <rFont val="Calibri"/>
        <family val="2"/>
        <scheme val="minor"/>
      </rPr>
      <t/>
    </r>
  </si>
  <si>
    <r>
      <t xml:space="preserve">     E</t>
    </r>
    <r>
      <rPr>
        <i/>
        <sz val="8"/>
        <rFont val="Arial"/>
        <family val="2"/>
      </rPr>
      <t>el,pr,CHP,9</t>
    </r>
    <r>
      <rPr>
        <sz val="11"/>
        <color theme="1"/>
        <rFont val="Calibri"/>
        <family val="2"/>
        <scheme val="minor"/>
      </rPr>
      <t/>
    </r>
  </si>
  <si>
    <r>
      <t xml:space="preserve">     E</t>
    </r>
    <r>
      <rPr>
        <i/>
        <sz val="8"/>
        <rFont val="Arial"/>
        <family val="2"/>
      </rPr>
      <t>el,pr,CHP,10</t>
    </r>
    <r>
      <rPr>
        <sz val="11"/>
        <color theme="1"/>
        <rFont val="Calibri"/>
        <family val="2"/>
        <scheme val="minor"/>
      </rPr>
      <t/>
    </r>
  </si>
  <si>
    <r>
      <t xml:space="preserve">     E</t>
    </r>
    <r>
      <rPr>
        <i/>
        <sz val="8"/>
        <rFont val="Arial"/>
        <family val="2"/>
      </rPr>
      <t>el,pr,CHP,11</t>
    </r>
    <r>
      <rPr>
        <sz val="11"/>
        <color theme="1"/>
        <rFont val="Calibri"/>
        <family val="2"/>
        <scheme val="minor"/>
      </rPr>
      <t/>
    </r>
  </si>
  <si>
    <r>
      <t xml:space="preserve">     E</t>
    </r>
    <r>
      <rPr>
        <i/>
        <sz val="8"/>
        <rFont val="Arial"/>
        <family val="2"/>
      </rPr>
      <t>el,pr,CHP,12</t>
    </r>
    <r>
      <rPr>
        <sz val="11"/>
        <color theme="1"/>
        <rFont val="Calibri"/>
        <family val="2"/>
        <scheme val="minor"/>
      </rPr>
      <t/>
    </r>
  </si>
  <si>
    <t>Heat pump maximum output</t>
  </si>
  <si>
    <t>COP</t>
  </si>
  <si>
    <r>
      <t>Q</t>
    </r>
    <r>
      <rPr>
        <i/>
        <sz val="8"/>
        <rFont val="Arial"/>
        <family val="2"/>
      </rPr>
      <t>HW,HP,out,max</t>
    </r>
  </si>
  <si>
    <t>Heat pump fuel</t>
  </si>
  <si>
    <r>
      <t>Q</t>
    </r>
    <r>
      <rPr>
        <i/>
        <sz val="8"/>
        <rFont val="Arial"/>
        <family val="2"/>
      </rPr>
      <t>HW,HP,load</t>
    </r>
  </si>
  <si>
    <r>
      <t xml:space="preserve">    Q</t>
    </r>
    <r>
      <rPr>
        <i/>
        <sz val="8"/>
        <rFont val="Arial"/>
        <family val="2"/>
      </rPr>
      <t>HW,HP,load,1</t>
    </r>
  </si>
  <si>
    <r>
      <t xml:space="preserve">    Q</t>
    </r>
    <r>
      <rPr>
        <i/>
        <sz val="8"/>
        <rFont val="Arial"/>
        <family val="2"/>
      </rPr>
      <t>HW,HP,load,2</t>
    </r>
    <r>
      <rPr>
        <sz val="11"/>
        <color theme="1"/>
        <rFont val="Calibri"/>
        <family val="2"/>
        <scheme val="minor"/>
      </rPr>
      <t/>
    </r>
  </si>
  <si>
    <r>
      <t xml:space="preserve">    Q</t>
    </r>
    <r>
      <rPr>
        <i/>
        <sz val="8"/>
        <rFont val="Arial"/>
        <family val="2"/>
      </rPr>
      <t>HW,HP,load,3</t>
    </r>
    <r>
      <rPr>
        <sz val="11"/>
        <color theme="1"/>
        <rFont val="Calibri"/>
        <family val="2"/>
        <scheme val="minor"/>
      </rPr>
      <t/>
    </r>
  </si>
  <si>
    <r>
      <t xml:space="preserve">    Q</t>
    </r>
    <r>
      <rPr>
        <i/>
        <sz val="8"/>
        <rFont val="Arial"/>
        <family val="2"/>
      </rPr>
      <t>HW,HP,load,4</t>
    </r>
    <r>
      <rPr>
        <sz val="11"/>
        <color theme="1"/>
        <rFont val="Calibri"/>
        <family val="2"/>
        <scheme val="minor"/>
      </rPr>
      <t/>
    </r>
  </si>
  <si>
    <r>
      <t xml:space="preserve">    Q</t>
    </r>
    <r>
      <rPr>
        <i/>
        <sz val="8"/>
        <rFont val="Arial"/>
        <family val="2"/>
      </rPr>
      <t>HW,HP,load,5</t>
    </r>
    <r>
      <rPr>
        <sz val="11"/>
        <color theme="1"/>
        <rFont val="Calibri"/>
        <family val="2"/>
        <scheme val="minor"/>
      </rPr>
      <t/>
    </r>
  </si>
  <si>
    <r>
      <t xml:space="preserve">    Q</t>
    </r>
    <r>
      <rPr>
        <i/>
        <sz val="8"/>
        <rFont val="Arial"/>
        <family val="2"/>
      </rPr>
      <t>HW,HP,load,6</t>
    </r>
    <r>
      <rPr>
        <sz val="11"/>
        <color theme="1"/>
        <rFont val="Calibri"/>
        <family val="2"/>
        <scheme val="minor"/>
      </rPr>
      <t/>
    </r>
  </si>
  <si>
    <r>
      <t xml:space="preserve">    Q</t>
    </r>
    <r>
      <rPr>
        <i/>
        <sz val="8"/>
        <rFont val="Arial"/>
        <family val="2"/>
      </rPr>
      <t>HW,HP,load,7</t>
    </r>
    <r>
      <rPr>
        <sz val="11"/>
        <color theme="1"/>
        <rFont val="Calibri"/>
        <family val="2"/>
        <scheme val="minor"/>
      </rPr>
      <t/>
    </r>
  </si>
  <si>
    <r>
      <t xml:space="preserve">    Q</t>
    </r>
    <r>
      <rPr>
        <i/>
        <sz val="8"/>
        <rFont val="Arial"/>
        <family val="2"/>
      </rPr>
      <t>HW,HP,load,8</t>
    </r>
    <r>
      <rPr>
        <sz val="11"/>
        <color theme="1"/>
        <rFont val="Calibri"/>
        <family val="2"/>
        <scheme val="minor"/>
      </rPr>
      <t/>
    </r>
  </si>
  <si>
    <r>
      <t xml:space="preserve">    Q</t>
    </r>
    <r>
      <rPr>
        <i/>
        <sz val="8"/>
        <rFont val="Arial"/>
        <family val="2"/>
      </rPr>
      <t>HW,HP,load,9</t>
    </r>
    <r>
      <rPr>
        <sz val="11"/>
        <color theme="1"/>
        <rFont val="Calibri"/>
        <family val="2"/>
        <scheme val="minor"/>
      </rPr>
      <t/>
    </r>
  </si>
  <si>
    <r>
      <t xml:space="preserve">    Q</t>
    </r>
    <r>
      <rPr>
        <i/>
        <sz val="8"/>
        <rFont val="Arial"/>
        <family val="2"/>
      </rPr>
      <t>HW,HP,load,10</t>
    </r>
    <r>
      <rPr>
        <sz val="11"/>
        <color theme="1"/>
        <rFont val="Calibri"/>
        <family val="2"/>
        <scheme val="minor"/>
      </rPr>
      <t/>
    </r>
  </si>
  <si>
    <r>
      <t xml:space="preserve">    Q</t>
    </r>
    <r>
      <rPr>
        <i/>
        <sz val="8"/>
        <rFont val="Arial"/>
        <family val="2"/>
      </rPr>
      <t>HW,HP,load,11</t>
    </r>
    <r>
      <rPr>
        <sz val="11"/>
        <color theme="1"/>
        <rFont val="Calibri"/>
        <family val="2"/>
        <scheme val="minor"/>
      </rPr>
      <t/>
    </r>
  </si>
  <si>
    <r>
      <t xml:space="preserve">    Q</t>
    </r>
    <r>
      <rPr>
        <i/>
        <sz val="8"/>
        <rFont val="Arial"/>
        <family val="2"/>
      </rPr>
      <t>HW,HP,load,12</t>
    </r>
    <r>
      <rPr>
        <sz val="11"/>
        <color theme="1"/>
        <rFont val="Calibri"/>
        <family val="2"/>
        <scheme val="minor"/>
      </rPr>
      <t/>
    </r>
  </si>
  <si>
    <t>Heat pump input</t>
  </si>
  <si>
    <r>
      <t>E</t>
    </r>
    <r>
      <rPr>
        <i/>
        <sz val="8"/>
        <rFont val="Arial"/>
        <family val="2"/>
      </rPr>
      <t>HW,HP,in</t>
    </r>
  </si>
  <si>
    <r>
      <t xml:space="preserve">     E</t>
    </r>
    <r>
      <rPr>
        <i/>
        <sz val="8"/>
        <rFont val="Arial"/>
        <family val="2"/>
      </rPr>
      <t>HW,HP,in,1</t>
    </r>
  </si>
  <si>
    <t>Heat pump output</t>
  </si>
  <si>
    <r>
      <t>Q</t>
    </r>
    <r>
      <rPr>
        <i/>
        <sz val="8"/>
        <rFont val="Arial"/>
        <family val="2"/>
      </rPr>
      <t>HW,HP,out</t>
    </r>
  </si>
  <si>
    <r>
      <t xml:space="preserve">    Q</t>
    </r>
    <r>
      <rPr>
        <i/>
        <sz val="8"/>
        <rFont val="Arial"/>
        <family val="2"/>
      </rPr>
      <t>HW,HP,out,1</t>
    </r>
  </si>
  <si>
    <r>
      <t xml:space="preserve">    Q</t>
    </r>
    <r>
      <rPr>
        <i/>
        <sz val="8"/>
        <rFont val="Arial"/>
        <family val="2"/>
      </rPr>
      <t>HW,HP,out,2</t>
    </r>
    <r>
      <rPr>
        <sz val="11"/>
        <color theme="1"/>
        <rFont val="Calibri"/>
        <family val="2"/>
        <scheme val="minor"/>
      </rPr>
      <t/>
    </r>
  </si>
  <si>
    <r>
      <t xml:space="preserve">    Q</t>
    </r>
    <r>
      <rPr>
        <i/>
        <sz val="8"/>
        <rFont val="Arial"/>
        <family val="2"/>
      </rPr>
      <t>HW,HP,out,3</t>
    </r>
    <r>
      <rPr>
        <sz val="11"/>
        <color theme="1"/>
        <rFont val="Calibri"/>
        <family val="2"/>
        <scheme val="minor"/>
      </rPr>
      <t/>
    </r>
  </si>
  <si>
    <r>
      <t xml:space="preserve">    Q</t>
    </r>
    <r>
      <rPr>
        <i/>
        <sz val="8"/>
        <rFont val="Arial"/>
        <family val="2"/>
      </rPr>
      <t>HW,HP,out,4</t>
    </r>
    <r>
      <rPr>
        <sz val="11"/>
        <color theme="1"/>
        <rFont val="Calibri"/>
        <family val="2"/>
        <scheme val="minor"/>
      </rPr>
      <t/>
    </r>
  </si>
  <si>
    <r>
      <t xml:space="preserve">    Q</t>
    </r>
    <r>
      <rPr>
        <i/>
        <sz val="8"/>
        <rFont val="Arial"/>
        <family val="2"/>
      </rPr>
      <t>HW,HP,out,5</t>
    </r>
    <r>
      <rPr>
        <sz val="11"/>
        <color theme="1"/>
        <rFont val="Calibri"/>
        <family val="2"/>
        <scheme val="minor"/>
      </rPr>
      <t/>
    </r>
  </si>
  <si>
    <r>
      <t xml:space="preserve">    Q</t>
    </r>
    <r>
      <rPr>
        <i/>
        <sz val="8"/>
        <rFont val="Arial"/>
        <family val="2"/>
      </rPr>
      <t>HW,HP,out,6</t>
    </r>
    <r>
      <rPr>
        <sz val="11"/>
        <color theme="1"/>
        <rFont val="Calibri"/>
        <family val="2"/>
        <scheme val="minor"/>
      </rPr>
      <t/>
    </r>
  </si>
  <si>
    <r>
      <t xml:space="preserve">    Q</t>
    </r>
    <r>
      <rPr>
        <i/>
        <sz val="8"/>
        <rFont val="Arial"/>
        <family val="2"/>
      </rPr>
      <t>HW,HP,out,7</t>
    </r>
    <r>
      <rPr>
        <sz val="11"/>
        <color theme="1"/>
        <rFont val="Calibri"/>
        <family val="2"/>
        <scheme val="minor"/>
      </rPr>
      <t/>
    </r>
  </si>
  <si>
    <r>
      <t xml:space="preserve">    Q</t>
    </r>
    <r>
      <rPr>
        <i/>
        <sz val="8"/>
        <rFont val="Arial"/>
        <family val="2"/>
      </rPr>
      <t>HW,HP,out,8</t>
    </r>
    <r>
      <rPr>
        <sz val="11"/>
        <color theme="1"/>
        <rFont val="Calibri"/>
        <family val="2"/>
        <scheme val="minor"/>
      </rPr>
      <t/>
    </r>
  </si>
  <si>
    <r>
      <t xml:space="preserve">    Q</t>
    </r>
    <r>
      <rPr>
        <i/>
        <sz val="8"/>
        <rFont val="Arial"/>
        <family val="2"/>
      </rPr>
      <t>HW,HP,out,9</t>
    </r>
    <r>
      <rPr>
        <sz val="11"/>
        <color theme="1"/>
        <rFont val="Calibri"/>
        <family val="2"/>
        <scheme val="minor"/>
      </rPr>
      <t/>
    </r>
  </si>
  <si>
    <r>
      <t xml:space="preserve">    Q</t>
    </r>
    <r>
      <rPr>
        <i/>
        <sz val="8"/>
        <rFont val="Arial"/>
        <family val="2"/>
      </rPr>
      <t>HW,HP,out,10</t>
    </r>
    <r>
      <rPr>
        <sz val="11"/>
        <color theme="1"/>
        <rFont val="Calibri"/>
        <family val="2"/>
        <scheme val="minor"/>
      </rPr>
      <t/>
    </r>
  </si>
  <si>
    <r>
      <t xml:space="preserve">    Q</t>
    </r>
    <r>
      <rPr>
        <i/>
        <sz val="8"/>
        <rFont val="Arial"/>
        <family val="2"/>
      </rPr>
      <t>HW,HP,out,11</t>
    </r>
    <r>
      <rPr>
        <sz val="11"/>
        <color theme="1"/>
        <rFont val="Calibri"/>
        <family val="2"/>
        <scheme val="minor"/>
      </rPr>
      <t/>
    </r>
  </si>
  <si>
    <r>
      <t xml:space="preserve">    Q</t>
    </r>
    <r>
      <rPr>
        <i/>
        <sz val="8"/>
        <rFont val="Arial"/>
        <family val="2"/>
      </rPr>
      <t>HW,HP,out,12</t>
    </r>
    <r>
      <rPr>
        <sz val="11"/>
        <color theme="1"/>
        <rFont val="Calibri"/>
        <family val="2"/>
        <scheme val="minor"/>
      </rPr>
      <t/>
    </r>
  </si>
  <si>
    <r>
      <t xml:space="preserve">     E</t>
    </r>
    <r>
      <rPr>
        <i/>
        <sz val="8"/>
        <rFont val="Arial"/>
        <family val="2"/>
      </rPr>
      <t>HW,HP,in,2</t>
    </r>
    <r>
      <rPr>
        <sz val="11"/>
        <color theme="1"/>
        <rFont val="Calibri"/>
        <family val="2"/>
        <scheme val="minor"/>
      </rPr>
      <t/>
    </r>
  </si>
  <si>
    <r>
      <t xml:space="preserve">     E</t>
    </r>
    <r>
      <rPr>
        <i/>
        <sz val="8"/>
        <rFont val="Arial"/>
        <family val="2"/>
      </rPr>
      <t>HW,HP,in,3</t>
    </r>
    <r>
      <rPr>
        <sz val="11"/>
        <color theme="1"/>
        <rFont val="Calibri"/>
        <family val="2"/>
        <scheme val="minor"/>
      </rPr>
      <t/>
    </r>
  </si>
  <si>
    <r>
      <t xml:space="preserve">     E</t>
    </r>
    <r>
      <rPr>
        <i/>
        <sz val="8"/>
        <rFont val="Arial"/>
        <family val="2"/>
      </rPr>
      <t>HW,HP,in,4</t>
    </r>
    <r>
      <rPr>
        <sz val="11"/>
        <color theme="1"/>
        <rFont val="Calibri"/>
        <family val="2"/>
        <scheme val="minor"/>
      </rPr>
      <t/>
    </r>
  </si>
  <si>
    <r>
      <t xml:space="preserve">     E</t>
    </r>
    <r>
      <rPr>
        <i/>
        <sz val="8"/>
        <rFont val="Arial"/>
        <family val="2"/>
      </rPr>
      <t>HW,HP,in,5</t>
    </r>
    <r>
      <rPr>
        <sz val="11"/>
        <color theme="1"/>
        <rFont val="Calibri"/>
        <family val="2"/>
        <scheme val="minor"/>
      </rPr>
      <t/>
    </r>
  </si>
  <si>
    <r>
      <t xml:space="preserve">     E</t>
    </r>
    <r>
      <rPr>
        <i/>
        <sz val="8"/>
        <rFont val="Arial"/>
        <family val="2"/>
      </rPr>
      <t>HW,HP,in,6</t>
    </r>
    <r>
      <rPr>
        <sz val="11"/>
        <color theme="1"/>
        <rFont val="Calibri"/>
        <family val="2"/>
        <scheme val="minor"/>
      </rPr>
      <t/>
    </r>
  </si>
  <si>
    <r>
      <t xml:space="preserve">     E</t>
    </r>
    <r>
      <rPr>
        <i/>
        <sz val="8"/>
        <rFont val="Arial"/>
        <family val="2"/>
      </rPr>
      <t>HW,HP,in,7</t>
    </r>
    <r>
      <rPr>
        <sz val="11"/>
        <color theme="1"/>
        <rFont val="Calibri"/>
        <family val="2"/>
        <scheme val="minor"/>
      </rPr>
      <t/>
    </r>
  </si>
  <si>
    <r>
      <t xml:space="preserve">     E</t>
    </r>
    <r>
      <rPr>
        <i/>
        <sz val="8"/>
        <rFont val="Arial"/>
        <family val="2"/>
      </rPr>
      <t>HW,HP,in,8</t>
    </r>
    <r>
      <rPr>
        <sz val="11"/>
        <color theme="1"/>
        <rFont val="Calibri"/>
        <family val="2"/>
        <scheme val="minor"/>
      </rPr>
      <t/>
    </r>
  </si>
  <si>
    <r>
      <t xml:space="preserve">     E</t>
    </r>
    <r>
      <rPr>
        <i/>
        <sz val="8"/>
        <rFont val="Arial"/>
        <family val="2"/>
      </rPr>
      <t>HW,HP,in,9</t>
    </r>
    <r>
      <rPr>
        <sz val="11"/>
        <color theme="1"/>
        <rFont val="Calibri"/>
        <family val="2"/>
        <scheme val="minor"/>
      </rPr>
      <t/>
    </r>
  </si>
  <si>
    <r>
      <t xml:space="preserve">     E</t>
    </r>
    <r>
      <rPr>
        <i/>
        <sz val="8"/>
        <rFont val="Arial"/>
        <family val="2"/>
      </rPr>
      <t>HW,HP,in,10</t>
    </r>
    <r>
      <rPr>
        <sz val="11"/>
        <color theme="1"/>
        <rFont val="Calibri"/>
        <family val="2"/>
        <scheme val="minor"/>
      </rPr>
      <t/>
    </r>
  </si>
  <si>
    <r>
      <t xml:space="preserve">     E</t>
    </r>
    <r>
      <rPr>
        <i/>
        <sz val="8"/>
        <rFont val="Arial"/>
        <family val="2"/>
      </rPr>
      <t>HW,HP,in,11</t>
    </r>
    <r>
      <rPr>
        <sz val="11"/>
        <color theme="1"/>
        <rFont val="Calibri"/>
        <family val="2"/>
        <scheme val="minor"/>
      </rPr>
      <t/>
    </r>
  </si>
  <si>
    <r>
      <t xml:space="preserve">     E</t>
    </r>
    <r>
      <rPr>
        <i/>
        <sz val="8"/>
        <rFont val="Arial"/>
        <family val="2"/>
      </rPr>
      <t>HW,HP,in,12</t>
    </r>
    <r>
      <rPr>
        <sz val="11"/>
        <color theme="1"/>
        <rFont val="Calibri"/>
        <family val="2"/>
        <scheme val="minor"/>
      </rPr>
      <t/>
    </r>
  </si>
  <si>
    <t>Heat pump auxiliaries</t>
  </si>
  <si>
    <t>Percentage of output</t>
  </si>
  <si>
    <t>Boiler heat output</t>
  </si>
  <si>
    <t>Boiler efficiency</t>
  </si>
  <si>
    <t>Boiler auxiliary energy</t>
  </si>
  <si>
    <r>
      <t>Q</t>
    </r>
    <r>
      <rPr>
        <i/>
        <sz val="8"/>
        <rFont val="Arial"/>
        <family val="2"/>
      </rPr>
      <t>HW,boil,out</t>
    </r>
  </si>
  <si>
    <t>Boiler fuel</t>
  </si>
  <si>
    <r>
      <t xml:space="preserve">   Q</t>
    </r>
    <r>
      <rPr>
        <i/>
        <sz val="8"/>
        <rFont val="Arial"/>
        <family val="2"/>
      </rPr>
      <t>HW,boil,out,1</t>
    </r>
  </si>
  <si>
    <r>
      <t xml:space="preserve">   Q</t>
    </r>
    <r>
      <rPr>
        <i/>
        <sz val="8"/>
        <rFont val="Arial"/>
        <family val="2"/>
      </rPr>
      <t>HW,boil,out,2</t>
    </r>
    <r>
      <rPr>
        <sz val="11"/>
        <color theme="1"/>
        <rFont val="Calibri"/>
        <family val="2"/>
        <scheme val="minor"/>
      </rPr>
      <t/>
    </r>
  </si>
  <si>
    <r>
      <t xml:space="preserve">   Q</t>
    </r>
    <r>
      <rPr>
        <i/>
        <sz val="8"/>
        <rFont val="Arial"/>
        <family val="2"/>
      </rPr>
      <t>HW,boil,out,3</t>
    </r>
    <r>
      <rPr>
        <sz val="11"/>
        <color theme="1"/>
        <rFont val="Calibri"/>
        <family val="2"/>
        <scheme val="minor"/>
      </rPr>
      <t/>
    </r>
  </si>
  <si>
    <r>
      <t xml:space="preserve">   Q</t>
    </r>
    <r>
      <rPr>
        <i/>
        <sz val="8"/>
        <rFont val="Arial"/>
        <family val="2"/>
      </rPr>
      <t>HW,boil,out,4</t>
    </r>
    <r>
      <rPr>
        <sz val="11"/>
        <color theme="1"/>
        <rFont val="Calibri"/>
        <family val="2"/>
        <scheme val="minor"/>
      </rPr>
      <t/>
    </r>
  </si>
  <si>
    <r>
      <t xml:space="preserve">   Q</t>
    </r>
    <r>
      <rPr>
        <i/>
        <sz val="8"/>
        <rFont val="Arial"/>
        <family val="2"/>
      </rPr>
      <t>HW,boil,out,5</t>
    </r>
    <r>
      <rPr>
        <sz val="11"/>
        <color theme="1"/>
        <rFont val="Calibri"/>
        <family val="2"/>
        <scheme val="minor"/>
      </rPr>
      <t/>
    </r>
  </si>
  <si>
    <r>
      <t xml:space="preserve">   Q</t>
    </r>
    <r>
      <rPr>
        <i/>
        <sz val="8"/>
        <rFont val="Arial"/>
        <family val="2"/>
      </rPr>
      <t>HW,boil,out,6</t>
    </r>
    <r>
      <rPr>
        <sz val="11"/>
        <color theme="1"/>
        <rFont val="Calibri"/>
        <family val="2"/>
        <scheme val="minor"/>
      </rPr>
      <t/>
    </r>
  </si>
  <si>
    <r>
      <t xml:space="preserve">   Q</t>
    </r>
    <r>
      <rPr>
        <i/>
        <sz val="8"/>
        <rFont val="Arial"/>
        <family val="2"/>
      </rPr>
      <t>HW,boil,out,7</t>
    </r>
    <r>
      <rPr>
        <sz val="11"/>
        <color theme="1"/>
        <rFont val="Calibri"/>
        <family val="2"/>
        <scheme val="minor"/>
      </rPr>
      <t/>
    </r>
  </si>
  <si>
    <r>
      <t xml:space="preserve">   Q</t>
    </r>
    <r>
      <rPr>
        <i/>
        <sz val="8"/>
        <rFont val="Arial"/>
        <family val="2"/>
      </rPr>
      <t>HW,boil,out,8</t>
    </r>
    <r>
      <rPr>
        <sz val="11"/>
        <color theme="1"/>
        <rFont val="Calibri"/>
        <family val="2"/>
        <scheme val="minor"/>
      </rPr>
      <t/>
    </r>
  </si>
  <si>
    <r>
      <t xml:space="preserve">   Q</t>
    </r>
    <r>
      <rPr>
        <i/>
        <sz val="8"/>
        <rFont val="Arial"/>
        <family val="2"/>
      </rPr>
      <t>HW,boil,out,9</t>
    </r>
    <r>
      <rPr>
        <sz val="11"/>
        <color theme="1"/>
        <rFont val="Calibri"/>
        <family val="2"/>
        <scheme val="minor"/>
      </rPr>
      <t/>
    </r>
  </si>
  <si>
    <r>
      <t xml:space="preserve">   Q</t>
    </r>
    <r>
      <rPr>
        <i/>
        <sz val="8"/>
        <rFont val="Arial"/>
        <family val="2"/>
      </rPr>
      <t>HW,boil,out,10</t>
    </r>
    <r>
      <rPr>
        <sz val="11"/>
        <color theme="1"/>
        <rFont val="Calibri"/>
        <family val="2"/>
        <scheme val="minor"/>
      </rPr>
      <t/>
    </r>
  </si>
  <si>
    <r>
      <t xml:space="preserve">   Q</t>
    </r>
    <r>
      <rPr>
        <i/>
        <sz val="8"/>
        <rFont val="Arial"/>
        <family val="2"/>
      </rPr>
      <t>HW,boil,out,11</t>
    </r>
    <r>
      <rPr>
        <sz val="11"/>
        <color theme="1"/>
        <rFont val="Calibri"/>
        <family val="2"/>
        <scheme val="minor"/>
      </rPr>
      <t/>
    </r>
  </si>
  <si>
    <r>
      <t xml:space="preserve">   Q</t>
    </r>
    <r>
      <rPr>
        <i/>
        <sz val="8"/>
        <rFont val="Arial"/>
        <family val="2"/>
      </rPr>
      <t>HW,boil,out,12</t>
    </r>
    <r>
      <rPr>
        <sz val="11"/>
        <color theme="1"/>
        <rFont val="Calibri"/>
        <family val="2"/>
        <scheme val="minor"/>
      </rPr>
      <t/>
    </r>
  </si>
  <si>
    <t>Boiler input</t>
  </si>
  <si>
    <r>
      <rPr>
        <sz val="10"/>
        <rFont val="Calibri"/>
        <family val="2"/>
      </rPr>
      <t>η</t>
    </r>
    <r>
      <rPr>
        <i/>
        <sz val="8"/>
        <rFont val="Arial"/>
        <family val="2"/>
      </rPr>
      <t>boil</t>
    </r>
  </si>
  <si>
    <r>
      <t>E</t>
    </r>
    <r>
      <rPr>
        <i/>
        <sz val="8"/>
        <rFont val="Arial"/>
        <family val="2"/>
      </rPr>
      <t>HW,boil,in</t>
    </r>
  </si>
  <si>
    <r>
      <t xml:space="preserve">     E</t>
    </r>
    <r>
      <rPr>
        <i/>
        <sz val="8"/>
        <rFont val="Arial"/>
        <family val="2"/>
      </rPr>
      <t>HW,boil,in,1</t>
    </r>
  </si>
  <si>
    <r>
      <t xml:space="preserve">     E</t>
    </r>
    <r>
      <rPr>
        <i/>
        <sz val="8"/>
        <rFont val="Arial"/>
        <family val="2"/>
      </rPr>
      <t>HW,boil,in,2</t>
    </r>
    <r>
      <rPr>
        <sz val="11"/>
        <color theme="1"/>
        <rFont val="Calibri"/>
        <family val="2"/>
        <scheme val="minor"/>
      </rPr>
      <t/>
    </r>
  </si>
  <si>
    <r>
      <t xml:space="preserve">     E</t>
    </r>
    <r>
      <rPr>
        <i/>
        <sz val="8"/>
        <rFont val="Arial"/>
        <family val="2"/>
      </rPr>
      <t>HW,boil,in,3</t>
    </r>
    <r>
      <rPr>
        <sz val="11"/>
        <color theme="1"/>
        <rFont val="Calibri"/>
        <family val="2"/>
        <scheme val="minor"/>
      </rPr>
      <t/>
    </r>
  </si>
  <si>
    <r>
      <t xml:space="preserve">     E</t>
    </r>
    <r>
      <rPr>
        <i/>
        <sz val="8"/>
        <rFont val="Arial"/>
        <family val="2"/>
      </rPr>
      <t>HW,boil,in,4</t>
    </r>
    <r>
      <rPr>
        <sz val="11"/>
        <color theme="1"/>
        <rFont val="Calibri"/>
        <family val="2"/>
        <scheme val="minor"/>
      </rPr>
      <t/>
    </r>
  </si>
  <si>
    <r>
      <t xml:space="preserve">     E</t>
    </r>
    <r>
      <rPr>
        <i/>
        <sz val="8"/>
        <rFont val="Arial"/>
        <family val="2"/>
      </rPr>
      <t>HW,boil,in,5</t>
    </r>
    <r>
      <rPr>
        <sz val="11"/>
        <color theme="1"/>
        <rFont val="Calibri"/>
        <family val="2"/>
        <scheme val="minor"/>
      </rPr>
      <t/>
    </r>
  </si>
  <si>
    <r>
      <t xml:space="preserve">     E</t>
    </r>
    <r>
      <rPr>
        <i/>
        <sz val="8"/>
        <rFont val="Arial"/>
        <family val="2"/>
      </rPr>
      <t>HW,boil,in,6</t>
    </r>
    <r>
      <rPr>
        <sz val="11"/>
        <color theme="1"/>
        <rFont val="Calibri"/>
        <family val="2"/>
        <scheme val="minor"/>
      </rPr>
      <t/>
    </r>
  </si>
  <si>
    <r>
      <t xml:space="preserve">     E</t>
    </r>
    <r>
      <rPr>
        <i/>
        <sz val="8"/>
        <rFont val="Arial"/>
        <family val="2"/>
      </rPr>
      <t>HW,boil,in,7</t>
    </r>
    <r>
      <rPr>
        <sz val="11"/>
        <color theme="1"/>
        <rFont val="Calibri"/>
        <family val="2"/>
        <scheme val="minor"/>
      </rPr>
      <t/>
    </r>
  </si>
  <si>
    <r>
      <t xml:space="preserve">     E</t>
    </r>
    <r>
      <rPr>
        <i/>
        <sz val="8"/>
        <rFont val="Arial"/>
        <family val="2"/>
      </rPr>
      <t>HW,boil,in,8</t>
    </r>
    <r>
      <rPr>
        <sz val="11"/>
        <color theme="1"/>
        <rFont val="Calibri"/>
        <family val="2"/>
        <scheme val="minor"/>
      </rPr>
      <t/>
    </r>
  </si>
  <si>
    <r>
      <t xml:space="preserve">     E</t>
    </r>
    <r>
      <rPr>
        <i/>
        <sz val="8"/>
        <rFont val="Arial"/>
        <family val="2"/>
      </rPr>
      <t>HW,boil,in,9</t>
    </r>
    <r>
      <rPr>
        <sz val="11"/>
        <color theme="1"/>
        <rFont val="Calibri"/>
        <family val="2"/>
        <scheme val="minor"/>
      </rPr>
      <t/>
    </r>
  </si>
  <si>
    <r>
      <t xml:space="preserve">     E</t>
    </r>
    <r>
      <rPr>
        <i/>
        <sz val="8"/>
        <rFont val="Arial"/>
        <family val="2"/>
      </rPr>
      <t>HW,boil,in,10</t>
    </r>
    <r>
      <rPr>
        <sz val="11"/>
        <color theme="1"/>
        <rFont val="Calibri"/>
        <family val="2"/>
        <scheme val="minor"/>
      </rPr>
      <t/>
    </r>
  </si>
  <si>
    <r>
      <t xml:space="preserve">     E</t>
    </r>
    <r>
      <rPr>
        <i/>
        <sz val="8"/>
        <rFont val="Arial"/>
        <family val="2"/>
      </rPr>
      <t>HW,boil,in,11</t>
    </r>
    <r>
      <rPr>
        <sz val="11"/>
        <color theme="1"/>
        <rFont val="Calibri"/>
        <family val="2"/>
        <scheme val="minor"/>
      </rPr>
      <t/>
    </r>
  </si>
  <si>
    <r>
      <t xml:space="preserve">     E</t>
    </r>
    <r>
      <rPr>
        <i/>
        <sz val="8"/>
        <rFont val="Arial"/>
        <family val="2"/>
      </rPr>
      <t>HW,boil,in,12</t>
    </r>
    <r>
      <rPr>
        <sz val="11"/>
        <color theme="1"/>
        <rFont val="Calibri"/>
        <family val="2"/>
        <scheme val="minor"/>
      </rPr>
      <t/>
    </r>
  </si>
  <si>
    <r>
      <t>W</t>
    </r>
    <r>
      <rPr>
        <i/>
        <sz val="8"/>
        <rFont val="Arial"/>
        <family val="2"/>
      </rPr>
      <t>HW,boil,aux</t>
    </r>
  </si>
  <si>
    <r>
      <t xml:space="preserve">    W</t>
    </r>
    <r>
      <rPr>
        <i/>
        <sz val="8"/>
        <rFont val="Arial"/>
        <family val="2"/>
      </rPr>
      <t>HW,boil,aux,1</t>
    </r>
  </si>
  <si>
    <t>Perecentage of input</t>
  </si>
  <si>
    <r>
      <t xml:space="preserve">    W</t>
    </r>
    <r>
      <rPr>
        <i/>
        <sz val="8"/>
        <rFont val="Arial"/>
        <family val="2"/>
      </rPr>
      <t>HW,boil,aux,2</t>
    </r>
    <r>
      <rPr>
        <sz val="11"/>
        <color theme="1"/>
        <rFont val="Calibri"/>
        <family val="2"/>
        <scheme val="minor"/>
      </rPr>
      <t/>
    </r>
  </si>
  <si>
    <r>
      <t xml:space="preserve">    W</t>
    </r>
    <r>
      <rPr>
        <i/>
        <sz val="8"/>
        <rFont val="Arial"/>
        <family val="2"/>
      </rPr>
      <t>HW,boil,aux,3</t>
    </r>
    <r>
      <rPr>
        <sz val="11"/>
        <color theme="1"/>
        <rFont val="Calibri"/>
        <family val="2"/>
        <scheme val="minor"/>
      </rPr>
      <t/>
    </r>
  </si>
  <si>
    <r>
      <t xml:space="preserve">    W</t>
    </r>
    <r>
      <rPr>
        <i/>
        <sz val="8"/>
        <rFont val="Arial"/>
        <family val="2"/>
      </rPr>
      <t>HW,boil,aux,4</t>
    </r>
    <r>
      <rPr>
        <sz val="11"/>
        <color theme="1"/>
        <rFont val="Calibri"/>
        <family val="2"/>
        <scheme val="minor"/>
      </rPr>
      <t/>
    </r>
  </si>
  <si>
    <r>
      <t xml:space="preserve">    W</t>
    </r>
    <r>
      <rPr>
        <i/>
        <sz val="8"/>
        <rFont val="Arial"/>
        <family val="2"/>
      </rPr>
      <t>HW,boil,aux,5</t>
    </r>
    <r>
      <rPr>
        <sz val="11"/>
        <color theme="1"/>
        <rFont val="Calibri"/>
        <family val="2"/>
        <scheme val="minor"/>
      </rPr>
      <t/>
    </r>
  </si>
  <si>
    <r>
      <t xml:space="preserve">    W</t>
    </r>
    <r>
      <rPr>
        <i/>
        <sz val="8"/>
        <rFont val="Arial"/>
        <family val="2"/>
      </rPr>
      <t>HW,boil,aux,6</t>
    </r>
    <r>
      <rPr>
        <sz val="11"/>
        <color theme="1"/>
        <rFont val="Calibri"/>
        <family val="2"/>
        <scheme val="minor"/>
      </rPr>
      <t/>
    </r>
  </si>
  <si>
    <r>
      <t xml:space="preserve">    W</t>
    </r>
    <r>
      <rPr>
        <i/>
        <sz val="8"/>
        <rFont val="Arial"/>
        <family val="2"/>
      </rPr>
      <t>HW,boil,aux,7</t>
    </r>
    <r>
      <rPr>
        <sz val="11"/>
        <color theme="1"/>
        <rFont val="Calibri"/>
        <family val="2"/>
        <scheme val="minor"/>
      </rPr>
      <t/>
    </r>
  </si>
  <si>
    <r>
      <t xml:space="preserve">    W</t>
    </r>
    <r>
      <rPr>
        <i/>
        <sz val="8"/>
        <rFont val="Arial"/>
        <family val="2"/>
      </rPr>
      <t>HW,boil,aux,8</t>
    </r>
    <r>
      <rPr>
        <sz val="11"/>
        <color theme="1"/>
        <rFont val="Calibri"/>
        <family val="2"/>
        <scheme val="minor"/>
      </rPr>
      <t/>
    </r>
  </si>
  <si>
    <r>
      <t xml:space="preserve">    W</t>
    </r>
    <r>
      <rPr>
        <i/>
        <sz val="8"/>
        <rFont val="Arial"/>
        <family val="2"/>
      </rPr>
      <t>HW,boil,aux,9</t>
    </r>
    <r>
      <rPr>
        <sz val="11"/>
        <color theme="1"/>
        <rFont val="Calibri"/>
        <family val="2"/>
        <scheme val="minor"/>
      </rPr>
      <t/>
    </r>
  </si>
  <si>
    <r>
      <t xml:space="preserve">    W</t>
    </r>
    <r>
      <rPr>
        <i/>
        <sz val="8"/>
        <rFont val="Arial"/>
        <family val="2"/>
      </rPr>
      <t>HW,boil,aux,10</t>
    </r>
    <r>
      <rPr>
        <sz val="11"/>
        <color theme="1"/>
        <rFont val="Calibri"/>
        <family val="2"/>
        <scheme val="minor"/>
      </rPr>
      <t/>
    </r>
  </si>
  <si>
    <r>
      <t xml:space="preserve">    W</t>
    </r>
    <r>
      <rPr>
        <i/>
        <sz val="8"/>
        <rFont val="Arial"/>
        <family val="2"/>
      </rPr>
      <t>HW,boil,aux,11</t>
    </r>
    <r>
      <rPr>
        <sz val="11"/>
        <color theme="1"/>
        <rFont val="Calibri"/>
        <family val="2"/>
        <scheme val="minor"/>
      </rPr>
      <t/>
    </r>
  </si>
  <si>
    <r>
      <t xml:space="preserve">    W</t>
    </r>
    <r>
      <rPr>
        <i/>
        <sz val="8"/>
        <rFont val="Arial"/>
        <family val="2"/>
      </rPr>
      <t>HW,boil,aux,12</t>
    </r>
    <r>
      <rPr>
        <sz val="11"/>
        <color theme="1"/>
        <rFont val="Calibri"/>
        <family val="2"/>
        <scheme val="minor"/>
      </rPr>
      <t/>
    </r>
  </si>
  <si>
    <r>
      <t>W</t>
    </r>
    <r>
      <rPr>
        <i/>
        <sz val="8"/>
        <rFont val="Arial"/>
        <family val="2"/>
      </rPr>
      <t>HW,HP,aux</t>
    </r>
  </si>
  <si>
    <r>
      <t xml:space="preserve">    W</t>
    </r>
    <r>
      <rPr>
        <i/>
        <sz val="8"/>
        <rFont val="Arial"/>
        <family val="2"/>
      </rPr>
      <t>HW,HP,aux,1</t>
    </r>
  </si>
  <si>
    <r>
      <t xml:space="preserve">    W</t>
    </r>
    <r>
      <rPr>
        <i/>
        <sz val="8"/>
        <rFont val="Arial"/>
        <family val="2"/>
      </rPr>
      <t>HW,HP,aux,2</t>
    </r>
    <r>
      <rPr>
        <sz val="11"/>
        <color theme="1"/>
        <rFont val="Calibri"/>
        <family val="2"/>
        <scheme val="minor"/>
      </rPr>
      <t/>
    </r>
  </si>
  <si>
    <r>
      <t xml:space="preserve">    W</t>
    </r>
    <r>
      <rPr>
        <i/>
        <sz val="8"/>
        <rFont val="Arial"/>
        <family val="2"/>
      </rPr>
      <t>HW,HP,aux,3</t>
    </r>
    <r>
      <rPr>
        <sz val="11"/>
        <color theme="1"/>
        <rFont val="Calibri"/>
        <family val="2"/>
        <scheme val="minor"/>
      </rPr>
      <t/>
    </r>
  </si>
  <si>
    <r>
      <t xml:space="preserve">    W</t>
    </r>
    <r>
      <rPr>
        <i/>
        <sz val="8"/>
        <rFont val="Arial"/>
        <family val="2"/>
      </rPr>
      <t>HW,HP,aux,4</t>
    </r>
    <r>
      <rPr>
        <sz val="11"/>
        <color theme="1"/>
        <rFont val="Calibri"/>
        <family val="2"/>
        <scheme val="minor"/>
      </rPr>
      <t/>
    </r>
  </si>
  <si>
    <r>
      <t xml:space="preserve">    W</t>
    </r>
    <r>
      <rPr>
        <i/>
        <sz val="8"/>
        <rFont val="Arial"/>
        <family val="2"/>
      </rPr>
      <t>HW,HP,aux,5</t>
    </r>
    <r>
      <rPr>
        <sz val="11"/>
        <color theme="1"/>
        <rFont val="Calibri"/>
        <family val="2"/>
        <scheme val="minor"/>
      </rPr>
      <t/>
    </r>
  </si>
  <si>
    <r>
      <t xml:space="preserve">    W</t>
    </r>
    <r>
      <rPr>
        <i/>
        <sz val="8"/>
        <rFont val="Arial"/>
        <family val="2"/>
      </rPr>
      <t>HW,HP,aux,6</t>
    </r>
    <r>
      <rPr>
        <sz val="11"/>
        <color theme="1"/>
        <rFont val="Calibri"/>
        <family val="2"/>
        <scheme val="minor"/>
      </rPr>
      <t/>
    </r>
  </si>
  <si>
    <r>
      <t xml:space="preserve">    W</t>
    </r>
    <r>
      <rPr>
        <i/>
        <sz val="8"/>
        <rFont val="Arial"/>
        <family val="2"/>
      </rPr>
      <t>HW,HP,aux,7</t>
    </r>
    <r>
      <rPr>
        <sz val="11"/>
        <color theme="1"/>
        <rFont val="Calibri"/>
        <family val="2"/>
        <scheme val="minor"/>
      </rPr>
      <t/>
    </r>
  </si>
  <si>
    <r>
      <t xml:space="preserve">    W</t>
    </r>
    <r>
      <rPr>
        <i/>
        <sz val="8"/>
        <rFont val="Arial"/>
        <family val="2"/>
      </rPr>
      <t>HW,HP,aux,8</t>
    </r>
    <r>
      <rPr>
        <sz val="11"/>
        <color theme="1"/>
        <rFont val="Calibri"/>
        <family val="2"/>
        <scheme val="minor"/>
      </rPr>
      <t/>
    </r>
  </si>
  <si>
    <r>
      <t xml:space="preserve">    W</t>
    </r>
    <r>
      <rPr>
        <i/>
        <sz val="8"/>
        <rFont val="Arial"/>
        <family val="2"/>
      </rPr>
      <t>HW,HP,aux,9</t>
    </r>
    <r>
      <rPr>
        <sz val="11"/>
        <color theme="1"/>
        <rFont val="Calibri"/>
        <family val="2"/>
        <scheme val="minor"/>
      </rPr>
      <t/>
    </r>
  </si>
  <si>
    <r>
      <t xml:space="preserve">    W</t>
    </r>
    <r>
      <rPr>
        <i/>
        <sz val="8"/>
        <rFont val="Arial"/>
        <family val="2"/>
      </rPr>
      <t>HW,HP,aux,10</t>
    </r>
    <r>
      <rPr>
        <sz val="11"/>
        <color theme="1"/>
        <rFont val="Calibri"/>
        <family val="2"/>
        <scheme val="minor"/>
      </rPr>
      <t/>
    </r>
  </si>
  <si>
    <r>
      <t xml:space="preserve">    W</t>
    </r>
    <r>
      <rPr>
        <i/>
        <sz val="8"/>
        <rFont val="Arial"/>
        <family val="2"/>
      </rPr>
      <t>HW,HP,aux,11</t>
    </r>
    <r>
      <rPr>
        <sz val="11"/>
        <color theme="1"/>
        <rFont val="Calibri"/>
        <family val="2"/>
        <scheme val="minor"/>
      </rPr>
      <t/>
    </r>
  </si>
  <si>
    <r>
      <t xml:space="preserve">    W</t>
    </r>
    <r>
      <rPr>
        <i/>
        <sz val="8"/>
        <rFont val="Arial"/>
        <family val="2"/>
      </rPr>
      <t>HW,HP,aux,12</t>
    </r>
    <r>
      <rPr>
        <sz val="11"/>
        <color theme="1"/>
        <rFont val="Calibri"/>
        <family val="2"/>
        <scheme val="minor"/>
      </rPr>
      <t/>
    </r>
  </si>
  <si>
    <t>Thermal solar contribution multiplier</t>
  </si>
  <si>
    <r>
      <t>Q</t>
    </r>
    <r>
      <rPr>
        <i/>
        <sz val="8"/>
        <rFont val="Arial"/>
        <family val="2"/>
      </rPr>
      <t>PV,out</t>
    </r>
  </si>
  <si>
    <t>Environmental heat</t>
  </si>
  <si>
    <r>
      <t>E</t>
    </r>
    <r>
      <rPr>
        <i/>
        <sz val="8"/>
        <rFont val="Arial"/>
        <family val="2"/>
      </rPr>
      <t>HP,env</t>
    </r>
  </si>
  <si>
    <r>
      <t xml:space="preserve">    E</t>
    </r>
    <r>
      <rPr>
        <i/>
        <sz val="8"/>
        <rFont val="Arial"/>
        <family val="2"/>
      </rPr>
      <t>HP,env,1</t>
    </r>
  </si>
  <si>
    <r>
      <t xml:space="preserve">    E</t>
    </r>
    <r>
      <rPr>
        <i/>
        <sz val="8"/>
        <rFont val="Arial"/>
        <family val="2"/>
      </rPr>
      <t>HP,env,2</t>
    </r>
    <r>
      <rPr>
        <sz val="11"/>
        <color theme="1"/>
        <rFont val="Calibri"/>
        <family val="2"/>
        <scheme val="minor"/>
      </rPr>
      <t/>
    </r>
  </si>
  <si>
    <r>
      <t xml:space="preserve">    E</t>
    </r>
    <r>
      <rPr>
        <i/>
        <sz val="8"/>
        <rFont val="Arial"/>
        <family val="2"/>
      </rPr>
      <t>HP,env,3</t>
    </r>
    <r>
      <rPr>
        <sz val="11"/>
        <color theme="1"/>
        <rFont val="Calibri"/>
        <family val="2"/>
        <scheme val="minor"/>
      </rPr>
      <t/>
    </r>
  </si>
  <si>
    <r>
      <t xml:space="preserve">    E</t>
    </r>
    <r>
      <rPr>
        <i/>
        <sz val="8"/>
        <rFont val="Arial"/>
        <family val="2"/>
      </rPr>
      <t>HP,env,4</t>
    </r>
    <r>
      <rPr>
        <sz val="11"/>
        <color theme="1"/>
        <rFont val="Calibri"/>
        <family val="2"/>
        <scheme val="minor"/>
      </rPr>
      <t/>
    </r>
  </si>
  <si>
    <r>
      <t xml:space="preserve">    E</t>
    </r>
    <r>
      <rPr>
        <i/>
        <sz val="8"/>
        <rFont val="Arial"/>
        <family val="2"/>
      </rPr>
      <t>HP,env,5</t>
    </r>
    <r>
      <rPr>
        <sz val="11"/>
        <color theme="1"/>
        <rFont val="Calibri"/>
        <family val="2"/>
        <scheme val="minor"/>
      </rPr>
      <t/>
    </r>
  </si>
  <si>
    <r>
      <t xml:space="preserve">    E</t>
    </r>
    <r>
      <rPr>
        <i/>
        <sz val="8"/>
        <rFont val="Arial"/>
        <family val="2"/>
      </rPr>
      <t>HP,env,6</t>
    </r>
    <r>
      <rPr>
        <sz val="11"/>
        <color theme="1"/>
        <rFont val="Calibri"/>
        <family val="2"/>
        <scheme val="minor"/>
      </rPr>
      <t/>
    </r>
  </si>
  <si>
    <r>
      <t xml:space="preserve">    E</t>
    </r>
    <r>
      <rPr>
        <i/>
        <sz val="8"/>
        <rFont val="Arial"/>
        <family val="2"/>
      </rPr>
      <t>HP,env,7</t>
    </r>
    <r>
      <rPr>
        <sz val="11"/>
        <color theme="1"/>
        <rFont val="Calibri"/>
        <family val="2"/>
        <scheme val="minor"/>
      </rPr>
      <t/>
    </r>
  </si>
  <si>
    <r>
      <t xml:space="preserve">    E</t>
    </r>
    <r>
      <rPr>
        <i/>
        <sz val="8"/>
        <rFont val="Arial"/>
        <family val="2"/>
      </rPr>
      <t>HP,env,8</t>
    </r>
    <r>
      <rPr>
        <sz val="11"/>
        <color theme="1"/>
        <rFont val="Calibri"/>
        <family val="2"/>
        <scheme val="minor"/>
      </rPr>
      <t/>
    </r>
  </si>
  <si>
    <r>
      <t xml:space="preserve">    E</t>
    </r>
    <r>
      <rPr>
        <i/>
        <sz val="8"/>
        <rFont val="Arial"/>
        <family val="2"/>
      </rPr>
      <t>HP,env,9</t>
    </r>
    <r>
      <rPr>
        <sz val="11"/>
        <color theme="1"/>
        <rFont val="Calibri"/>
        <family val="2"/>
        <scheme val="minor"/>
      </rPr>
      <t/>
    </r>
  </si>
  <si>
    <r>
      <t xml:space="preserve">    E</t>
    </r>
    <r>
      <rPr>
        <i/>
        <sz val="8"/>
        <rFont val="Arial"/>
        <family val="2"/>
      </rPr>
      <t>HP,env,10</t>
    </r>
    <r>
      <rPr>
        <sz val="11"/>
        <color theme="1"/>
        <rFont val="Calibri"/>
        <family val="2"/>
        <scheme val="minor"/>
      </rPr>
      <t/>
    </r>
  </si>
  <si>
    <r>
      <t xml:space="preserve">    E</t>
    </r>
    <r>
      <rPr>
        <i/>
        <sz val="8"/>
        <rFont val="Arial"/>
        <family val="2"/>
      </rPr>
      <t>HP,env,11</t>
    </r>
    <r>
      <rPr>
        <sz val="11"/>
        <color theme="1"/>
        <rFont val="Calibri"/>
        <family val="2"/>
        <scheme val="minor"/>
      </rPr>
      <t/>
    </r>
  </si>
  <si>
    <r>
      <t xml:space="preserve">    E</t>
    </r>
    <r>
      <rPr>
        <i/>
        <sz val="8"/>
        <rFont val="Arial"/>
        <family val="2"/>
      </rPr>
      <t>HP,env,12</t>
    </r>
    <r>
      <rPr>
        <sz val="11"/>
        <color theme="1"/>
        <rFont val="Calibri"/>
        <family val="2"/>
        <scheme val="minor"/>
      </rPr>
      <t/>
    </r>
  </si>
  <si>
    <t>env</t>
  </si>
  <si>
    <t>Chiller energy carrier</t>
  </si>
  <si>
    <t>Chiller EER</t>
  </si>
  <si>
    <t>Chiller auxiliary energy</t>
  </si>
  <si>
    <t>EER</t>
  </si>
  <si>
    <t>Chiller input</t>
  </si>
  <si>
    <r>
      <t>E</t>
    </r>
    <r>
      <rPr>
        <i/>
        <sz val="8"/>
        <rFont val="Arial"/>
        <family val="2"/>
      </rPr>
      <t>C,chllr,in</t>
    </r>
  </si>
  <si>
    <r>
      <t xml:space="preserve">    E</t>
    </r>
    <r>
      <rPr>
        <i/>
        <sz val="8"/>
        <rFont val="Arial"/>
        <family val="2"/>
      </rPr>
      <t>C,chllr,in,1</t>
    </r>
  </si>
  <si>
    <r>
      <t xml:space="preserve">    E</t>
    </r>
    <r>
      <rPr>
        <i/>
        <sz val="8"/>
        <rFont val="Arial"/>
        <family val="2"/>
      </rPr>
      <t>C,chllr,in,2</t>
    </r>
    <r>
      <rPr>
        <sz val="11"/>
        <color theme="1"/>
        <rFont val="Calibri"/>
        <family val="2"/>
        <scheme val="minor"/>
      </rPr>
      <t/>
    </r>
  </si>
  <si>
    <r>
      <t xml:space="preserve">    E</t>
    </r>
    <r>
      <rPr>
        <i/>
        <sz val="8"/>
        <rFont val="Arial"/>
        <family val="2"/>
      </rPr>
      <t>C,chllr,in,3</t>
    </r>
    <r>
      <rPr>
        <sz val="11"/>
        <color theme="1"/>
        <rFont val="Calibri"/>
        <family val="2"/>
        <scheme val="minor"/>
      </rPr>
      <t/>
    </r>
  </si>
  <si>
    <r>
      <t xml:space="preserve">    E</t>
    </r>
    <r>
      <rPr>
        <i/>
        <sz val="8"/>
        <rFont val="Arial"/>
        <family val="2"/>
      </rPr>
      <t>C,chllr,in,4</t>
    </r>
    <r>
      <rPr>
        <sz val="11"/>
        <color theme="1"/>
        <rFont val="Calibri"/>
        <family val="2"/>
        <scheme val="minor"/>
      </rPr>
      <t/>
    </r>
  </si>
  <si>
    <r>
      <t xml:space="preserve">    E</t>
    </r>
    <r>
      <rPr>
        <i/>
        <sz val="8"/>
        <rFont val="Arial"/>
        <family val="2"/>
      </rPr>
      <t>C,chllr,in,5</t>
    </r>
    <r>
      <rPr>
        <sz val="11"/>
        <color theme="1"/>
        <rFont val="Calibri"/>
        <family val="2"/>
        <scheme val="minor"/>
      </rPr>
      <t/>
    </r>
  </si>
  <si>
    <r>
      <t xml:space="preserve">    E</t>
    </r>
    <r>
      <rPr>
        <i/>
        <sz val="8"/>
        <rFont val="Arial"/>
        <family val="2"/>
      </rPr>
      <t>C,chllr,in,6</t>
    </r>
    <r>
      <rPr>
        <sz val="11"/>
        <color theme="1"/>
        <rFont val="Calibri"/>
        <family val="2"/>
        <scheme val="minor"/>
      </rPr>
      <t/>
    </r>
  </si>
  <si>
    <r>
      <t xml:space="preserve">    E</t>
    </r>
    <r>
      <rPr>
        <i/>
        <sz val="8"/>
        <rFont val="Arial"/>
        <family val="2"/>
      </rPr>
      <t>C,chllr,in,7</t>
    </r>
    <r>
      <rPr>
        <sz val="11"/>
        <color theme="1"/>
        <rFont val="Calibri"/>
        <family val="2"/>
        <scheme val="minor"/>
      </rPr>
      <t/>
    </r>
  </si>
  <si>
    <r>
      <t xml:space="preserve">    E</t>
    </r>
    <r>
      <rPr>
        <i/>
        <sz val="8"/>
        <rFont val="Arial"/>
        <family val="2"/>
      </rPr>
      <t>C,chllr,in,8</t>
    </r>
    <r>
      <rPr>
        <sz val="11"/>
        <color theme="1"/>
        <rFont val="Calibri"/>
        <family val="2"/>
        <scheme val="minor"/>
      </rPr>
      <t/>
    </r>
  </si>
  <si>
    <r>
      <t xml:space="preserve">    E</t>
    </r>
    <r>
      <rPr>
        <i/>
        <sz val="8"/>
        <rFont val="Arial"/>
        <family val="2"/>
      </rPr>
      <t>C,chllr,in,9</t>
    </r>
    <r>
      <rPr>
        <sz val="11"/>
        <color theme="1"/>
        <rFont val="Calibri"/>
        <family val="2"/>
        <scheme val="minor"/>
      </rPr>
      <t/>
    </r>
  </si>
  <si>
    <r>
      <t xml:space="preserve">    E</t>
    </r>
    <r>
      <rPr>
        <i/>
        <sz val="8"/>
        <rFont val="Arial"/>
        <family val="2"/>
      </rPr>
      <t>C,chllr,in,10</t>
    </r>
    <r>
      <rPr>
        <sz val="11"/>
        <color theme="1"/>
        <rFont val="Calibri"/>
        <family val="2"/>
        <scheme val="minor"/>
      </rPr>
      <t/>
    </r>
  </si>
  <si>
    <r>
      <t xml:space="preserve">    E</t>
    </r>
    <r>
      <rPr>
        <i/>
        <sz val="8"/>
        <rFont val="Arial"/>
        <family val="2"/>
      </rPr>
      <t>C,chllr,in,11</t>
    </r>
    <r>
      <rPr>
        <sz val="11"/>
        <color theme="1"/>
        <rFont val="Calibri"/>
        <family val="2"/>
        <scheme val="minor"/>
      </rPr>
      <t/>
    </r>
  </si>
  <si>
    <r>
      <t xml:space="preserve">    E</t>
    </r>
    <r>
      <rPr>
        <i/>
        <sz val="8"/>
        <rFont val="Arial"/>
        <family val="2"/>
      </rPr>
      <t>C,chllr,in,12</t>
    </r>
    <r>
      <rPr>
        <sz val="11"/>
        <color theme="1"/>
        <rFont val="Calibri"/>
        <family val="2"/>
        <scheme val="minor"/>
      </rPr>
      <t/>
    </r>
  </si>
  <si>
    <r>
      <t>W</t>
    </r>
    <r>
      <rPr>
        <i/>
        <sz val="8"/>
        <rFont val="Arial"/>
        <family val="2"/>
      </rPr>
      <t>C,chllr,aux</t>
    </r>
  </si>
  <si>
    <r>
      <t xml:space="preserve">    W</t>
    </r>
    <r>
      <rPr>
        <i/>
        <sz val="8"/>
        <rFont val="Arial"/>
        <family val="2"/>
      </rPr>
      <t>C,chllr,aux,1</t>
    </r>
  </si>
  <si>
    <r>
      <t xml:space="preserve">    W</t>
    </r>
    <r>
      <rPr>
        <i/>
        <sz val="8"/>
        <rFont val="Arial"/>
        <family val="2"/>
      </rPr>
      <t>C,chllr,aux,2</t>
    </r>
    <r>
      <rPr>
        <sz val="11"/>
        <color theme="1"/>
        <rFont val="Calibri"/>
        <family val="2"/>
        <scheme val="minor"/>
      </rPr>
      <t/>
    </r>
  </si>
  <si>
    <r>
      <t xml:space="preserve">    W</t>
    </r>
    <r>
      <rPr>
        <i/>
        <sz val="8"/>
        <rFont val="Arial"/>
        <family val="2"/>
      </rPr>
      <t>C,chllr,aux,3</t>
    </r>
    <r>
      <rPr>
        <sz val="11"/>
        <color theme="1"/>
        <rFont val="Calibri"/>
        <family val="2"/>
        <scheme val="minor"/>
      </rPr>
      <t/>
    </r>
  </si>
  <si>
    <r>
      <t xml:space="preserve">    W</t>
    </r>
    <r>
      <rPr>
        <i/>
        <sz val="8"/>
        <rFont val="Arial"/>
        <family val="2"/>
      </rPr>
      <t>C,chllr,aux,4</t>
    </r>
    <r>
      <rPr>
        <sz val="11"/>
        <color theme="1"/>
        <rFont val="Calibri"/>
        <family val="2"/>
        <scheme val="minor"/>
      </rPr>
      <t/>
    </r>
  </si>
  <si>
    <r>
      <t xml:space="preserve">    W</t>
    </r>
    <r>
      <rPr>
        <i/>
        <sz val="8"/>
        <rFont val="Arial"/>
        <family val="2"/>
      </rPr>
      <t>C,chllr,aux,5</t>
    </r>
    <r>
      <rPr>
        <sz val="11"/>
        <color theme="1"/>
        <rFont val="Calibri"/>
        <family val="2"/>
        <scheme val="minor"/>
      </rPr>
      <t/>
    </r>
  </si>
  <si>
    <r>
      <t xml:space="preserve">    W</t>
    </r>
    <r>
      <rPr>
        <i/>
        <sz val="8"/>
        <rFont val="Arial"/>
        <family val="2"/>
      </rPr>
      <t>C,chllr,aux,6</t>
    </r>
    <r>
      <rPr>
        <sz val="11"/>
        <color theme="1"/>
        <rFont val="Calibri"/>
        <family val="2"/>
        <scheme val="minor"/>
      </rPr>
      <t/>
    </r>
  </si>
  <si>
    <r>
      <t xml:space="preserve">    W</t>
    </r>
    <r>
      <rPr>
        <i/>
        <sz val="8"/>
        <rFont val="Arial"/>
        <family val="2"/>
      </rPr>
      <t>C,chllr,aux,7</t>
    </r>
    <r>
      <rPr>
        <sz val="11"/>
        <color theme="1"/>
        <rFont val="Calibri"/>
        <family val="2"/>
        <scheme val="minor"/>
      </rPr>
      <t/>
    </r>
  </si>
  <si>
    <r>
      <t xml:space="preserve">    W</t>
    </r>
    <r>
      <rPr>
        <i/>
        <sz val="8"/>
        <rFont val="Arial"/>
        <family val="2"/>
      </rPr>
      <t>C,chllr,aux,8</t>
    </r>
    <r>
      <rPr>
        <sz val="11"/>
        <color theme="1"/>
        <rFont val="Calibri"/>
        <family val="2"/>
        <scheme val="minor"/>
      </rPr>
      <t/>
    </r>
  </si>
  <si>
    <r>
      <t xml:space="preserve">    W</t>
    </r>
    <r>
      <rPr>
        <i/>
        <sz val="8"/>
        <rFont val="Arial"/>
        <family val="2"/>
      </rPr>
      <t>C,chllr,aux,9</t>
    </r>
    <r>
      <rPr>
        <sz val="11"/>
        <color theme="1"/>
        <rFont val="Calibri"/>
        <family val="2"/>
        <scheme val="minor"/>
      </rPr>
      <t/>
    </r>
  </si>
  <si>
    <r>
      <t xml:space="preserve">    W</t>
    </r>
    <r>
      <rPr>
        <i/>
        <sz val="8"/>
        <rFont val="Arial"/>
        <family val="2"/>
      </rPr>
      <t>C,chllr,aux,10</t>
    </r>
    <r>
      <rPr>
        <sz val="11"/>
        <color theme="1"/>
        <rFont val="Calibri"/>
        <family val="2"/>
        <scheme val="minor"/>
      </rPr>
      <t/>
    </r>
  </si>
  <si>
    <r>
      <t xml:space="preserve">    W</t>
    </r>
    <r>
      <rPr>
        <i/>
        <sz val="8"/>
        <rFont val="Arial"/>
        <family val="2"/>
      </rPr>
      <t>C,chllr,aux,11</t>
    </r>
    <r>
      <rPr>
        <sz val="11"/>
        <color theme="1"/>
        <rFont val="Calibri"/>
        <family val="2"/>
        <scheme val="minor"/>
      </rPr>
      <t/>
    </r>
  </si>
  <si>
    <r>
      <t xml:space="preserve">    W</t>
    </r>
    <r>
      <rPr>
        <i/>
        <sz val="8"/>
        <rFont val="Arial"/>
        <family val="2"/>
      </rPr>
      <t>C,chllr,aux,12</t>
    </r>
    <r>
      <rPr>
        <sz val="11"/>
        <color theme="1"/>
        <rFont val="Calibri"/>
        <family val="2"/>
        <scheme val="minor"/>
      </rPr>
      <t/>
    </r>
  </si>
  <si>
    <t>Non EPBD electricity use</t>
  </si>
  <si>
    <t>Lighting electricity use</t>
  </si>
  <si>
    <t>Ventilation electricity use</t>
  </si>
  <si>
    <r>
      <t>E</t>
    </r>
    <r>
      <rPr>
        <i/>
        <sz val="8"/>
        <rFont val="Arial"/>
        <family val="2"/>
      </rPr>
      <t>V,el</t>
    </r>
  </si>
  <si>
    <r>
      <t xml:space="preserve">   E</t>
    </r>
    <r>
      <rPr>
        <i/>
        <sz val="8"/>
        <rFont val="Arial"/>
        <family val="2"/>
      </rPr>
      <t>V,el,1</t>
    </r>
  </si>
  <si>
    <r>
      <t xml:space="preserve">   E</t>
    </r>
    <r>
      <rPr>
        <i/>
        <sz val="8"/>
        <rFont val="Arial"/>
        <family val="2"/>
      </rPr>
      <t>V,el,2</t>
    </r>
    <r>
      <rPr>
        <sz val="11"/>
        <color theme="1"/>
        <rFont val="Calibri"/>
        <family val="2"/>
        <scheme val="minor"/>
      </rPr>
      <t/>
    </r>
  </si>
  <si>
    <r>
      <t xml:space="preserve">   E</t>
    </r>
    <r>
      <rPr>
        <i/>
        <sz val="8"/>
        <rFont val="Arial"/>
        <family val="2"/>
      </rPr>
      <t>V,el,3</t>
    </r>
    <r>
      <rPr>
        <sz val="11"/>
        <color theme="1"/>
        <rFont val="Calibri"/>
        <family val="2"/>
        <scheme val="minor"/>
      </rPr>
      <t/>
    </r>
  </si>
  <si>
    <r>
      <t xml:space="preserve">   E</t>
    </r>
    <r>
      <rPr>
        <i/>
        <sz val="8"/>
        <rFont val="Arial"/>
        <family val="2"/>
      </rPr>
      <t>V,el,4</t>
    </r>
    <r>
      <rPr>
        <sz val="11"/>
        <color theme="1"/>
        <rFont val="Calibri"/>
        <family val="2"/>
        <scheme val="minor"/>
      </rPr>
      <t/>
    </r>
  </si>
  <si>
    <r>
      <t xml:space="preserve">   E</t>
    </r>
    <r>
      <rPr>
        <i/>
        <sz val="8"/>
        <rFont val="Arial"/>
        <family val="2"/>
      </rPr>
      <t>V,el,5</t>
    </r>
    <r>
      <rPr>
        <sz val="11"/>
        <color theme="1"/>
        <rFont val="Calibri"/>
        <family val="2"/>
        <scheme val="minor"/>
      </rPr>
      <t/>
    </r>
  </si>
  <si>
    <r>
      <t xml:space="preserve">   E</t>
    </r>
    <r>
      <rPr>
        <i/>
        <sz val="8"/>
        <rFont val="Arial"/>
        <family val="2"/>
      </rPr>
      <t>V,el,6</t>
    </r>
    <r>
      <rPr>
        <sz val="11"/>
        <color theme="1"/>
        <rFont val="Calibri"/>
        <family val="2"/>
        <scheme val="minor"/>
      </rPr>
      <t/>
    </r>
  </si>
  <si>
    <r>
      <t xml:space="preserve">   E</t>
    </r>
    <r>
      <rPr>
        <i/>
        <sz val="8"/>
        <rFont val="Arial"/>
        <family val="2"/>
      </rPr>
      <t>V,el,7</t>
    </r>
    <r>
      <rPr>
        <sz val="11"/>
        <color theme="1"/>
        <rFont val="Calibri"/>
        <family val="2"/>
        <scheme val="minor"/>
      </rPr>
      <t/>
    </r>
  </si>
  <si>
    <r>
      <t xml:space="preserve">   E</t>
    </r>
    <r>
      <rPr>
        <i/>
        <sz val="8"/>
        <rFont val="Arial"/>
        <family val="2"/>
      </rPr>
      <t>V,el,8</t>
    </r>
    <r>
      <rPr>
        <sz val="11"/>
        <color theme="1"/>
        <rFont val="Calibri"/>
        <family val="2"/>
        <scheme val="minor"/>
      </rPr>
      <t/>
    </r>
  </si>
  <si>
    <r>
      <t xml:space="preserve">   E</t>
    </r>
    <r>
      <rPr>
        <i/>
        <sz val="8"/>
        <rFont val="Arial"/>
        <family val="2"/>
      </rPr>
      <t>V,el,9</t>
    </r>
    <r>
      <rPr>
        <sz val="11"/>
        <color theme="1"/>
        <rFont val="Calibri"/>
        <family val="2"/>
        <scheme val="minor"/>
      </rPr>
      <t/>
    </r>
  </si>
  <si>
    <r>
      <t xml:space="preserve">   E</t>
    </r>
    <r>
      <rPr>
        <i/>
        <sz val="8"/>
        <rFont val="Arial"/>
        <family val="2"/>
      </rPr>
      <t>V,el,10</t>
    </r>
    <r>
      <rPr>
        <sz val="11"/>
        <color theme="1"/>
        <rFont val="Calibri"/>
        <family val="2"/>
        <scheme val="minor"/>
      </rPr>
      <t/>
    </r>
  </si>
  <si>
    <r>
      <t xml:space="preserve">   E</t>
    </r>
    <r>
      <rPr>
        <i/>
        <sz val="8"/>
        <rFont val="Arial"/>
        <family val="2"/>
      </rPr>
      <t>V,el,11</t>
    </r>
    <r>
      <rPr>
        <sz val="11"/>
        <color theme="1"/>
        <rFont val="Calibri"/>
        <family val="2"/>
        <scheme val="minor"/>
      </rPr>
      <t/>
    </r>
  </si>
  <si>
    <r>
      <t xml:space="preserve">   E</t>
    </r>
    <r>
      <rPr>
        <i/>
        <sz val="8"/>
        <rFont val="Arial"/>
        <family val="2"/>
      </rPr>
      <t>V,el,12</t>
    </r>
    <r>
      <rPr>
        <sz val="11"/>
        <color theme="1"/>
        <rFont val="Calibri"/>
        <family val="2"/>
        <scheme val="minor"/>
      </rPr>
      <t/>
    </r>
  </si>
  <si>
    <r>
      <t>E</t>
    </r>
    <r>
      <rPr>
        <i/>
        <sz val="8"/>
        <rFont val="Arial"/>
        <family val="2"/>
      </rPr>
      <t>L,el</t>
    </r>
  </si>
  <si>
    <r>
      <t xml:space="preserve">   E</t>
    </r>
    <r>
      <rPr>
        <i/>
        <sz val="8"/>
        <rFont val="Arial"/>
        <family val="2"/>
      </rPr>
      <t>L,el,1</t>
    </r>
  </si>
  <si>
    <r>
      <t xml:space="preserve">   E</t>
    </r>
    <r>
      <rPr>
        <i/>
        <sz val="8"/>
        <rFont val="Arial"/>
        <family val="2"/>
      </rPr>
      <t>L,el,2</t>
    </r>
    <r>
      <rPr>
        <sz val="11"/>
        <color theme="1"/>
        <rFont val="Calibri"/>
        <family val="2"/>
        <scheme val="minor"/>
      </rPr>
      <t/>
    </r>
  </si>
  <si>
    <r>
      <t xml:space="preserve">   E</t>
    </r>
    <r>
      <rPr>
        <i/>
        <sz val="8"/>
        <rFont val="Arial"/>
        <family val="2"/>
      </rPr>
      <t>L,el,3</t>
    </r>
    <r>
      <rPr>
        <sz val="11"/>
        <color theme="1"/>
        <rFont val="Calibri"/>
        <family val="2"/>
        <scheme val="minor"/>
      </rPr>
      <t/>
    </r>
  </si>
  <si>
    <r>
      <t xml:space="preserve">   E</t>
    </r>
    <r>
      <rPr>
        <i/>
        <sz val="8"/>
        <rFont val="Arial"/>
        <family val="2"/>
      </rPr>
      <t>L,el,4</t>
    </r>
    <r>
      <rPr>
        <sz val="11"/>
        <color theme="1"/>
        <rFont val="Calibri"/>
        <family val="2"/>
        <scheme val="minor"/>
      </rPr>
      <t/>
    </r>
  </si>
  <si>
    <r>
      <t xml:space="preserve">   E</t>
    </r>
    <r>
      <rPr>
        <i/>
        <sz val="8"/>
        <rFont val="Arial"/>
        <family val="2"/>
      </rPr>
      <t>L,el,5</t>
    </r>
    <r>
      <rPr>
        <sz val="11"/>
        <color theme="1"/>
        <rFont val="Calibri"/>
        <family val="2"/>
        <scheme val="minor"/>
      </rPr>
      <t/>
    </r>
  </si>
  <si>
    <r>
      <t xml:space="preserve">   E</t>
    </r>
    <r>
      <rPr>
        <i/>
        <sz val="8"/>
        <rFont val="Arial"/>
        <family val="2"/>
      </rPr>
      <t>L,el,6</t>
    </r>
    <r>
      <rPr>
        <sz val="11"/>
        <color theme="1"/>
        <rFont val="Calibri"/>
        <family val="2"/>
        <scheme val="minor"/>
      </rPr>
      <t/>
    </r>
  </si>
  <si>
    <r>
      <t xml:space="preserve">   E</t>
    </r>
    <r>
      <rPr>
        <i/>
        <sz val="8"/>
        <rFont val="Arial"/>
        <family val="2"/>
      </rPr>
      <t>L,el,7</t>
    </r>
    <r>
      <rPr>
        <sz val="11"/>
        <color theme="1"/>
        <rFont val="Calibri"/>
        <family val="2"/>
        <scheme val="minor"/>
      </rPr>
      <t/>
    </r>
  </si>
  <si>
    <r>
      <t xml:space="preserve">   E</t>
    </r>
    <r>
      <rPr>
        <i/>
        <sz val="8"/>
        <rFont val="Arial"/>
        <family val="2"/>
      </rPr>
      <t>L,el,8</t>
    </r>
    <r>
      <rPr>
        <sz val="11"/>
        <color theme="1"/>
        <rFont val="Calibri"/>
        <family val="2"/>
        <scheme val="minor"/>
      </rPr>
      <t/>
    </r>
  </si>
  <si>
    <r>
      <t xml:space="preserve">   E</t>
    </r>
    <r>
      <rPr>
        <i/>
        <sz val="8"/>
        <rFont val="Arial"/>
        <family val="2"/>
      </rPr>
      <t>L,el,9</t>
    </r>
    <r>
      <rPr>
        <sz val="11"/>
        <color theme="1"/>
        <rFont val="Calibri"/>
        <family val="2"/>
        <scheme val="minor"/>
      </rPr>
      <t/>
    </r>
  </si>
  <si>
    <r>
      <t xml:space="preserve">   E</t>
    </r>
    <r>
      <rPr>
        <i/>
        <sz val="8"/>
        <rFont val="Arial"/>
        <family val="2"/>
      </rPr>
      <t>L,el,10</t>
    </r>
    <r>
      <rPr>
        <sz val="11"/>
        <color theme="1"/>
        <rFont val="Calibri"/>
        <family val="2"/>
        <scheme val="minor"/>
      </rPr>
      <t/>
    </r>
  </si>
  <si>
    <r>
      <t xml:space="preserve">   E</t>
    </r>
    <r>
      <rPr>
        <i/>
        <sz val="8"/>
        <rFont val="Arial"/>
        <family val="2"/>
      </rPr>
      <t>L,el,11</t>
    </r>
    <r>
      <rPr>
        <sz val="11"/>
        <color theme="1"/>
        <rFont val="Calibri"/>
        <family val="2"/>
        <scheme val="minor"/>
      </rPr>
      <t/>
    </r>
  </si>
  <si>
    <r>
      <t xml:space="preserve">   E</t>
    </r>
    <r>
      <rPr>
        <i/>
        <sz val="8"/>
        <rFont val="Arial"/>
        <family val="2"/>
      </rPr>
      <t>L,el,12</t>
    </r>
    <r>
      <rPr>
        <sz val="11"/>
        <color theme="1"/>
        <rFont val="Calibri"/>
        <family val="2"/>
        <scheme val="minor"/>
      </rPr>
      <t/>
    </r>
  </si>
  <si>
    <r>
      <t>E</t>
    </r>
    <r>
      <rPr>
        <i/>
        <sz val="8"/>
        <rFont val="Arial"/>
        <family val="2"/>
      </rPr>
      <t>A,el</t>
    </r>
  </si>
  <si>
    <r>
      <t xml:space="preserve">   E</t>
    </r>
    <r>
      <rPr>
        <i/>
        <sz val="8"/>
        <rFont val="Arial"/>
        <family val="2"/>
      </rPr>
      <t>A,el,1</t>
    </r>
  </si>
  <si>
    <r>
      <t xml:space="preserve">   E</t>
    </r>
    <r>
      <rPr>
        <i/>
        <sz val="8"/>
        <rFont val="Arial"/>
        <family val="2"/>
      </rPr>
      <t>A,el,2</t>
    </r>
    <r>
      <rPr>
        <sz val="11"/>
        <color theme="1"/>
        <rFont val="Calibri"/>
        <family val="2"/>
        <scheme val="minor"/>
      </rPr>
      <t/>
    </r>
  </si>
  <si>
    <r>
      <t xml:space="preserve">   E</t>
    </r>
    <r>
      <rPr>
        <i/>
        <sz val="8"/>
        <rFont val="Arial"/>
        <family val="2"/>
      </rPr>
      <t>A,el,3</t>
    </r>
    <r>
      <rPr>
        <sz val="11"/>
        <color theme="1"/>
        <rFont val="Calibri"/>
        <family val="2"/>
        <scheme val="minor"/>
      </rPr>
      <t/>
    </r>
  </si>
  <si>
    <r>
      <t xml:space="preserve">   E</t>
    </r>
    <r>
      <rPr>
        <i/>
        <sz val="8"/>
        <rFont val="Arial"/>
        <family val="2"/>
      </rPr>
      <t>A,el,4</t>
    </r>
    <r>
      <rPr>
        <sz val="11"/>
        <color theme="1"/>
        <rFont val="Calibri"/>
        <family val="2"/>
        <scheme val="minor"/>
      </rPr>
      <t/>
    </r>
  </si>
  <si>
    <r>
      <t xml:space="preserve">   E</t>
    </r>
    <r>
      <rPr>
        <i/>
        <sz val="8"/>
        <rFont val="Arial"/>
        <family val="2"/>
      </rPr>
      <t>A,el,5</t>
    </r>
    <r>
      <rPr>
        <sz val="11"/>
        <color theme="1"/>
        <rFont val="Calibri"/>
        <family val="2"/>
        <scheme val="minor"/>
      </rPr>
      <t/>
    </r>
  </si>
  <si>
    <r>
      <t xml:space="preserve">   E</t>
    </r>
    <r>
      <rPr>
        <i/>
        <sz val="8"/>
        <rFont val="Arial"/>
        <family val="2"/>
      </rPr>
      <t>A,el,6</t>
    </r>
    <r>
      <rPr>
        <sz val="11"/>
        <color theme="1"/>
        <rFont val="Calibri"/>
        <family val="2"/>
        <scheme val="minor"/>
      </rPr>
      <t/>
    </r>
  </si>
  <si>
    <r>
      <t xml:space="preserve">   E</t>
    </r>
    <r>
      <rPr>
        <i/>
        <sz val="8"/>
        <rFont val="Arial"/>
        <family val="2"/>
      </rPr>
      <t>A,el,7</t>
    </r>
    <r>
      <rPr>
        <sz val="11"/>
        <color theme="1"/>
        <rFont val="Calibri"/>
        <family val="2"/>
        <scheme val="minor"/>
      </rPr>
      <t/>
    </r>
  </si>
  <si>
    <r>
      <t xml:space="preserve">   E</t>
    </r>
    <r>
      <rPr>
        <i/>
        <sz val="8"/>
        <rFont val="Arial"/>
        <family val="2"/>
      </rPr>
      <t>A,el,8</t>
    </r>
    <r>
      <rPr>
        <sz val="11"/>
        <color theme="1"/>
        <rFont val="Calibri"/>
        <family val="2"/>
        <scheme val="minor"/>
      </rPr>
      <t/>
    </r>
  </si>
  <si>
    <r>
      <t xml:space="preserve">   E</t>
    </r>
    <r>
      <rPr>
        <i/>
        <sz val="8"/>
        <rFont val="Arial"/>
        <family val="2"/>
      </rPr>
      <t>A,el,9</t>
    </r>
    <r>
      <rPr>
        <sz val="11"/>
        <color theme="1"/>
        <rFont val="Calibri"/>
        <family val="2"/>
        <scheme val="minor"/>
      </rPr>
      <t/>
    </r>
  </si>
  <si>
    <r>
      <t xml:space="preserve">   E</t>
    </r>
    <r>
      <rPr>
        <i/>
        <sz val="8"/>
        <rFont val="Arial"/>
        <family val="2"/>
      </rPr>
      <t>A,el,10</t>
    </r>
    <r>
      <rPr>
        <sz val="11"/>
        <color theme="1"/>
        <rFont val="Calibri"/>
        <family val="2"/>
        <scheme val="minor"/>
      </rPr>
      <t/>
    </r>
  </si>
  <si>
    <r>
      <t xml:space="preserve">   E</t>
    </r>
    <r>
      <rPr>
        <i/>
        <sz val="8"/>
        <rFont val="Arial"/>
        <family val="2"/>
      </rPr>
      <t>A,el,11</t>
    </r>
    <r>
      <rPr>
        <sz val="11"/>
        <color theme="1"/>
        <rFont val="Calibri"/>
        <family val="2"/>
        <scheme val="minor"/>
      </rPr>
      <t/>
    </r>
  </si>
  <si>
    <r>
      <t xml:space="preserve">   E</t>
    </r>
    <r>
      <rPr>
        <i/>
        <sz val="8"/>
        <rFont val="Arial"/>
        <family val="2"/>
      </rPr>
      <t>A,el,12</t>
    </r>
    <r>
      <rPr>
        <sz val="11"/>
        <color theme="1"/>
        <rFont val="Calibri"/>
        <family val="2"/>
        <scheme val="minor"/>
      </rPr>
      <t/>
    </r>
  </si>
  <si>
    <r>
      <t>E</t>
    </r>
    <r>
      <rPr>
        <i/>
        <sz val="8"/>
        <rFont val="Arial"/>
        <family val="2"/>
      </rPr>
      <t>nEPus,el</t>
    </r>
  </si>
  <si>
    <r>
      <t xml:space="preserve">   E</t>
    </r>
    <r>
      <rPr>
        <i/>
        <sz val="8"/>
        <rFont val="Arial"/>
        <family val="2"/>
      </rPr>
      <t>nEPus,el,1</t>
    </r>
  </si>
  <si>
    <r>
      <t xml:space="preserve">   E</t>
    </r>
    <r>
      <rPr>
        <i/>
        <sz val="8"/>
        <rFont val="Arial"/>
        <family val="2"/>
      </rPr>
      <t>nEPus,el,2</t>
    </r>
    <r>
      <rPr>
        <sz val="11"/>
        <color theme="1"/>
        <rFont val="Calibri"/>
        <family val="2"/>
        <scheme val="minor"/>
      </rPr>
      <t/>
    </r>
  </si>
  <si>
    <r>
      <t xml:space="preserve">   E</t>
    </r>
    <r>
      <rPr>
        <i/>
        <sz val="8"/>
        <rFont val="Arial"/>
        <family val="2"/>
      </rPr>
      <t>nEPus,el,3</t>
    </r>
    <r>
      <rPr>
        <sz val="11"/>
        <color theme="1"/>
        <rFont val="Calibri"/>
        <family val="2"/>
        <scheme val="minor"/>
      </rPr>
      <t/>
    </r>
  </si>
  <si>
    <r>
      <t xml:space="preserve">   E</t>
    </r>
    <r>
      <rPr>
        <i/>
        <sz val="8"/>
        <rFont val="Arial"/>
        <family val="2"/>
      </rPr>
      <t>nEPus,el,4</t>
    </r>
    <r>
      <rPr>
        <sz val="11"/>
        <color theme="1"/>
        <rFont val="Calibri"/>
        <family val="2"/>
        <scheme val="minor"/>
      </rPr>
      <t/>
    </r>
  </si>
  <si>
    <r>
      <t xml:space="preserve">   E</t>
    </r>
    <r>
      <rPr>
        <i/>
        <sz val="8"/>
        <rFont val="Arial"/>
        <family val="2"/>
      </rPr>
      <t>nEPus,el,5</t>
    </r>
    <r>
      <rPr>
        <sz val="11"/>
        <color theme="1"/>
        <rFont val="Calibri"/>
        <family val="2"/>
        <scheme val="minor"/>
      </rPr>
      <t/>
    </r>
  </si>
  <si>
    <r>
      <t xml:space="preserve">   E</t>
    </r>
    <r>
      <rPr>
        <i/>
        <sz val="8"/>
        <rFont val="Arial"/>
        <family val="2"/>
      </rPr>
      <t>nEPus,el,6</t>
    </r>
    <r>
      <rPr>
        <sz val="11"/>
        <color theme="1"/>
        <rFont val="Calibri"/>
        <family val="2"/>
        <scheme val="minor"/>
      </rPr>
      <t/>
    </r>
  </si>
  <si>
    <r>
      <t xml:space="preserve">   E</t>
    </r>
    <r>
      <rPr>
        <i/>
        <sz val="8"/>
        <rFont val="Arial"/>
        <family val="2"/>
      </rPr>
      <t>nEPus,el,7</t>
    </r>
    <r>
      <rPr>
        <sz val="11"/>
        <color theme="1"/>
        <rFont val="Calibri"/>
        <family val="2"/>
        <scheme val="minor"/>
      </rPr>
      <t/>
    </r>
  </si>
  <si>
    <r>
      <t xml:space="preserve">   E</t>
    </r>
    <r>
      <rPr>
        <i/>
        <sz val="8"/>
        <rFont val="Arial"/>
        <family val="2"/>
      </rPr>
      <t>nEPus,el,8</t>
    </r>
    <r>
      <rPr>
        <sz val="11"/>
        <color theme="1"/>
        <rFont val="Calibri"/>
        <family val="2"/>
        <scheme val="minor"/>
      </rPr>
      <t/>
    </r>
  </si>
  <si>
    <r>
      <t xml:space="preserve">   E</t>
    </r>
    <r>
      <rPr>
        <i/>
        <sz val="8"/>
        <rFont val="Arial"/>
        <family val="2"/>
      </rPr>
      <t>nEPus,el,9</t>
    </r>
    <r>
      <rPr>
        <sz val="11"/>
        <color theme="1"/>
        <rFont val="Calibri"/>
        <family val="2"/>
        <scheme val="minor"/>
      </rPr>
      <t/>
    </r>
  </si>
  <si>
    <r>
      <t xml:space="preserve">   E</t>
    </r>
    <r>
      <rPr>
        <i/>
        <sz val="8"/>
        <rFont val="Arial"/>
        <family val="2"/>
      </rPr>
      <t>nEPus,el,10</t>
    </r>
    <r>
      <rPr>
        <sz val="11"/>
        <color theme="1"/>
        <rFont val="Calibri"/>
        <family val="2"/>
        <scheme val="minor"/>
      </rPr>
      <t/>
    </r>
  </si>
  <si>
    <r>
      <t xml:space="preserve">   E</t>
    </r>
    <r>
      <rPr>
        <i/>
        <sz val="8"/>
        <rFont val="Arial"/>
        <family val="2"/>
      </rPr>
      <t>nEPus,el,11</t>
    </r>
    <r>
      <rPr>
        <sz val="11"/>
        <color theme="1"/>
        <rFont val="Calibri"/>
        <family val="2"/>
        <scheme val="minor"/>
      </rPr>
      <t/>
    </r>
  </si>
  <si>
    <r>
      <t xml:space="preserve">   E</t>
    </r>
    <r>
      <rPr>
        <i/>
        <sz val="8"/>
        <rFont val="Arial"/>
        <family val="2"/>
      </rPr>
      <t>nEPus,el,12</t>
    </r>
    <r>
      <rPr>
        <sz val="11"/>
        <color theme="1"/>
        <rFont val="Calibri"/>
        <family val="2"/>
        <scheme val="minor"/>
      </rPr>
      <t/>
    </r>
  </si>
  <si>
    <t>Heating need</t>
  </si>
  <si>
    <t>Cooling need</t>
  </si>
  <si>
    <t>DHW need</t>
  </si>
  <si>
    <t>Technical systems, without generation</t>
  </si>
  <si>
    <t>Generation systems</t>
  </si>
  <si>
    <t>Generation output for dhw</t>
  </si>
  <si>
    <t xml:space="preserve">Maximum thermal solar contribution </t>
  </si>
  <si>
    <t>Provisional placeholder , will be completed</t>
  </si>
  <si>
    <t>Remaining heat to be generated</t>
  </si>
  <si>
    <t>Chiller rejected heat</t>
  </si>
  <si>
    <r>
      <t>W</t>
    </r>
    <r>
      <rPr>
        <i/>
        <sz val="8"/>
        <rFont val="Arial"/>
        <family val="2"/>
      </rPr>
      <t>C,chllr,rej</t>
    </r>
  </si>
  <si>
    <r>
      <t xml:space="preserve">    W</t>
    </r>
    <r>
      <rPr>
        <i/>
        <sz val="8"/>
        <rFont val="Arial"/>
        <family val="2"/>
      </rPr>
      <t>C,chllr,rej,1</t>
    </r>
  </si>
  <si>
    <r>
      <t xml:space="preserve">    W</t>
    </r>
    <r>
      <rPr>
        <i/>
        <sz val="8"/>
        <rFont val="Arial"/>
        <family val="2"/>
      </rPr>
      <t>C,chllr,rej,2</t>
    </r>
    <r>
      <rPr>
        <sz val="11"/>
        <color theme="1"/>
        <rFont val="Calibri"/>
        <family val="2"/>
        <scheme val="minor"/>
      </rPr>
      <t/>
    </r>
  </si>
  <si>
    <r>
      <t xml:space="preserve">    W</t>
    </r>
    <r>
      <rPr>
        <i/>
        <sz val="8"/>
        <rFont val="Arial"/>
        <family val="2"/>
      </rPr>
      <t>C,chllr,rej,3</t>
    </r>
    <r>
      <rPr>
        <sz val="11"/>
        <color theme="1"/>
        <rFont val="Calibri"/>
        <family val="2"/>
        <scheme val="minor"/>
      </rPr>
      <t/>
    </r>
  </si>
  <si>
    <r>
      <t xml:space="preserve">    W</t>
    </r>
    <r>
      <rPr>
        <i/>
        <sz val="8"/>
        <rFont val="Arial"/>
        <family val="2"/>
      </rPr>
      <t>C,chllr,rej,4</t>
    </r>
    <r>
      <rPr>
        <sz val="11"/>
        <color theme="1"/>
        <rFont val="Calibri"/>
        <family val="2"/>
        <scheme val="minor"/>
      </rPr>
      <t/>
    </r>
  </si>
  <si>
    <r>
      <t xml:space="preserve">    W</t>
    </r>
    <r>
      <rPr>
        <i/>
        <sz val="8"/>
        <rFont val="Arial"/>
        <family val="2"/>
      </rPr>
      <t>C,chllr,rej,5</t>
    </r>
    <r>
      <rPr>
        <sz val="11"/>
        <color theme="1"/>
        <rFont val="Calibri"/>
        <family val="2"/>
        <scheme val="minor"/>
      </rPr>
      <t/>
    </r>
  </si>
  <si>
    <r>
      <t xml:space="preserve">    W</t>
    </r>
    <r>
      <rPr>
        <i/>
        <sz val="8"/>
        <rFont val="Arial"/>
        <family val="2"/>
      </rPr>
      <t>C,chllr,rej,6</t>
    </r>
    <r>
      <rPr>
        <sz val="11"/>
        <color theme="1"/>
        <rFont val="Calibri"/>
        <family val="2"/>
        <scheme val="minor"/>
      </rPr>
      <t/>
    </r>
  </si>
  <si>
    <r>
      <t xml:space="preserve">    W</t>
    </r>
    <r>
      <rPr>
        <i/>
        <sz val="8"/>
        <rFont val="Arial"/>
        <family val="2"/>
      </rPr>
      <t>C,chllr,rej,7</t>
    </r>
    <r>
      <rPr>
        <sz val="11"/>
        <color theme="1"/>
        <rFont val="Calibri"/>
        <family val="2"/>
        <scheme val="minor"/>
      </rPr>
      <t/>
    </r>
  </si>
  <si>
    <r>
      <t xml:space="preserve">    W</t>
    </r>
    <r>
      <rPr>
        <i/>
        <sz val="8"/>
        <rFont val="Arial"/>
        <family val="2"/>
      </rPr>
      <t>C,chllr,rej,8</t>
    </r>
    <r>
      <rPr>
        <sz val="11"/>
        <color theme="1"/>
        <rFont val="Calibri"/>
        <family val="2"/>
        <scheme val="minor"/>
      </rPr>
      <t/>
    </r>
  </si>
  <si>
    <r>
      <t xml:space="preserve">    W</t>
    </r>
    <r>
      <rPr>
        <i/>
        <sz val="8"/>
        <rFont val="Arial"/>
        <family val="2"/>
      </rPr>
      <t>C,chllr,rej,9</t>
    </r>
    <r>
      <rPr>
        <sz val="11"/>
        <color theme="1"/>
        <rFont val="Calibri"/>
        <family val="2"/>
        <scheme val="minor"/>
      </rPr>
      <t/>
    </r>
  </si>
  <si>
    <r>
      <t xml:space="preserve">    W</t>
    </r>
    <r>
      <rPr>
        <i/>
        <sz val="8"/>
        <rFont val="Arial"/>
        <family val="2"/>
      </rPr>
      <t>C,chllr,rej,10</t>
    </r>
    <r>
      <rPr>
        <sz val="11"/>
        <color theme="1"/>
        <rFont val="Calibri"/>
        <family val="2"/>
        <scheme val="minor"/>
      </rPr>
      <t/>
    </r>
  </si>
  <si>
    <r>
      <t xml:space="preserve">    W</t>
    </r>
    <r>
      <rPr>
        <i/>
        <sz val="8"/>
        <rFont val="Arial"/>
        <family val="2"/>
      </rPr>
      <t>C,chllr,rej,11</t>
    </r>
    <r>
      <rPr>
        <sz val="11"/>
        <color theme="1"/>
        <rFont val="Calibri"/>
        <family val="2"/>
        <scheme val="minor"/>
      </rPr>
      <t/>
    </r>
  </si>
  <si>
    <r>
      <t xml:space="preserve">    W</t>
    </r>
    <r>
      <rPr>
        <i/>
        <sz val="8"/>
        <rFont val="Arial"/>
        <family val="2"/>
      </rPr>
      <t>C,chllr,rej,12</t>
    </r>
    <r>
      <rPr>
        <sz val="11"/>
        <color theme="1"/>
        <rFont val="Calibri"/>
        <family val="2"/>
        <scheme val="minor"/>
      </rPr>
      <t/>
    </r>
  </si>
  <si>
    <t>Electric energy balance</t>
  </si>
  <si>
    <t>Total EPBD uses</t>
  </si>
  <si>
    <t>Non EPBD uses</t>
  </si>
  <si>
    <r>
      <t>E</t>
    </r>
    <r>
      <rPr>
        <i/>
        <sz val="8"/>
        <rFont val="Arial"/>
        <family val="2"/>
      </rPr>
      <t>EPus,el</t>
    </r>
  </si>
  <si>
    <r>
      <t xml:space="preserve">     E</t>
    </r>
    <r>
      <rPr>
        <i/>
        <sz val="8"/>
        <rFont val="Arial"/>
        <family val="2"/>
      </rPr>
      <t>EPus,el,1</t>
    </r>
  </si>
  <si>
    <t>th_y</t>
  </si>
  <si>
    <t>el_us_y</t>
  </si>
  <si>
    <t>sol_y</t>
  </si>
  <si>
    <t>th_t1</t>
  </si>
  <si>
    <t>th_t2</t>
  </si>
  <si>
    <t>th_t3</t>
  </si>
  <si>
    <t>th_t4</t>
  </si>
  <si>
    <t>th_t5</t>
  </si>
  <si>
    <t>th_t6</t>
  </si>
  <si>
    <t>th_t7</t>
  </si>
  <si>
    <t>th_t8</t>
  </si>
  <si>
    <t>th_t9</t>
  </si>
  <si>
    <t>th_t10</t>
  </si>
  <si>
    <t>th_t11</t>
  </si>
  <si>
    <t>th_t12</t>
  </si>
  <si>
    <t>el_us_t1</t>
  </si>
  <si>
    <t>el_us_t2</t>
  </si>
  <si>
    <t>el_us_t3</t>
  </si>
  <si>
    <t>el_us_t4</t>
  </si>
  <si>
    <t>el_us_t5</t>
  </si>
  <si>
    <t>el_us_t6</t>
  </si>
  <si>
    <t>el_us_t7</t>
  </si>
  <si>
    <t>el_us_t8</t>
  </si>
  <si>
    <t>el_us_t9</t>
  </si>
  <si>
    <t>el_us_t10</t>
  </si>
  <si>
    <t>el_us_t11</t>
  </si>
  <si>
    <t>el_us_t12</t>
  </si>
  <si>
    <t>sol_t1</t>
  </si>
  <si>
    <t>sol_t2</t>
  </si>
  <si>
    <t>sol_t3</t>
  </si>
  <si>
    <t>sol_t4</t>
  </si>
  <si>
    <t>sol_t5</t>
  </si>
  <si>
    <t>sol_t6</t>
  </si>
  <si>
    <t>sol_t7</t>
  </si>
  <si>
    <t>sol_t8</t>
  </si>
  <si>
    <t>sol_t9</t>
  </si>
  <si>
    <t>sol_t10</t>
  </si>
  <si>
    <t>sol_t11</t>
  </si>
  <si>
    <t>sol_t12</t>
  </si>
  <si>
    <t>_y</t>
  </si>
  <si>
    <t>_t1</t>
  </si>
  <si>
    <t>_t2</t>
  </si>
  <si>
    <t>_t3</t>
  </si>
  <si>
    <t>_t4</t>
  </si>
  <si>
    <t>_t5</t>
  </si>
  <si>
    <t>_t6</t>
  </si>
  <si>
    <t>_t7</t>
  </si>
  <si>
    <t>_t8</t>
  </si>
  <si>
    <t>_t9</t>
  </si>
  <si>
    <t>_t10</t>
  </si>
  <si>
    <t>_t11</t>
  </si>
  <si>
    <t>_t12</t>
  </si>
  <si>
    <t>el_CHP_y</t>
  </si>
  <si>
    <t>el_CHP_t1</t>
  </si>
  <si>
    <t>el_CHP_t2</t>
  </si>
  <si>
    <t>el_CHP_t3</t>
  </si>
  <si>
    <t>el_CHP_t4</t>
  </si>
  <si>
    <t>el_CHP_t5</t>
  </si>
  <si>
    <t>el_CHP_t6</t>
  </si>
  <si>
    <t>el_CHP_t7</t>
  </si>
  <si>
    <t>el_CHP_t8</t>
  </si>
  <si>
    <t>el_CHP_t9</t>
  </si>
  <si>
    <t>el_CHP_t10</t>
  </si>
  <si>
    <t>el_CHP_t11</t>
  </si>
  <si>
    <t>el_CHP_t12</t>
  </si>
  <si>
    <t>env_y</t>
  </si>
  <si>
    <t>env_t1</t>
  </si>
  <si>
    <t>env_t2</t>
  </si>
  <si>
    <t>env_t3</t>
  </si>
  <si>
    <t>env_t4</t>
  </si>
  <si>
    <t>env_t5</t>
  </si>
  <si>
    <t>env_t6</t>
  </si>
  <si>
    <t>env_t7</t>
  </si>
  <si>
    <t>env_t8</t>
  </si>
  <si>
    <t>env_t9</t>
  </si>
  <si>
    <t>env_t10</t>
  </si>
  <si>
    <t>env_t11</t>
  </si>
  <si>
    <t>env_t12</t>
  </si>
  <si>
    <t>el_nEPus_y</t>
  </si>
  <si>
    <t>el_nEP_us_t1</t>
  </si>
  <si>
    <t>el_nEP_us_t2</t>
  </si>
  <si>
    <t>el_nEP_us_t3</t>
  </si>
  <si>
    <t>el_nEP_us_t4</t>
  </si>
  <si>
    <t>el_nEP_us_t5</t>
  </si>
  <si>
    <t>el_nEP_us_t6</t>
  </si>
  <si>
    <t>el_nEP_us_t7</t>
  </si>
  <si>
    <t>el_nEP_us_t8</t>
  </si>
  <si>
    <t>el_nEP_us_t9</t>
  </si>
  <si>
    <t>el_nEP_us_t10</t>
  </si>
  <si>
    <t>el_nEP_us_t11</t>
  </si>
  <si>
    <t>el_nEP_us_t12</t>
  </si>
  <si>
    <t>PV solar max contribution  per time step</t>
  </si>
  <si>
    <t>p.u.</t>
  </si>
  <si>
    <t>PV electric generation</t>
  </si>
  <si>
    <r>
      <t xml:space="preserve">   Q</t>
    </r>
    <r>
      <rPr>
        <i/>
        <sz val="8"/>
        <rFont val="Arial"/>
        <family val="2"/>
      </rPr>
      <t>PV,out,pk</t>
    </r>
  </si>
  <si>
    <r>
      <t xml:space="preserve">   Q</t>
    </r>
    <r>
      <rPr>
        <i/>
        <sz val="8"/>
        <rFont val="Arial"/>
        <family val="2"/>
      </rPr>
      <t>PV,out,rel,1</t>
    </r>
  </si>
  <si>
    <r>
      <t xml:space="preserve">   Q</t>
    </r>
    <r>
      <rPr>
        <i/>
        <sz val="8"/>
        <rFont val="Arial"/>
        <family val="2"/>
      </rPr>
      <t>PV,out,rel,2</t>
    </r>
    <r>
      <rPr>
        <sz val="11"/>
        <color theme="1"/>
        <rFont val="Calibri"/>
        <family val="2"/>
        <scheme val="minor"/>
      </rPr>
      <t/>
    </r>
  </si>
  <si>
    <r>
      <t xml:space="preserve">   Q</t>
    </r>
    <r>
      <rPr>
        <i/>
        <sz val="8"/>
        <rFont val="Arial"/>
        <family val="2"/>
      </rPr>
      <t>PV,out,rel,3</t>
    </r>
    <r>
      <rPr>
        <sz val="11"/>
        <color theme="1"/>
        <rFont val="Calibri"/>
        <family val="2"/>
        <scheme val="minor"/>
      </rPr>
      <t/>
    </r>
  </si>
  <si>
    <r>
      <t xml:space="preserve">   Q</t>
    </r>
    <r>
      <rPr>
        <i/>
        <sz val="8"/>
        <rFont val="Arial"/>
        <family val="2"/>
      </rPr>
      <t>PV,out,rel,4</t>
    </r>
    <r>
      <rPr>
        <sz val="11"/>
        <color theme="1"/>
        <rFont val="Calibri"/>
        <family val="2"/>
        <scheme val="minor"/>
      </rPr>
      <t/>
    </r>
  </si>
  <si>
    <r>
      <t xml:space="preserve">   Q</t>
    </r>
    <r>
      <rPr>
        <i/>
        <sz val="8"/>
        <rFont val="Arial"/>
        <family val="2"/>
      </rPr>
      <t>PV,out,rel,5</t>
    </r>
    <r>
      <rPr>
        <sz val="11"/>
        <color theme="1"/>
        <rFont val="Calibri"/>
        <family val="2"/>
        <scheme val="minor"/>
      </rPr>
      <t/>
    </r>
  </si>
  <si>
    <r>
      <t xml:space="preserve">   Q</t>
    </r>
    <r>
      <rPr>
        <i/>
        <sz val="8"/>
        <rFont val="Arial"/>
        <family val="2"/>
      </rPr>
      <t>PV,out,rel,6</t>
    </r>
    <r>
      <rPr>
        <sz val="11"/>
        <color theme="1"/>
        <rFont val="Calibri"/>
        <family val="2"/>
        <scheme val="minor"/>
      </rPr>
      <t/>
    </r>
  </si>
  <si>
    <r>
      <t xml:space="preserve">   Q</t>
    </r>
    <r>
      <rPr>
        <i/>
        <sz val="8"/>
        <rFont val="Arial"/>
        <family val="2"/>
      </rPr>
      <t>PV,out,rel,7</t>
    </r>
    <r>
      <rPr>
        <sz val="11"/>
        <color theme="1"/>
        <rFont val="Calibri"/>
        <family val="2"/>
        <scheme val="minor"/>
      </rPr>
      <t/>
    </r>
  </si>
  <si>
    <r>
      <t xml:space="preserve">   Q</t>
    </r>
    <r>
      <rPr>
        <i/>
        <sz val="8"/>
        <rFont val="Arial"/>
        <family val="2"/>
      </rPr>
      <t>PV,out,rel,8</t>
    </r>
    <r>
      <rPr>
        <sz val="11"/>
        <color theme="1"/>
        <rFont val="Calibri"/>
        <family val="2"/>
        <scheme val="minor"/>
      </rPr>
      <t/>
    </r>
  </si>
  <si>
    <r>
      <t xml:space="preserve">   Q</t>
    </r>
    <r>
      <rPr>
        <i/>
        <sz val="8"/>
        <rFont val="Arial"/>
        <family val="2"/>
      </rPr>
      <t>PV,out,rel,9</t>
    </r>
    <r>
      <rPr>
        <sz val="11"/>
        <color theme="1"/>
        <rFont val="Calibri"/>
        <family val="2"/>
        <scheme val="minor"/>
      </rPr>
      <t/>
    </r>
  </si>
  <si>
    <r>
      <t xml:space="preserve">   Q</t>
    </r>
    <r>
      <rPr>
        <i/>
        <sz val="8"/>
        <rFont val="Arial"/>
        <family val="2"/>
      </rPr>
      <t>PV,out,rel,10</t>
    </r>
    <r>
      <rPr>
        <sz val="11"/>
        <color theme="1"/>
        <rFont val="Calibri"/>
        <family val="2"/>
        <scheme val="minor"/>
      </rPr>
      <t/>
    </r>
  </si>
  <si>
    <r>
      <t xml:space="preserve">   Q</t>
    </r>
    <r>
      <rPr>
        <i/>
        <sz val="8"/>
        <rFont val="Arial"/>
        <family val="2"/>
      </rPr>
      <t>PV,out,rel,11</t>
    </r>
    <r>
      <rPr>
        <sz val="11"/>
        <color theme="1"/>
        <rFont val="Calibri"/>
        <family val="2"/>
        <scheme val="minor"/>
      </rPr>
      <t/>
    </r>
  </si>
  <si>
    <r>
      <t xml:space="preserve">   Q</t>
    </r>
    <r>
      <rPr>
        <i/>
        <sz val="8"/>
        <rFont val="Arial"/>
        <family val="2"/>
      </rPr>
      <t>PV,out,rel,12</t>
    </r>
    <r>
      <rPr>
        <sz val="11"/>
        <color theme="1"/>
        <rFont val="Calibri"/>
        <family val="2"/>
        <scheme val="minor"/>
      </rPr>
      <t/>
    </r>
  </si>
  <si>
    <t>Including appliances if not EPBD</t>
  </si>
  <si>
    <r>
      <t xml:space="preserve">     E</t>
    </r>
    <r>
      <rPr>
        <i/>
        <sz val="8"/>
        <rFont val="Arial"/>
        <family val="2"/>
      </rPr>
      <t>EPus,el,2</t>
    </r>
    <r>
      <rPr>
        <sz val="11"/>
        <color theme="1"/>
        <rFont val="Calibri"/>
        <family val="2"/>
        <scheme val="minor"/>
      </rPr>
      <t/>
    </r>
  </si>
  <si>
    <r>
      <t xml:space="preserve">     E</t>
    </r>
    <r>
      <rPr>
        <i/>
        <sz val="8"/>
        <rFont val="Arial"/>
        <family val="2"/>
      </rPr>
      <t>EPus,el,3</t>
    </r>
    <r>
      <rPr>
        <sz val="11"/>
        <color theme="1"/>
        <rFont val="Calibri"/>
        <family val="2"/>
        <scheme val="minor"/>
      </rPr>
      <t/>
    </r>
  </si>
  <si>
    <r>
      <t xml:space="preserve">     E</t>
    </r>
    <r>
      <rPr>
        <i/>
        <sz val="8"/>
        <rFont val="Arial"/>
        <family val="2"/>
      </rPr>
      <t>EPus,el,4</t>
    </r>
    <r>
      <rPr>
        <sz val="11"/>
        <color theme="1"/>
        <rFont val="Calibri"/>
        <family val="2"/>
        <scheme val="minor"/>
      </rPr>
      <t/>
    </r>
  </si>
  <si>
    <r>
      <t xml:space="preserve">     E</t>
    </r>
    <r>
      <rPr>
        <i/>
        <sz val="8"/>
        <rFont val="Arial"/>
        <family val="2"/>
      </rPr>
      <t>EPus,el,5</t>
    </r>
    <r>
      <rPr>
        <sz val="11"/>
        <color theme="1"/>
        <rFont val="Calibri"/>
        <family val="2"/>
        <scheme val="minor"/>
      </rPr>
      <t/>
    </r>
  </si>
  <si>
    <r>
      <t xml:space="preserve">     E</t>
    </r>
    <r>
      <rPr>
        <i/>
        <sz val="8"/>
        <rFont val="Arial"/>
        <family val="2"/>
      </rPr>
      <t>EPus,el,6</t>
    </r>
    <r>
      <rPr>
        <sz val="11"/>
        <color theme="1"/>
        <rFont val="Calibri"/>
        <family val="2"/>
        <scheme val="minor"/>
      </rPr>
      <t/>
    </r>
  </si>
  <si>
    <r>
      <t xml:space="preserve">     E</t>
    </r>
    <r>
      <rPr>
        <i/>
        <sz val="8"/>
        <rFont val="Arial"/>
        <family val="2"/>
      </rPr>
      <t>EPus,el,7</t>
    </r>
    <r>
      <rPr>
        <sz val="11"/>
        <color theme="1"/>
        <rFont val="Calibri"/>
        <family val="2"/>
        <scheme val="minor"/>
      </rPr>
      <t/>
    </r>
  </si>
  <si>
    <r>
      <t xml:space="preserve">     E</t>
    </r>
    <r>
      <rPr>
        <i/>
        <sz val="8"/>
        <rFont val="Arial"/>
        <family val="2"/>
      </rPr>
      <t>EPus,el,8</t>
    </r>
    <r>
      <rPr>
        <sz val="11"/>
        <color theme="1"/>
        <rFont val="Calibri"/>
        <family val="2"/>
        <scheme val="minor"/>
      </rPr>
      <t/>
    </r>
  </si>
  <si>
    <r>
      <t xml:space="preserve">     E</t>
    </r>
    <r>
      <rPr>
        <i/>
        <sz val="8"/>
        <rFont val="Arial"/>
        <family val="2"/>
      </rPr>
      <t>EPus,el,9</t>
    </r>
    <r>
      <rPr>
        <sz val="11"/>
        <color theme="1"/>
        <rFont val="Calibri"/>
        <family val="2"/>
        <scheme val="minor"/>
      </rPr>
      <t/>
    </r>
  </si>
  <si>
    <r>
      <t xml:space="preserve">     E</t>
    </r>
    <r>
      <rPr>
        <i/>
        <sz val="8"/>
        <rFont val="Arial"/>
        <family val="2"/>
      </rPr>
      <t>EPus,el,10</t>
    </r>
    <r>
      <rPr>
        <sz val="11"/>
        <color theme="1"/>
        <rFont val="Calibri"/>
        <family val="2"/>
        <scheme val="minor"/>
      </rPr>
      <t/>
    </r>
  </si>
  <si>
    <r>
      <t xml:space="preserve">     E</t>
    </r>
    <r>
      <rPr>
        <i/>
        <sz val="8"/>
        <rFont val="Arial"/>
        <family val="2"/>
      </rPr>
      <t>EPus,el,11</t>
    </r>
    <r>
      <rPr>
        <sz val="11"/>
        <color theme="1"/>
        <rFont val="Calibri"/>
        <family val="2"/>
        <scheme val="minor"/>
      </rPr>
      <t/>
    </r>
  </si>
  <si>
    <r>
      <t xml:space="preserve">     E</t>
    </r>
    <r>
      <rPr>
        <i/>
        <sz val="8"/>
        <rFont val="Arial"/>
        <family val="2"/>
      </rPr>
      <t>EPus,el,12</t>
    </r>
    <r>
      <rPr>
        <sz val="11"/>
        <color theme="1"/>
        <rFont val="Calibri"/>
        <family val="2"/>
        <scheme val="minor"/>
      </rPr>
      <t/>
    </r>
  </si>
  <si>
    <t>See poster: "electric energy balance" line below generators.
From now on a separate calculation is performed on yearly data and on time-step data.</t>
  </si>
  <si>
    <t>Sum of all EPBD electricity uses</t>
  </si>
  <si>
    <t>Total non EPBD uses</t>
  </si>
  <si>
    <r>
      <t xml:space="preserve">     E</t>
    </r>
    <r>
      <rPr>
        <i/>
        <sz val="8"/>
        <rFont val="Arial"/>
        <family val="2"/>
      </rPr>
      <t>EPus,el,sum_i</t>
    </r>
  </si>
  <si>
    <t>el_us_t_tot</t>
  </si>
  <si>
    <r>
      <t xml:space="preserve">     E</t>
    </r>
    <r>
      <rPr>
        <i/>
        <sz val="8"/>
        <rFont val="Arial"/>
        <family val="2"/>
      </rPr>
      <t>nEPus,el,sum_i</t>
    </r>
  </si>
  <si>
    <r>
      <t xml:space="preserve">     E</t>
    </r>
    <r>
      <rPr>
        <i/>
        <sz val="8"/>
        <rFont val="Arial"/>
        <family val="2"/>
      </rPr>
      <t>nEPus,el,1</t>
    </r>
  </si>
  <si>
    <r>
      <t xml:space="preserve">     E</t>
    </r>
    <r>
      <rPr>
        <i/>
        <sz val="8"/>
        <rFont val="Arial"/>
        <family val="2"/>
      </rPr>
      <t>nEPus,el,2</t>
    </r>
    <r>
      <rPr>
        <sz val="11"/>
        <color theme="1"/>
        <rFont val="Calibri"/>
        <family val="2"/>
        <scheme val="minor"/>
      </rPr>
      <t/>
    </r>
  </si>
  <si>
    <r>
      <t xml:space="preserve">     E</t>
    </r>
    <r>
      <rPr>
        <i/>
        <sz val="8"/>
        <rFont val="Arial"/>
        <family val="2"/>
      </rPr>
      <t>nEPus,el,3</t>
    </r>
    <r>
      <rPr>
        <sz val="11"/>
        <color theme="1"/>
        <rFont val="Calibri"/>
        <family val="2"/>
        <scheme val="minor"/>
      </rPr>
      <t/>
    </r>
  </si>
  <si>
    <r>
      <t xml:space="preserve">     E</t>
    </r>
    <r>
      <rPr>
        <i/>
        <sz val="8"/>
        <rFont val="Arial"/>
        <family val="2"/>
      </rPr>
      <t>nEPus,el,4</t>
    </r>
    <r>
      <rPr>
        <sz val="11"/>
        <color theme="1"/>
        <rFont val="Calibri"/>
        <family val="2"/>
        <scheme val="minor"/>
      </rPr>
      <t/>
    </r>
  </si>
  <si>
    <r>
      <t xml:space="preserve">     E</t>
    </r>
    <r>
      <rPr>
        <i/>
        <sz val="8"/>
        <rFont val="Arial"/>
        <family val="2"/>
      </rPr>
      <t>nEPus,el,5</t>
    </r>
    <r>
      <rPr>
        <sz val="11"/>
        <color theme="1"/>
        <rFont val="Calibri"/>
        <family val="2"/>
        <scheme val="minor"/>
      </rPr>
      <t/>
    </r>
  </si>
  <si>
    <r>
      <t xml:space="preserve">     E</t>
    </r>
    <r>
      <rPr>
        <i/>
        <sz val="8"/>
        <rFont val="Arial"/>
        <family val="2"/>
      </rPr>
      <t>nEPus,el,6</t>
    </r>
    <r>
      <rPr>
        <sz val="11"/>
        <color theme="1"/>
        <rFont val="Calibri"/>
        <family val="2"/>
        <scheme val="minor"/>
      </rPr>
      <t/>
    </r>
  </si>
  <si>
    <r>
      <t xml:space="preserve">     E</t>
    </r>
    <r>
      <rPr>
        <i/>
        <sz val="8"/>
        <rFont val="Arial"/>
        <family val="2"/>
      </rPr>
      <t>nEPus,el,7</t>
    </r>
    <r>
      <rPr>
        <sz val="11"/>
        <color theme="1"/>
        <rFont val="Calibri"/>
        <family val="2"/>
        <scheme val="minor"/>
      </rPr>
      <t/>
    </r>
  </si>
  <si>
    <r>
      <t xml:space="preserve">     E</t>
    </r>
    <r>
      <rPr>
        <i/>
        <sz val="8"/>
        <rFont val="Arial"/>
        <family val="2"/>
      </rPr>
      <t>nEPus,el,8</t>
    </r>
    <r>
      <rPr>
        <sz val="11"/>
        <color theme="1"/>
        <rFont val="Calibri"/>
        <family val="2"/>
        <scheme val="minor"/>
      </rPr>
      <t/>
    </r>
  </si>
  <si>
    <r>
      <t xml:space="preserve">     E</t>
    </r>
    <r>
      <rPr>
        <i/>
        <sz val="8"/>
        <rFont val="Arial"/>
        <family val="2"/>
      </rPr>
      <t>nEPus,el,9</t>
    </r>
    <r>
      <rPr>
        <sz val="11"/>
        <color theme="1"/>
        <rFont val="Calibri"/>
        <family val="2"/>
        <scheme val="minor"/>
      </rPr>
      <t/>
    </r>
  </si>
  <si>
    <r>
      <t xml:space="preserve">     E</t>
    </r>
    <r>
      <rPr>
        <i/>
        <sz val="8"/>
        <rFont val="Arial"/>
        <family val="2"/>
      </rPr>
      <t>nEPus,el,10</t>
    </r>
    <r>
      <rPr>
        <sz val="11"/>
        <color theme="1"/>
        <rFont val="Calibri"/>
        <family val="2"/>
        <scheme val="minor"/>
      </rPr>
      <t/>
    </r>
  </si>
  <si>
    <r>
      <t xml:space="preserve">     E</t>
    </r>
    <r>
      <rPr>
        <i/>
        <sz val="8"/>
        <rFont val="Arial"/>
        <family val="2"/>
      </rPr>
      <t>nEPus,el,11</t>
    </r>
    <r>
      <rPr>
        <sz val="11"/>
        <color theme="1"/>
        <rFont val="Calibri"/>
        <family val="2"/>
        <scheme val="minor"/>
      </rPr>
      <t/>
    </r>
  </si>
  <si>
    <r>
      <t xml:space="preserve">     E</t>
    </r>
    <r>
      <rPr>
        <i/>
        <sz val="8"/>
        <rFont val="Arial"/>
        <family val="2"/>
      </rPr>
      <t>nEPus,el,12</t>
    </r>
    <r>
      <rPr>
        <sz val="11"/>
        <color theme="1"/>
        <rFont val="Calibri"/>
        <family val="2"/>
        <scheme val="minor"/>
      </rPr>
      <t/>
    </r>
  </si>
  <si>
    <t>Sum of all NON EPBD electricity uses</t>
  </si>
  <si>
    <t>National option: derate electric production for non EPBD uses</t>
  </si>
  <si>
    <r>
      <t>f</t>
    </r>
    <r>
      <rPr>
        <i/>
        <sz val="8"/>
        <rFont val="Arial"/>
        <family val="2"/>
      </rPr>
      <t>OA_EL_PR_NEP_DRT</t>
    </r>
  </si>
  <si>
    <t>Derated PV contribution</t>
  </si>
  <si>
    <r>
      <t xml:space="preserve">     E</t>
    </r>
    <r>
      <rPr>
        <i/>
        <sz val="8"/>
        <rFont val="Arial"/>
        <family val="2"/>
      </rPr>
      <t>pr,EPus,el,1</t>
    </r>
  </si>
  <si>
    <r>
      <t xml:space="preserve">     E</t>
    </r>
    <r>
      <rPr>
        <i/>
        <sz val="8"/>
        <rFont val="Arial"/>
        <family val="2"/>
      </rPr>
      <t>pr,EPus,el,2</t>
    </r>
    <r>
      <rPr>
        <sz val="11"/>
        <color theme="1"/>
        <rFont val="Calibri"/>
        <family val="2"/>
        <scheme val="minor"/>
      </rPr>
      <t/>
    </r>
  </si>
  <si>
    <r>
      <t xml:space="preserve">     E</t>
    </r>
    <r>
      <rPr>
        <i/>
        <sz val="8"/>
        <rFont val="Arial"/>
        <family val="2"/>
      </rPr>
      <t>pr,EPus,el,3</t>
    </r>
    <r>
      <rPr>
        <sz val="11"/>
        <color theme="1"/>
        <rFont val="Calibri"/>
        <family val="2"/>
        <scheme val="minor"/>
      </rPr>
      <t/>
    </r>
  </si>
  <si>
    <r>
      <t xml:space="preserve">     E</t>
    </r>
    <r>
      <rPr>
        <i/>
        <sz val="8"/>
        <rFont val="Arial"/>
        <family val="2"/>
      </rPr>
      <t>pr,EPus,el,4</t>
    </r>
    <r>
      <rPr>
        <sz val="11"/>
        <color theme="1"/>
        <rFont val="Calibri"/>
        <family val="2"/>
        <scheme val="minor"/>
      </rPr>
      <t/>
    </r>
  </si>
  <si>
    <r>
      <t xml:space="preserve">     E</t>
    </r>
    <r>
      <rPr>
        <i/>
        <sz val="8"/>
        <rFont val="Arial"/>
        <family val="2"/>
      </rPr>
      <t>pr,EPus,el,5</t>
    </r>
    <r>
      <rPr>
        <sz val="11"/>
        <color theme="1"/>
        <rFont val="Calibri"/>
        <family val="2"/>
        <scheme val="minor"/>
      </rPr>
      <t/>
    </r>
  </si>
  <si>
    <r>
      <t xml:space="preserve">     E</t>
    </r>
    <r>
      <rPr>
        <i/>
        <sz val="8"/>
        <rFont val="Arial"/>
        <family val="2"/>
      </rPr>
      <t>pr,EPus,el,6</t>
    </r>
    <r>
      <rPr>
        <sz val="11"/>
        <color theme="1"/>
        <rFont val="Calibri"/>
        <family val="2"/>
        <scheme val="minor"/>
      </rPr>
      <t/>
    </r>
  </si>
  <si>
    <r>
      <t xml:space="preserve">     E</t>
    </r>
    <r>
      <rPr>
        <i/>
        <sz val="8"/>
        <rFont val="Arial"/>
        <family val="2"/>
      </rPr>
      <t>pr,EPus,el,7</t>
    </r>
    <r>
      <rPr>
        <sz val="11"/>
        <color theme="1"/>
        <rFont val="Calibri"/>
        <family val="2"/>
        <scheme val="minor"/>
      </rPr>
      <t/>
    </r>
  </si>
  <si>
    <r>
      <t xml:space="preserve">     E</t>
    </r>
    <r>
      <rPr>
        <i/>
        <sz val="8"/>
        <rFont val="Arial"/>
        <family val="2"/>
      </rPr>
      <t>pr,EPus,el,8</t>
    </r>
    <r>
      <rPr>
        <sz val="11"/>
        <color theme="1"/>
        <rFont val="Calibri"/>
        <family val="2"/>
        <scheme val="minor"/>
      </rPr>
      <t/>
    </r>
  </si>
  <si>
    <r>
      <t xml:space="preserve">     E</t>
    </r>
    <r>
      <rPr>
        <i/>
        <sz val="8"/>
        <rFont val="Arial"/>
        <family val="2"/>
      </rPr>
      <t>pr,EPus,el,9</t>
    </r>
    <r>
      <rPr>
        <sz val="11"/>
        <color theme="1"/>
        <rFont val="Calibri"/>
        <family val="2"/>
        <scheme val="minor"/>
      </rPr>
      <t/>
    </r>
  </si>
  <si>
    <r>
      <t xml:space="preserve">     E</t>
    </r>
    <r>
      <rPr>
        <i/>
        <sz val="8"/>
        <rFont val="Arial"/>
        <family val="2"/>
      </rPr>
      <t>pr,EPus,el,10</t>
    </r>
    <r>
      <rPr>
        <sz val="11"/>
        <color theme="1"/>
        <rFont val="Calibri"/>
        <family val="2"/>
        <scheme val="minor"/>
      </rPr>
      <t/>
    </r>
  </si>
  <si>
    <r>
      <t xml:space="preserve">     E</t>
    </r>
    <r>
      <rPr>
        <i/>
        <sz val="8"/>
        <rFont val="Arial"/>
        <family val="2"/>
      </rPr>
      <t>pr,EPus,el,11</t>
    </r>
    <r>
      <rPr>
        <sz val="11"/>
        <color theme="1"/>
        <rFont val="Calibri"/>
        <family val="2"/>
        <scheme val="minor"/>
      </rPr>
      <t/>
    </r>
  </si>
  <si>
    <r>
      <t xml:space="preserve">     E</t>
    </r>
    <r>
      <rPr>
        <i/>
        <sz val="8"/>
        <rFont val="Arial"/>
        <family val="2"/>
      </rPr>
      <t>pr,EPus,el,12</t>
    </r>
    <r>
      <rPr>
        <sz val="11"/>
        <color theme="1"/>
        <rFont val="Calibri"/>
        <family val="2"/>
        <scheme val="minor"/>
      </rPr>
      <t/>
    </r>
  </si>
  <si>
    <r>
      <t>E</t>
    </r>
    <r>
      <rPr>
        <b/>
        <i/>
        <sz val="8"/>
        <rFont val="Arial"/>
        <family val="2"/>
      </rPr>
      <t>pr,EPus,el</t>
    </r>
  </si>
  <si>
    <r>
      <t xml:space="preserve">     E</t>
    </r>
    <r>
      <rPr>
        <b/>
        <i/>
        <sz val="8"/>
        <rFont val="Arial"/>
        <family val="2"/>
      </rPr>
      <t>pr,EPus,el,sum_i</t>
    </r>
  </si>
  <si>
    <t>Yearly derating</t>
  </si>
  <si>
    <t>Time-step derating</t>
  </si>
  <si>
    <t>Derated CHP contribution</t>
  </si>
  <si>
    <r>
      <t xml:space="preserve">     E</t>
    </r>
    <r>
      <rPr>
        <b/>
        <i/>
        <sz val="8"/>
        <rFont val="Arial"/>
        <family val="2"/>
      </rPr>
      <t>pr,EPus,el,PV,sum_i</t>
    </r>
  </si>
  <si>
    <t>Base maximum thermal solar contribution</t>
  </si>
  <si>
    <t>Valid on-site electric energy for EPBD uses</t>
  </si>
  <si>
    <t>On site electricity used in the same time step</t>
  </si>
  <si>
    <r>
      <t>E</t>
    </r>
    <r>
      <rPr>
        <b/>
        <i/>
        <sz val="8"/>
        <rFont val="Arial"/>
        <family val="2"/>
      </rPr>
      <t>del,el,gross</t>
    </r>
  </si>
  <si>
    <r>
      <t xml:space="preserve">     E</t>
    </r>
    <r>
      <rPr>
        <b/>
        <i/>
        <sz val="8"/>
        <rFont val="Arial"/>
        <family val="2"/>
      </rPr>
      <t>exp,el,sum_i</t>
    </r>
  </si>
  <si>
    <r>
      <t xml:space="preserve">     E</t>
    </r>
    <r>
      <rPr>
        <i/>
        <sz val="8"/>
        <rFont val="Arial"/>
        <family val="2"/>
      </rPr>
      <t>exp,el,1</t>
    </r>
  </si>
  <si>
    <r>
      <t xml:space="preserve">     E</t>
    </r>
    <r>
      <rPr>
        <i/>
        <sz val="8"/>
        <rFont val="Arial"/>
        <family val="2"/>
      </rPr>
      <t>exp,el,2</t>
    </r>
    <r>
      <rPr>
        <sz val="11"/>
        <color theme="1"/>
        <rFont val="Calibri"/>
        <family val="2"/>
        <scheme val="minor"/>
      </rPr>
      <t/>
    </r>
  </si>
  <si>
    <r>
      <t xml:space="preserve">     E</t>
    </r>
    <r>
      <rPr>
        <i/>
        <sz val="8"/>
        <rFont val="Arial"/>
        <family val="2"/>
      </rPr>
      <t>exp,el,3</t>
    </r>
    <r>
      <rPr>
        <sz val="11"/>
        <color theme="1"/>
        <rFont val="Calibri"/>
        <family val="2"/>
        <scheme val="minor"/>
      </rPr>
      <t/>
    </r>
  </si>
  <si>
    <r>
      <t xml:space="preserve">     E</t>
    </r>
    <r>
      <rPr>
        <i/>
        <sz val="8"/>
        <rFont val="Arial"/>
        <family val="2"/>
      </rPr>
      <t>exp,el,4</t>
    </r>
    <r>
      <rPr>
        <sz val="11"/>
        <color theme="1"/>
        <rFont val="Calibri"/>
        <family val="2"/>
        <scheme val="minor"/>
      </rPr>
      <t/>
    </r>
  </si>
  <si>
    <r>
      <t xml:space="preserve">     E</t>
    </r>
    <r>
      <rPr>
        <i/>
        <sz val="8"/>
        <rFont val="Arial"/>
        <family val="2"/>
      </rPr>
      <t>exp,el,5</t>
    </r>
    <r>
      <rPr>
        <sz val="11"/>
        <color theme="1"/>
        <rFont val="Calibri"/>
        <family val="2"/>
        <scheme val="minor"/>
      </rPr>
      <t/>
    </r>
  </si>
  <si>
    <r>
      <t xml:space="preserve">     E</t>
    </r>
    <r>
      <rPr>
        <i/>
        <sz val="8"/>
        <rFont val="Arial"/>
        <family val="2"/>
      </rPr>
      <t>exp,el,6</t>
    </r>
    <r>
      <rPr>
        <sz val="11"/>
        <color theme="1"/>
        <rFont val="Calibri"/>
        <family val="2"/>
        <scheme val="minor"/>
      </rPr>
      <t/>
    </r>
  </si>
  <si>
    <r>
      <t xml:space="preserve">     E</t>
    </r>
    <r>
      <rPr>
        <i/>
        <sz val="8"/>
        <rFont val="Arial"/>
        <family val="2"/>
      </rPr>
      <t>exp,el,7</t>
    </r>
    <r>
      <rPr>
        <sz val="11"/>
        <color theme="1"/>
        <rFont val="Calibri"/>
        <family val="2"/>
        <scheme val="minor"/>
      </rPr>
      <t/>
    </r>
  </si>
  <si>
    <r>
      <t xml:space="preserve">     E</t>
    </r>
    <r>
      <rPr>
        <i/>
        <sz val="8"/>
        <rFont val="Arial"/>
        <family val="2"/>
      </rPr>
      <t>exp,el,8</t>
    </r>
    <r>
      <rPr>
        <sz val="11"/>
        <color theme="1"/>
        <rFont val="Calibri"/>
        <family val="2"/>
        <scheme val="minor"/>
      </rPr>
      <t/>
    </r>
  </si>
  <si>
    <r>
      <t xml:space="preserve">     E</t>
    </r>
    <r>
      <rPr>
        <i/>
        <sz val="8"/>
        <rFont val="Arial"/>
        <family val="2"/>
      </rPr>
      <t>exp,el,9</t>
    </r>
    <r>
      <rPr>
        <sz val="11"/>
        <color theme="1"/>
        <rFont val="Calibri"/>
        <family val="2"/>
        <scheme val="minor"/>
      </rPr>
      <t/>
    </r>
  </si>
  <si>
    <r>
      <t xml:space="preserve">     E</t>
    </r>
    <r>
      <rPr>
        <i/>
        <sz val="8"/>
        <rFont val="Arial"/>
        <family val="2"/>
      </rPr>
      <t>exp,el,10</t>
    </r>
    <r>
      <rPr>
        <sz val="11"/>
        <color theme="1"/>
        <rFont val="Calibri"/>
        <family val="2"/>
        <scheme val="minor"/>
      </rPr>
      <t/>
    </r>
  </si>
  <si>
    <r>
      <t xml:space="preserve">     E</t>
    </r>
    <r>
      <rPr>
        <i/>
        <sz val="8"/>
        <rFont val="Arial"/>
        <family val="2"/>
      </rPr>
      <t>exp,el,11</t>
    </r>
    <r>
      <rPr>
        <sz val="11"/>
        <color theme="1"/>
        <rFont val="Calibri"/>
        <family val="2"/>
        <scheme val="minor"/>
      </rPr>
      <t/>
    </r>
  </si>
  <si>
    <r>
      <t xml:space="preserve">     E</t>
    </r>
    <r>
      <rPr>
        <i/>
        <sz val="8"/>
        <rFont val="Arial"/>
        <family val="2"/>
      </rPr>
      <t>exp,el,12</t>
    </r>
    <r>
      <rPr>
        <sz val="11"/>
        <color theme="1"/>
        <rFont val="Calibri"/>
        <family val="2"/>
        <scheme val="minor"/>
      </rPr>
      <t/>
    </r>
  </si>
  <si>
    <t>Used to attribute redelivered</t>
  </si>
  <si>
    <t>Redelivered PV electricity</t>
  </si>
  <si>
    <t>Redelivered CHP electricity</t>
  </si>
  <si>
    <t>Used CHP electricity</t>
  </si>
  <si>
    <t>Used PV electricity</t>
  </si>
  <si>
    <r>
      <t>E</t>
    </r>
    <r>
      <rPr>
        <b/>
        <i/>
        <sz val="8"/>
        <rFont val="Arial"/>
        <family val="2"/>
      </rPr>
      <t>exp,el,PV,y</t>
    </r>
  </si>
  <si>
    <r>
      <t xml:space="preserve">     E</t>
    </r>
    <r>
      <rPr>
        <b/>
        <i/>
        <sz val="8"/>
        <rFont val="Arial"/>
        <family val="2"/>
      </rPr>
      <t>exp,el,PV,sum_i</t>
    </r>
  </si>
  <si>
    <r>
      <t xml:space="preserve">     E</t>
    </r>
    <r>
      <rPr>
        <i/>
        <sz val="8"/>
        <rFont val="Arial"/>
        <family val="2"/>
      </rPr>
      <t>exp,el,PV,1</t>
    </r>
  </si>
  <si>
    <r>
      <t xml:space="preserve">     E</t>
    </r>
    <r>
      <rPr>
        <i/>
        <sz val="8"/>
        <rFont val="Arial"/>
        <family val="2"/>
      </rPr>
      <t>exp,el,PV,2</t>
    </r>
    <r>
      <rPr>
        <sz val="11"/>
        <color theme="1"/>
        <rFont val="Calibri"/>
        <family val="2"/>
        <scheme val="minor"/>
      </rPr>
      <t/>
    </r>
  </si>
  <si>
    <r>
      <t xml:space="preserve">     E</t>
    </r>
    <r>
      <rPr>
        <i/>
        <sz val="8"/>
        <rFont val="Arial"/>
        <family val="2"/>
      </rPr>
      <t>exp,el,PV,3</t>
    </r>
    <r>
      <rPr>
        <sz val="11"/>
        <color theme="1"/>
        <rFont val="Calibri"/>
        <family val="2"/>
        <scheme val="minor"/>
      </rPr>
      <t/>
    </r>
  </si>
  <si>
    <r>
      <t xml:space="preserve">     E</t>
    </r>
    <r>
      <rPr>
        <i/>
        <sz val="8"/>
        <rFont val="Arial"/>
        <family val="2"/>
      </rPr>
      <t>exp,el,PV,4</t>
    </r>
    <r>
      <rPr>
        <sz val="11"/>
        <color theme="1"/>
        <rFont val="Calibri"/>
        <family val="2"/>
        <scheme val="minor"/>
      </rPr>
      <t/>
    </r>
  </si>
  <si>
    <r>
      <t xml:space="preserve">     E</t>
    </r>
    <r>
      <rPr>
        <i/>
        <sz val="8"/>
        <rFont val="Arial"/>
        <family val="2"/>
      </rPr>
      <t>exp,el,PV,5</t>
    </r>
    <r>
      <rPr>
        <sz val="11"/>
        <color theme="1"/>
        <rFont val="Calibri"/>
        <family val="2"/>
        <scheme val="minor"/>
      </rPr>
      <t/>
    </r>
  </si>
  <si>
    <r>
      <t xml:space="preserve">     E</t>
    </r>
    <r>
      <rPr>
        <i/>
        <sz val="8"/>
        <rFont val="Arial"/>
        <family val="2"/>
      </rPr>
      <t>exp,el,PV,6</t>
    </r>
    <r>
      <rPr>
        <sz val="11"/>
        <color theme="1"/>
        <rFont val="Calibri"/>
        <family val="2"/>
        <scheme val="minor"/>
      </rPr>
      <t/>
    </r>
  </si>
  <si>
    <r>
      <t xml:space="preserve">     E</t>
    </r>
    <r>
      <rPr>
        <i/>
        <sz val="8"/>
        <rFont val="Arial"/>
        <family val="2"/>
      </rPr>
      <t>exp,el,PV,7</t>
    </r>
    <r>
      <rPr>
        <sz val="11"/>
        <color theme="1"/>
        <rFont val="Calibri"/>
        <family val="2"/>
        <scheme val="minor"/>
      </rPr>
      <t/>
    </r>
  </si>
  <si>
    <r>
      <t xml:space="preserve">     E</t>
    </r>
    <r>
      <rPr>
        <i/>
        <sz val="8"/>
        <rFont val="Arial"/>
        <family val="2"/>
      </rPr>
      <t>exp,el,PV,8</t>
    </r>
    <r>
      <rPr>
        <sz val="11"/>
        <color theme="1"/>
        <rFont val="Calibri"/>
        <family val="2"/>
        <scheme val="minor"/>
      </rPr>
      <t/>
    </r>
  </si>
  <si>
    <r>
      <t xml:space="preserve">     E</t>
    </r>
    <r>
      <rPr>
        <i/>
        <sz val="8"/>
        <rFont val="Arial"/>
        <family val="2"/>
      </rPr>
      <t>exp,el,PV,9</t>
    </r>
    <r>
      <rPr>
        <sz val="11"/>
        <color theme="1"/>
        <rFont val="Calibri"/>
        <family val="2"/>
        <scheme val="minor"/>
      </rPr>
      <t/>
    </r>
  </si>
  <si>
    <r>
      <t xml:space="preserve">     E</t>
    </r>
    <r>
      <rPr>
        <i/>
        <sz val="8"/>
        <rFont val="Arial"/>
        <family val="2"/>
      </rPr>
      <t>exp,el,PV,10</t>
    </r>
    <r>
      <rPr>
        <sz val="11"/>
        <color theme="1"/>
        <rFont val="Calibri"/>
        <family val="2"/>
        <scheme val="minor"/>
      </rPr>
      <t/>
    </r>
  </si>
  <si>
    <r>
      <t xml:space="preserve">     E</t>
    </r>
    <r>
      <rPr>
        <i/>
        <sz val="8"/>
        <rFont val="Arial"/>
        <family val="2"/>
      </rPr>
      <t>exp,el,PV,11</t>
    </r>
    <r>
      <rPr>
        <sz val="11"/>
        <color theme="1"/>
        <rFont val="Calibri"/>
        <family val="2"/>
        <scheme val="minor"/>
      </rPr>
      <t/>
    </r>
  </si>
  <si>
    <r>
      <t xml:space="preserve">     E</t>
    </r>
    <r>
      <rPr>
        <i/>
        <sz val="8"/>
        <rFont val="Arial"/>
        <family val="2"/>
      </rPr>
      <t>exp,el,PV,12</t>
    </r>
    <r>
      <rPr>
        <sz val="11"/>
        <color theme="1"/>
        <rFont val="Calibri"/>
        <family val="2"/>
        <scheme val="minor"/>
      </rPr>
      <t/>
    </r>
  </si>
  <si>
    <r>
      <t>E</t>
    </r>
    <r>
      <rPr>
        <b/>
        <i/>
        <sz val="8"/>
        <rFont val="Arial"/>
        <family val="2"/>
      </rPr>
      <t>exp,el,CHP,y</t>
    </r>
  </si>
  <si>
    <r>
      <t xml:space="preserve">     E</t>
    </r>
    <r>
      <rPr>
        <b/>
        <i/>
        <sz val="8"/>
        <rFont val="Arial"/>
        <family val="2"/>
      </rPr>
      <t>exp,el,CHP,sum_i</t>
    </r>
  </si>
  <si>
    <r>
      <t xml:space="preserve">     E</t>
    </r>
    <r>
      <rPr>
        <i/>
        <sz val="8"/>
        <rFont val="Arial"/>
        <family val="2"/>
      </rPr>
      <t>exp,el,CHP,1</t>
    </r>
  </si>
  <si>
    <r>
      <t xml:space="preserve">     E</t>
    </r>
    <r>
      <rPr>
        <i/>
        <sz val="8"/>
        <rFont val="Arial"/>
        <family val="2"/>
      </rPr>
      <t>exp,el,CHP,2</t>
    </r>
    <r>
      <rPr>
        <sz val="11"/>
        <color theme="1"/>
        <rFont val="Calibri"/>
        <family val="2"/>
        <scheme val="minor"/>
      </rPr>
      <t/>
    </r>
  </si>
  <si>
    <r>
      <t xml:space="preserve">     E</t>
    </r>
    <r>
      <rPr>
        <i/>
        <sz val="8"/>
        <rFont val="Arial"/>
        <family val="2"/>
      </rPr>
      <t>exp,el,CHP,3</t>
    </r>
    <r>
      <rPr>
        <sz val="11"/>
        <color theme="1"/>
        <rFont val="Calibri"/>
        <family val="2"/>
        <scheme val="minor"/>
      </rPr>
      <t/>
    </r>
  </si>
  <si>
    <r>
      <t xml:space="preserve">     E</t>
    </r>
    <r>
      <rPr>
        <i/>
        <sz val="8"/>
        <rFont val="Arial"/>
        <family val="2"/>
      </rPr>
      <t>exp,el,CHP,4</t>
    </r>
    <r>
      <rPr>
        <sz val="11"/>
        <color theme="1"/>
        <rFont val="Calibri"/>
        <family val="2"/>
        <scheme val="minor"/>
      </rPr>
      <t/>
    </r>
  </si>
  <si>
    <r>
      <t xml:space="preserve">     E</t>
    </r>
    <r>
      <rPr>
        <i/>
        <sz val="8"/>
        <rFont val="Arial"/>
        <family val="2"/>
      </rPr>
      <t>exp,el,CHP,5</t>
    </r>
    <r>
      <rPr>
        <sz val="11"/>
        <color theme="1"/>
        <rFont val="Calibri"/>
        <family val="2"/>
        <scheme val="minor"/>
      </rPr>
      <t/>
    </r>
  </si>
  <si>
    <r>
      <t xml:space="preserve">     E</t>
    </r>
    <r>
      <rPr>
        <i/>
        <sz val="8"/>
        <rFont val="Arial"/>
        <family val="2"/>
      </rPr>
      <t>exp,el,CHP,6</t>
    </r>
    <r>
      <rPr>
        <sz val="11"/>
        <color theme="1"/>
        <rFont val="Calibri"/>
        <family val="2"/>
        <scheme val="minor"/>
      </rPr>
      <t/>
    </r>
  </si>
  <si>
    <r>
      <t xml:space="preserve">     E</t>
    </r>
    <r>
      <rPr>
        <i/>
        <sz val="8"/>
        <rFont val="Arial"/>
        <family val="2"/>
      </rPr>
      <t>exp,el,CHP,7</t>
    </r>
    <r>
      <rPr>
        <sz val="11"/>
        <color theme="1"/>
        <rFont val="Calibri"/>
        <family val="2"/>
        <scheme val="minor"/>
      </rPr>
      <t/>
    </r>
  </si>
  <si>
    <r>
      <t xml:space="preserve">     E</t>
    </r>
    <r>
      <rPr>
        <i/>
        <sz val="8"/>
        <rFont val="Arial"/>
        <family val="2"/>
      </rPr>
      <t>exp,el,CHP,8</t>
    </r>
    <r>
      <rPr>
        <sz val="11"/>
        <color theme="1"/>
        <rFont val="Calibri"/>
        <family val="2"/>
        <scheme val="minor"/>
      </rPr>
      <t/>
    </r>
  </si>
  <si>
    <r>
      <t xml:space="preserve">     E</t>
    </r>
    <r>
      <rPr>
        <i/>
        <sz val="8"/>
        <rFont val="Arial"/>
        <family val="2"/>
      </rPr>
      <t>exp,el,CHP,9</t>
    </r>
    <r>
      <rPr>
        <sz val="11"/>
        <color theme="1"/>
        <rFont val="Calibri"/>
        <family val="2"/>
        <scheme val="minor"/>
      </rPr>
      <t/>
    </r>
  </si>
  <si>
    <r>
      <t xml:space="preserve">     E</t>
    </r>
    <r>
      <rPr>
        <i/>
        <sz val="8"/>
        <rFont val="Arial"/>
        <family val="2"/>
      </rPr>
      <t>exp,el,CHP,10</t>
    </r>
    <r>
      <rPr>
        <sz val="11"/>
        <color theme="1"/>
        <rFont val="Calibri"/>
        <family val="2"/>
        <scheme val="minor"/>
      </rPr>
      <t/>
    </r>
  </si>
  <si>
    <r>
      <t xml:space="preserve">     E</t>
    </r>
    <r>
      <rPr>
        <i/>
        <sz val="8"/>
        <rFont val="Arial"/>
        <family val="2"/>
      </rPr>
      <t>exp,el,CHP,11</t>
    </r>
    <r>
      <rPr>
        <sz val="11"/>
        <color theme="1"/>
        <rFont val="Calibri"/>
        <family val="2"/>
        <scheme val="minor"/>
      </rPr>
      <t/>
    </r>
  </si>
  <si>
    <r>
      <t xml:space="preserve">     E</t>
    </r>
    <r>
      <rPr>
        <i/>
        <sz val="8"/>
        <rFont val="Arial"/>
        <family val="2"/>
      </rPr>
      <t>exp,el,CHP,12</t>
    </r>
    <r>
      <rPr>
        <sz val="11"/>
        <color theme="1"/>
        <rFont val="Calibri"/>
        <family val="2"/>
        <scheme val="minor"/>
      </rPr>
      <t/>
    </r>
  </si>
  <si>
    <t>Discussion item: do we treat differently CHP and other on-site electric production?
If a different priority is given on EPBD uses, equations shall be extended to handle a separate path.
In the following CHP is separated to allow specific conversion factors</t>
  </si>
  <si>
    <t>Yearly balance</t>
  </si>
  <si>
    <t xml:space="preserve">Time-step balance </t>
  </si>
  <si>
    <t>National option: select time step of balance</t>
  </si>
  <si>
    <t xml:space="preserve">From    to --&gt; </t>
  </si>
  <si>
    <r>
      <t>f</t>
    </r>
    <r>
      <rPr>
        <sz val="8"/>
        <rFont val="Arial"/>
        <family val="2"/>
      </rPr>
      <t>P;nren,rdel;PV,el</t>
    </r>
  </si>
  <si>
    <r>
      <t>f</t>
    </r>
    <r>
      <rPr>
        <sz val="8"/>
        <rFont val="Arial"/>
        <family val="2"/>
      </rPr>
      <t>P;nren,rdel;CHP,el</t>
    </r>
  </si>
  <si>
    <t>Primary energy factors selection</t>
  </si>
  <si>
    <t>Last item</t>
  </si>
  <si>
    <r>
      <t>f</t>
    </r>
    <r>
      <rPr>
        <sz val="8"/>
        <rFont val="Arial"/>
        <family val="2"/>
      </rPr>
      <t>P;nren,rdel;void</t>
    </r>
  </si>
  <si>
    <r>
      <t>f</t>
    </r>
    <r>
      <rPr>
        <sz val="8"/>
        <rFont val="Arial"/>
        <family val="2"/>
      </rPr>
      <t>P;tot,del;gas</t>
    </r>
  </si>
  <si>
    <r>
      <t>f</t>
    </r>
    <r>
      <rPr>
        <sz val="8"/>
        <rFont val="Arial"/>
        <family val="2"/>
      </rPr>
      <t>P;tot,del;oil</t>
    </r>
  </si>
  <si>
    <r>
      <t>f</t>
    </r>
    <r>
      <rPr>
        <sz val="8"/>
        <rFont val="Arial"/>
        <family val="2"/>
      </rPr>
      <t>P;tot,del;coal</t>
    </r>
  </si>
  <si>
    <r>
      <t>f</t>
    </r>
    <r>
      <rPr>
        <sz val="8"/>
        <rFont val="Arial"/>
        <family val="2"/>
      </rPr>
      <t>P;tot,del;wood</t>
    </r>
  </si>
  <si>
    <r>
      <t>f</t>
    </r>
    <r>
      <rPr>
        <sz val="8"/>
        <rFont val="Arial"/>
        <family val="2"/>
      </rPr>
      <t>P;tot,del;bmss</t>
    </r>
  </si>
  <si>
    <r>
      <t>f</t>
    </r>
    <r>
      <rPr>
        <sz val="8"/>
        <rFont val="Arial"/>
        <family val="2"/>
      </rPr>
      <t>P;tot,del;custom</t>
    </r>
  </si>
  <si>
    <r>
      <t>f</t>
    </r>
    <r>
      <rPr>
        <sz val="8"/>
        <rFont val="Arial"/>
        <family val="2"/>
      </rPr>
      <t>P;tot,del;DH</t>
    </r>
  </si>
  <si>
    <r>
      <t>f</t>
    </r>
    <r>
      <rPr>
        <sz val="8"/>
        <rFont val="Arial"/>
        <family val="2"/>
      </rPr>
      <t>P;tot,del;DC</t>
    </r>
  </si>
  <si>
    <r>
      <t>f</t>
    </r>
    <r>
      <rPr>
        <sz val="8"/>
        <rFont val="Arial"/>
        <family val="2"/>
      </rPr>
      <t>P;tot,del;env</t>
    </r>
  </si>
  <si>
    <r>
      <t>f</t>
    </r>
    <r>
      <rPr>
        <sz val="8"/>
        <rFont val="Arial"/>
        <family val="2"/>
      </rPr>
      <t>P;tot,del;el</t>
    </r>
  </si>
  <si>
    <r>
      <t>f</t>
    </r>
    <r>
      <rPr>
        <sz val="8"/>
        <rFont val="Arial"/>
        <family val="2"/>
      </rPr>
      <t>P;tot,exp;el;PV</t>
    </r>
  </si>
  <si>
    <r>
      <t>f</t>
    </r>
    <r>
      <rPr>
        <sz val="8"/>
        <rFont val="Arial"/>
        <family val="2"/>
      </rPr>
      <t>P;tot,exp;el;CHP</t>
    </r>
  </si>
  <si>
    <r>
      <t>f</t>
    </r>
    <r>
      <rPr>
        <sz val="8"/>
        <rFont val="Arial"/>
        <family val="2"/>
      </rPr>
      <t>P;tot,rdel;PV,el</t>
    </r>
  </si>
  <si>
    <r>
      <t>f</t>
    </r>
    <r>
      <rPr>
        <sz val="8"/>
        <rFont val="Arial"/>
        <family val="2"/>
      </rPr>
      <t>P;tot,rdel;CHP;el</t>
    </r>
  </si>
  <si>
    <r>
      <t>f</t>
    </r>
    <r>
      <rPr>
        <sz val="8"/>
        <rFont val="Arial"/>
        <family val="2"/>
      </rPr>
      <t>P;tot,exp;T;…</t>
    </r>
  </si>
  <si>
    <r>
      <t>f</t>
    </r>
    <r>
      <rPr>
        <sz val="8"/>
        <rFont val="Arial"/>
        <family val="2"/>
      </rPr>
      <t>P;tot,exp;el</t>
    </r>
  </si>
  <si>
    <r>
      <t>f</t>
    </r>
    <r>
      <rPr>
        <sz val="8"/>
        <rFont val="Arial"/>
        <family val="2"/>
      </rPr>
      <t>P;tot,rdel;el</t>
    </r>
  </si>
  <si>
    <r>
      <t>f</t>
    </r>
    <r>
      <rPr>
        <sz val="8"/>
        <rFont val="Arial"/>
        <family val="2"/>
      </rPr>
      <t>P;tot,rdel;void</t>
    </r>
  </si>
  <si>
    <t>Non renewable</t>
  </si>
  <si>
    <t>Total</t>
  </si>
  <si>
    <t>el_del</t>
  </si>
  <si>
    <t>el_exp_PV</t>
  </si>
  <si>
    <t>el_exp_CHP</t>
  </si>
  <si>
    <t>el_rdel_PV</t>
  </si>
  <si>
    <t>el_rdel_CHP</t>
  </si>
  <si>
    <t>t</t>
  </si>
  <si>
    <t>el_exp</t>
  </si>
  <si>
    <t>el_rdel</t>
  </si>
  <si>
    <t>void</t>
  </si>
  <si>
    <t>CONVERSION FACTOR SELECTION</t>
  </si>
  <si>
    <t xml:space="preserve">PRIMARY ENERGY CALCULATION, PER ENERGY CARRIER </t>
  </si>
  <si>
    <t>Non renewable factor</t>
  </si>
  <si>
    <t>Non renewable primary energy</t>
  </si>
  <si>
    <t>Total factor</t>
  </si>
  <si>
    <t>Average electricity non renewable factor</t>
  </si>
  <si>
    <t>Average electricity total factor</t>
  </si>
  <si>
    <t>Total primary energy</t>
  </si>
  <si>
    <t>Solar thermal efficiency</t>
  </si>
  <si>
    <t>Solar delivered energy</t>
  </si>
  <si>
    <r>
      <rPr>
        <sz val="10"/>
        <rFont val="Calibri"/>
        <family val="2"/>
      </rPr>
      <t>η</t>
    </r>
    <r>
      <rPr>
        <sz val="8"/>
        <rFont val="Arial"/>
        <family val="2"/>
      </rPr>
      <t>sol,th</t>
    </r>
  </si>
  <si>
    <r>
      <t>E</t>
    </r>
    <r>
      <rPr>
        <i/>
        <sz val="8"/>
        <rFont val="Arial"/>
        <family val="2"/>
      </rPr>
      <t>del,sol</t>
    </r>
  </si>
  <si>
    <t>Solar radiation</t>
  </si>
  <si>
    <t>sol</t>
  </si>
  <si>
    <r>
      <t>f</t>
    </r>
    <r>
      <rPr>
        <sz val="8"/>
        <rFont val="Arial"/>
        <family val="2"/>
      </rPr>
      <t>P;tot,del;sol</t>
    </r>
  </si>
  <si>
    <r>
      <t>f</t>
    </r>
    <r>
      <rPr>
        <sz val="8"/>
        <rFont val="Arial"/>
        <family val="2"/>
      </rPr>
      <t>P;nren,del;sol</t>
    </r>
  </si>
  <si>
    <r>
      <t>f</t>
    </r>
    <r>
      <rPr>
        <sz val="8"/>
        <rFont val="Arial"/>
        <family val="2"/>
      </rPr>
      <t>P;nren,el,avg</t>
    </r>
  </si>
  <si>
    <r>
      <t>f</t>
    </r>
    <r>
      <rPr>
        <sz val="8"/>
        <rFont val="Arial"/>
        <family val="2"/>
      </rPr>
      <t>P;tot,el,avg</t>
    </r>
  </si>
  <si>
    <r>
      <t>E</t>
    </r>
    <r>
      <rPr>
        <i/>
        <sz val="8"/>
        <rFont val="Arial"/>
        <family val="2"/>
      </rPr>
      <t>rdel,el,PV</t>
    </r>
  </si>
  <si>
    <r>
      <t>f</t>
    </r>
    <r>
      <rPr>
        <i/>
        <sz val="8"/>
        <rFont val="Arial"/>
        <family val="2"/>
      </rPr>
      <t>P,nren,PV</t>
    </r>
  </si>
  <si>
    <r>
      <t>f</t>
    </r>
    <r>
      <rPr>
        <i/>
        <sz val="8"/>
        <rFont val="Arial"/>
        <family val="2"/>
      </rPr>
      <t>P,tot,PV</t>
    </r>
  </si>
  <si>
    <r>
      <t>E</t>
    </r>
    <r>
      <rPr>
        <i/>
        <sz val="8"/>
        <rFont val="Arial"/>
        <family val="2"/>
      </rPr>
      <t>rdel,el,CHP</t>
    </r>
  </si>
  <si>
    <r>
      <t>f</t>
    </r>
    <r>
      <rPr>
        <i/>
        <sz val="8"/>
        <rFont val="Arial"/>
        <family val="2"/>
      </rPr>
      <t>P,nren,CHP</t>
    </r>
  </si>
  <si>
    <r>
      <t>f</t>
    </r>
    <r>
      <rPr>
        <i/>
        <sz val="8"/>
        <rFont val="Arial"/>
        <family val="2"/>
      </rPr>
      <t>P,tot,CHP</t>
    </r>
  </si>
  <si>
    <t>If electric already counted in the electric balance</t>
  </si>
  <si>
    <t>This factors made available for further calculation</t>
  </si>
  <si>
    <t>Delivered solar radiation</t>
  </si>
  <si>
    <t>Solar PV conversion efficiency</t>
  </si>
  <si>
    <r>
      <t>f</t>
    </r>
    <r>
      <rPr>
        <i/>
        <sz val="8"/>
        <rFont val="Arial"/>
        <family val="2"/>
      </rPr>
      <t>PV,conv</t>
    </r>
  </si>
  <si>
    <r>
      <t xml:space="preserve">   E</t>
    </r>
    <r>
      <rPr>
        <i/>
        <sz val="8"/>
        <rFont val="Arial"/>
        <family val="2"/>
      </rPr>
      <t>del,sol,1</t>
    </r>
  </si>
  <si>
    <r>
      <t xml:space="preserve">   E</t>
    </r>
    <r>
      <rPr>
        <i/>
        <sz val="8"/>
        <rFont val="Arial"/>
        <family val="2"/>
      </rPr>
      <t>del,sol,2</t>
    </r>
    <r>
      <rPr>
        <sz val="11"/>
        <color theme="1"/>
        <rFont val="Calibri"/>
        <family val="2"/>
        <scheme val="minor"/>
      </rPr>
      <t/>
    </r>
  </si>
  <si>
    <r>
      <t xml:space="preserve">   E</t>
    </r>
    <r>
      <rPr>
        <i/>
        <sz val="8"/>
        <rFont val="Arial"/>
        <family val="2"/>
      </rPr>
      <t>del,sol,3</t>
    </r>
    <r>
      <rPr>
        <sz val="11"/>
        <color theme="1"/>
        <rFont val="Calibri"/>
        <family val="2"/>
        <scheme val="minor"/>
      </rPr>
      <t/>
    </r>
  </si>
  <si>
    <r>
      <t xml:space="preserve">   E</t>
    </r>
    <r>
      <rPr>
        <i/>
        <sz val="8"/>
        <rFont val="Arial"/>
        <family val="2"/>
      </rPr>
      <t>del,sol,4</t>
    </r>
    <r>
      <rPr>
        <sz val="11"/>
        <color theme="1"/>
        <rFont val="Calibri"/>
        <family val="2"/>
        <scheme val="minor"/>
      </rPr>
      <t/>
    </r>
  </si>
  <si>
    <r>
      <t xml:space="preserve">   E</t>
    </r>
    <r>
      <rPr>
        <i/>
        <sz val="8"/>
        <rFont val="Arial"/>
        <family val="2"/>
      </rPr>
      <t>del,sol,5</t>
    </r>
    <r>
      <rPr>
        <sz val="11"/>
        <color theme="1"/>
        <rFont val="Calibri"/>
        <family val="2"/>
        <scheme val="minor"/>
      </rPr>
      <t/>
    </r>
  </si>
  <si>
    <r>
      <t xml:space="preserve">   E</t>
    </r>
    <r>
      <rPr>
        <i/>
        <sz val="8"/>
        <rFont val="Arial"/>
        <family val="2"/>
      </rPr>
      <t>del,sol,6</t>
    </r>
    <r>
      <rPr>
        <sz val="11"/>
        <color theme="1"/>
        <rFont val="Calibri"/>
        <family val="2"/>
        <scheme val="minor"/>
      </rPr>
      <t/>
    </r>
  </si>
  <si>
    <r>
      <t xml:space="preserve">   E</t>
    </r>
    <r>
      <rPr>
        <i/>
        <sz val="8"/>
        <rFont val="Arial"/>
        <family val="2"/>
      </rPr>
      <t>del,sol,7</t>
    </r>
    <r>
      <rPr>
        <sz val="11"/>
        <color theme="1"/>
        <rFont val="Calibri"/>
        <family val="2"/>
        <scheme val="minor"/>
      </rPr>
      <t/>
    </r>
  </si>
  <si>
    <r>
      <t xml:space="preserve">   E</t>
    </r>
    <r>
      <rPr>
        <i/>
        <sz val="8"/>
        <rFont val="Arial"/>
        <family val="2"/>
      </rPr>
      <t>del,sol,8</t>
    </r>
    <r>
      <rPr>
        <sz val="11"/>
        <color theme="1"/>
        <rFont val="Calibri"/>
        <family val="2"/>
        <scheme val="minor"/>
      </rPr>
      <t/>
    </r>
  </si>
  <si>
    <r>
      <t xml:space="preserve">   E</t>
    </r>
    <r>
      <rPr>
        <i/>
        <sz val="8"/>
        <rFont val="Arial"/>
        <family val="2"/>
      </rPr>
      <t>del,sol,9</t>
    </r>
    <r>
      <rPr>
        <sz val="11"/>
        <color theme="1"/>
        <rFont val="Calibri"/>
        <family val="2"/>
        <scheme val="minor"/>
      </rPr>
      <t/>
    </r>
  </si>
  <si>
    <r>
      <t xml:space="preserve">   E</t>
    </r>
    <r>
      <rPr>
        <i/>
        <sz val="8"/>
        <rFont val="Arial"/>
        <family val="2"/>
      </rPr>
      <t>del,sol,10</t>
    </r>
    <r>
      <rPr>
        <sz val="11"/>
        <color theme="1"/>
        <rFont val="Calibri"/>
        <family val="2"/>
        <scheme val="minor"/>
      </rPr>
      <t/>
    </r>
  </si>
  <si>
    <r>
      <t xml:space="preserve">   E</t>
    </r>
    <r>
      <rPr>
        <i/>
        <sz val="8"/>
        <rFont val="Arial"/>
        <family val="2"/>
      </rPr>
      <t>del,sol,11</t>
    </r>
    <r>
      <rPr>
        <sz val="11"/>
        <color theme="1"/>
        <rFont val="Calibri"/>
        <family val="2"/>
        <scheme val="minor"/>
      </rPr>
      <t/>
    </r>
  </si>
  <si>
    <r>
      <t xml:space="preserve">   E</t>
    </r>
    <r>
      <rPr>
        <i/>
        <sz val="8"/>
        <rFont val="Arial"/>
        <family val="2"/>
      </rPr>
      <t>del,sol,12</t>
    </r>
    <r>
      <rPr>
        <sz val="11"/>
        <color theme="1"/>
        <rFont val="Calibri"/>
        <family val="2"/>
        <scheme val="minor"/>
      </rPr>
      <t/>
    </r>
  </si>
  <si>
    <t>el_us</t>
  </si>
  <si>
    <t>Delivered gas</t>
  </si>
  <si>
    <t>Delivered oil</t>
  </si>
  <si>
    <t>Delivered coal</t>
  </si>
  <si>
    <t>Delivered wood</t>
  </si>
  <si>
    <t>Delivered biomass</t>
  </si>
  <si>
    <t>Delivered custom</t>
  </si>
  <si>
    <t>Delivered district heating</t>
  </si>
  <si>
    <t>Delivered district cooling</t>
  </si>
  <si>
    <t>Delivered environment heat</t>
  </si>
  <si>
    <t>Delivered energy carriers other than electricity</t>
  </si>
  <si>
    <r>
      <t>E</t>
    </r>
    <r>
      <rPr>
        <i/>
        <sz val="8"/>
        <rFont val="Arial"/>
        <family val="2"/>
      </rPr>
      <t>del,gas</t>
    </r>
  </si>
  <si>
    <r>
      <t>E</t>
    </r>
    <r>
      <rPr>
        <i/>
        <sz val="8"/>
        <rFont val="Arial"/>
        <family val="2"/>
      </rPr>
      <t>del,oil</t>
    </r>
  </si>
  <si>
    <r>
      <t>E</t>
    </r>
    <r>
      <rPr>
        <i/>
        <sz val="8"/>
        <rFont val="Arial"/>
        <family val="2"/>
      </rPr>
      <t>del,coal</t>
    </r>
  </si>
  <si>
    <r>
      <t>E</t>
    </r>
    <r>
      <rPr>
        <i/>
        <sz val="8"/>
        <rFont val="Arial"/>
        <family val="2"/>
      </rPr>
      <t>del,wood</t>
    </r>
  </si>
  <si>
    <r>
      <t>E</t>
    </r>
    <r>
      <rPr>
        <i/>
        <sz val="8"/>
        <rFont val="Arial"/>
        <family val="2"/>
      </rPr>
      <t>del,biomass</t>
    </r>
  </si>
  <si>
    <r>
      <t>E</t>
    </r>
    <r>
      <rPr>
        <i/>
        <sz val="8"/>
        <rFont val="Arial"/>
        <family val="2"/>
      </rPr>
      <t>del,custom</t>
    </r>
  </si>
  <si>
    <r>
      <t>E</t>
    </r>
    <r>
      <rPr>
        <i/>
        <sz val="8"/>
        <rFont val="Arial"/>
        <family val="2"/>
      </rPr>
      <t>del,DH</t>
    </r>
  </si>
  <si>
    <r>
      <t>E</t>
    </r>
    <r>
      <rPr>
        <i/>
        <sz val="8"/>
        <rFont val="Arial"/>
        <family val="2"/>
      </rPr>
      <t>del,DC</t>
    </r>
  </si>
  <si>
    <r>
      <t>E</t>
    </r>
    <r>
      <rPr>
        <i/>
        <sz val="8"/>
        <rFont val="Arial"/>
        <family val="2"/>
      </rPr>
      <t>del,env</t>
    </r>
  </si>
  <si>
    <t>Electricity</t>
  </si>
  <si>
    <t>Total non renewable primary energy</t>
  </si>
  <si>
    <r>
      <t>E</t>
    </r>
    <r>
      <rPr>
        <i/>
        <sz val="8"/>
        <rFont val="Arial"/>
        <family val="2"/>
      </rPr>
      <t>P,nren,gas</t>
    </r>
  </si>
  <si>
    <r>
      <t>E</t>
    </r>
    <r>
      <rPr>
        <i/>
        <sz val="8"/>
        <rFont val="Arial"/>
        <family val="2"/>
      </rPr>
      <t>P,nren,oil</t>
    </r>
  </si>
  <si>
    <r>
      <t>E</t>
    </r>
    <r>
      <rPr>
        <i/>
        <sz val="8"/>
        <rFont val="Arial"/>
        <family val="2"/>
      </rPr>
      <t>P,nren,coal</t>
    </r>
  </si>
  <si>
    <r>
      <t>E</t>
    </r>
    <r>
      <rPr>
        <i/>
        <sz val="8"/>
        <rFont val="Arial"/>
        <family val="2"/>
      </rPr>
      <t>P,nren,wood</t>
    </r>
  </si>
  <si>
    <r>
      <t>E</t>
    </r>
    <r>
      <rPr>
        <i/>
        <sz val="8"/>
        <rFont val="Arial"/>
        <family val="2"/>
      </rPr>
      <t>P,nren,biomass</t>
    </r>
  </si>
  <si>
    <r>
      <t>E</t>
    </r>
    <r>
      <rPr>
        <i/>
        <sz val="8"/>
        <rFont val="Arial"/>
        <family val="2"/>
      </rPr>
      <t>P,nren,custom</t>
    </r>
  </si>
  <si>
    <r>
      <t>E</t>
    </r>
    <r>
      <rPr>
        <i/>
        <sz val="8"/>
        <rFont val="Arial"/>
        <family val="2"/>
      </rPr>
      <t>P,nren,DH</t>
    </r>
  </si>
  <si>
    <r>
      <t>E</t>
    </r>
    <r>
      <rPr>
        <i/>
        <sz val="8"/>
        <rFont val="Arial"/>
        <family val="2"/>
      </rPr>
      <t>P,nren,DC</t>
    </r>
  </si>
  <si>
    <r>
      <t>E</t>
    </r>
    <r>
      <rPr>
        <i/>
        <sz val="8"/>
        <rFont val="Arial"/>
        <family val="2"/>
      </rPr>
      <t>P,nren,env</t>
    </r>
  </si>
  <si>
    <r>
      <t>E</t>
    </r>
    <r>
      <rPr>
        <i/>
        <sz val="8"/>
        <rFont val="Arial"/>
        <family val="2"/>
      </rPr>
      <t>P,nren,sol</t>
    </r>
  </si>
  <si>
    <r>
      <t>E</t>
    </r>
    <r>
      <rPr>
        <i/>
        <sz val="8"/>
        <rFont val="Arial"/>
        <family val="2"/>
      </rPr>
      <t>P,nren,el</t>
    </r>
  </si>
  <si>
    <t>Total total primary energy</t>
  </si>
  <si>
    <r>
      <t>E</t>
    </r>
    <r>
      <rPr>
        <i/>
        <sz val="8"/>
        <rFont val="Arial"/>
        <family val="2"/>
      </rPr>
      <t>P,tot,gas</t>
    </r>
  </si>
  <si>
    <r>
      <t>E</t>
    </r>
    <r>
      <rPr>
        <i/>
        <sz val="8"/>
        <rFont val="Arial"/>
        <family val="2"/>
      </rPr>
      <t>P,tot,oil</t>
    </r>
  </si>
  <si>
    <r>
      <t>E</t>
    </r>
    <r>
      <rPr>
        <i/>
        <sz val="8"/>
        <rFont val="Arial"/>
        <family val="2"/>
      </rPr>
      <t>P,tot,coal</t>
    </r>
  </si>
  <si>
    <r>
      <t>E</t>
    </r>
    <r>
      <rPr>
        <i/>
        <sz val="8"/>
        <rFont val="Arial"/>
        <family val="2"/>
      </rPr>
      <t>P,tot,wood</t>
    </r>
  </si>
  <si>
    <r>
      <t>E</t>
    </r>
    <r>
      <rPr>
        <i/>
        <sz val="8"/>
        <rFont val="Arial"/>
        <family val="2"/>
      </rPr>
      <t>P,tot,biomass</t>
    </r>
  </si>
  <si>
    <r>
      <t>E</t>
    </r>
    <r>
      <rPr>
        <i/>
        <sz val="8"/>
        <rFont val="Arial"/>
        <family val="2"/>
      </rPr>
      <t>P,tot,custom</t>
    </r>
  </si>
  <si>
    <r>
      <t>E</t>
    </r>
    <r>
      <rPr>
        <i/>
        <sz val="8"/>
        <rFont val="Arial"/>
        <family val="2"/>
      </rPr>
      <t>P,tot,DH</t>
    </r>
  </si>
  <si>
    <r>
      <t>E</t>
    </r>
    <r>
      <rPr>
        <i/>
        <sz val="8"/>
        <rFont val="Arial"/>
        <family val="2"/>
      </rPr>
      <t>P,tot,DC</t>
    </r>
  </si>
  <si>
    <r>
      <t>E</t>
    </r>
    <r>
      <rPr>
        <i/>
        <sz val="8"/>
        <rFont val="Arial"/>
        <family val="2"/>
      </rPr>
      <t>P,tot,env</t>
    </r>
  </si>
  <si>
    <r>
      <t>E</t>
    </r>
    <r>
      <rPr>
        <i/>
        <sz val="8"/>
        <rFont val="Arial"/>
        <family val="2"/>
      </rPr>
      <t>P,tot,sol</t>
    </r>
  </si>
  <si>
    <r>
      <t>E</t>
    </r>
    <r>
      <rPr>
        <i/>
        <sz val="8"/>
        <rFont val="Arial"/>
        <family val="2"/>
      </rPr>
      <t>P,tot,el</t>
    </r>
  </si>
  <si>
    <r>
      <t>E</t>
    </r>
    <r>
      <rPr>
        <i/>
        <sz val="8"/>
        <rFont val="Arial"/>
        <family val="2"/>
      </rPr>
      <t>P,tot,tot</t>
    </r>
  </si>
  <si>
    <t>Renewable primary energy</t>
  </si>
  <si>
    <t>Total renewable  primary energy</t>
  </si>
  <si>
    <r>
      <t>E</t>
    </r>
    <r>
      <rPr>
        <b/>
        <i/>
        <sz val="8"/>
        <rFont val="Arial"/>
        <family val="2"/>
      </rPr>
      <t>P,nren,tot</t>
    </r>
  </si>
  <si>
    <r>
      <t>E</t>
    </r>
    <r>
      <rPr>
        <b/>
        <i/>
        <sz val="8"/>
        <rFont val="Arial"/>
        <family val="2"/>
      </rPr>
      <t>P,tot,tot</t>
    </r>
  </si>
  <si>
    <t>PRIMARY ENERGY CALCULATION, PER GENERATOR</t>
  </si>
  <si>
    <t>Auxiliary energy</t>
  </si>
  <si>
    <t>Thermal solar delivered energy</t>
  </si>
  <si>
    <t>Or take out cogen from calculation</t>
  </si>
  <si>
    <t>Non renewable primary energy excluding cogen</t>
  </si>
  <si>
    <t>Total primary energy excluding cogen</t>
  </si>
  <si>
    <t>Average electricity non renewable factor excluding cogen</t>
  </si>
  <si>
    <t>Average electricity total factor excluding cogen</t>
  </si>
  <si>
    <t>Other auxiliaries</t>
  </si>
  <si>
    <t>Total other auxiliaries</t>
  </si>
  <si>
    <t>Primary energy attribution to services</t>
  </si>
  <si>
    <t>el_nEP_us_tot</t>
  </si>
  <si>
    <t>PV delivered solar radiation</t>
  </si>
  <si>
    <t>National option: separate CHP exported energy accounting</t>
  </si>
  <si>
    <r>
      <t>f</t>
    </r>
    <r>
      <rPr>
        <i/>
        <sz val="8"/>
        <rFont val="Arial"/>
        <family val="2"/>
      </rPr>
      <t>OA_EL_CHP_SEP</t>
    </r>
  </si>
  <si>
    <t>If 1 means that CHP heat shall not be charged by the whole EP</t>
  </si>
  <si>
    <t>Non renewable primary energy in charge of electricity</t>
  </si>
  <si>
    <t>Apply grid conversion factor</t>
  </si>
  <si>
    <t>Apply redeliverd conversion factor</t>
  </si>
  <si>
    <t>Apply exported conversion factor</t>
  </si>
  <si>
    <t>Total primary energy for CHP electricity</t>
  </si>
  <si>
    <t>Case selection: takes input from the array on the right</t>
  </si>
  <si>
    <t>Last case</t>
  </si>
  <si>
    <t>Year</t>
  </si>
  <si>
    <t>Interval to show</t>
  </si>
  <si>
    <t>Time-step 1</t>
  </si>
  <si>
    <t>Time-step 2</t>
  </si>
  <si>
    <t>Time-step 3</t>
  </si>
  <si>
    <t>Time-step 4</t>
  </si>
  <si>
    <t>Time-step 5</t>
  </si>
  <si>
    <t>Time-step 6</t>
  </si>
  <si>
    <t>Time-step 7</t>
  </si>
  <si>
    <t>Time-step 8</t>
  </si>
  <si>
    <t>Time-step 9</t>
  </si>
  <si>
    <t>Time-step 10</t>
  </si>
  <si>
    <t>Time-step 11</t>
  </si>
  <si>
    <t>Time-step 12</t>
  </si>
  <si>
    <t>building-part</t>
  </si>
  <si>
    <t>Humidif.</t>
  </si>
  <si>
    <t xml:space="preserve">Dhw </t>
  </si>
  <si>
    <t>Cooling</t>
  </si>
  <si>
    <t>Dehum</t>
  </si>
  <si>
    <t>Lighting</t>
  </si>
  <si>
    <t>Transport</t>
  </si>
  <si>
    <t>Appliances</t>
  </si>
  <si>
    <t>Generation subsystems</t>
  </si>
  <si>
    <t>Boiler</t>
  </si>
  <si>
    <t>Heat pump</t>
  </si>
  <si>
    <t>Thermal solar</t>
  </si>
  <si>
    <t>Cogenerator</t>
  </si>
  <si>
    <t>Photovoltaic</t>
  </si>
  <si>
    <t>Input</t>
  </si>
  <si>
    <t>Aux</t>
  </si>
  <si>
    <t>DHW</t>
  </si>
  <si>
    <t>Non EPBD</t>
  </si>
  <si>
    <t>Output</t>
  </si>
  <si>
    <t>Thermal</t>
  </si>
  <si>
    <t>solar</t>
  </si>
  <si>
    <t>aux</t>
  </si>
  <si>
    <t>Nren eff.</t>
  </si>
  <si>
    <t>Tot eff.</t>
  </si>
  <si>
    <t>CHP,nEP,us</t>
  </si>
  <si>
    <t>PV,nEP,us</t>
  </si>
  <si>
    <t>Primary energy</t>
  </si>
  <si>
    <t>Nren</t>
  </si>
  <si>
    <t>by generator</t>
  </si>
  <si>
    <r>
      <t>E</t>
    </r>
    <r>
      <rPr>
        <sz val="8"/>
        <rFont val="Arial"/>
        <family val="2"/>
      </rPr>
      <t>P,tot</t>
    </r>
  </si>
  <si>
    <r>
      <t>f</t>
    </r>
    <r>
      <rPr>
        <sz val="8"/>
        <rFont val="Arial"/>
        <family val="2"/>
      </rPr>
      <t>P,nren</t>
    </r>
  </si>
  <si>
    <r>
      <t>f</t>
    </r>
    <r>
      <rPr>
        <sz val="8"/>
        <rFont val="Arial"/>
        <family val="2"/>
      </rPr>
      <t>P,tot</t>
    </r>
  </si>
  <si>
    <r>
      <t>E</t>
    </r>
    <r>
      <rPr>
        <sz val="8"/>
        <rFont val="Arial"/>
        <family val="2"/>
      </rPr>
      <t>P,nren</t>
    </r>
  </si>
  <si>
    <t>Thermal and electric energy dispatching</t>
  </si>
  <si>
    <t>Env. heat</t>
  </si>
  <si>
    <t>Delivered</t>
  </si>
  <si>
    <t>Exported</t>
  </si>
  <si>
    <t>CHP exp. elec.</t>
  </si>
  <si>
    <t>PV exp. elec.</t>
  </si>
  <si>
    <t>Average el.</t>
  </si>
  <si>
    <t>Avg. el. without CHP</t>
  </si>
  <si>
    <t>Displayed time-step</t>
  </si>
  <si>
    <t>Chiller</t>
  </si>
  <si>
    <t>Ventilation</t>
  </si>
  <si>
    <t>el_prod</t>
  </si>
  <si>
    <t>el_EPBD</t>
  </si>
  <si>
    <t>PRIMARY  ENERGY BALANCE</t>
  </si>
  <si>
    <t>Rejected heat</t>
  </si>
  <si>
    <r>
      <t>f</t>
    </r>
    <r>
      <rPr>
        <sz val="8"/>
        <rFont val="Arial"/>
        <family val="2"/>
      </rPr>
      <t>P;nren,del;rej</t>
    </r>
  </si>
  <si>
    <t>rej</t>
  </si>
  <si>
    <t>kWh/kWh</t>
  </si>
  <si>
    <r>
      <t>f</t>
    </r>
    <r>
      <rPr>
        <sz val="8"/>
        <rFont val="Arial"/>
        <family val="2"/>
      </rPr>
      <t>P;tot,del;rej</t>
    </r>
  </si>
  <si>
    <t>Simple simulation to show a difference between needs and technical systems output</t>
  </si>
  <si>
    <t>Select fuel, includes biomass here</t>
  </si>
  <si>
    <t>Give a seasonal COP</t>
  </si>
  <si>
    <t>Select chiller main en. carrier</t>
  </si>
  <si>
    <t>If set to 100% neglects conversion losses</t>
  </si>
  <si>
    <r>
      <t xml:space="preserve">Select here the conversion factor set as defined in the sheet </t>
    </r>
    <r>
      <rPr>
        <b/>
        <sz val="10"/>
        <rFont val="Arial"/>
        <family val="2"/>
      </rPr>
      <t>ConvFactors</t>
    </r>
  </si>
  <si>
    <t>Now for heat pump.</t>
  </si>
  <si>
    <t xml:space="preserve">For chillers </t>
  </si>
  <si>
    <t>Set to 0 to neglect exported electricity in excess of yearly uses</t>
  </si>
  <si>
    <t>Set to a value lower than grid electricity to take into account time-shift effect on th grid</t>
  </si>
  <si>
    <t>All factors can be differentiated according to origin (delivered) or destination (exported) of enrgy flow. 
--&gt; Support to on-site, nearby, far away and to hell</t>
  </si>
  <si>
    <t>The set could also be "non renewable" and "renewable"</t>
  </si>
  <si>
    <r>
      <t>E</t>
    </r>
    <r>
      <rPr>
        <i/>
        <sz val="8"/>
        <color rgb="FFFF0000"/>
        <rFont val="Arial"/>
        <family val="2"/>
      </rPr>
      <t>P,nren,del,el</t>
    </r>
  </si>
  <si>
    <r>
      <t>E</t>
    </r>
    <r>
      <rPr>
        <i/>
        <sz val="8"/>
        <color rgb="FFFF0000"/>
        <rFont val="Arial"/>
        <family val="2"/>
      </rPr>
      <t>P,nren,rdel,el,PV</t>
    </r>
  </si>
  <si>
    <r>
      <t>E</t>
    </r>
    <r>
      <rPr>
        <i/>
        <sz val="8"/>
        <color rgb="FFFF0000"/>
        <rFont val="Arial"/>
        <family val="2"/>
      </rPr>
      <t>P,nren,rdel,el,CHP</t>
    </r>
  </si>
  <si>
    <r>
      <t>E</t>
    </r>
    <r>
      <rPr>
        <i/>
        <sz val="8"/>
        <color rgb="FF0070C0"/>
        <rFont val="Arial"/>
        <family val="2"/>
      </rPr>
      <t>P,tot,del,el</t>
    </r>
  </si>
  <si>
    <r>
      <t>E</t>
    </r>
    <r>
      <rPr>
        <i/>
        <sz val="8"/>
        <color rgb="FF0070C0"/>
        <rFont val="Arial"/>
        <family val="2"/>
      </rPr>
      <t>P,tot,rdel,el,PV</t>
    </r>
  </si>
  <si>
    <r>
      <t>E</t>
    </r>
    <r>
      <rPr>
        <i/>
        <sz val="8"/>
        <color rgb="FF0070C0"/>
        <rFont val="Arial"/>
        <family val="2"/>
      </rPr>
      <t>P,tot,rdel,el,CHP</t>
    </r>
  </si>
  <si>
    <t>Pro forma</t>
  </si>
  <si>
    <t>Check: calculation by carrier givbes the same resutl as calcualtion by generation device</t>
  </si>
  <si>
    <t>BALANCE (EP)</t>
  </si>
  <si>
    <t>RER</t>
  </si>
  <si>
    <t>CASEx</t>
  </si>
  <si>
    <t>Test calculation 1</t>
  </si>
  <si>
    <t>Test calculation 2</t>
  </si>
  <si>
    <t>Test calculation 3</t>
  </si>
  <si>
    <t>Calculation example</t>
  </si>
  <si>
    <t>Conversion factor set:</t>
  </si>
  <si>
    <t>DIN no exp</t>
  </si>
  <si>
    <t>DIN no rdel</t>
  </si>
  <si>
    <t>DIN exp</t>
  </si>
  <si>
    <t>Custom</t>
  </si>
  <si>
    <t>Laurent Socal</t>
  </si>
  <si>
    <t>Heat</t>
  </si>
  <si>
    <t>Cool</t>
  </si>
  <si>
    <t>Boiler + thermal solar + cooling</t>
  </si>
  <si>
    <t>Heat pump and PV with cooling</t>
  </si>
  <si>
    <t>Cogen without cooling</t>
  </si>
  <si>
    <t xml:space="preserve">CHP,exp,tmp </t>
  </si>
  <si>
    <t xml:space="preserve">PV,exp,tmp </t>
  </si>
  <si>
    <t>Temp. exported electricity by PV</t>
  </si>
  <si>
    <t>Temp. exported electricity by CHP</t>
  </si>
  <si>
    <r>
      <t>E</t>
    </r>
    <r>
      <rPr>
        <b/>
        <i/>
        <sz val="8"/>
        <rFont val="Arial"/>
        <family val="2"/>
      </rPr>
      <t>exp,el,temp,y</t>
    </r>
  </si>
  <si>
    <r>
      <t xml:space="preserve">     E</t>
    </r>
    <r>
      <rPr>
        <i/>
        <sz val="8"/>
        <rFont val="Arial"/>
        <family val="2"/>
      </rPr>
      <t>exp,el,temp,sum_i</t>
    </r>
  </si>
  <si>
    <r>
      <t xml:space="preserve">     E</t>
    </r>
    <r>
      <rPr>
        <i/>
        <sz val="8"/>
        <rFont val="Arial"/>
        <family val="2"/>
      </rPr>
      <t>exp,el,temp,1</t>
    </r>
  </si>
  <si>
    <r>
      <t xml:space="preserve">     E</t>
    </r>
    <r>
      <rPr>
        <i/>
        <sz val="8"/>
        <rFont val="Arial"/>
        <family val="2"/>
      </rPr>
      <t>exp,el,temp,2</t>
    </r>
    <r>
      <rPr>
        <sz val="11"/>
        <color theme="1"/>
        <rFont val="Calibri"/>
        <family val="2"/>
        <scheme val="minor"/>
      </rPr>
      <t/>
    </r>
  </si>
  <si>
    <r>
      <t xml:space="preserve">     E</t>
    </r>
    <r>
      <rPr>
        <i/>
        <sz val="8"/>
        <rFont val="Arial"/>
        <family val="2"/>
      </rPr>
      <t>exp,el,temp,3</t>
    </r>
    <r>
      <rPr>
        <sz val="11"/>
        <color theme="1"/>
        <rFont val="Calibri"/>
        <family val="2"/>
        <scheme val="minor"/>
      </rPr>
      <t/>
    </r>
  </si>
  <si>
    <r>
      <t xml:space="preserve">     E</t>
    </r>
    <r>
      <rPr>
        <i/>
        <sz val="8"/>
        <rFont val="Arial"/>
        <family val="2"/>
      </rPr>
      <t>exp,el,temp,4</t>
    </r>
    <r>
      <rPr>
        <sz val="11"/>
        <color theme="1"/>
        <rFont val="Calibri"/>
        <family val="2"/>
        <scheme val="minor"/>
      </rPr>
      <t/>
    </r>
  </si>
  <si>
    <r>
      <t xml:space="preserve">     E</t>
    </r>
    <r>
      <rPr>
        <i/>
        <sz val="8"/>
        <rFont val="Arial"/>
        <family val="2"/>
      </rPr>
      <t>exp,el,temp,5</t>
    </r>
    <r>
      <rPr>
        <sz val="11"/>
        <color theme="1"/>
        <rFont val="Calibri"/>
        <family val="2"/>
        <scheme val="minor"/>
      </rPr>
      <t/>
    </r>
  </si>
  <si>
    <r>
      <t xml:space="preserve">     E</t>
    </r>
    <r>
      <rPr>
        <i/>
        <sz val="8"/>
        <rFont val="Arial"/>
        <family val="2"/>
      </rPr>
      <t>exp,el,temp,6</t>
    </r>
    <r>
      <rPr>
        <sz val="11"/>
        <color theme="1"/>
        <rFont val="Calibri"/>
        <family val="2"/>
        <scheme val="minor"/>
      </rPr>
      <t/>
    </r>
  </si>
  <si>
    <r>
      <t xml:space="preserve">     E</t>
    </r>
    <r>
      <rPr>
        <i/>
        <sz val="8"/>
        <rFont val="Arial"/>
        <family val="2"/>
      </rPr>
      <t>exp,el,temp,7</t>
    </r>
    <r>
      <rPr>
        <sz val="11"/>
        <color theme="1"/>
        <rFont val="Calibri"/>
        <family val="2"/>
        <scheme val="minor"/>
      </rPr>
      <t/>
    </r>
  </si>
  <si>
    <r>
      <t xml:space="preserve">     E</t>
    </r>
    <r>
      <rPr>
        <i/>
        <sz val="8"/>
        <rFont val="Arial"/>
        <family val="2"/>
      </rPr>
      <t>exp,el,temp,8</t>
    </r>
    <r>
      <rPr>
        <sz val="11"/>
        <color theme="1"/>
        <rFont val="Calibri"/>
        <family val="2"/>
        <scheme val="minor"/>
      </rPr>
      <t/>
    </r>
  </si>
  <si>
    <r>
      <t xml:space="preserve">     E</t>
    </r>
    <r>
      <rPr>
        <i/>
        <sz val="8"/>
        <rFont val="Arial"/>
        <family val="2"/>
      </rPr>
      <t>exp,el,temp,9</t>
    </r>
    <r>
      <rPr>
        <sz val="11"/>
        <color theme="1"/>
        <rFont val="Calibri"/>
        <family val="2"/>
        <scheme val="minor"/>
      </rPr>
      <t/>
    </r>
  </si>
  <si>
    <r>
      <t xml:space="preserve">     E</t>
    </r>
    <r>
      <rPr>
        <i/>
        <sz val="8"/>
        <rFont val="Arial"/>
        <family val="2"/>
      </rPr>
      <t>exp,el,temp,10</t>
    </r>
    <r>
      <rPr>
        <sz val="11"/>
        <color theme="1"/>
        <rFont val="Calibri"/>
        <family val="2"/>
        <scheme val="minor"/>
      </rPr>
      <t/>
    </r>
  </si>
  <si>
    <r>
      <t xml:space="preserve">     E</t>
    </r>
    <r>
      <rPr>
        <i/>
        <sz val="8"/>
        <rFont val="Arial"/>
        <family val="2"/>
      </rPr>
      <t>exp,el,temp,11</t>
    </r>
    <r>
      <rPr>
        <sz val="11"/>
        <color theme="1"/>
        <rFont val="Calibri"/>
        <family val="2"/>
        <scheme val="minor"/>
      </rPr>
      <t/>
    </r>
  </si>
  <si>
    <r>
      <t xml:space="preserve">     E</t>
    </r>
    <r>
      <rPr>
        <i/>
        <sz val="8"/>
        <rFont val="Arial"/>
        <family val="2"/>
      </rPr>
      <t>exp,el,temp,12</t>
    </r>
    <r>
      <rPr>
        <sz val="11"/>
        <color theme="1"/>
        <rFont val="Calibri"/>
        <family val="2"/>
        <scheme val="minor"/>
      </rPr>
      <t/>
    </r>
  </si>
  <si>
    <t>Delivered electr.</t>
  </si>
  <si>
    <t>CHP temp exp el</t>
  </si>
  <si>
    <t>PV temp exp el</t>
  </si>
  <si>
    <t>Issued for OA TR</t>
  </si>
  <si>
    <t xml:space="preserve">Completed example according to DTR </t>
  </si>
  <si>
    <t>Other electricity</t>
  </si>
  <si>
    <t>EPBD services</t>
  </si>
  <si>
    <t>Building energy needs</t>
  </si>
  <si>
    <t>NON EPBD services</t>
  </si>
  <si>
    <r>
      <t>f</t>
    </r>
    <r>
      <rPr>
        <sz val="8"/>
        <color rgb="FF00B050"/>
        <rFont val="Arial"/>
        <family val="2"/>
      </rPr>
      <t>P,ren</t>
    </r>
  </si>
  <si>
    <r>
      <t>E</t>
    </r>
    <r>
      <rPr>
        <sz val="8"/>
        <color rgb="FF00B050"/>
        <rFont val="Arial"/>
        <family val="2"/>
      </rPr>
      <t>P,ren</t>
    </r>
  </si>
  <si>
    <r>
      <t>f</t>
    </r>
    <r>
      <rPr>
        <sz val="8"/>
        <color rgb="FFFF0000"/>
        <rFont val="Arial"/>
        <family val="2"/>
      </rPr>
      <t>P,nren</t>
    </r>
  </si>
  <si>
    <r>
      <t>E</t>
    </r>
    <r>
      <rPr>
        <sz val="8"/>
        <color rgb="FFFF0000"/>
        <rFont val="Arial"/>
        <family val="2"/>
      </rPr>
      <t>P,nren</t>
    </r>
  </si>
  <si>
    <t>Aux 1</t>
  </si>
  <si>
    <t>Aux 2</t>
  </si>
  <si>
    <t>Cooling generation output for cooling and dhum</t>
  </si>
  <si>
    <t>Heating generation output for heating and hum</t>
  </si>
  <si>
    <r>
      <t>Systems, except generation Q</t>
    </r>
    <r>
      <rPr>
        <b/>
        <sz val="8"/>
        <rFont val="Arial"/>
        <family val="2"/>
      </rPr>
      <t>X,ngen,in</t>
    </r>
    <r>
      <rPr>
        <b/>
        <sz val="10"/>
        <rFont val="Arial"/>
        <family val="2"/>
      </rPr>
      <t>)</t>
    </r>
  </si>
  <si>
    <t>Percentage of generation output</t>
  </si>
  <si>
    <t>Percentage of cooling generation output</t>
  </si>
  <si>
    <t>Multiplier to modify quickly the profile, includes effect of on-diagram  selector</t>
  </si>
  <si>
    <t>Base profile for maximum contribution of thermal solar</t>
  </si>
  <si>
    <t>Calculated maximum thermal solar contribution</t>
  </si>
  <si>
    <t>Gives the difference between output and delivered solar radiation. Set 100% to neglect thermal solar system losses (boundary option 4)</t>
  </si>
  <si>
    <t>Auxiliaries recovery factor</t>
  </si>
  <si>
    <r>
      <t xml:space="preserve">   Q</t>
    </r>
    <r>
      <rPr>
        <i/>
        <sz val="8"/>
        <rFont val="Arial"/>
        <family val="2"/>
      </rPr>
      <t>W,sol,out,max,def,1</t>
    </r>
  </si>
  <si>
    <r>
      <t xml:space="preserve">   Q</t>
    </r>
    <r>
      <rPr>
        <i/>
        <sz val="8"/>
        <rFont val="Arial"/>
        <family val="2"/>
      </rPr>
      <t>W,sol,out,max,def,2</t>
    </r>
    <r>
      <rPr>
        <sz val="11"/>
        <color theme="1"/>
        <rFont val="Calibri"/>
        <family val="2"/>
        <scheme val="minor"/>
      </rPr>
      <t/>
    </r>
  </si>
  <si>
    <r>
      <t xml:space="preserve">   Q</t>
    </r>
    <r>
      <rPr>
        <i/>
        <sz val="8"/>
        <rFont val="Arial"/>
        <family val="2"/>
      </rPr>
      <t>W,sol,out,max,def,3</t>
    </r>
    <r>
      <rPr>
        <sz val="11"/>
        <color theme="1"/>
        <rFont val="Calibri"/>
        <family val="2"/>
        <scheme val="minor"/>
      </rPr>
      <t/>
    </r>
  </si>
  <si>
    <r>
      <t xml:space="preserve">   Q</t>
    </r>
    <r>
      <rPr>
        <i/>
        <sz val="8"/>
        <rFont val="Arial"/>
        <family val="2"/>
      </rPr>
      <t>W,sol,out,max,def,4</t>
    </r>
    <r>
      <rPr>
        <sz val="11"/>
        <color theme="1"/>
        <rFont val="Calibri"/>
        <family val="2"/>
        <scheme val="minor"/>
      </rPr>
      <t/>
    </r>
  </si>
  <si>
    <r>
      <t xml:space="preserve">   Q</t>
    </r>
    <r>
      <rPr>
        <i/>
        <sz val="8"/>
        <rFont val="Arial"/>
        <family val="2"/>
      </rPr>
      <t>W,sol,out,max,def,5</t>
    </r>
    <r>
      <rPr>
        <sz val="11"/>
        <color theme="1"/>
        <rFont val="Calibri"/>
        <family val="2"/>
        <scheme val="minor"/>
      </rPr>
      <t/>
    </r>
  </si>
  <si>
    <r>
      <t xml:space="preserve">   Q</t>
    </r>
    <r>
      <rPr>
        <i/>
        <sz val="8"/>
        <rFont val="Arial"/>
        <family val="2"/>
      </rPr>
      <t>W,sol,out,max,def,6</t>
    </r>
    <r>
      <rPr>
        <sz val="11"/>
        <color theme="1"/>
        <rFont val="Calibri"/>
        <family val="2"/>
        <scheme val="minor"/>
      </rPr>
      <t/>
    </r>
  </si>
  <si>
    <r>
      <t xml:space="preserve">   Q</t>
    </r>
    <r>
      <rPr>
        <i/>
        <sz val="8"/>
        <rFont val="Arial"/>
        <family val="2"/>
      </rPr>
      <t>W,sol,out,max,def,7</t>
    </r>
    <r>
      <rPr>
        <sz val="11"/>
        <color theme="1"/>
        <rFont val="Calibri"/>
        <family val="2"/>
        <scheme val="minor"/>
      </rPr>
      <t/>
    </r>
  </si>
  <si>
    <r>
      <t xml:space="preserve">   Q</t>
    </r>
    <r>
      <rPr>
        <i/>
        <sz val="8"/>
        <rFont val="Arial"/>
        <family val="2"/>
      </rPr>
      <t>W,sol,out,max,def,8</t>
    </r>
    <r>
      <rPr>
        <sz val="11"/>
        <color theme="1"/>
        <rFont val="Calibri"/>
        <family val="2"/>
        <scheme val="minor"/>
      </rPr>
      <t/>
    </r>
  </si>
  <si>
    <r>
      <t xml:space="preserve">   Q</t>
    </r>
    <r>
      <rPr>
        <i/>
        <sz val="8"/>
        <rFont val="Arial"/>
        <family val="2"/>
      </rPr>
      <t>W,sol,out,max,def,9</t>
    </r>
    <r>
      <rPr>
        <sz val="11"/>
        <color theme="1"/>
        <rFont val="Calibri"/>
        <family val="2"/>
        <scheme val="minor"/>
      </rPr>
      <t/>
    </r>
  </si>
  <si>
    <r>
      <t xml:space="preserve">   Q</t>
    </r>
    <r>
      <rPr>
        <i/>
        <sz val="8"/>
        <rFont val="Arial"/>
        <family val="2"/>
      </rPr>
      <t>W,sol,out,max,def,10</t>
    </r>
    <r>
      <rPr>
        <sz val="11"/>
        <color theme="1"/>
        <rFont val="Calibri"/>
        <family val="2"/>
        <scheme val="minor"/>
      </rPr>
      <t/>
    </r>
  </si>
  <si>
    <r>
      <t xml:space="preserve">   Q</t>
    </r>
    <r>
      <rPr>
        <i/>
        <sz val="8"/>
        <rFont val="Arial"/>
        <family val="2"/>
      </rPr>
      <t>W,sol,out,max,def,11</t>
    </r>
    <r>
      <rPr>
        <sz val="11"/>
        <color theme="1"/>
        <rFont val="Calibri"/>
        <family val="2"/>
        <scheme val="minor"/>
      </rPr>
      <t/>
    </r>
  </si>
  <si>
    <r>
      <t xml:space="preserve">   Q</t>
    </r>
    <r>
      <rPr>
        <i/>
        <sz val="8"/>
        <rFont val="Arial"/>
        <family val="2"/>
      </rPr>
      <t>W,sol,out,max,def,12</t>
    </r>
    <r>
      <rPr>
        <sz val="11"/>
        <color theme="1"/>
        <rFont val="Calibri"/>
        <family val="2"/>
        <scheme val="minor"/>
      </rPr>
      <t/>
    </r>
  </si>
  <si>
    <r>
      <t>Q</t>
    </r>
    <r>
      <rPr>
        <i/>
        <sz val="8"/>
        <rFont val="Arial"/>
        <family val="2"/>
      </rPr>
      <t>W,sol,out,max</t>
    </r>
  </si>
  <si>
    <r>
      <t xml:space="preserve">   Q</t>
    </r>
    <r>
      <rPr>
        <i/>
        <sz val="8"/>
        <rFont val="Arial"/>
        <family val="2"/>
      </rPr>
      <t>W,sol,out,max,1</t>
    </r>
  </si>
  <si>
    <r>
      <t xml:space="preserve">   Q</t>
    </r>
    <r>
      <rPr>
        <i/>
        <sz val="8"/>
        <rFont val="Arial"/>
        <family val="2"/>
      </rPr>
      <t>W,sol,out,max,2</t>
    </r>
    <r>
      <rPr>
        <sz val="11"/>
        <color theme="1"/>
        <rFont val="Calibri"/>
        <family val="2"/>
        <scheme val="minor"/>
      </rPr>
      <t/>
    </r>
  </si>
  <si>
    <r>
      <t xml:space="preserve">   Q</t>
    </r>
    <r>
      <rPr>
        <i/>
        <sz val="8"/>
        <rFont val="Arial"/>
        <family val="2"/>
      </rPr>
      <t>W,sol,out,max,3</t>
    </r>
    <r>
      <rPr>
        <sz val="11"/>
        <color theme="1"/>
        <rFont val="Calibri"/>
        <family val="2"/>
        <scheme val="minor"/>
      </rPr>
      <t/>
    </r>
  </si>
  <si>
    <r>
      <t xml:space="preserve">   Q</t>
    </r>
    <r>
      <rPr>
        <i/>
        <sz val="8"/>
        <rFont val="Arial"/>
        <family val="2"/>
      </rPr>
      <t>W,sol,out,max,4</t>
    </r>
    <r>
      <rPr>
        <sz val="11"/>
        <color theme="1"/>
        <rFont val="Calibri"/>
        <family val="2"/>
        <scheme val="minor"/>
      </rPr>
      <t/>
    </r>
  </si>
  <si>
    <r>
      <t xml:space="preserve">   Q</t>
    </r>
    <r>
      <rPr>
        <i/>
        <sz val="8"/>
        <rFont val="Arial"/>
        <family val="2"/>
      </rPr>
      <t>W,sol,out,max,5</t>
    </r>
    <r>
      <rPr>
        <sz val="11"/>
        <color theme="1"/>
        <rFont val="Calibri"/>
        <family val="2"/>
        <scheme val="minor"/>
      </rPr>
      <t/>
    </r>
  </si>
  <si>
    <r>
      <t xml:space="preserve">   Q</t>
    </r>
    <r>
      <rPr>
        <i/>
        <sz val="8"/>
        <rFont val="Arial"/>
        <family val="2"/>
      </rPr>
      <t>W,sol,out,max,6</t>
    </r>
    <r>
      <rPr>
        <sz val="11"/>
        <color theme="1"/>
        <rFont val="Calibri"/>
        <family val="2"/>
        <scheme val="minor"/>
      </rPr>
      <t/>
    </r>
  </si>
  <si>
    <r>
      <t xml:space="preserve">   Q</t>
    </r>
    <r>
      <rPr>
        <i/>
        <sz val="8"/>
        <rFont val="Arial"/>
        <family val="2"/>
      </rPr>
      <t>W,sol,out,max,7</t>
    </r>
    <r>
      <rPr>
        <sz val="11"/>
        <color theme="1"/>
        <rFont val="Calibri"/>
        <family val="2"/>
        <scheme val="minor"/>
      </rPr>
      <t/>
    </r>
  </si>
  <si>
    <r>
      <t xml:space="preserve">   Q</t>
    </r>
    <r>
      <rPr>
        <i/>
        <sz val="8"/>
        <rFont val="Arial"/>
        <family val="2"/>
      </rPr>
      <t>W,sol,out,max,8</t>
    </r>
    <r>
      <rPr>
        <sz val="11"/>
        <color theme="1"/>
        <rFont val="Calibri"/>
        <family val="2"/>
        <scheme val="minor"/>
      </rPr>
      <t/>
    </r>
  </si>
  <si>
    <r>
      <t xml:space="preserve">   Q</t>
    </r>
    <r>
      <rPr>
        <i/>
        <sz val="8"/>
        <rFont val="Arial"/>
        <family val="2"/>
      </rPr>
      <t>W,sol,out,max,9</t>
    </r>
    <r>
      <rPr>
        <sz val="11"/>
        <color theme="1"/>
        <rFont val="Calibri"/>
        <family val="2"/>
        <scheme val="minor"/>
      </rPr>
      <t/>
    </r>
  </si>
  <si>
    <r>
      <t xml:space="preserve">   Q</t>
    </r>
    <r>
      <rPr>
        <i/>
        <sz val="8"/>
        <rFont val="Arial"/>
        <family val="2"/>
      </rPr>
      <t>W,sol,out,max,10</t>
    </r>
    <r>
      <rPr>
        <sz val="11"/>
        <color theme="1"/>
        <rFont val="Calibri"/>
        <family val="2"/>
        <scheme val="minor"/>
      </rPr>
      <t/>
    </r>
  </si>
  <si>
    <r>
      <t xml:space="preserve">   Q</t>
    </r>
    <r>
      <rPr>
        <i/>
        <sz val="8"/>
        <rFont val="Arial"/>
        <family val="2"/>
      </rPr>
      <t>W,sol,out,max,11</t>
    </r>
    <r>
      <rPr>
        <sz val="11"/>
        <color theme="1"/>
        <rFont val="Calibri"/>
        <family val="2"/>
        <scheme val="minor"/>
      </rPr>
      <t/>
    </r>
  </si>
  <si>
    <r>
      <t xml:space="preserve">   Q</t>
    </r>
    <r>
      <rPr>
        <i/>
        <sz val="8"/>
        <rFont val="Arial"/>
        <family val="2"/>
      </rPr>
      <t>W,sol,out,max,12</t>
    </r>
    <r>
      <rPr>
        <sz val="11"/>
        <color theme="1"/>
        <rFont val="Calibri"/>
        <family val="2"/>
        <scheme val="minor"/>
      </rPr>
      <t/>
    </r>
  </si>
  <si>
    <r>
      <t>Q</t>
    </r>
    <r>
      <rPr>
        <i/>
        <sz val="8"/>
        <rFont val="Arial"/>
        <family val="2"/>
      </rPr>
      <t>W,sol,out</t>
    </r>
  </si>
  <si>
    <r>
      <t xml:space="preserve">    Q</t>
    </r>
    <r>
      <rPr>
        <i/>
        <sz val="8"/>
        <rFont val="Arial"/>
        <family val="2"/>
      </rPr>
      <t>W,sol,out,1</t>
    </r>
  </si>
  <si>
    <r>
      <t xml:space="preserve">    Q</t>
    </r>
    <r>
      <rPr>
        <i/>
        <sz val="8"/>
        <rFont val="Arial"/>
        <family val="2"/>
      </rPr>
      <t>W,sol,out,2</t>
    </r>
    <r>
      <rPr>
        <sz val="11"/>
        <color theme="1"/>
        <rFont val="Calibri"/>
        <family val="2"/>
        <scheme val="minor"/>
      </rPr>
      <t/>
    </r>
  </si>
  <si>
    <r>
      <t xml:space="preserve">    Q</t>
    </r>
    <r>
      <rPr>
        <i/>
        <sz val="8"/>
        <rFont val="Arial"/>
        <family val="2"/>
      </rPr>
      <t>W,sol,out,3</t>
    </r>
    <r>
      <rPr>
        <sz val="11"/>
        <color theme="1"/>
        <rFont val="Calibri"/>
        <family val="2"/>
        <scheme val="minor"/>
      </rPr>
      <t/>
    </r>
  </si>
  <si>
    <r>
      <t xml:space="preserve">    Q</t>
    </r>
    <r>
      <rPr>
        <i/>
        <sz val="8"/>
        <rFont val="Arial"/>
        <family val="2"/>
      </rPr>
      <t>W,sol,out,4</t>
    </r>
    <r>
      <rPr>
        <sz val="11"/>
        <color theme="1"/>
        <rFont val="Calibri"/>
        <family val="2"/>
        <scheme val="minor"/>
      </rPr>
      <t/>
    </r>
  </si>
  <si>
    <r>
      <t xml:space="preserve">    Q</t>
    </r>
    <r>
      <rPr>
        <i/>
        <sz val="8"/>
        <rFont val="Arial"/>
        <family val="2"/>
      </rPr>
      <t>W,sol,out,5</t>
    </r>
    <r>
      <rPr>
        <sz val="11"/>
        <color theme="1"/>
        <rFont val="Calibri"/>
        <family val="2"/>
        <scheme val="minor"/>
      </rPr>
      <t/>
    </r>
  </si>
  <si>
    <r>
      <t xml:space="preserve">    Q</t>
    </r>
    <r>
      <rPr>
        <i/>
        <sz val="8"/>
        <rFont val="Arial"/>
        <family val="2"/>
      </rPr>
      <t>W,sol,out,6</t>
    </r>
    <r>
      <rPr>
        <sz val="11"/>
        <color theme="1"/>
        <rFont val="Calibri"/>
        <family val="2"/>
        <scheme val="minor"/>
      </rPr>
      <t/>
    </r>
  </si>
  <si>
    <r>
      <t xml:space="preserve">    Q</t>
    </r>
    <r>
      <rPr>
        <i/>
        <sz val="8"/>
        <rFont val="Arial"/>
        <family val="2"/>
      </rPr>
      <t>W,sol,out,7</t>
    </r>
    <r>
      <rPr>
        <sz val="11"/>
        <color theme="1"/>
        <rFont val="Calibri"/>
        <family val="2"/>
        <scheme val="minor"/>
      </rPr>
      <t/>
    </r>
  </si>
  <si>
    <r>
      <t xml:space="preserve">    Q</t>
    </r>
    <r>
      <rPr>
        <i/>
        <sz val="8"/>
        <rFont val="Arial"/>
        <family val="2"/>
      </rPr>
      <t>W,sol,out,8</t>
    </r>
    <r>
      <rPr>
        <sz val="11"/>
        <color theme="1"/>
        <rFont val="Calibri"/>
        <family val="2"/>
        <scheme val="minor"/>
      </rPr>
      <t/>
    </r>
  </si>
  <si>
    <r>
      <t xml:space="preserve">    Q</t>
    </r>
    <r>
      <rPr>
        <i/>
        <sz val="8"/>
        <rFont val="Arial"/>
        <family val="2"/>
      </rPr>
      <t>W,sol,out,9</t>
    </r>
    <r>
      <rPr>
        <sz val="11"/>
        <color theme="1"/>
        <rFont val="Calibri"/>
        <family val="2"/>
        <scheme val="minor"/>
      </rPr>
      <t/>
    </r>
  </si>
  <si>
    <r>
      <t xml:space="preserve">    Q</t>
    </r>
    <r>
      <rPr>
        <i/>
        <sz val="8"/>
        <rFont val="Arial"/>
        <family val="2"/>
      </rPr>
      <t>W,sol,out,10</t>
    </r>
    <r>
      <rPr>
        <sz val="11"/>
        <color theme="1"/>
        <rFont val="Calibri"/>
        <family val="2"/>
        <scheme val="minor"/>
      </rPr>
      <t/>
    </r>
  </si>
  <si>
    <r>
      <t xml:space="preserve">    Q</t>
    </r>
    <r>
      <rPr>
        <i/>
        <sz val="8"/>
        <rFont val="Arial"/>
        <family val="2"/>
      </rPr>
      <t>W,sol,out,11</t>
    </r>
    <r>
      <rPr>
        <sz val="11"/>
        <color theme="1"/>
        <rFont val="Calibri"/>
        <family val="2"/>
        <scheme val="minor"/>
      </rPr>
      <t/>
    </r>
  </si>
  <si>
    <r>
      <t xml:space="preserve">    Q</t>
    </r>
    <r>
      <rPr>
        <i/>
        <sz val="8"/>
        <rFont val="Arial"/>
        <family val="2"/>
      </rPr>
      <t>W,sol,out,12</t>
    </r>
    <r>
      <rPr>
        <sz val="11"/>
        <color theme="1"/>
        <rFont val="Calibri"/>
        <family val="2"/>
        <scheme val="minor"/>
      </rPr>
      <t/>
    </r>
  </si>
  <si>
    <r>
      <t xml:space="preserve">   E</t>
    </r>
    <r>
      <rPr>
        <i/>
        <sz val="8"/>
        <rFont val="Arial"/>
        <family val="2"/>
      </rPr>
      <t>del,sol,W,1</t>
    </r>
  </si>
  <si>
    <r>
      <t>E</t>
    </r>
    <r>
      <rPr>
        <i/>
        <sz val="8"/>
        <rFont val="Arial"/>
        <family val="2"/>
      </rPr>
      <t>del,sol,W</t>
    </r>
  </si>
  <si>
    <r>
      <t xml:space="preserve">   E</t>
    </r>
    <r>
      <rPr>
        <i/>
        <sz val="8"/>
        <rFont val="Arial"/>
        <family val="2"/>
      </rPr>
      <t>del,sol,W,2</t>
    </r>
    <r>
      <rPr>
        <sz val="11"/>
        <color theme="1"/>
        <rFont val="Calibri"/>
        <family val="2"/>
        <scheme val="minor"/>
      </rPr>
      <t/>
    </r>
  </si>
  <si>
    <r>
      <t xml:space="preserve">   E</t>
    </r>
    <r>
      <rPr>
        <i/>
        <sz val="8"/>
        <rFont val="Arial"/>
        <family val="2"/>
      </rPr>
      <t>del,sol,W,3</t>
    </r>
    <r>
      <rPr>
        <sz val="11"/>
        <color theme="1"/>
        <rFont val="Calibri"/>
        <family val="2"/>
        <scheme val="minor"/>
      </rPr>
      <t/>
    </r>
  </si>
  <si>
    <r>
      <t xml:space="preserve">   E</t>
    </r>
    <r>
      <rPr>
        <i/>
        <sz val="8"/>
        <rFont val="Arial"/>
        <family val="2"/>
      </rPr>
      <t>del,sol,W,4</t>
    </r>
    <r>
      <rPr>
        <sz val="11"/>
        <color theme="1"/>
        <rFont val="Calibri"/>
        <family val="2"/>
        <scheme val="minor"/>
      </rPr>
      <t/>
    </r>
  </si>
  <si>
    <r>
      <t xml:space="preserve">   E</t>
    </r>
    <r>
      <rPr>
        <i/>
        <sz val="8"/>
        <rFont val="Arial"/>
        <family val="2"/>
      </rPr>
      <t>del,sol,W,5</t>
    </r>
    <r>
      <rPr>
        <sz val="11"/>
        <color theme="1"/>
        <rFont val="Calibri"/>
        <family val="2"/>
        <scheme val="minor"/>
      </rPr>
      <t/>
    </r>
  </si>
  <si>
    <r>
      <t xml:space="preserve">   E</t>
    </r>
    <r>
      <rPr>
        <i/>
        <sz val="8"/>
        <rFont val="Arial"/>
        <family val="2"/>
      </rPr>
      <t>del,sol,W,6</t>
    </r>
    <r>
      <rPr>
        <sz val="11"/>
        <color theme="1"/>
        <rFont val="Calibri"/>
        <family val="2"/>
        <scheme val="minor"/>
      </rPr>
      <t/>
    </r>
  </si>
  <si>
    <r>
      <t xml:space="preserve">   E</t>
    </r>
    <r>
      <rPr>
        <i/>
        <sz val="8"/>
        <rFont val="Arial"/>
        <family val="2"/>
      </rPr>
      <t>del,sol,W,7</t>
    </r>
    <r>
      <rPr>
        <sz val="11"/>
        <color theme="1"/>
        <rFont val="Calibri"/>
        <family val="2"/>
        <scheme val="minor"/>
      </rPr>
      <t/>
    </r>
  </si>
  <si>
    <r>
      <t xml:space="preserve">   E</t>
    </r>
    <r>
      <rPr>
        <i/>
        <sz val="8"/>
        <rFont val="Arial"/>
        <family val="2"/>
      </rPr>
      <t>del,sol,W,8</t>
    </r>
    <r>
      <rPr>
        <sz val="11"/>
        <color theme="1"/>
        <rFont val="Calibri"/>
        <family val="2"/>
        <scheme val="minor"/>
      </rPr>
      <t/>
    </r>
  </si>
  <si>
    <r>
      <t xml:space="preserve">   E</t>
    </r>
    <r>
      <rPr>
        <i/>
        <sz val="8"/>
        <rFont val="Arial"/>
        <family val="2"/>
      </rPr>
      <t>del,sol,W,9</t>
    </r>
    <r>
      <rPr>
        <sz val="11"/>
        <color theme="1"/>
        <rFont val="Calibri"/>
        <family val="2"/>
        <scheme val="minor"/>
      </rPr>
      <t/>
    </r>
  </si>
  <si>
    <r>
      <t xml:space="preserve">   E</t>
    </r>
    <r>
      <rPr>
        <i/>
        <sz val="8"/>
        <rFont val="Arial"/>
        <family val="2"/>
      </rPr>
      <t>del,sol,W,10</t>
    </r>
    <r>
      <rPr>
        <sz val="11"/>
        <color theme="1"/>
        <rFont val="Calibri"/>
        <family val="2"/>
        <scheme val="minor"/>
      </rPr>
      <t/>
    </r>
  </si>
  <si>
    <r>
      <t xml:space="preserve">   E</t>
    </r>
    <r>
      <rPr>
        <i/>
        <sz val="8"/>
        <rFont val="Arial"/>
        <family val="2"/>
      </rPr>
      <t>del,sol,W,11</t>
    </r>
    <r>
      <rPr>
        <sz val="11"/>
        <color theme="1"/>
        <rFont val="Calibri"/>
        <family val="2"/>
        <scheme val="minor"/>
      </rPr>
      <t/>
    </r>
  </si>
  <si>
    <r>
      <t xml:space="preserve">   E</t>
    </r>
    <r>
      <rPr>
        <i/>
        <sz val="8"/>
        <rFont val="Arial"/>
        <family val="2"/>
      </rPr>
      <t>del,sol,W,12</t>
    </r>
    <r>
      <rPr>
        <sz val="11"/>
        <color theme="1"/>
        <rFont val="Calibri"/>
        <family val="2"/>
        <scheme val="minor"/>
      </rPr>
      <t/>
    </r>
  </si>
  <si>
    <t>Cogenerator primary energy allocation criteria</t>
  </si>
  <si>
    <t>CGN_EP_ALLOC_CRIT</t>
  </si>
  <si>
    <t>EN</t>
  </si>
  <si>
    <t>Insert here allocation calculation</t>
  </si>
  <si>
    <t>The boiler is assumed to supply all the remaining heat to be generated</t>
  </si>
  <si>
    <t>Primary energy conversion factors are separate indeed. This is to give to CHP heat the reduction of primary enrgy due to elctricity generation otherwise uses served by the cogen are penalisesd.</t>
  </si>
  <si>
    <t>End of systems calculation, start of EN 15603 assessment</t>
  </si>
  <si>
    <t>National option: derate PV electric production for non EPBD uses</t>
  </si>
  <si>
    <t>National option: derate CHP electric production for non EPBD uses</t>
  </si>
  <si>
    <t>For use in formula 16</t>
  </si>
  <si>
    <t>Not in EN 15603</t>
  </si>
  <si>
    <t>Equation 16</t>
  </si>
  <si>
    <r>
      <t>E</t>
    </r>
    <r>
      <rPr>
        <b/>
        <i/>
        <sz val="8"/>
        <rFont val="Arial"/>
        <family val="2"/>
      </rPr>
      <t>pr,el,EPus,PV</t>
    </r>
  </si>
  <si>
    <r>
      <t xml:space="preserve">     E</t>
    </r>
    <r>
      <rPr>
        <i/>
        <sz val="8"/>
        <rFont val="Arial"/>
        <family val="2"/>
      </rPr>
      <t>pr,el,EPus,PV,1</t>
    </r>
  </si>
  <si>
    <r>
      <t xml:space="preserve">     E</t>
    </r>
    <r>
      <rPr>
        <i/>
        <sz val="8"/>
        <rFont val="Arial"/>
        <family val="2"/>
      </rPr>
      <t>pr,el,EPus,PV,2</t>
    </r>
    <r>
      <rPr>
        <sz val="11"/>
        <color theme="1"/>
        <rFont val="Calibri"/>
        <family val="2"/>
        <scheme val="minor"/>
      </rPr>
      <t/>
    </r>
  </si>
  <si>
    <r>
      <t xml:space="preserve">     E</t>
    </r>
    <r>
      <rPr>
        <i/>
        <sz val="8"/>
        <rFont val="Arial"/>
        <family val="2"/>
      </rPr>
      <t>pr,el,EPus,PV,3</t>
    </r>
    <r>
      <rPr>
        <sz val="11"/>
        <color theme="1"/>
        <rFont val="Calibri"/>
        <family val="2"/>
        <scheme val="minor"/>
      </rPr>
      <t/>
    </r>
  </si>
  <si>
    <r>
      <t xml:space="preserve">     E</t>
    </r>
    <r>
      <rPr>
        <i/>
        <sz val="8"/>
        <rFont val="Arial"/>
        <family val="2"/>
      </rPr>
      <t>pr,el,EPus,PV,4</t>
    </r>
    <r>
      <rPr>
        <sz val="11"/>
        <color theme="1"/>
        <rFont val="Calibri"/>
        <family val="2"/>
        <scheme val="minor"/>
      </rPr>
      <t/>
    </r>
  </si>
  <si>
    <r>
      <t xml:space="preserve">     E</t>
    </r>
    <r>
      <rPr>
        <i/>
        <sz val="8"/>
        <rFont val="Arial"/>
        <family val="2"/>
      </rPr>
      <t>pr,el,EPus,PV,5</t>
    </r>
    <r>
      <rPr>
        <sz val="11"/>
        <color theme="1"/>
        <rFont val="Calibri"/>
        <family val="2"/>
        <scheme val="minor"/>
      </rPr>
      <t/>
    </r>
  </si>
  <si>
    <r>
      <t xml:space="preserve">     E</t>
    </r>
    <r>
      <rPr>
        <i/>
        <sz val="8"/>
        <rFont val="Arial"/>
        <family val="2"/>
      </rPr>
      <t>pr,el,EPus,PV,6</t>
    </r>
    <r>
      <rPr>
        <sz val="11"/>
        <color theme="1"/>
        <rFont val="Calibri"/>
        <family val="2"/>
        <scheme val="minor"/>
      </rPr>
      <t/>
    </r>
  </si>
  <si>
    <r>
      <t xml:space="preserve">     E</t>
    </r>
    <r>
      <rPr>
        <i/>
        <sz val="8"/>
        <rFont val="Arial"/>
        <family val="2"/>
      </rPr>
      <t>pr,el,EPus,PV,7</t>
    </r>
    <r>
      <rPr>
        <sz val="11"/>
        <color theme="1"/>
        <rFont val="Calibri"/>
        <family val="2"/>
        <scheme val="minor"/>
      </rPr>
      <t/>
    </r>
  </si>
  <si>
    <r>
      <t xml:space="preserve">     E</t>
    </r>
    <r>
      <rPr>
        <i/>
        <sz val="8"/>
        <rFont val="Arial"/>
        <family val="2"/>
      </rPr>
      <t>pr,el,EPus,PV,8</t>
    </r>
    <r>
      <rPr>
        <sz val="11"/>
        <color theme="1"/>
        <rFont val="Calibri"/>
        <family val="2"/>
        <scheme val="minor"/>
      </rPr>
      <t/>
    </r>
  </si>
  <si>
    <r>
      <t xml:space="preserve">     E</t>
    </r>
    <r>
      <rPr>
        <i/>
        <sz val="8"/>
        <rFont val="Arial"/>
        <family val="2"/>
      </rPr>
      <t>pr,el,EPus,PV,9</t>
    </r>
    <r>
      <rPr>
        <sz val="11"/>
        <color theme="1"/>
        <rFont val="Calibri"/>
        <family val="2"/>
        <scheme val="minor"/>
      </rPr>
      <t/>
    </r>
  </si>
  <si>
    <r>
      <t xml:space="preserve">     E</t>
    </r>
    <r>
      <rPr>
        <i/>
        <sz val="8"/>
        <rFont val="Arial"/>
        <family val="2"/>
      </rPr>
      <t>pr,el,EPus,PV,10</t>
    </r>
    <r>
      <rPr>
        <sz val="11"/>
        <color theme="1"/>
        <rFont val="Calibri"/>
        <family val="2"/>
        <scheme val="minor"/>
      </rPr>
      <t/>
    </r>
  </si>
  <si>
    <r>
      <t xml:space="preserve">     E</t>
    </r>
    <r>
      <rPr>
        <i/>
        <sz val="8"/>
        <rFont val="Arial"/>
        <family val="2"/>
      </rPr>
      <t>pr,el,EPus,PV,11</t>
    </r>
    <r>
      <rPr>
        <sz val="11"/>
        <color theme="1"/>
        <rFont val="Calibri"/>
        <family val="2"/>
        <scheme val="minor"/>
      </rPr>
      <t/>
    </r>
  </si>
  <si>
    <r>
      <t xml:space="preserve">     E</t>
    </r>
    <r>
      <rPr>
        <i/>
        <sz val="8"/>
        <rFont val="Arial"/>
        <family val="2"/>
      </rPr>
      <t>pr,el,EPus,PV,12</t>
    </r>
    <r>
      <rPr>
        <sz val="11"/>
        <color theme="1"/>
        <rFont val="Calibri"/>
        <family val="2"/>
        <scheme val="minor"/>
      </rPr>
      <t/>
    </r>
  </si>
  <si>
    <r>
      <t>E</t>
    </r>
    <r>
      <rPr>
        <b/>
        <i/>
        <sz val="8"/>
        <rFont val="Arial"/>
        <family val="2"/>
      </rPr>
      <t>pr,el,EPus,CHP</t>
    </r>
  </si>
  <si>
    <r>
      <t xml:space="preserve">     E</t>
    </r>
    <r>
      <rPr>
        <b/>
        <i/>
        <sz val="8"/>
        <rFont val="Arial"/>
        <family val="2"/>
      </rPr>
      <t>pr,el,EPus,CHP,an</t>
    </r>
  </si>
  <si>
    <r>
      <t xml:space="preserve">     E</t>
    </r>
    <r>
      <rPr>
        <i/>
        <sz val="8"/>
        <rFont val="Arial"/>
        <family val="2"/>
      </rPr>
      <t>pr,el,EPus,CHP,1</t>
    </r>
  </si>
  <si>
    <r>
      <t xml:space="preserve">     E</t>
    </r>
    <r>
      <rPr>
        <i/>
        <sz val="8"/>
        <rFont val="Arial"/>
        <family val="2"/>
      </rPr>
      <t>pr,el,EPus,CHP,2</t>
    </r>
    <r>
      <rPr>
        <sz val="11"/>
        <color theme="1"/>
        <rFont val="Calibri"/>
        <family val="2"/>
        <scheme val="minor"/>
      </rPr>
      <t/>
    </r>
  </si>
  <si>
    <r>
      <t xml:space="preserve">     E</t>
    </r>
    <r>
      <rPr>
        <i/>
        <sz val="8"/>
        <rFont val="Arial"/>
        <family val="2"/>
      </rPr>
      <t>pr,el,EPus,CHP,3</t>
    </r>
    <r>
      <rPr>
        <sz val="11"/>
        <color theme="1"/>
        <rFont val="Calibri"/>
        <family val="2"/>
        <scheme val="minor"/>
      </rPr>
      <t/>
    </r>
  </si>
  <si>
    <r>
      <t xml:space="preserve">     E</t>
    </r>
    <r>
      <rPr>
        <i/>
        <sz val="8"/>
        <rFont val="Arial"/>
        <family val="2"/>
      </rPr>
      <t>pr,el,EPus,CHP,4</t>
    </r>
    <r>
      <rPr>
        <sz val="11"/>
        <color theme="1"/>
        <rFont val="Calibri"/>
        <family val="2"/>
        <scheme val="minor"/>
      </rPr>
      <t/>
    </r>
  </si>
  <si>
    <r>
      <t xml:space="preserve">     E</t>
    </r>
    <r>
      <rPr>
        <i/>
        <sz val="8"/>
        <rFont val="Arial"/>
        <family val="2"/>
      </rPr>
      <t>pr,el,EPus,CHP,5</t>
    </r>
    <r>
      <rPr>
        <sz val="11"/>
        <color theme="1"/>
        <rFont val="Calibri"/>
        <family val="2"/>
        <scheme val="minor"/>
      </rPr>
      <t/>
    </r>
  </si>
  <si>
    <r>
      <t xml:space="preserve">     E</t>
    </r>
    <r>
      <rPr>
        <i/>
        <sz val="8"/>
        <rFont val="Arial"/>
        <family val="2"/>
      </rPr>
      <t>pr,el,EPus,CHP,6</t>
    </r>
    <r>
      <rPr>
        <sz val="11"/>
        <color theme="1"/>
        <rFont val="Calibri"/>
        <family val="2"/>
        <scheme val="minor"/>
      </rPr>
      <t/>
    </r>
  </si>
  <si>
    <r>
      <t xml:space="preserve">     E</t>
    </r>
    <r>
      <rPr>
        <i/>
        <sz val="8"/>
        <rFont val="Arial"/>
        <family val="2"/>
      </rPr>
      <t>pr,el,EPus,CHP,7</t>
    </r>
    <r>
      <rPr>
        <sz val="11"/>
        <color theme="1"/>
        <rFont val="Calibri"/>
        <family val="2"/>
        <scheme val="minor"/>
      </rPr>
      <t/>
    </r>
  </si>
  <si>
    <r>
      <t xml:space="preserve">     E</t>
    </r>
    <r>
      <rPr>
        <i/>
        <sz val="8"/>
        <rFont val="Arial"/>
        <family val="2"/>
      </rPr>
      <t>pr,el,EPus,CHP,8</t>
    </r>
    <r>
      <rPr>
        <sz val="11"/>
        <color theme="1"/>
        <rFont val="Calibri"/>
        <family val="2"/>
        <scheme val="minor"/>
      </rPr>
      <t/>
    </r>
  </si>
  <si>
    <r>
      <t xml:space="preserve">     E</t>
    </r>
    <r>
      <rPr>
        <i/>
        <sz val="8"/>
        <rFont val="Arial"/>
        <family val="2"/>
      </rPr>
      <t>pr,el,EPus,CHP,9</t>
    </r>
    <r>
      <rPr>
        <sz val="11"/>
        <color theme="1"/>
        <rFont val="Calibri"/>
        <family val="2"/>
        <scheme val="minor"/>
      </rPr>
      <t/>
    </r>
  </si>
  <si>
    <r>
      <t xml:space="preserve">     E</t>
    </r>
    <r>
      <rPr>
        <i/>
        <sz val="8"/>
        <rFont val="Arial"/>
        <family val="2"/>
      </rPr>
      <t>pr,el,EPus,CHP,10</t>
    </r>
    <r>
      <rPr>
        <sz val="11"/>
        <color theme="1"/>
        <rFont val="Calibri"/>
        <family val="2"/>
        <scheme val="minor"/>
      </rPr>
      <t/>
    </r>
  </si>
  <si>
    <r>
      <t xml:space="preserve">     E</t>
    </r>
    <r>
      <rPr>
        <i/>
        <sz val="8"/>
        <rFont val="Arial"/>
        <family val="2"/>
      </rPr>
      <t>pr,el,EPus,CHP,11</t>
    </r>
    <r>
      <rPr>
        <sz val="11"/>
        <color theme="1"/>
        <rFont val="Calibri"/>
        <family val="2"/>
        <scheme val="minor"/>
      </rPr>
      <t/>
    </r>
  </si>
  <si>
    <r>
      <t xml:space="preserve">     E</t>
    </r>
    <r>
      <rPr>
        <i/>
        <sz val="8"/>
        <rFont val="Arial"/>
        <family val="2"/>
      </rPr>
      <t>pr,el,EPus,CHP,12</t>
    </r>
    <r>
      <rPr>
        <sz val="11"/>
        <color theme="1"/>
        <rFont val="Calibri"/>
        <family val="2"/>
        <scheme val="minor"/>
      </rPr>
      <t/>
    </r>
  </si>
  <si>
    <t>not in prEN15603</t>
  </si>
  <si>
    <t>Needed to separate</t>
  </si>
  <si>
    <t xml:space="preserve">PV and CHP </t>
  </si>
  <si>
    <t>derating</t>
  </si>
  <si>
    <r>
      <t xml:space="preserve">     E</t>
    </r>
    <r>
      <rPr>
        <i/>
        <sz val="8"/>
        <rFont val="Arial"/>
        <family val="2"/>
      </rPr>
      <t>exp,el,used,1</t>
    </r>
  </si>
  <si>
    <r>
      <t xml:space="preserve">     E</t>
    </r>
    <r>
      <rPr>
        <i/>
        <sz val="8"/>
        <rFont val="Arial"/>
        <family val="2"/>
      </rPr>
      <t>exp,el,used,2</t>
    </r>
    <r>
      <rPr>
        <sz val="11"/>
        <color theme="1"/>
        <rFont val="Calibri"/>
        <family val="2"/>
        <scheme val="minor"/>
      </rPr>
      <t/>
    </r>
  </si>
  <si>
    <r>
      <t xml:space="preserve">     E</t>
    </r>
    <r>
      <rPr>
        <i/>
        <sz val="8"/>
        <rFont val="Arial"/>
        <family val="2"/>
      </rPr>
      <t>exp,el,used,3</t>
    </r>
    <r>
      <rPr>
        <sz val="11"/>
        <color theme="1"/>
        <rFont val="Calibri"/>
        <family val="2"/>
        <scheme val="minor"/>
      </rPr>
      <t/>
    </r>
  </si>
  <si>
    <r>
      <t xml:space="preserve">     E</t>
    </r>
    <r>
      <rPr>
        <i/>
        <sz val="8"/>
        <rFont val="Arial"/>
        <family val="2"/>
      </rPr>
      <t>exp,el,used,4</t>
    </r>
    <r>
      <rPr>
        <sz val="11"/>
        <color theme="1"/>
        <rFont val="Calibri"/>
        <family val="2"/>
        <scheme val="minor"/>
      </rPr>
      <t/>
    </r>
  </si>
  <si>
    <r>
      <t xml:space="preserve">     E</t>
    </r>
    <r>
      <rPr>
        <i/>
        <sz val="8"/>
        <rFont val="Arial"/>
        <family val="2"/>
      </rPr>
      <t>exp,el,used,5</t>
    </r>
    <r>
      <rPr>
        <sz val="11"/>
        <color theme="1"/>
        <rFont val="Calibri"/>
        <family val="2"/>
        <scheme val="minor"/>
      </rPr>
      <t/>
    </r>
  </si>
  <si>
    <r>
      <t xml:space="preserve">     E</t>
    </r>
    <r>
      <rPr>
        <i/>
        <sz val="8"/>
        <rFont val="Arial"/>
        <family val="2"/>
      </rPr>
      <t>exp,el,used,6</t>
    </r>
    <r>
      <rPr>
        <sz val="11"/>
        <color theme="1"/>
        <rFont val="Calibri"/>
        <family val="2"/>
        <scheme val="minor"/>
      </rPr>
      <t/>
    </r>
  </si>
  <si>
    <r>
      <t xml:space="preserve">     E</t>
    </r>
    <r>
      <rPr>
        <i/>
        <sz val="8"/>
        <rFont val="Arial"/>
        <family val="2"/>
      </rPr>
      <t>exp,el,used,7</t>
    </r>
    <r>
      <rPr>
        <sz val="11"/>
        <color theme="1"/>
        <rFont val="Calibri"/>
        <family val="2"/>
        <scheme val="minor"/>
      </rPr>
      <t/>
    </r>
  </si>
  <si>
    <r>
      <t xml:space="preserve">     E</t>
    </r>
    <r>
      <rPr>
        <i/>
        <sz val="8"/>
        <rFont val="Arial"/>
        <family val="2"/>
      </rPr>
      <t>exp,el,used,8</t>
    </r>
    <r>
      <rPr>
        <sz val="11"/>
        <color theme="1"/>
        <rFont val="Calibri"/>
        <family val="2"/>
        <scheme val="minor"/>
      </rPr>
      <t/>
    </r>
  </si>
  <si>
    <r>
      <t xml:space="preserve">     E</t>
    </r>
    <r>
      <rPr>
        <i/>
        <sz val="8"/>
        <rFont val="Arial"/>
        <family val="2"/>
      </rPr>
      <t>exp,el,used,9</t>
    </r>
    <r>
      <rPr>
        <sz val="11"/>
        <color theme="1"/>
        <rFont val="Calibri"/>
        <family val="2"/>
        <scheme val="minor"/>
      </rPr>
      <t/>
    </r>
  </si>
  <si>
    <r>
      <t xml:space="preserve">     E</t>
    </r>
    <r>
      <rPr>
        <i/>
        <sz val="8"/>
        <rFont val="Arial"/>
        <family val="2"/>
      </rPr>
      <t>exp,el,used,10</t>
    </r>
    <r>
      <rPr>
        <sz val="11"/>
        <color theme="1"/>
        <rFont val="Calibri"/>
        <family val="2"/>
        <scheme val="minor"/>
      </rPr>
      <t/>
    </r>
  </si>
  <si>
    <r>
      <t xml:space="preserve">     E</t>
    </r>
    <r>
      <rPr>
        <i/>
        <sz val="8"/>
        <rFont val="Arial"/>
        <family val="2"/>
      </rPr>
      <t>exp,el,used,11</t>
    </r>
    <r>
      <rPr>
        <sz val="11"/>
        <color theme="1"/>
        <rFont val="Calibri"/>
        <family val="2"/>
        <scheme val="minor"/>
      </rPr>
      <t/>
    </r>
  </si>
  <si>
    <r>
      <t xml:space="preserve">     E</t>
    </r>
    <r>
      <rPr>
        <i/>
        <sz val="8"/>
        <rFont val="Arial"/>
        <family val="2"/>
      </rPr>
      <t>exp,el,used,12</t>
    </r>
    <r>
      <rPr>
        <sz val="11"/>
        <color theme="1"/>
        <rFont val="Calibri"/>
        <family val="2"/>
        <scheme val="minor"/>
      </rPr>
      <t/>
    </r>
  </si>
  <si>
    <r>
      <t xml:space="preserve">     E</t>
    </r>
    <r>
      <rPr>
        <b/>
        <i/>
        <sz val="8"/>
        <rFont val="Arial"/>
        <family val="2"/>
      </rPr>
      <t>exp,el,used,sum_i</t>
    </r>
  </si>
  <si>
    <r>
      <t>E</t>
    </r>
    <r>
      <rPr>
        <b/>
        <i/>
        <sz val="8"/>
        <rFont val="Arial"/>
        <family val="2"/>
      </rPr>
      <t>exp,used,el</t>
    </r>
  </si>
  <si>
    <t>Equation 10</t>
  </si>
  <si>
    <t>Equation 14</t>
  </si>
  <si>
    <t>Equation 15</t>
  </si>
  <si>
    <t>CHP,exp,used</t>
  </si>
  <si>
    <r>
      <t xml:space="preserve">     E</t>
    </r>
    <r>
      <rPr>
        <i/>
        <sz val="8"/>
        <rFont val="Arial"/>
        <family val="2"/>
      </rPr>
      <t>exp,el,used,PV,1</t>
    </r>
  </si>
  <si>
    <r>
      <t xml:space="preserve">     E</t>
    </r>
    <r>
      <rPr>
        <i/>
        <sz val="8"/>
        <rFont val="Arial"/>
        <family val="2"/>
      </rPr>
      <t>exp,el,used,PV,2</t>
    </r>
    <r>
      <rPr>
        <sz val="11"/>
        <color theme="1"/>
        <rFont val="Calibri"/>
        <family val="2"/>
        <scheme val="minor"/>
      </rPr>
      <t/>
    </r>
  </si>
  <si>
    <r>
      <t xml:space="preserve">     E</t>
    </r>
    <r>
      <rPr>
        <i/>
        <sz val="8"/>
        <rFont val="Arial"/>
        <family val="2"/>
      </rPr>
      <t>exp,el,used,PV,3</t>
    </r>
    <r>
      <rPr>
        <sz val="11"/>
        <color theme="1"/>
        <rFont val="Calibri"/>
        <family val="2"/>
        <scheme val="minor"/>
      </rPr>
      <t/>
    </r>
  </si>
  <si>
    <r>
      <t xml:space="preserve">     E</t>
    </r>
    <r>
      <rPr>
        <i/>
        <sz val="8"/>
        <rFont val="Arial"/>
        <family val="2"/>
      </rPr>
      <t>exp,el,used,PV,4</t>
    </r>
    <r>
      <rPr>
        <sz val="11"/>
        <color theme="1"/>
        <rFont val="Calibri"/>
        <family val="2"/>
        <scheme val="minor"/>
      </rPr>
      <t/>
    </r>
  </si>
  <si>
    <r>
      <t xml:space="preserve">     E</t>
    </r>
    <r>
      <rPr>
        <i/>
        <sz val="8"/>
        <rFont val="Arial"/>
        <family val="2"/>
      </rPr>
      <t>exp,el,used,PV,5</t>
    </r>
    <r>
      <rPr>
        <sz val="11"/>
        <color theme="1"/>
        <rFont val="Calibri"/>
        <family val="2"/>
        <scheme val="minor"/>
      </rPr>
      <t/>
    </r>
  </si>
  <si>
    <r>
      <t xml:space="preserve">     E</t>
    </r>
    <r>
      <rPr>
        <i/>
        <sz val="8"/>
        <rFont val="Arial"/>
        <family val="2"/>
      </rPr>
      <t>exp,el,used,PV,6</t>
    </r>
    <r>
      <rPr>
        <sz val="11"/>
        <color theme="1"/>
        <rFont val="Calibri"/>
        <family val="2"/>
        <scheme val="minor"/>
      </rPr>
      <t/>
    </r>
  </si>
  <si>
    <r>
      <t xml:space="preserve">     E</t>
    </r>
    <r>
      <rPr>
        <i/>
        <sz val="8"/>
        <rFont val="Arial"/>
        <family val="2"/>
      </rPr>
      <t>exp,el,used,PV,7</t>
    </r>
    <r>
      <rPr>
        <sz val="11"/>
        <color theme="1"/>
        <rFont val="Calibri"/>
        <family val="2"/>
        <scheme val="minor"/>
      </rPr>
      <t/>
    </r>
  </si>
  <si>
    <r>
      <t xml:space="preserve">     E</t>
    </r>
    <r>
      <rPr>
        <i/>
        <sz val="8"/>
        <rFont val="Arial"/>
        <family val="2"/>
      </rPr>
      <t>exp,el,used,PV,8</t>
    </r>
    <r>
      <rPr>
        <sz val="11"/>
        <color theme="1"/>
        <rFont val="Calibri"/>
        <family val="2"/>
        <scheme val="minor"/>
      </rPr>
      <t/>
    </r>
  </si>
  <si>
    <r>
      <t xml:space="preserve">     E</t>
    </r>
    <r>
      <rPr>
        <i/>
        <sz val="8"/>
        <rFont val="Arial"/>
        <family val="2"/>
      </rPr>
      <t>exp,el,used,PV,9</t>
    </r>
    <r>
      <rPr>
        <sz val="11"/>
        <color theme="1"/>
        <rFont val="Calibri"/>
        <family val="2"/>
        <scheme val="minor"/>
      </rPr>
      <t/>
    </r>
  </si>
  <si>
    <r>
      <t xml:space="preserve">     E</t>
    </r>
    <r>
      <rPr>
        <i/>
        <sz val="8"/>
        <rFont val="Arial"/>
        <family val="2"/>
      </rPr>
      <t>exp,el,used,PV,10</t>
    </r>
    <r>
      <rPr>
        <sz val="11"/>
        <color theme="1"/>
        <rFont val="Calibri"/>
        <family val="2"/>
        <scheme val="minor"/>
      </rPr>
      <t/>
    </r>
  </si>
  <si>
    <r>
      <t xml:space="preserve">     E</t>
    </r>
    <r>
      <rPr>
        <i/>
        <sz val="8"/>
        <rFont val="Arial"/>
        <family val="2"/>
      </rPr>
      <t>exp,el,used,PV,11</t>
    </r>
    <r>
      <rPr>
        <sz val="11"/>
        <color theme="1"/>
        <rFont val="Calibri"/>
        <family val="2"/>
        <scheme val="minor"/>
      </rPr>
      <t/>
    </r>
  </si>
  <si>
    <r>
      <t xml:space="preserve">     E</t>
    </r>
    <r>
      <rPr>
        <i/>
        <sz val="8"/>
        <rFont val="Arial"/>
        <family val="2"/>
      </rPr>
      <t>exp,el,used,PV,12</t>
    </r>
    <r>
      <rPr>
        <sz val="11"/>
        <color theme="1"/>
        <rFont val="Calibri"/>
        <family val="2"/>
        <scheme val="minor"/>
      </rPr>
      <t/>
    </r>
  </si>
  <si>
    <r>
      <t>E</t>
    </r>
    <r>
      <rPr>
        <b/>
        <i/>
        <sz val="8"/>
        <rFont val="Arial"/>
        <family val="2"/>
      </rPr>
      <t>exp,el,used,pv,sum_i</t>
    </r>
  </si>
  <si>
    <r>
      <t>E</t>
    </r>
    <r>
      <rPr>
        <b/>
        <i/>
        <sz val="8"/>
        <rFont val="Arial"/>
        <family val="2"/>
      </rPr>
      <t>exp,el,used,pv</t>
    </r>
  </si>
  <si>
    <r>
      <t>E</t>
    </r>
    <r>
      <rPr>
        <b/>
        <i/>
        <sz val="8"/>
        <rFont val="Arial"/>
        <family val="2"/>
      </rPr>
      <t>exp,el,used,CHP</t>
    </r>
  </si>
  <si>
    <r>
      <t>E</t>
    </r>
    <r>
      <rPr>
        <b/>
        <i/>
        <sz val="8"/>
        <rFont val="Arial"/>
        <family val="2"/>
      </rPr>
      <t>exp,el,used,CHP,sum_i</t>
    </r>
  </si>
  <si>
    <r>
      <t xml:space="preserve">     E</t>
    </r>
    <r>
      <rPr>
        <i/>
        <sz val="8"/>
        <rFont val="Arial"/>
        <family val="2"/>
      </rPr>
      <t>exp,el,used,CHP,1</t>
    </r>
  </si>
  <si>
    <r>
      <t xml:space="preserve">     E</t>
    </r>
    <r>
      <rPr>
        <i/>
        <sz val="8"/>
        <rFont val="Arial"/>
        <family val="2"/>
      </rPr>
      <t>exp,el,used,CHP,2</t>
    </r>
    <r>
      <rPr>
        <sz val="11"/>
        <color theme="1"/>
        <rFont val="Calibri"/>
        <family val="2"/>
        <scheme val="minor"/>
      </rPr>
      <t/>
    </r>
  </si>
  <si>
    <r>
      <t xml:space="preserve">     E</t>
    </r>
    <r>
      <rPr>
        <i/>
        <sz val="8"/>
        <rFont val="Arial"/>
        <family val="2"/>
      </rPr>
      <t>exp,el,used,CHP,3</t>
    </r>
    <r>
      <rPr>
        <sz val="11"/>
        <color theme="1"/>
        <rFont val="Calibri"/>
        <family val="2"/>
        <scheme val="minor"/>
      </rPr>
      <t/>
    </r>
  </si>
  <si>
    <r>
      <t xml:space="preserve">     E</t>
    </r>
    <r>
      <rPr>
        <i/>
        <sz val="8"/>
        <rFont val="Arial"/>
        <family val="2"/>
      </rPr>
      <t>exp,el,used,CHP,4</t>
    </r>
    <r>
      <rPr>
        <sz val="11"/>
        <color theme="1"/>
        <rFont val="Calibri"/>
        <family val="2"/>
        <scheme val="minor"/>
      </rPr>
      <t/>
    </r>
  </si>
  <si>
    <r>
      <t xml:space="preserve">     E</t>
    </r>
    <r>
      <rPr>
        <i/>
        <sz val="8"/>
        <rFont val="Arial"/>
        <family val="2"/>
      </rPr>
      <t>exp,el,used,CHP,5</t>
    </r>
    <r>
      <rPr>
        <sz val="11"/>
        <color theme="1"/>
        <rFont val="Calibri"/>
        <family val="2"/>
        <scheme val="minor"/>
      </rPr>
      <t/>
    </r>
  </si>
  <si>
    <r>
      <t xml:space="preserve">     E</t>
    </r>
    <r>
      <rPr>
        <i/>
        <sz val="8"/>
        <rFont val="Arial"/>
        <family val="2"/>
      </rPr>
      <t>exp,el,used,CHP,6</t>
    </r>
    <r>
      <rPr>
        <sz val="11"/>
        <color theme="1"/>
        <rFont val="Calibri"/>
        <family val="2"/>
        <scheme val="minor"/>
      </rPr>
      <t/>
    </r>
  </si>
  <si>
    <r>
      <t xml:space="preserve">     E</t>
    </r>
    <r>
      <rPr>
        <i/>
        <sz val="8"/>
        <rFont val="Arial"/>
        <family val="2"/>
      </rPr>
      <t>exp,el,used,CHP,7</t>
    </r>
    <r>
      <rPr>
        <sz val="11"/>
        <color theme="1"/>
        <rFont val="Calibri"/>
        <family val="2"/>
        <scheme val="minor"/>
      </rPr>
      <t/>
    </r>
  </si>
  <si>
    <r>
      <t xml:space="preserve">     E</t>
    </r>
    <r>
      <rPr>
        <i/>
        <sz val="8"/>
        <rFont val="Arial"/>
        <family val="2"/>
      </rPr>
      <t>exp,el,used,CHP,8</t>
    </r>
    <r>
      <rPr>
        <sz val="11"/>
        <color theme="1"/>
        <rFont val="Calibri"/>
        <family val="2"/>
        <scheme val="minor"/>
      </rPr>
      <t/>
    </r>
  </si>
  <si>
    <r>
      <t xml:space="preserve">     E</t>
    </r>
    <r>
      <rPr>
        <i/>
        <sz val="8"/>
        <rFont val="Arial"/>
        <family val="2"/>
      </rPr>
      <t>exp,el,used,CHP,9</t>
    </r>
    <r>
      <rPr>
        <sz val="11"/>
        <color theme="1"/>
        <rFont val="Calibri"/>
        <family val="2"/>
        <scheme val="minor"/>
      </rPr>
      <t/>
    </r>
  </si>
  <si>
    <r>
      <t xml:space="preserve">     E</t>
    </r>
    <r>
      <rPr>
        <i/>
        <sz val="8"/>
        <rFont val="Arial"/>
        <family val="2"/>
      </rPr>
      <t>exp,el,used,CHP,10</t>
    </r>
    <r>
      <rPr>
        <sz val="11"/>
        <color theme="1"/>
        <rFont val="Calibri"/>
        <family val="2"/>
        <scheme val="minor"/>
      </rPr>
      <t/>
    </r>
  </si>
  <si>
    <r>
      <t xml:space="preserve">     E</t>
    </r>
    <r>
      <rPr>
        <i/>
        <sz val="8"/>
        <rFont val="Arial"/>
        <family val="2"/>
      </rPr>
      <t>exp,el,used,CHP,11</t>
    </r>
    <r>
      <rPr>
        <sz val="11"/>
        <color theme="1"/>
        <rFont val="Calibri"/>
        <family val="2"/>
        <scheme val="minor"/>
      </rPr>
      <t/>
    </r>
  </si>
  <si>
    <r>
      <t xml:space="preserve">     E</t>
    </r>
    <r>
      <rPr>
        <i/>
        <sz val="8"/>
        <rFont val="Arial"/>
        <family val="2"/>
      </rPr>
      <t>exp,el,used,CHP,12</t>
    </r>
    <r>
      <rPr>
        <sz val="11"/>
        <color theme="1"/>
        <rFont val="Calibri"/>
        <family val="2"/>
        <scheme val="minor"/>
      </rPr>
      <t/>
    </r>
  </si>
  <si>
    <t>Equation 11-12-13</t>
  </si>
  <si>
    <t>Equation 17 a</t>
  </si>
  <si>
    <t>Equation 17 b</t>
  </si>
  <si>
    <r>
      <t>E</t>
    </r>
    <r>
      <rPr>
        <b/>
        <i/>
        <sz val="8"/>
        <rFont val="Arial"/>
        <family val="2"/>
      </rPr>
      <t>del,el,nused</t>
    </r>
  </si>
  <si>
    <r>
      <t>E</t>
    </r>
    <r>
      <rPr>
        <b/>
        <i/>
        <sz val="8"/>
        <rFont val="Arial"/>
        <family val="2"/>
      </rPr>
      <t>del,el,nuresd,sum_i</t>
    </r>
  </si>
  <si>
    <t>Equation 20</t>
  </si>
  <si>
    <t>Equation 19</t>
  </si>
  <si>
    <r>
      <t xml:space="preserve">     E</t>
    </r>
    <r>
      <rPr>
        <i/>
        <sz val="8"/>
        <rFont val="Arial"/>
        <family val="2"/>
      </rPr>
      <t>del,el,nused,1</t>
    </r>
  </si>
  <si>
    <r>
      <t xml:space="preserve">     E</t>
    </r>
    <r>
      <rPr>
        <i/>
        <sz val="8"/>
        <rFont val="Arial"/>
        <family val="2"/>
      </rPr>
      <t>del,el,nused,2</t>
    </r>
    <r>
      <rPr>
        <sz val="11"/>
        <color theme="1"/>
        <rFont val="Calibri"/>
        <family val="2"/>
        <scheme val="minor"/>
      </rPr>
      <t/>
    </r>
  </si>
  <si>
    <r>
      <t xml:space="preserve">     E</t>
    </r>
    <r>
      <rPr>
        <i/>
        <sz val="8"/>
        <rFont val="Arial"/>
        <family val="2"/>
      </rPr>
      <t>del,el,nused,3</t>
    </r>
    <r>
      <rPr>
        <sz val="11"/>
        <color theme="1"/>
        <rFont val="Calibri"/>
        <family val="2"/>
        <scheme val="minor"/>
      </rPr>
      <t/>
    </r>
  </si>
  <si>
    <r>
      <t xml:space="preserve">     E</t>
    </r>
    <r>
      <rPr>
        <i/>
        <sz val="8"/>
        <rFont val="Arial"/>
        <family val="2"/>
      </rPr>
      <t>del,el,nused,4</t>
    </r>
    <r>
      <rPr>
        <sz val="11"/>
        <color theme="1"/>
        <rFont val="Calibri"/>
        <family val="2"/>
        <scheme val="minor"/>
      </rPr>
      <t/>
    </r>
  </si>
  <si>
    <r>
      <t xml:space="preserve">     E</t>
    </r>
    <r>
      <rPr>
        <i/>
        <sz val="8"/>
        <rFont val="Arial"/>
        <family val="2"/>
      </rPr>
      <t>del,el,nused,5</t>
    </r>
    <r>
      <rPr>
        <sz val="11"/>
        <color theme="1"/>
        <rFont val="Calibri"/>
        <family val="2"/>
        <scheme val="minor"/>
      </rPr>
      <t/>
    </r>
  </si>
  <si>
    <r>
      <t xml:space="preserve">     E</t>
    </r>
    <r>
      <rPr>
        <i/>
        <sz val="8"/>
        <rFont val="Arial"/>
        <family val="2"/>
      </rPr>
      <t>del,el,nused,6</t>
    </r>
    <r>
      <rPr>
        <sz val="11"/>
        <color theme="1"/>
        <rFont val="Calibri"/>
        <family val="2"/>
        <scheme val="minor"/>
      </rPr>
      <t/>
    </r>
  </si>
  <si>
    <r>
      <t xml:space="preserve">     E</t>
    </r>
    <r>
      <rPr>
        <i/>
        <sz val="8"/>
        <rFont val="Arial"/>
        <family val="2"/>
      </rPr>
      <t>del,el,nused,7</t>
    </r>
    <r>
      <rPr>
        <sz val="11"/>
        <color theme="1"/>
        <rFont val="Calibri"/>
        <family val="2"/>
        <scheme val="minor"/>
      </rPr>
      <t/>
    </r>
  </si>
  <si>
    <r>
      <t xml:space="preserve">     E</t>
    </r>
    <r>
      <rPr>
        <i/>
        <sz val="8"/>
        <rFont val="Arial"/>
        <family val="2"/>
      </rPr>
      <t>del,el,nused,8</t>
    </r>
    <r>
      <rPr>
        <sz val="11"/>
        <color theme="1"/>
        <rFont val="Calibri"/>
        <family val="2"/>
        <scheme val="minor"/>
      </rPr>
      <t/>
    </r>
  </si>
  <si>
    <r>
      <t xml:space="preserve">     E</t>
    </r>
    <r>
      <rPr>
        <i/>
        <sz val="8"/>
        <rFont val="Arial"/>
        <family val="2"/>
      </rPr>
      <t>del,el,nused,9</t>
    </r>
    <r>
      <rPr>
        <sz val="11"/>
        <color theme="1"/>
        <rFont val="Calibri"/>
        <family val="2"/>
        <scheme val="minor"/>
      </rPr>
      <t/>
    </r>
  </si>
  <si>
    <r>
      <t xml:space="preserve">     E</t>
    </r>
    <r>
      <rPr>
        <i/>
        <sz val="8"/>
        <rFont val="Arial"/>
        <family val="2"/>
      </rPr>
      <t>del,el,nused,10</t>
    </r>
    <r>
      <rPr>
        <sz val="11"/>
        <color theme="1"/>
        <rFont val="Calibri"/>
        <family val="2"/>
        <scheme val="minor"/>
      </rPr>
      <t/>
    </r>
  </si>
  <si>
    <r>
      <t xml:space="preserve">     E</t>
    </r>
    <r>
      <rPr>
        <i/>
        <sz val="8"/>
        <rFont val="Arial"/>
        <family val="2"/>
      </rPr>
      <t>del,el,nused,11</t>
    </r>
    <r>
      <rPr>
        <sz val="11"/>
        <color theme="1"/>
        <rFont val="Calibri"/>
        <family val="2"/>
        <scheme val="minor"/>
      </rPr>
      <t/>
    </r>
  </si>
  <si>
    <r>
      <t xml:space="preserve">     E</t>
    </r>
    <r>
      <rPr>
        <i/>
        <sz val="8"/>
        <rFont val="Arial"/>
        <family val="2"/>
      </rPr>
      <t>del,el,nused,12</t>
    </r>
    <r>
      <rPr>
        <sz val="11"/>
        <color theme="1"/>
        <rFont val="Calibri"/>
        <family val="2"/>
        <scheme val="minor"/>
      </rPr>
      <t/>
    </r>
  </si>
  <si>
    <r>
      <t>E</t>
    </r>
    <r>
      <rPr>
        <b/>
        <i/>
        <sz val="8"/>
        <rFont val="Arial"/>
        <family val="2"/>
      </rPr>
      <t>exp,el,nused,PV</t>
    </r>
  </si>
  <si>
    <r>
      <t>E</t>
    </r>
    <r>
      <rPr>
        <b/>
        <i/>
        <sz val="8"/>
        <rFont val="Arial"/>
        <family val="2"/>
      </rPr>
      <t>exp,el,nused</t>
    </r>
  </si>
  <si>
    <r>
      <t>E</t>
    </r>
    <r>
      <rPr>
        <b/>
        <i/>
        <sz val="8"/>
        <rFont val="Arial"/>
        <family val="2"/>
      </rPr>
      <t>exp,el,nused,sum_i</t>
    </r>
  </si>
  <si>
    <r>
      <t xml:space="preserve">     E</t>
    </r>
    <r>
      <rPr>
        <i/>
        <sz val="8"/>
        <rFont val="Arial"/>
        <family val="2"/>
      </rPr>
      <t>exp,el,nused,1</t>
    </r>
  </si>
  <si>
    <r>
      <t xml:space="preserve">     E</t>
    </r>
    <r>
      <rPr>
        <i/>
        <sz val="8"/>
        <rFont val="Arial"/>
        <family val="2"/>
      </rPr>
      <t>exp,el,nused,2</t>
    </r>
    <r>
      <rPr>
        <sz val="11"/>
        <color theme="1"/>
        <rFont val="Calibri"/>
        <family val="2"/>
        <scheme val="minor"/>
      </rPr>
      <t/>
    </r>
  </si>
  <si>
    <r>
      <t xml:space="preserve">     E</t>
    </r>
    <r>
      <rPr>
        <i/>
        <sz val="8"/>
        <rFont val="Arial"/>
        <family val="2"/>
      </rPr>
      <t>exp,el,nused,3</t>
    </r>
    <r>
      <rPr>
        <sz val="11"/>
        <color theme="1"/>
        <rFont val="Calibri"/>
        <family val="2"/>
        <scheme val="minor"/>
      </rPr>
      <t/>
    </r>
  </si>
  <si>
    <r>
      <t xml:space="preserve">     E</t>
    </r>
    <r>
      <rPr>
        <i/>
        <sz val="8"/>
        <rFont val="Arial"/>
        <family val="2"/>
      </rPr>
      <t>exp,el,nused,4</t>
    </r>
    <r>
      <rPr>
        <sz val="11"/>
        <color theme="1"/>
        <rFont val="Calibri"/>
        <family val="2"/>
        <scheme val="minor"/>
      </rPr>
      <t/>
    </r>
  </si>
  <si>
    <r>
      <t xml:space="preserve">     E</t>
    </r>
    <r>
      <rPr>
        <i/>
        <sz val="8"/>
        <rFont val="Arial"/>
        <family val="2"/>
      </rPr>
      <t>exp,el,nused,5</t>
    </r>
    <r>
      <rPr>
        <sz val="11"/>
        <color theme="1"/>
        <rFont val="Calibri"/>
        <family val="2"/>
        <scheme val="minor"/>
      </rPr>
      <t/>
    </r>
  </si>
  <si>
    <r>
      <t xml:space="preserve">     E</t>
    </r>
    <r>
      <rPr>
        <i/>
        <sz val="8"/>
        <rFont val="Arial"/>
        <family val="2"/>
      </rPr>
      <t>exp,el,nused,6</t>
    </r>
    <r>
      <rPr>
        <sz val="11"/>
        <color theme="1"/>
        <rFont val="Calibri"/>
        <family val="2"/>
        <scheme val="minor"/>
      </rPr>
      <t/>
    </r>
  </si>
  <si>
    <r>
      <t xml:space="preserve">     E</t>
    </r>
    <r>
      <rPr>
        <i/>
        <sz val="8"/>
        <rFont val="Arial"/>
        <family val="2"/>
      </rPr>
      <t>exp,el,nused,7</t>
    </r>
    <r>
      <rPr>
        <sz val="11"/>
        <color theme="1"/>
        <rFont val="Calibri"/>
        <family val="2"/>
        <scheme val="minor"/>
      </rPr>
      <t/>
    </r>
  </si>
  <si>
    <r>
      <t xml:space="preserve">     E</t>
    </r>
    <r>
      <rPr>
        <i/>
        <sz val="8"/>
        <rFont val="Arial"/>
        <family val="2"/>
      </rPr>
      <t>exp,el,nused,8</t>
    </r>
    <r>
      <rPr>
        <sz val="11"/>
        <color theme="1"/>
        <rFont val="Calibri"/>
        <family val="2"/>
        <scheme val="minor"/>
      </rPr>
      <t/>
    </r>
  </si>
  <si>
    <r>
      <t xml:space="preserve">     E</t>
    </r>
    <r>
      <rPr>
        <i/>
        <sz val="8"/>
        <rFont val="Arial"/>
        <family val="2"/>
      </rPr>
      <t>exp,el,nused,9</t>
    </r>
    <r>
      <rPr>
        <sz val="11"/>
        <color theme="1"/>
        <rFont val="Calibri"/>
        <family val="2"/>
        <scheme val="minor"/>
      </rPr>
      <t/>
    </r>
  </si>
  <si>
    <r>
      <t xml:space="preserve">     E</t>
    </r>
    <r>
      <rPr>
        <i/>
        <sz val="8"/>
        <rFont val="Arial"/>
        <family val="2"/>
      </rPr>
      <t>exp,el,nused,10</t>
    </r>
    <r>
      <rPr>
        <sz val="11"/>
        <color theme="1"/>
        <rFont val="Calibri"/>
        <family val="2"/>
        <scheme val="minor"/>
      </rPr>
      <t/>
    </r>
  </si>
  <si>
    <r>
      <t xml:space="preserve">     E</t>
    </r>
    <r>
      <rPr>
        <i/>
        <sz val="8"/>
        <rFont val="Arial"/>
        <family val="2"/>
      </rPr>
      <t>exp,el,nused,11</t>
    </r>
    <r>
      <rPr>
        <sz val="11"/>
        <color theme="1"/>
        <rFont val="Calibri"/>
        <family val="2"/>
        <scheme val="minor"/>
      </rPr>
      <t/>
    </r>
  </si>
  <si>
    <r>
      <t xml:space="preserve">     E</t>
    </r>
    <r>
      <rPr>
        <i/>
        <sz val="8"/>
        <rFont val="Arial"/>
        <family val="2"/>
      </rPr>
      <t>exp,el,nused,12</t>
    </r>
    <r>
      <rPr>
        <sz val="11"/>
        <color theme="1"/>
        <rFont val="Calibri"/>
        <family val="2"/>
        <scheme val="minor"/>
      </rPr>
      <t/>
    </r>
  </si>
  <si>
    <t>Equation 22</t>
  </si>
  <si>
    <t>Equation 21</t>
  </si>
  <si>
    <r>
      <t>E</t>
    </r>
    <r>
      <rPr>
        <b/>
        <i/>
        <sz val="8"/>
        <rFont val="Arial"/>
        <family val="2"/>
      </rPr>
      <t>exp,el,nused,PV,sum_i</t>
    </r>
  </si>
  <si>
    <r>
      <t xml:space="preserve">   E</t>
    </r>
    <r>
      <rPr>
        <i/>
        <sz val="8"/>
        <rFont val="Arial"/>
        <family val="2"/>
      </rPr>
      <t>exp,el,nused,PV,1</t>
    </r>
  </si>
  <si>
    <r>
      <t xml:space="preserve">   E</t>
    </r>
    <r>
      <rPr>
        <i/>
        <sz val="8"/>
        <rFont val="Arial"/>
        <family val="2"/>
      </rPr>
      <t>exp,el,nused,PV,2</t>
    </r>
    <r>
      <rPr>
        <sz val="11"/>
        <color theme="1"/>
        <rFont val="Calibri"/>
        <family val="2"/>
        <scheme val="minor"/>
      </rPr>
      <t/>
    </r>
  </si>
  <si>
    <r>
      <t xml:space="preserve">   E</t>
    </r>
    <r>
      <rPr>
        <i/>
        <sz val="8"/>
        <rFont val="Arial"/>
        <family val="2"/>
      </rPr>
      <t>exp,el,nused,PV,3</t>
    </r>
    <r>
      <rPr>
        <sz val="11"/>
        <color theme="1"/>
        <rFont val="Calibri"/>
        <family val="2"/>
        <scheme val="minor"/>
      </rPr>
      <t/>
    </r>
  </si>
  <si>
    <r>
      <t xml:space="preserve">   E</t>
    </r>
    <r>
      <rPr>
        <i/>
        <sz val="8"/>
        <rFont val="Arial"/>
        <family val="2"/>
      </rPr>
      <t>exp,el,nused,PV,4</t>
    </r>
    <r>
      <rPr>
        <sz val="11"/>
        <color theme="1"/>
        <rFont val="Calibri"/>
        <family val="2"/>
        <scheme val="minor"/>
      </rPr>
      <t/>
    </r>
  </si>
  <si>
    <r>
      <t xml:space="preserve">   E</t>
    </r>
    <r>
      <rPr>
        <i/>
        <sz val="8"/>
        <rFont val="Arial"/>
        <family val="2"/>
      </rPr>
      <t>exp,el,nused,PV,5</t>
    </r>
    <r>
      <rPr>
        <sz val="11"/>
        <color theme="1"/>
        <rFont val="Calibri"/>
        <family val="2"/>
        <scheme val="minor"/>
      </rPr>
      <t/>
    </r>
  </si>
  <si>
    <r>
      <t xml:space="preserve">   E</t>
    </r>
    <r>
      <rPr>
        <i/>
        <sz val="8"/>
        <rFont val="Arial"/>
        <family val="2"/>
      </rPr>
      <t>exp,el,nused,PV,6</t>
    </r>
    <r>
      <rPr>
        <sz val="11"/>
        <color theme="1"/>
        <rFont val="Calibri"/>
        <family val="2"/>
        <scheme val="minor"/>
      </rPr>
      <t/>
    </r>
  </si>
  <si>
    <r>
      <t xml:space="preserve">   E</t>
    </r>
    <r>
      <rPr>
        <i/>
        <sz val="8"/>
        <rFont val="Arial"/>
        <family val="2"/>
      </rPr>
      <t>exp,el,nused,PV,7</t>
    </r>
    <r>
      <rPr>
        <sz val="11"/>
        <color theme="1"/>
        <rFont val="Calibri"/>
        <family val="2"/>
        <scheme val="minor"/>
      </rPr>
      <t/>
    </r>
  </si>
  <si>
    <r>
      <t xml:space="preserve">   E</t>
    </r>
    <r>
      <rPr>
        <i/>
        <sz val="8"/>
        <rFont val="Arial"/>
        <family val="2"/>
      </rPr>
      <t>exp,el,nused,PV,8</t>
    </r>
    <r>
      <rPr>
        <sz val="11"/>
        <color theme="1"/>
        <rFont val="Calibri"/>
        <family val="2"/>
        <scheme val="minor"/>
      </rPr>
      <t/>
    </r>
  </si>
  <si>
    <r>
      <t xml:space="preserve">   E</t>
    </r>
    <r>
      <rPr>
        <i/>
        <sz val="8"/>
        <rFont val="Arial"/>
        <family val="2"/>
      </rPr>
      <t>exp,el,nused,PV,9</t>
    </r>
    <r>
      <rPr>
        <sz val="11"/>
        <color theme="1"/>
        <rFont val="Calibri"/>
        <family val="2"/>
        <scheme val="minor"/>
      </rPr>
      <t/>
    </r>
  </si>
  <si>
    <r>
      <t xml:space="preserve">   E</t>
    </r>
    <r>
      <rPr>
        <i/>
        <sz val="8"/>
        <rFont val="Arial"/>
        <family val="2"/>
      </rPr>
      <t>exp,el,nused,PV,10</t>
    </r>
    <r>
      <rPr>
        <sz val="11"/>
        <color theme="1"/>
        <rFont val="Calibri"/>
        <family val="2"/>
        <scheme val="minor"/>
      </rPr>
      <t/>
    </r>
  </si>
  <si>
    <r>
      <t xml:space="preserve">   E</t>
    </r>
    <r>
      <rPr>
        <i/>
        <sz val="8"/>
        <rFont val="Arial"/>
        <family val="2"/>
      </rPr>
      <t>exp,el,nused,PV,11</t>
    </r>
    <r>
      <rPr>
        <sz val="11"/>
        <color theme="1"/>
        <rFont val="Calibri"/>
        <family val="2"/>
        <scheme val="minor"/>
      </rPr>
      <t/>
    </r>
  </si>
  <si>
    <r>
      <t xml:space="preserve">   E</t>
    </r>
    <r>
      <rPr>
        <i/>
        <sz val="8"/>
        <rFont val="Arial"/>
        <family val="2"/>
      </rPr>
      <t>exp,el,nused,PV,12</t>
    </r>
    <r>
      <rPr>
        <sz val="11"/>
        <color theme="1"/>
        <rFont val="Calibri"/>
        <family val="2"/>
        <scheme val="minor"/>
      </rPr>
      <t/>
    </r>
  </si>
  <si>
    <r>
      <t>E</t>
    </r>
    <r>
      <rPr>
        <b/>
        <i/>
        <sz val="8"/>
        <rFont val="Arial"/>
        <family val="2"/>
      </rPr>
      <t>exp,el,nused,CHP</t>
    </r>
  </si>
  <si>
    <r>
      <t>E</t>
    </r>
    <r>
      <rPr>
        <b/>
        <i/>
        <sz val="8"/>
        <rFont val="Arial"/>
        <family val="2"/>
      </rPr>
      <t>exp,el,nused,CHP,sum_i</t>
    </r>
  </si>
  <si>
    <r>
      <t xml:space="preserve">     E</t>
    </r>
    <r>
      <rPr>
        <i/>
        <sz val="8"/>
        <rFont val="Arial"/>
        <family val="2"/>
      </rPr>
      <t>exp,el,nused,CHP,1</t>
    </r>
  </si>
  <si>
    <r>
      <t xml:space="preserve">     E</t>
    </r>
    <r>
      <rPr>
        <i/>
        <sz val="8"/>
        <rFont val="Arial"/>
        <family val="2"/>
      </rPr>
      <t>exp,el,nused,CHP,2</t>
    </r>
    <r>
      <rPr>
        <sz val="11"/>
        <color theme="1"/>
        <rFont val="Calibri"/>
        <family val="2"/>
        <scheme val="minor"/>
      </rPr>
      <t/>
    </r>
  </si>
  <si>
    <r>
      <t xml:space="preserve">     E</t>
    </r>
    <r>
      <rPr>
        <i/>
        <sz val="8"/>
        <rFont val="Arial"/>
        <family val="2"/>
      </rPr>
      <t>exp,el,nused,CHP,3</t>
    </r>
    <r>
      <rPr>
        <sz val="11"/>
        <color theme="1"/>
        <rFont val="Calibri"/>
        <family val="2"/>
        <scheme val="minor"/>
      </rPr>
      <t/>
    </r>
  </si>
  <si>
    <r>
      <t xml:space="preserve">     E</t>
    </r>
    <r>
      <rPr>
        <i/>
        <sz val="8"/>
        <rFont val="Arial"/>
        <family val="2"/>
      </rPr>
      <t>exp,el,nused,CHP,4</t>
    </r>
    <r>
      <rPr>
        <sz val="11"/>
        <color theme="1"/>
        <rFont val="Calibri"/>
        <family val="2"/>
        <scheme val="minor"/>
      </rPr>
      <t/>
    </r>
  </si>
  <si>
    <r>
      <t xml:space="preserve">     E</t>
    </r>
    <r>
      <rPr>
        <i/>
        <sz val="8"/>
        <rFont val="Arial"/>
        <family val="2"/>
      </rPr>
      <t>exp,el,nused,CHP,5</t>
    </r>
    <r>
      <rPr>
        <sz val="11"/>
        <color theme="1"/>
        <rFont val="Calibri"/>
        <family val="2"/>
        <scheme val="minor"/>
      </rPr>
      <t/>
    </r>
  </si>
  <si>
    <r>
      <t xml:space="preserve">     E</t>
    </r>
    <r>
      <rPr>
        <i/>
        <sz val="8"/>
        <rFont val="Arial"/>
        <family val="2"/>
      </rPr>
      <t>exp,el,nused,CHP,6</t>
    </r>
    <r>
      <rPr>
        <sz val="11"/>
        <color theme="1"/>
        <rFont val="Calibri"/>
        <family val="2"/>
        <scheme val="minor"/>
      </rPr>
      <t/>
    </r>
  </si>
  <si>
    <r>
      <t xml:space="preserve">     E</t>
    </r>
    <r>
      <rPr>
        <i/>
        <sz val="8"/>
        <rFont val="Arial"/>
        <family val="2"/>
      </rPr>
      <t>exp,el,nused,CHP,7</t>
    </r>
    <r>
      <rPr>
        <sz val="11"/>
        <color theme="1"/>
        <rFont val="Calibri"/>
        <family val="2"/>
        <scheme val="minor"/>
      </rPr>
      <t/>
    </r>
  </si>
  <si>
    <r>
      <t xml:space="preserve">     E</t>
    </r>
    <r>
      <rPr>
        <i/>
        <sz val="8"/>
        <rFont val="Arial"/>
        <family val="2"/>
      </rPr>
      <t>exp,el,nused,CHP,8</t>
    </r>
    <r>
      <rPr>
        <sz val="11"/>
        <color theme="1"/>
        <rFont val="Calibri"/>
        <family val="2"/>
        <scheme val="minor"/>
      </rPr>
      <t/>
    </r>
  </si>
  <si>
    <r>
      <t xml:space="preserve">     E</t>
    </r>
    <r>
      <rPr>
        <i/>
        <sz val="8"/>
        <rFont val="Arial"/>
        <family val="2"/>
      </rPr>
      <t>exp,el,nused,CHP,9</t>
    </r>
    <r>
      <rPr>
        <sz val="11"/>
        <color theme="1"/>
        <rFont val="Calibri"/>
        <family val="2"/>
        <scheme val="minor"/>
      </rPr>
      <t/>
    </r>
  </si>
  <si>
    <r>
      <t xml:space="preserve">     E</t>
    </r>
    <r>
      <rPr>
        <i/>
        <sz val="8"/>
        <rFont val="Arial"/>
        <family val="2"/>
      </rPr>
      <t>exp,el,nused,CHP,10</t>
    </r>
    <r>
      <rPr>
        <sz val="11"/>
        <color theme="1"/>
        <rFont val="Calibri"/>
        <family val="2"/>
        <scheme val="minor"/>
      </rPr>
      <t/>
    </r>
  </si>
  <si>
    <r>
      <t xml:space="preserve">     E</t>
    </r>
    <r>
      <rPr>
        <i/>
        <sz val="8"/>
        <rFont val="Arial"/>
        <family val="2"/>
      </rPr>
      <t>exp,el,nused,CHP,11</t>
    </r>
    <r>
      <rPr>
        <sz val="11"/>
        <color theme="1"/>
        <rFont val="Calibri"/>
        <family val="2"/>
        <scheme val="minor"/>
      </rPr>
      <t/>
    </r>
  </si>
  <si>
    <r>
      <t xml:space="preserve">     E</t>
    </r>
    <r>
      <rPr>
        <i/>
        <sz val="8"/>
        <rFont val="Arial"/>
        <family val="2"/>
      </rPr>
      <t>exp,el,nused,CHP,12</t>
    </r>
    <r>
      <rPr>
        <sz val="11"/>
        <color theme="1"/>
        <rFont val="Calibri"/>
        <family val="2"/>
        <scheme val="minor"/>
      </rPr>
      <t/>
    </r>
  </si>
  <si>
    <t>Not used exported electricity</t>
  </si>
  <si>
    <t>Not used exported PV electric energy</t>
  </si>
  <si>
    <t>Not used exported CHP electric energy</t>
  </si>
  <si>
    <t>Not used delivered electric energy</t>
  </si>
  <si>
    <t>Equation 18</t>
  </si>
  <si>
    <t>Needed to calculate</t>
  </si>
  <si>
    <t>redelivered per time step</t>
  </si>
  <si>
    <t>Temp. Exported electricity</t>
  </si>
  <si>
    <r>
      <t>E</t>
    </r>
    <r>
      <rPr>
        <b/>
        <i/>
        <sz val="8"/>
        <rFont val="Arial"/>
        <family val="2"/>
      </rPr>
      <t>del,el,rdel,y</t>
    </r>
  </si>
  <si>
    <r>
      <t xml:space="preserve">     E</t>
    </r>
    <r>
      <rPr>
        <i/>
        <sz val="8"/>
        <rFont val="Arial"/>
        <family val="2"/>
      </rPr>
      <t>del,el,rdel,sum_i</t>
    </r>
  </si>
  <si>
    <r>
      <t xml:space="preserve">     E</t>
    </r>
    <r>
      <rPr>
        <i/>
        <sz val="8"/>
        <rFont val="Arial"/>
        <family val="2"/>
      </rPr>
      <t>del,el,rdel,1</t>
    </r>
  </si>
  <si>
    <r>
      <t xml:space="preserve">     E</t>
    </r>
    <r>
      <rPr>
        <i/>
        <sz val="8"/>
        <rFont val="Arial"/>
        <family val="2"/>
      </rPr>
      <t>del,el,rdel,2</t>
    </r>
    <r>
      <rPr>
        <sz val="11"/>
        <color theme="1"/>
        <rFont val="Calibri"/>
        <family val="2"/>
        <scheme val="minor"/>
      </rPr>
      <t/>
    </r>
  </si>
  <si>
    <r>
      <t xml:space="preserve">     E</t>
    </r>
    <r>
      <rPr>
        <i/>
        <sz val="8"/>
        <rFont val="Arial"/>
        <family val="2"/>
      </rPr>
      <t>del,el,rdel,3</t>
    </r>
    <r>
      <rPr>
        <sz val="11"/>
        <color theme="1"/>
        <rFont val="Calibri"/>
        <family val="2"/>
        <scheme val="minor"/>
      </rPr>
      <t/>
    </r>
  </si>
  <si>
    <r>
      <t xml:space="preserve">     E</t>
    </r>
    <r>
      <rPr>
        <i/>
        <sz val="8"/>
        <rFont val="Arial"/>
        <family val="2"/>
      </rPr>
      <t>del,el,rdel,4</t>
    </r>
    <r>
      <rPr>
        <sz val="11"/>
        <color theme="1"/>
        <rFont val="Calibri"/>
        <family val="2"/>
        <scheme val="minor"/>
      </rPr>
      <t/>
    </r>
  </si>
  <si>
    <r>
      <t xml:space="preserve">     E</t>
    </r>
    <r>
      <rPr>
        <i/>
        <sz val="8"/>
        <rFont val="Arial"/>
        <family val="2"/>
      </rPr>
      <t>del,el,rdel,5</t>
    </r>
    <r>
      <rPr>
        <sz val="11"/>
        <color theme="1"/>
        <rFont val="Calibri"/>
        <family val="2"/>
        <scheme val="minor"/>
      </rPr>
      <t/>
    </r>
  </si>
  <si>
    <r>
      <t xml:space="preserve">     E</t>
    </r>
    <r>
      <rPr>
        <i/>
        <sz val="8"/>
        <rFont val="Arial"/>
        <family val="2"/>
      </rPr>
      <t>del,el,rdel,6</t>
    </r>
    <r>
      <rPr>
        <sz val="11"/>
        <color theme="1"/>
        <rFont val="Calibri"/>
        <family val="2"/>
        <scheme val="minor"/>
      </rPr>
      <t/>
    </r>
  </si>
  <si>
    <r>
      <t xml:space="preserve">     E</t>
    </r>
    <r>
      <rPr>
        <i/>
        <sz val="8"/>
        <rFont val="Arial"/>
        <family val="2"/>
      </rPr>
      <t>del,el,rdel,7</t>
    </r>
    <r>
      <rPr>
        <sz val="11"/>
        <color theme="1"/>
        <rFont val="Calibri"/>
        <family val="2"/>
        <scheme val="minor"/>
      </rPr>
      <t/>
    </r>
  </si>
  <si>
    <r>
      <t xml:space="preserve">     E</t>
    </r>
    <r>
      <rPr>
        <i/>
        <sz val="8"/>
        <rFont val="Arial"/>
        <family val="2"/>
      </rPr>
      <t>del,el,rdel,8</t>
    </r>
    <r>
      <rPr>
        <sz val="11"/>
        <color theme="1"/>
        <rFont val="Calibri"/>
        <family val="2"/>
        <scheme val="minor"/>
      </rPr>
      <t/>
    </r>
  </si>
  <si>
    <r>
      <t xml:space="preserve">     E</t>
    </r>
    <r>
      <rPr>
        <i/>
        <sz val="8"/>
        <rFont val="Arial"/>
        <family val="2"/>
      </rPr>
      <t>del,el,rdel,9</t>
    </r>
    <r>
      <rPr>
        <sz val="11"/>
        <color theme="1"/>
        <rFont val="Calibri"/>
        <family val="2"/>
        <scheme val="minor"/>
      </rPr>
      <t/>
    </r>
  </si>
  <si>
    <r>
      <t xml:space="preserve">     E</t>
    </r>
    <r>
      <rPr>
        <i/>
        <sz val="8"/>
        <rFont val="Arial"/>
        <family val="2"/>
      </rPr>
      <t>del,el,rdel,10</t>
    </r>
    <r>
      <rPr>
        <sz val="11"/>
        <color theme="1"/>
        <rFont val="Calibri"/>
        <family val="2"/>
        <scheme val="minor"/>
      </rPr>
      <t/>
    </r>
  </si>
  <si>
    <r>
      <t xml:space="preserve">     E</t>
    </r>
    <r>
      <rPr>
        <i/>
        <sz val="8"/>
        <rFont val="Arial"/>
        <family val="2"/>
      </rPr>
      <t>del,el,rdel,11</t>
    </r>
    <r>
      <rPr>
        <sz val="11"/>
        <color theme="1"/>
        <rFont val="Calibri"/>
        <family val="2"/>
        <scheme val="minor"/>
      </rPr>
      <t/>
    </r>
  </si>
  <si>
    <r>
      <t xml:space="preserve">     E</t>
    </r>
    <r>
      <rPr>
        <i/>
        <sz val="8"/>
        <rFont val="Arial"/>
        <family val="2"/>
      </rPr>
      <t>del,el,rdel,12</t>
    </r>
    <r>
      <rPr>
        <sz val="11"/>
        <color theme="1"/>
        <rFont val="Calibri"/>
        <family val="2"/>
        <scheme val="minor"/>
      </rPr>
      <t/>
    </r>
  </si>
  <si>
    <t>Not in prEN 15603</t>
  </si>
  <si>
    <t>exp, tmp per time step</t>
  </si>
  <si>
    <r>
      <t>E</t>
    </r>
    <r>
      <rPr>
        <b/>
        <i/>
        <sz val="8"/>
        <rFont val="Arial"/>
        <family val="2"/>
      </rPr>
      <t>exp,el,temp,pv,y</t>
    </r>
  </si>
  <si>
    <r>
      <t xml:space="preserve">     E</t>
    </r>
    <r>
      <rPr>
        <i/>
        <sz val="8"/>
        <rFont val="Arial"/>
        <family val="2"/>
      </rPr>
      <t>exp,el,temp,pv,sum_i</t>
    </r>
  </si>
  <si>
    <r>
      <t xml:space="preserve">     E</t>
    </r>
    <r>
      <rPr>
        <i/>
        <sz val="8"/>
        <rFont val="Arial"/>
        <family val="2"/>
      </rPr>
      <t>exp,el,temp,pv,1</t>
    </r>
  </si>
  <si>
    <r>
      <t xml:space="preserve">     E</t>
    </r>
    <r>
      <rPr>
        <i/>
        <sz val="8"/>
        <rFont val="Arial"/>
        <family val="2"/>
      </rPr>
      <t>exp,el,temp,pv,2</t>
    </r>
    <r>
      <rPr>
        <sz val="11"/>
        <color theme="1"/>
        <rFont val="Calibri"/>
        <family val="2"/>
        <scheme val="minor"/>
      </rPr>
      <t/>
    </r>
  </si>
  <si>
    <r>
      <t xml:space="preserve">     E</t>
    </r>
    <r>
      <rPr>
        <i/>
        <sz val="8"/>
        <rFont val="Arial"/>
        <family val="2"/>
      </rPr>
      <t>exp,el,temp,pv,3</t>
    </r>
    <r>
      <rPr>
        <sz val="11"/>
        <color theme="1"/>
        <rFont val="Calibri"/>
        <family val="2"/>
        <scheme val="minor"/>
      </rPr>
      <t/>
    </r>
  </si>
  <si>
    <r>
      <t xml:space="preserve">     E</t>
    </r>
    <r>
      <rPr>
        <i/>
        <sz val="8"/>
        <rFont val="Arial"/>
        <family val="2"/>
      </rPr>
      <t>exp,el,temp,pv,4</t>
    </r>
    <r>
      <rPr>
        <sz val="11"/>
        <color theme="1"/>
        <rFont val="Calibri"/>
        <family val="2"/>
        <scheme val="minor"/>
      </rPr>
      <t/>
    </r>
  </si>
  <si>
    <r>
      <t xml:space="preserve">     E</t>
    </r>
    <r>
      <rPr>
        <i/>
        <sz val="8"/>
        <rFont val="Arial"/>
        <family val="2"/>
      </rPr>
      <t>exp,el,temp,pv,5</t>
    </r>
    <r>
      <rPr>
        <sz val="11"/>
        <color theme="1"/>
        <rFont val="Calibri"/>
        <family val="2"/>
        <scheme val="minor"/>
      </rPr>
      <t/>
    </r>
  </si>
  <si>
    <r>
      <t xml:space="preserve">     E</t>
    </r>
    <r>
      <rPr>
        <i/>
        <sz val="8"/>
        <rFont val="Arial"/>
        <family val="2"/>
      </rPr>
      <t>exp,el,temp,pv,6</t>
    </r>
    <r>
      <rPr>
        <sz val="11"/>
        <color theme="1"/>
        <rFont val="Calibri"/>
        <family val="2"/>
        <scheme val="minor"/>
      </rPr>
      <t/>
    </r>
  </si>
  <si>
    <r>
      <t xml:space="preserve">     E</t>
    </r>
    <r>
      <rPr>
        <i/>
        <sz val="8"/>
        <rFont val="Arial"/>
        <family val="2"/>
      </rPr>
      <t>exp,el,temp,pv,7</t>
    </r>
    <r>
      <rPr>
        <sz val="11"/>
        <color theme="1"/>
        <rFont val="Calibri"/>
        <family val="2"/>
        <scheme val="minor"/>
      </rPr>
      <t/>
    </r>
  </si>
  <si>
    <r>
      <t xml:space="preserve">     E</t>
    </r>
    <r>
      <rPr>
        <i/>
        <sz val="8"/>
        <rFont val="Arial"/>
        <family val="2"/>
      </rPr>
      <t>exp,el,temp,pv,8</t>
    </r>
    <r>
      <rPr>
        <sz val="11"/>
        <color theme="1"/>
        <rFont val="Calibri"/>
        <family val="2"/>
        <scheme val="minor"/>
      </rPr>
      <t/>
    </r>
  </si>
  <si>
    <r>
      <t xml:space="preserve">     E</t>
    </r>
    <r>
      <rPr>
        <i/>
        <sz val="8"/>
        <rFont val="Arial"/>
        <family val="2"/>
      </rPr>
      <t>exp,el,temp,pv,9</t>
    </r>
    <r>
      <rPr>
        <sz val="11"/>
        <color theme="1"/>
        <rFont val="Calibri"/>
        <family val="2"/>
        <scheme val="minor"/>
      </rPr>
      <t/>
    </r>
  </si>
  <si>
    <r>
      <t xml:space="preserve">     E</t>
    </r>
    <r>
      <rPr>
        <i/>
        <sz val="8"/>
        <rFont val="Arial"/>
        <family val="2"/>
      </rPr>
      <t>exp,el,temp,pv,10</t>
    </r>
    <r>
      <rPr>
        <sz val="11"/>
        <color theme="1"/>
        <rFont val="Calibri"/>
        <family val="2"/>
        <scheme val="minor"/>
      </rPr>
      <t/>
    </r>
  </si>
  <si>
    <r>
      <t xml:space="preserve">     E</t>
    </r>
    <r>
      <rPr>
        <i/>
        <sz val="8"/>
        <rFont val="Arial"/>
        <family val="2"/>
      </rPr>
      <t>exp,el,temp,pv,11</t>
    </r>
    <r>
      <rPr>
        <sz val="11"/>
        <color theme="1"/>
        <rFont val="Calibri"/>
        <family val="2"/>
        <scheme val="minor"/>
      </rPr>
      <t/>
    </r>
  </si>
  <si>
    <r>
      <t xml:space="preserve">     E</t>
    </r>
    <r>
      <rPr>
        <i/>
        <sz val="8"/>
        <rFont val="Arial"/>
        <family val="2"/>
      </rPr>
      <t>exp,el,temp,pv,12</t>
    </r>
    <r>
      <rPr>
        <sz val="11"/>
        <color theme="1"/>
        <rFont val="Calibri"/>
        <family val="2"/>
        <scheme val="minor"/>
      </rPr>
      <t/>
    </r>
  </si>
  <si>
    <r>
      <t>E</t>
    </r>
    <r>
      <rPr>
        <b/>
        <i/>
        <sz val="8"/>
        <rFont val="Arial"/>
        <family val="2"/>
      </rPr>
      <t>exp,el,temp,chp,y</t>
    </r>
  </si>
  <si>
    <r>
      <t xml:space="preserve">     E</t>
    </r>
    <r>
      <rPr>
        <i/>
        <sz val="8"/>
        <rFont val="Arial"/>
        <family val="2"/>
      </rPr>
      <t>exp,el,temp,chp,sum_i</t>
    </r>
  </si>
  <si>
    <r>
      <t xml:space="preserve">     E</t>
    </r>
    <r>
      <rPr>
        <i/>
        <sz val="8"/>
        <rFont val="Arial"/>
        <family val="2"/>
      </rPr>
      <t>exp,el,temp,chp,1</t>
    </r>
  </si>
  <si>
    <r>
      <t xml:space="preserve">     E</t>
    </r>
    <r>
      <rPr>
        <i/>
        <sz val="8"/>
        <rFont val="Arial"/>
        <family val="2"/>
      </rPr>
      <t>exp,el,temp,chp,2</t>
    </r>
    <r>
      <rPr>
        <sz val="11"/>
        <color theme="1"/>
        <rFont val="Calibri"/>
        <family val="2"/>
        <scheme val="minor"/>
      </rPr>
      <t/>
    </r>
  </si>
  <si>
    <r>
      <t xml:space="preserve">     E</t>
    </r>
    <r>
      <rPr>
        <i/>
        <sz val="8"/>
        <rFont val="Arial"/>
        <family val="2"/>
      </rPr>
      <t>exp,el,temp,chp,3</t>
    </r>
    <r>
      <rPr>
        <sz val="11"/>
        <color theme="1"/>
        <rFont val="Calibri"/>
        <family val="2"/>
        <scheme val="minor"/>
      </rPr>
      <t/>
    </r>
  </si>
  <si>
    <r>
      <t xml:space="preserve">     E</t>
    </r>
    <r>
      <rPr>
        <i/>
        <sz val="8"/>
        <rFont val="Arial"/>
        <family val="2"/>
      </rPr>
      <t>exp,el,temp,chp,4</t>
    </r>
    <r>
      <rPr>
        <sz val="11"/>
        <color theme="1"/>
        <rFont val="Calibri"/>
        <family val="2"/>
        <scheme val="minor"/>
      </rPr>
      <t/>
    </r>
  </si>
  <si>
    <r>
      <t xml:space="preserve">     E</t>
    </r>
    <r>
      <rPr>
        <i/>
        <sz val="8"/>
        <rFont val="Arial"/>
        <family val="2"/>
      </rPr>
      <t>exp,el,temp,chp,5</t>
    </r>
    <r>
      <rPr>
        <sz val="11"/>
        <color theme="1"/>
        <rFont val="Calibri"/>
        <family val="2"/>
        <scheme val="minor"/>
      </rPr>
      <t/>
    </r>
  </si>
  <si>
    <r>
      <t xml:space="preserve">     E</t>
    </r>
    <r>
      <rPr>
        <i/>
        <sz val="8"/>
        <rFont val="Arial"/>
        <family val="2"/>
      </rPr>
      <t>exp,el,temp,chp,6</t>
    </r>
    <r>
      <rPr>
        <sz val="11"/>
        <color theme="1"/>
        <rFont val="Calibri"/>
        <family val="2"/>
        <scheme val="minor"/>
      </rPr>
      <t/>
    </r>
  </si>
  <si>
    <r>
      <t xml:space="preserve">     E</t>
    </r>
    <r>
      <rPr>
        <i/>
        <sz val="8"/>
        <rFont val="Arial"/>
        <family val="2"/>
      </rPr>
      <t>exp,el,temp,chp,7</t>
    </r>
    <r>
      <rPr>
        <sz val="11"/>
        <color theme="1"/>
        <rFont val="Calibri"/>
        <family val="2"/>
        <scheme val="minor"/>
      </rPr>
      <t/>
    </r>
  </si>
  <si>
    <r>
      <t xml:space="preserve">     E</t>
    </r>
    <r>
      <rPr>
        <i/>
        <sz val="8"/>
        <rFont val="Arial"/>
        <family val="2"/>
      </rPr>
      <t>exp,el,temp,chp,8</t>
    </r>
    <r>
      <rPr>
        <sz val="11"/>
        <color theme="1"/>
        <rFont val="Calibri"/>
        <family val="2"/>
        <scheme val="minor"/>
      </rPr>
      <t/>
    </r>
  </si>
  <si>
    <r>
      <t xml:space="preserve">     E</t>
    </r>
    <r>
      <rPr>
        <i/>
        <sz val="8"/>
        <rFont val="Arial"/>
        <family val="2"/>
      </rPr>
      <t>exp,el,temp,chp,9</t>
    </r>
    <r>
      <rPr>
        <sz val="11"/>
        <color theme="1"/>
        <rFont val="Calibri"/>
        <family val="2"/>
        <scheme val="minor"/>
      </rPr>
      <t/>
    </r>
  </si>
  <si>
    <r>
      <t xml:space="preserve">     E</t>
    </r>
    <r>
      <rPr>
        <i/>
        <sz val="8"/>
        <rFont val="Arial"/>
        <family val="2"/>
      </rPr>
      <t>exp,el,temp,chp,10</t>
    </r>
    <r>
      <rPr>
        <sz val="11"/>
        <color theme="1"/>
        <rFont val="Calibri"/>
        <family val="2"/>
        <scheme val="minor"/>
      </rPr>
      <t/>
    </r>
  </si>
  <si>
    <r>
      <t xml:space="preserve">     E</t>
    </r>
    <r>
      <rPr>
        <i/>
        <sz val="8"/>
        <rFont val="Arial"/>
        <family val="2"/>
      </rPr>
      <t>exp,el,temp,chp,11</t>
    </r>
    <r>
      <rPr>
        <sz val="11"/>
        <color theme="1"/>
        <rFont val="Calibri"/>
        <family val="2"/>
        <scheme val="minor"/>
      </rPr>
      <t/>
    </r>
  </si>
  <si>
    <r>
      <t xml:space="preserve">     E</t>
    </r>
    <r>
      <rPr>
        <i/>
        <sz val="8"/>
        <rFont val="Arial"/>
        <family val="2"/>
      </rPr>
      <t>exp,el,temp,chp,12</t>
    </r>
    <r>
      <rPr>
        <sz val="11"/>
        <color theme="1"/>
        <rFont val="Calibri"/>
        <family val="2"/>
        <scheme val="minor"/>
      </rPr>
      <t/>
    </r>
  </si>
  <si>
    <r>
      <t>E</t>
    </r>
    <r>
      <rPr>
        <b/>
        <i/>
        <sz val="8"/>
        <rFont val="Arial"/>
        <family val="2"/>
      </rPr>
      <t>del,el,rdel,pv,y</t>
    </r>
  </si>
  <si>
    <r>
      <t xml:space="preserve">     E</t>
    </r>
    <r>
      <rPr>
        <i/>
        <sz val="8"/>
        <rFont val="Arial"/>
        <family val="2"/>
      </rPr>
      <t>del,el,rdel,pv,sum_i</t>
    </r>
  </si>
  <si>
    <r>
      <t xml:space="preserve">     E</t>
    </r>
    <r>
      <rPr>
        <i/>
        <sz val="8"/>
        <rFont val="Arial"/>
        <family val="2"/>
      </rPr>
      <t>del,el,rdel,pv,1</t>
    </r>
  </si>
  <si>
    <r>
      <t xml:space="preserve">     E</t>
    </r>
    <r>
      <rPr>
        <i/>
        <sz val="8"/>
        <rFont val="Arial"/>
        <family val="2"/>
      </rPr>
      <t>del,el,rdel,pv,2</t>
    </r>
    <r>
      <rPr>
        <sz val="11"/>
        <color theme="1"/>
        <rFont val="Calibri"/>
        <family val="2"/>
        <scheme val="minor"/>
      </rPr>
      <t/>
    </r>
  </si>
  <si>
    <r>
      <t xml:space="preserve">     E</t>
    </r>
    <r>
      <rPr>
        <i/>
        <sz val="8"/>
        <rFont val="Arial"/>
        <family val="2"/>
      </rPr>
      <t>del,el,rdel,pv,3</t>
    </r>
    <r>
      <rPr>
        <sz val="11"/>
        <color theme="1"/>
        <rFont val="Calibri"/>
        <family val="2"/>
        <scheme val="minor"/>
      </rPr>
      <t/>
    </r>
  </si>
  <si>
    <r>
      <t xml:space="preserve">     E</t>
    </r>
    <r>
      <rPr>
        <i/>
        <sz val="8"/>
        <rFont val="Arial"/>
        <family val="2"/>
      </rPr>
      <t>del,el,rdel,pv,4</t>
    </r>
    <r>
      <rPr>
        <sz val="11"/>
        <color theme="1"/>
        <rFont val="Calibri"/>
        <family val="2"/>
        <scheme val="minor"/>
      </rPr>
      <t/>
    </r>
  </si>
  <si>
    <r>
      <t xml:space="preserve">     E</t>
    </r>
    <r>
      <rPr>
        <i/>
        <sz val="8"/>
        <rFont val="Arial"/>
        <family val="2"/>
      </rPr>
      <t>del,el,rdel,pv,5</t>
    </r>
    <r>
      <rPr>
        <sz val="11"/>
        <color theme="1"/>
        <rFont val="Calibri"/>
        <family val="2"/>
        <scheme val="minor"/>
      </rPr>
      <t/>
    </r>
  </si>
  <si>
    <r>
      <t xml:space="preserve">     E</t>
    </r>
    <r>
      <rPr>
        <i/>
        <sz val="8"/>
        <rFont val="Arial"/>
        <family val="2"/>
      </rPr>
      <t>del,el,rdel,pv,6</t>
    </r>
    <r>
      <rPr>
        <sz val="11"/>
        <color theme="1"/>
        <rFont val="Calibri"/>
        <family val="2"/>
        <scheme val="minor"/>
      </rPr>
      <t/>
    </r>
  </si>
  <si>
    <r>
      <t xml:space="preserve">     E</t>
    </r>
    <r>
      <rPr>
        <i/>
        <sz val="8"/>
        <rFont val="Arial"/>
        <family val="2"/>
      </rPr>
      <t>del,el,rdel,pv,7</t>
    </r>
    <r>
      <rPr>
        <sz val="11"/>
        <color theme="1"/>
        <rFont val="Calibri"/>
        <family val="2"/>
        <scheme val="minor"/>
      </rPr>
      <t/>
    </r>
  </si>
  <si>
    <r>
      <t xml:space="preserve">     E</t>
    </r>
    <r>
      <rPr>
        <i/>
        <sz val="8"/>
        <rFont val="Arial"/>
        <family val="2"/>
      </rPr>
      <t>del,el,rdel,pv,8</t>
    </r>
    <r>
      <rPr>
        <sz val="11"/>
        <color theme="1"/>
        <rFont val="Calibri"/>
        <family val="2"/>
        <scheme val="minor"/>
      </rPr>
      <t/>
    </r>
  </si>
  <si>
    <r>
      <t xml:space="preserve">     E</t>
    </r>
    <r>
      <rPr>
        <i/>
        <sz val="8"/>
        <rFont val="Arial"/>
        <family val="2"/>
      </rPr>
      <t>del,el,rdel,pv,9</t>
    </r>
    <r>
      <rPr>
        <sz val="11"/>
        <color theme="1"/>
        <rFont val="Calibri"/>
        <family val="2"/>
        <scheme val="minor"/>
      </rPr>
      <t/>
    </r>
  </si>
  <si>
    <r>
      <t xml:space="preserve">     E</t>
    </r>
    <r>
      <rPr>
        <i/>
        <sz val="8"/>
        <rFont val="Arial"/>
        <family val="2"/>
      </rPr>
      <t>del,el,rdel,pv,10</t>
    </r>
    <r>
      <rPr>
        <sz val="11"/>
        <color theme="1"/>
        <rFont val="Calibri"/>
        <family val="2"/>
        <scheme val="minor"/>
      </rPr>
      <t/>
    </r>
  </si>
  <si>
    <r>
      <t xml:space="preserve">     E</t>
    </r>
    <r>
      <rPr>
        <i/>
        <sz val="8"/>
        <rFont val="Arial"/>
        <family val="2"/>
      </rPr>
      <t>del,el,rdel,pv,11</t>
    </r>
    <r>
      <rPr>
        <sz val="11"/>
        <color theme="1"/>
        <rFont val="Calibri"/>
        <family val="2"/>
        <scheme val="minor"/>
      </rPr>
      <t/>
    </r>
  </si>
  <si>
    <r>
      <t xml:space="preserve">     E</t>
    </r>
    <r>
      <rPr>
        <i/>
        <sz val="8"/>
        <rFont val="Arial"/>
        <family val="2"/>
      </rPr>
      <t>del,el,rdel,pv,12</t>
    </r>
    <r>
      <rPr>
        <sz val="11"/>
        <color theme="1"/>
        <rFont val="Calibri"/>
        <family val="2"/>
        <scheme val="minor"/>
      </rPr>
      <t/>
    </r>
  </si>
  <si>
    <r>
      <t>E</t>
    </r>
    <r>
      <rPr>
        <b/>
        <i/>
        <sz val="8"/>
        <rFont val="Arial"/>
        <family val="2"/>
      </rPr>
      <t>del,el,rdel,chp,y</t>
    </r>
  </si>
  <si>
    <r>
      <t xml:space="preserve">     E</t>
    </r>
    <r>
      <rPr>
        <i/>
        <sz val="8"/>
        <rFont val="Arial"/>
        <family val="2"/>
      </rPr>
      <t>del,el,rdel,chpv,sum_i</t>
    </r>
  </si>
  <si>
    <r>
      <t xml:space="preserve">     E</t>
    </r>
    <r>
      <rPr>
        <i/>
        <sz val="8"/>
        <rFont val="Arial"/>
        <family val="2"/>
      </rPr>
      <t>del,el,rdel,chp,1</t>
    </r>
  </si>
  <si>
    <r>
      <t xml:space="preserve">     E</t>
    </r>
    <r>
      <rPr>
        <i/>
        <sz val="8"/>
        <rFont val="Arial"/>
        <family val="2"/>
      </rPr>
      <t>del,el,rdel,chp,2</t>
    </r>
    <r>
      <rPr>
        <sz val="11"/>
        <color theme="1"/>
        <rFont val="Calibri"/>
        <family val="2"/>
        <scheme val="minor"/>
      </rPr>
      <t/>
    </r>
  </si>
  <si>
    <r>
      <t xml:space="preserve">     E</t>
    </r>
    <r>
      <rPr>
        <i/>
        <sz val="8"/>
        <rFont val="Arial"/>
        <family val="2"/>
      </rPr>
      <t>del,el,rdel,chp,3</t>
    </r>
    <r>
      <rPr>
        <sz val="11"/>
        <color theme="1"/>
        <rFont val="Calibri"/>
        <family val="2"/>
        <scheme val="minor"/>
      </rPr>
      <t/>
    </r>
  </si>
  <si>
    <r>
      <t xml:space="preserve">     E</t>
    </r>
    <r>
      <rPr>
        <i/>
        <sz val="8"/>
        <rFont val="Arial"/>
        <family val="2"/>
      </rPr>
      <t>del,el,rdel,chp,4</t>
    </r>
    <r>
      <rPr>
        <sz val="11"/>
        <color theme="1"/>
        <rFont val="Calibri"/>
        <family val="2"/>
        <scheme val="minor"/>
      </rPr>
      <t/>
    </r>
  </si>
  <si>
    <r>
      <t xml:space="preserve">     E</t>
    </r>
    <r>
      <rPr>
        <i/>
        <sz val="8"/>
        <rFont val="Arial"/>
        <family val="2"/>
      </rPr>
      <t>del,el,rdel,chp,5</t>
    </r>
    <r>
      <rPr>
        <sz val="11"/>
        <color theme="1"/>
        <rFont val="Calibri"/>
        <family val="2"/>
        <scheme val="minor"/>
      </rPr>
      <t/>
    </r>
  </si>
  <si>
    <r>
      <t xml:space="preserve">     E</t>
    </r>
    <r>
      <rPr>
        <i/>
        <sz val="8"/>
        <rFont val="Arial"/>
        <family val="2"/>
      </rPr>
      <t>del,el,rdel,chp,6</t>
    </r>
    <r>
      <rPr>
        <sz val="11"/>
        <color theme="1"/>
        <rFont val="Calibri"/>
        <family val="2"/>
        <scheme val="minor"/>
      </rPr>
      <t/>
    </r>
  </si>
  <si>
    <r>
      <t xml:space="preserve">     E</t>
    </r>
    <r>
      <rPr>
        <i/>
        <sz val="8"/>
        <rFont val="Arial"/>
        <family val="2"/>
      </rPr>
      <t>del,el,rdel,chp,7</t>
    </r>
    <r>
      <rPr>
        <sz val="11"/>
        <color theme="1"/>
        <rFont val="Calibri"/>
        <family val="2"/>
        <scheme val="minor"/>
      </rPr>
      <t/>
    </r>
  </si>
  <si>
    <r>
      <t xml:space="preserve">     E</t>
    </r>
    <r>
      <rPr>
        <i/>
        <sz val="8"/>
        <rFont val="Arial"/>
        <family val="2"/>
      </rPr>
      <t>del,el,rdel,chp,8</t>
    </r>
    <r>
      <rPr>
        <sz val="11"/>
        <color theme="1"/>
        <rFont val="Calibri"/>
        <family val="2"/>
        <scheme val="minor"/>
      </rPr>
      <t/>
    </r>
  </si>
  <si>
    <r>
      <t xml:space="preserve">     E</t>
    </r>
    <r>
      <rPr>
        <i/>
        <sz val="8"/>
        <rFont val="Arial"/>
        <family val="2"/>
      </rPr>
      <t>del,el,rdel,chp,9</t>
    </r>
    <r>
      <rPr>
        <sz val="11"/>
        <color theme="1"/>
        <rFont val="Calibri"/>
        <family val="2"/>
        <scheme val="minor"/>
      </rPr>
      <t/>
    </r>
  </si>
  <si>
    <r>
      <t xml:space="preserve">     E</t>
    </r>
    <r>
      <rPr>
        <i/>
        <sz val="8"/>
        <rFont val="Arial"/>
        <family val="2"/>
      </rPr>
      <t>del,el,rdel,chp,10</t>
    </r>
    <r>
      <rPr>
        <sz val="11"/>
        <color theme="1"/>
        <rFont val="Calibri"/>
        <family val="2"/>
        <scheme val="minor"/>
      </rPr>
      <t/>
    </r>
  </si>
  <si>
    <r>
      <t xml:space="preserve">     E</t>
    </r>
    <r>
      <rPr>
        <i/>
        <sz val="8"/>
        <rFont val="Arial"/>
        <family val="2"/>
      </rPr>
      <t>del,el,rdel,chp,11</t>
    </r>
    <r>
      <rPr>
        <sz val="11"/>
        <color theme="1"/>
        <rFont val="Calibri"/>
        <family val="2"/>
        <scheme val="minor"/>
      </rPr>
      <t/>
    </r>
  </si>
  <si>
    <r>
      <t xml:space="preserve">     E</t>
    </r>
    <r>
      <rPr>
        <i/>
        <sz val="8"/>
        <rFont val="Arial"/>
        <family val="2"/>
      </rPr>
      <t>del,el,rdel,chp,12</t>
    </r>
    <r>
      <rPr>
        <sz val="11"/>
        <color theme="1"/>
        <rFont val="Calibri"/>
        <family val="2"/>
        <scheme val="minor"/>
      </rPr>
      <t/>
    </r>
  </si>
  <si>
    <t>Grid delivered electricity</t>
  </si>
  <si>
    <r>
      <t>E</t>
    </r>
    <r>
      <rPr>
        <b/>
        <i/>
        <sz val="8"/>
        <rFont val="Arial"/>
        <family val="2"/>
      </rPr>
      <t>del,el,grid,y</t>
    </r>
  </si>
  <si>
    <r>
      <t xml:space="preserve">     E</t>
    </r>
    <r>
      <rPr>
        <i/>
        <sz val="8"/>
        <rFont val="Arial"/>
        <family val="2"/>
      </rPr>
      <t>del,el,gridt,sum_i</t>
    </r>
  </si>
  <si>
    <r>
      <t xml:space="preserve">     E</t>
    </r>
    <r>
      <rPr>
        <i/>
        <sz val="8"/>
        <rFont val="Arial"/>
        <family val="2"/>
      </rPr>
      <t>del,el,grid,1</t>
    </r>
  </si>
  <si>
    <r>
      <t xml:space="preserve">     E</t>
    </r>
    <r>
      <rPr>
        <i/>
        <sz val="8"/>
        <rFont val="Arial"/>
        <family val="2"/>
      </rPr>
      <t>del,el,grid,2</t>
    </r>
    <r>
      <rPr>
        <sz val="11"/>
        <color theme="1"/>
        <rFont val="Calibri"/>
        <family val="2"/>
        <scheme val="minor"/>
      </rPr>
      <t/>
    </r>
  </si>
  <si>
    <r>
      <t xml:space="preserve">     E</t>
    </r>
    <r>
      <rPr>
        <i/>
        <sz val="8"/>
        <rFont val="Arial"/>
        <family val="2"/>
      </rPr>
      <t>del,el,grid,3</t>
    </r>
    <r>
      <rPr>
        <sz val="11"/>
        <color theme="1"/>
        <rFont val="Calibri"/>
        <family val="2"/>
        <scheme val="minor"/>
      </rPr>
      <t/>
    </r>
  </si>
  <si>
    <r>
      <t xml:space="preserve">     E</t>
    </r>
    <r>
      <rPr>
        <i/>
        <sz val="8"/>
        <rFont val="Arial"/>
        <family val="2"/>
      </rPr>
      <t>del,el,grid,4</t>
    </r>
    <r>
      <rPr>
        <sz val="11"/>
        <color theme="1"/>
        <rFont val="Calibri"/>
        <family val="2"/>
        <scheme val="minor"/>
      </rPr>
      <t/>
    </r>
  </si>
  <si>
    <r>
      <t xml:space="preserve">     E</t>
    </r>
    <r>
      <rPr>
        <i/>
        <sz val="8"/>
        <rFont val="Arial"/>
        <family val="2"/>
      </rPr>
      <t>del,el,grid,5</t>
    </r>
    <r>
      <rPr>
        <sz val="11"/>
        <color theme="1"/>
        <rFont val="Calibri"/>
        <family val="2"/>
        <scheme val="minor"/>
      </rPr>
      <t/>
    </r>
  </si>
  <si>
    <r>
      <t xml:space="preserve">     E</t>
    </r>
    <r>
      <rPr>
        <i/>
        <sz val="8"/>
        <rFont val="Arial"/>
        <family val="2"/>
      </rPr>
      <t>del,el,grid,6</t>
    </r>
    <r>
      <rPr>
        <sz val="11"/>
        <color theme="1"/>
        <rFont val="Calibri"/>
        <family val="2"/>
        <scheme val="minor"/>
      </rPr>
      <t/>
    </r>
  </si>
  <si>
    <r>
      <t xml:space="preserve">     E</t>
    </r>
    <r>
      <rPr>
        <i/>
        <sz val="8"/>
        <rFont val="Arial"/>
        <family val="2"/>
      </rPr>
      <t>del,el,grid,7</t>
    </r>
    <r>
      <rPr>
        <sz val="11"/>
        <color theme="1"/>
        <rFont val="Calibri"/>
        <family val="2"/>
        <scheme val="minor"/>
      </rPr>
      <t/>
    </r>
  </si>
  <si>
    <r>
      <t xml:space="preserve">     E</t>
    </r>
    <r>
      <rPr>
        <i/>
        <sz val="8"/>
        <rFont val="Arial"/>
        <family val="2"/>
      </rPr>
      <t>del,el,grid,8</t>
    </r>
    <r>
      <rPr>
        <sz val="11"/>
        <color theme="1"/>
        <rFont val="Calibri"/>
        <family val="2"/>
        <scheme val="minor"/>
      </rPr>
      <t/>
    </r>
  </si>
  <si>
    <r>
      <t xml:space="preserve">     E</t>
    </r>
    <r>
      <rPr>
        <i/>
        <sz val="8"/>
        <rFont val="Arial"/>
        <family val="2"/>
      </rPr>
      <t>del,el,grid,9</t>
    </r>
    <r>
      <rPr>
        <sz val="11"/>
        <color theme="1"/>
        <rFont val="Calibri"/>
        <family val="2"/>
        <scheme val="minor"/>
      </rPr>
      <t/>
    </r>
  </si>
  <si>
    <r>
      <t xml:space="preserve">     E</t>
    </r>
    <r>
      <rPr>
        <i/>
        <sz val="8"/>
        <rFont val="Arial"/>
        <family val="2"/>
      </rPr>
      <t>del,el,grid,10</t>
    </r>
    <r>
      <rPr>
        <sz val="11"/>
        <color theme="1"/>
        <rFont val="Calibri"/>
        <family val="2"/>
        <scheme val="minor"/>
      </rPr>
      <t/>
    </r>
  </si>
  <si>
    <r>
      <t xml:space="preserve">     E</t>
    </r>
    <r>
      <rPr>
        <i/>
        <sz val="8"/>
        <rFont val="Arial"/>
        <family val="2"/>
      </rPr>
      <t>del,el,grid,11</t>
    </r>
    <r>
      <rPr>
        <sz val="11"/>
        <color theme="1"/>
        <rFont val="Calibri"/>
        <family val="2"/>
        <scheme val="minor"/>
      </rPr>
      <t/>
    </r>
  </si>
  <si>
    <r>
      <t xml:space="preserve">     E</t>
    </r>
    <r>
      <rPr>
        <i/>
        <sz val="8"/>
        <rFont val="Arial"/>
        <family val="2"/>
      </rPr>
      <t>del,el,grid,12</t>
    </r>
    <r>
      <rPr>
        <sz val="11"/>
        <color theme="1"/>
        <rFont val="Calibri"/>
        <family val="2"/>
        <scheme val="minor"/>
      </rPr>
      <t/>
    </r>
  </si>
  <si>
    <r>
      <t>E</t>
    </r>
    <r>
      <rPr>
        <b/>
        <i/>
        <sz val="8"/>
        <rFont val="Arial"/>
        <family val="2"/>
      </rPr>
      <t>exp,el,gridy</t>
    </r>
  </si>
  <si>
    <t>Grid exported electricity</t>
  </si>
  <si>
    <t>Grid exported PV electricity</t>
  </si>
  <si>
    <t>Grid exported CHP electricity</t>
  </si>
  <si>
    <t xml:space="preserve">PV,exp,used </t>
  </si>
  <si>
    <t>CHP,exp,grid</t>
  </si>
  <si>
    <t>PV,exp,grid</t>
  </si>
  <si>
    <t>del,grid</t>
  </si>
  <si>
    <t>PV,del,rdel</t>
  </si>
  <si>
    <t>CHP,del,rdel</t>
  </si>
  <si>
    <t>PV,del,used</t>
  </si>
  <si>
    <t>CHP,del,used</t>
  </si>
  <si>
    <t>PV exp,used</t>
  </si>
  <si>
    <t>CHP exp,used</t>
  </si>
  <si>
    <t>CHP,del,el,used</t>
  </si>
  <si>
    <t>PV del,el,used</t>
  </si>
  <si>
    <t>Exceeding energy</t>
  </si>
  <si>
    <t>Ren</t>
  </si>
  <si>
    <r>
      <t>f</t>
    </r>
    <r>
      <rPr>
        <sz val="8"/>
        <rFont val="Arial"/>
        <family val="2"/>
      </rPr>
      <t>P,ren</t>
    </r>
  </si>
  <si>
    <r>
      <t>E</t>
    </r>
    <r>
      <rPr>
        <sz val="8"/>
        <rFont val="Arial"/>
        <family val="2"/>
      </rPr>
      <t>P,ren</t>
    </r>
  </si>
  <si>
    <r>
      <t>f</t>
    </r>
    <r>
      <rPr>
        <sz val="8"/>
        <rFont val="Arial"/>
        <family val="2"/>
      </rPr>
      <t>P;nren,del;el,grid</t>
    </r>
  </si>
  <si>
    <r>
      <t>f</t>
    </r>
    <r>
      <rPr>
        <sz val="8"/>
        <rFont val="Arial"/>
        <family val="2"/>
      </rPr>
      <t>P;tot,exp,el,used;PV</t>
    </r>
  </si>
  <si>
    <r>
      <t>f</t>
    </r>
    <r>
      <rPr>
        <sz val="8"/>
        <rFont val="Arial"/>
        <family val="2"/>
      </rPr>
      <t>P;tot,exp,el,used;CHP</t>
    </r>
  </si>
  <si>
    <r>
      <t>f</t>
    </r>
    <r>
      <rPr>
        <sz val="8"/>
        <rFont val="Arial"/>
        <family val="2"/>
      </rPr>
      <t>P;tot,del;el,used,PV</t>
    </r>
  </si>
  <si>
    <r>
      <t>f</t>
    </r>
    <r>
      <rPr>
        <sz val="8"/>
        <rFont val="Arial"/>
        <family val="2"/>
      </rPr>
      <t>P;tot,del;el,used,CHP</t>
    </r>
  </si>
  <si>
    <r>
      <t>f</t>
    </r>
    <r>
      <rPr>
        <sz val="8"/>
        <rFont val="Arial"/>
        <family val="2"/>
      </rPr>
      <t>P;tot,del;el,rdel,PV</t>
    </r>
  </si>
  <si>
    <r>
      <t>f</t>
    </r>
    <r>
      <rPr>
        <sz val="8"/>
        <rFont val="Arial"/>
        <family val="2"/>
      </rPr>
      <t>P;tot,del;el,rdel,CHP</t>
    </r>
  </si>
  <si>
    <r>
      <t>f</t>
    </r>
    <r>
      <rPr>
        <i/>
        <sz val="8"/>
        <rFont val="Arial"/>
        <family val="2"/>
      </rPr>
      <t>P,nen</t>
    </r>
  </si>
  <si>
    <r>
      <t>f</t>
    </r>
    <r>
      <rPr>
        <sz val="8"/>
        <rFont val="Arial"/>
        <family val="2"/>
      </rPr>
      <t>P;ren,del;gas</t>
    </r>
  </si>
  <si>
    <r>
      <t>f</t>
    </r>
    <r>
      <rPr>
        <sz val="8"/>
        <rFont val="Arial"/>
        <family val="2"/>
      </rPr>
      <t>P;ren,del;oil</t>
    </r>
  </si>
  <si>
    <r>
      <t>f</t>
    </r>
    <r>
      <rPr>
        <sz val="8"/>
        <rFont val="Arial"/>
        <family val="2"/>
      </rPr>
      <t>P;ren,del;coal</t>
    </r>
  </si>
  <si>
    <r>
      <t>f</t>
    </r>
    <r>
      <rPr>
        <sz val="8"/>
        <rFont val="Arial"/>
        <family val="2"/>
      </rPr>
      <t>P;ren,del;wood</t>
    </r>
  </si>
  <si>
    <r>
      <t>f</t>
    </r>
    <r>
      <rPr>
        <sz val="8"/>
        <rFont val="Arial"/>
        <family val="2"/>
      </rPr>
      <t>P;ren,del;custom</t>
    </r>
  </si>
  <si>
    <r>
      <t>f</t>
    </r>
    <r>
      <rPr>
        <sz val="8"/>
        <rFont val="Arial"/>
        <family val="2"/>
      </rPr>
      <t>P;ren,del;DC</t>
    </r>
  </si>
  <si>
    <r>
      <t>f</t>
    </r>
    <r>
      <rPr>
        <sz val="8"/>
        <rFont val="Arial"/>
        <family val="2"/>
      </rPr>
      <t>P;ren,del;rej</t>
    </r>
  </si>
  <si>
    <r>
      <t>f</t>
    </r>
    <r>
      <rPr>
        <sz val="8"/>
        <rFont val="Arial"/>
        <family val="2"/>
      </rPr>
      <t>P;ren,del;el,grid</t>
    </r>
  </si>
  <si>
    <r>
      <t>f</t>
    </r>
    <r>
      <rPr>
        <sz val="8"/>
        <rFont val="Arial"/>
        <family val="2"/>
      </rPr>
      <t>P;ren,del;el,used,PV</t>
    </r>
  </si>
  <si>
    <r>
      <t>f</t>
    </r>
    <r>
      <rPr>
        <sz val="8"/>
        <rFont val="Arial"/>
        <family val="2"/>
      </rPr>
      <t>P;ren,del;el,rdel,PV</t>
    </r>
  </si>
  <si>
    <r>
      <t>f</t>
    </r>
    <r>
      <rPr>
        <sz val="8"/>
        <rFont val="Arial"/>
        <family val="2"/>
      </rPr>
      <t>P;ren,exp;el</t>
    </r>
  </si>
  <si>
    <r>
      <t>f</t>
    </r>
    <r>
      <rPr>
        <sz val="8"/>
        <rFont val="Arial"/>
        <family val="2"/>
      </rPr>
      <t>P;ren,exp;el;grid,PV</t>
    </r>
  </si>
  <si>
    <r>
      <t>f</t>
    </r>
    <r>
      <rPr>
        <sz val="8"/>
        <rFont val="Arial"/>
        <family val="2"/>
      </rPr>
      <t>P;ren,exp;el;grid,CHP</t>
    </r>
  </si>
  <si>
    <r>
      <t>f</t>
    </r>
    <r>
      <rPr>
        <sz val="8"/>
        <rFont val="Arial"/>
        <family val="2"/>
      </rPr>
      <t>P;ren,exp,el,temp;PV</t>
    </r>
  </si>
  <si>
    <r>
      <t>f</t>
    </r>
    <r>
      <rPr>
        <sz val="8"/>
        <rFont val="Arial"/>
        <family val="2"/>
      </rPr>
      <t>P;ren,exp,el,temp;CHP</t>
    </r>
  </si>
  <si>
    <r>
      <t>f</t>
    </r>
    <r>
      <rPr>
        <sz val="8"/>
        <rFont val="Arial"/>
        <family val="2"/>
      </rPr>
      <t>P;ren,exp,el,used;PV</t>
    </r>
  </si>
  <si>
    <r>
      <t>f</t>
    </r>
    <r>
      <rPr>
        <sz val="8"/>
        <rFont val="Arial"/>
        <family val="2"/>
      </rPr>
      <t>P;ren,exp,el,used;CHP</t>
    </r>
  </si>
  <si>
    <r>
      <t>f</t>
    </r>
    <r>
      <rPr>
        <sz val="8"/>
        <rFont val="Arial"/>
        <family val="2"/>
      </rPr>
      <t>P;ren,rdel;el</t>
    </r>
  </si>
  <si>
    <r>
      <t>f</t>
    </r>
    <r>
      <rPr>
        <sz val="8"/>
        <rFont val="Arial"/>
        <family val="2"/>
      </rPr>
      <t>P;ren,del;bmss</t>
    </r>
  </si>
  <si>
    <r>
      <t>f</t>
    </r>
    <r>
      <rPr>
        <sz val="8"/>
        <rFont val="Arial"/>
        <family val="2"/>
      </rPr>
      <t>P;ren,del;DH</t>
    </r>
  </si>
  <si>
    <r>
      <t>f</t>
    </r>
    <r>
      <rPr>
        <sz val="8"/>
        <rFont val="Arial"/>
        <family val="2"/>
      </rPr>
      <t>P;ren,del;env</t>
    </r>
  </si>
  <si>
    <r>
      <t>f</t>
    </r>
    <r>
      <rPr>
        <sz val="8"/>
        <rFont val="Arial"/>
        <family val="2"/>
      </rPr>
      <t>P;ren,del;el,used,CHP</t>
    </r>
  </si>
  <si>
    <r>
      <t>f</t>
    </r>
    <r>
      <rPr>
        <sz val="8"/>
        <rFont val="Arial"/>
        <family val="2"/>
      </rPr>
      <t>P;ren,del;el,rdel,CHP</t>
    </r>
  </si>
  <si>
    <t>PV del,el,rdel</t>
  </si>
  <si>
    <t>CHP,del,el,rdel</t>
  </si>
  <si>
    <t>Electric energy</t>
  </si>
  <si>
    <t xml:space="preserve">&lt;-- "Calculation  example" shall be selected </t>
  </si>
  <si>
    <t>This value shall be 4 to control values via the diagram --&gt;</t>
  </si>
  <si>
    <t>This is an input to EN 15603</t>
  </si>
  <si>
    <t>Auxiliary energy is collected to be an input of EN 15603</t>
  </si>
  <si>
    <t>Generation input and auxiliary energy are input data to EN 15603 calculation</t>
  </si>
  <si>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</si>
  <si>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t>Software name</t>
  </si>
  <si>
    <t>Operating conditions data</t>
  </si>
  <si>
    <t>Control type data</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</si>
  <si>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</si>
  <si>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</si>
  <si>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t>Constants and physical data</t>
  </si>
  <si>
    <t>Various</t>
  </si>
  <si>
    <t>Electricity input to the generator i for building service X (or combination of services) during calculation step t</t>
  </si>
  <si>
    <t>Auxiliary  energy input  to  subsystem  Y  for  building  service  X  (or  combination  of services) during calculation step t</t>
  </si>
  <si>
    <r>
      <t>W</t>
    </r>
    <r>
      <rPr>
        <i/>
        <sz val="8"/>
        <rFont val="Arial"/>
        <family val="2"/>
      </rPr>
      <t>X;Y;aux;t</t>
    </r>
  </si>
  <si>
    <r>
      <t>E</t>
    </r>
    <r>
      <rPr>
        <i/>
        <sz val="8"/>
        <rFont val="Arial"/>
        <family val="2"/>
      </rPr>
      <t>X,gen,i,in,el,t</t>
    </r>
  </si>
  <si>
    <t>0...∞</t>
  </si>
  <si>
    <r>
      <t>E</t>
    </r>
    <r>
      <rPr>
        <i/>
        <sz val="8"/>
        <rFont val="Arial"/>
        <family val="2"/>
      </rPr>
      <t>pr;el,j;t</t>
    </r>
  </si>
  <si>
    <t>On-site  electric  energy  produced  by  subsystem  j  (e.g.  combined  heat  and  power, photovoltaic or  wind power) during the calculation step</t>
  </si>
  <si>
    <t>Electric energy used in the building for non-EPB uses</t>
  </si>
  <si>
    <r>
      <t>E</t>
    </r>
    <r>
      <rPr>
        <i/>
        <sz val="8"/>
        <rFont val="Arial"/>
        <family val="2"/>
      </rPr>
      <t>nEPus;el;t</t>
    </r>
  </si>
  <si>
    <t>Energy  carrier  cr  input to the generator i for building service X during calculation  time-step t</t>
  </si>
  <si>
    <t>various</t>
  </si>
  <si>
    <t>fwe;del;cr;t</t>
  </si>
  <si>
    <t>Energy carrier to generator i for building service X</t>
  </si>
  <si>
    <t>LIST</t>
  </si>
  <si>
    <t>No</t>
  </si>
  <si>
    <t>Weighting factor for delivered energy carrier cr</t>
  </si>
  <si>
    <t>Yes/No</t>
  </si>
  <si>
    <r>
      <t>f</t>
    </r>
    <r>
      <rPr>
        <i/>
        <sz val="8"/>
        <rFont val="Arial"/>
        <family val="2"/>
      </rPr>
      <t>we;exp;el;tmp;t</t>
    </r>
  </si>
  <si>
    <r>
      <t>f</t>
    </r>
    <r>
      <rPr>
        <i/>
        <sz val="8"/>
        <rFont val="Arial"/>
        <family val="2"/>
      </rPr>
      <t>we;exp;el;grid;t</t>
    </r>
  </si>
  <si>
    <t>Weighting factor for exported electricity for non-EPB uses in the building</t>
  </si>
  <si>
    <r>
      <t>f</t>
    </r>
    <r>
      <rPr>
        <i/>
        <sz val="8"/>
        <rFont val="Arial"/>
        <family val="2"/>
      </rPr>
      <t>we;exp;el;used;nEPus,t</t>
    </r>
  </si>
  <si>
    <t>Exported energy evaluation factor</t>
  </si>
  <si>
    <r>
      <t>k</t>
    </r>
    <r>
      <rPr>
        <i/>
        <sz val="8"/>
        <rFont val="Arial"/>
        <family val="2"/>
      </rPr>
      <t>rdel</t>
    </r>
  </si>
  <si>
    <t>Temporary exported and redelivered energy evaluation factor</t>
  </si>
  <si>
    <t>Values</t>
  </si>
  <si>
    <t>Time step</t>
  </si>
  <si>
    <t>VALUE</t>
  </si>
  <si>
    <t>Weighting factor for temporary exported electricity</t>
  </si>
  <si>
    <t>Weighting factor for grid exported electricity</t>
  </si>
  <si>
    <t>energy needs</t>
  </si>
  <si>
    <t>TOT</t>
  </si>
  <si>
    <t>Row pointer</t>
  </si>
  <si>
    <t>Col pointer</t>
  </si>
  <si>
    <t>See comment</t>
  </si>
  <si>
    <t>Base_calc</t>
  </si>
  <si>
    <t>&lt;- data sheet</t>
  </si>
  <si>
    <t>&lt;-connected</t>
  </si>
  <si>
    <t xml:space="preserve">Thermal solar output to dhw </t>
  </si>
  <si>
    <r>
      <t>E</t>
    </r>
    <r>
      <rPr>
        <b/>
        <i/>
        <sz val="8"/>
        <rFont val="Arial"/>
        <family val="2"/>
      </rPr>
      <t>X;gen,i;in;cr;t</t>
    </r>
  </si>
  <si>
    <r>
      <t>GEN_CR</t>
    </r>
    <r>
      <rPr>
        <b/>
        <sz val="8"/>
        <rFont val="Arial"/>
        <family val="2"/>
      </rPr>
      <t>X;i</t>
    </r>
  </si>
  <si>
    <t>Energy carrier to solar</t>
  </si>
  <si>
    <t>This is NOT an input to EN 15603</t>
  </si>
  <si>
    <t>Selected fuel, includes biofuels here
This is an input to EN 15603</t>
  </si>
  <si>
    <t>Environmetal heat code</t>
  </si>
  <si>
    <t>Total electricity EPB uses</t>
  </si>
  <si>
    <t>EEPus;el;t</t>
  </si>
  <si>
    <t>Total non EPB uses</t>
  </si>
  <si>
    <t>Direct input from EN 13790</t>
  </si>
  <si>
    <t>Produced electricity</t>
  </si>
  <si>
    <r>
      <t>E</t>
    </r>
    <r>
      <rPr>
        <sz val="9"/>
        <color theme="1"/>
        <rFont val="Calibri"/>
        <family val="2"/>
        <scheme val="minor"/>
      </rPr>
      <t>pr;el;t</t>
    </r>
  </si>
  <si>
    <t>Matching factor</t>
  </si>
  <si>
    <t>fmatch</t>
  </si>
  <si>
    <t>used</t>
  </si>
  <si>
    <t>prod</t>
  </si>
  <si>
    <r>
      <t>E</t>
    </r>
    <r>
      <rPr>
        <sz val="9"/>
        <color theme="1"/>
        <rFont val="Calibri"/>
        <family val="2"/>
        <scheme val="minor"/>
      </rPr>
      <t>pr;el;used;EPus;t</t>
    </r>
  </si>
  <si>
    <t>Exported electricity</t>
  </si>
  <si>
    <r>
      <t>E</t>
    </r>
    <r>
      <rPr>
        <sz val="9"/>
        <color theme="1"/>
        <rFont val="Calibri"/>
        <family val="2"/>
        <scheme val="minor"/>
      </rPr>
      <t>exp;el;t</t>
    </r>
  </si>
  <si>
    <t>EPB produced and used electricity</t>
  </si>
  <si>
    <t>Exported for non EPB uses</t>
  </si>
  <si>
    <r>
      <t>E</t>
    </r>
    <r>
      <rPr>
        <sz val="9"/>
        <color theme="1"/>
        <rFont val="Calibri"/>
        <family val="2"/>
        <scheme val="minor"/>
      </rPr>
      <t>pr;el;used;nEPus;t</t>
    </r>
  </si>
  <si>
    <t>Exported non used, t</t>
  </si>
  <si>
    <r>
      <t>E</t>
    </r>
    <r>
      <rPr>
        <sz val="9"/>
        <color theme="1"/>
        <rFont val="Calibri"/>
        <family val="2"/>
        <scheme val="minor"/>
      </rPr>
      <t>exp;el;nused;t</t>
    </r>
  </si>
  <si>
    <t>Exported non used, year</t>
  </si>
  <si>
    <r>
      <t>E</t>
    </r>
    <r>
      <rPr>
        <sz val="9"/>
        <color theme="1"/>
        <rFont val="Calibri"/>
        <family val="2"/>
        <scheme val="minor"/>
      </rPr>
      <t>exp;el;nused;an</t>
    </r>
  </si>
  <si>
    <t>Delivered, t</t>
  </si>
  <si>
    <r>
      <t>E</t>
    </r>
    <r>
      <rPr>
        <sz val="9"/>
        <color theme="1"/>
        <rFont val="Calibri"/>
        <family val="2"/>
        <scheme val="minor"/>
      </rPr>
      <t>del;el;t</t>
    </r>
  </si>
  <si>
    <t>Delivered, year</t>
  </si>
  <si>
    <r>
      <t>E</t>
    </r>
    <r>
      <rPr>
        <sz val="9"/>
        <color theme="1"/>
        <rFont val="Calibri"/>
        <family val="2"/>
        <scheme val="minor"/>
      </rPr>
      <t>del;el;an</t>
    </r>
  </si>
  <si>
    <t>Yearly temporary exp</t>
  </si>
  <si>
    <r>
      <t>E</t>
    </r>
    <r>
      <rPr>
        <sz val="9"/>
        <color theme="1"/>
        <rFont val="Calibri"/>
        <family val="2"/>
        <scheme val="minor"/>
      </rPr>
      <t>exp;el;tmp;an</t>
    </r>
  </si>
  <si>
    <t>Temporary exported</t>
  </si>
  <si>
    <r>
      <t>E</t>
    </r>
    <r>
      <rPr>
        <sz val="9"/>
        <color theme="1"/>
        <rFont val="Calibri"/>
        <family val="2"/>
        <scheme val="minor"/>
      </rPr>
      <t>exp;el;tmp ;t</t>
    </r>
  </si>
  <si>
    <t>Redelivered</t>
  </si>
  <si>
    <r>
      <t>E</t>
    </r>
    <r>
      <rPr>
        <sz val="9"/>
        <color theme="1"/>
        <rFont val="Calibri"/>
        <family val="2"/>
        <scheme val="minor"/>
      </rPr>
      <t>del;el;rdel;t</t>
    </r>
  </si>
  <si>
    <t xml:space="preserve"> Grid exported, t</t>
  </si>
  <si>
    <r>
      <t>E</t>
    </r>
    <r>
      <rPr>
        <sz val="9"/>
        <color theme="1"/>
        <rFont val="Calibri"/>
        <family val="2"/>
        <scheme val="minor"/>
      </rPr>
      <t>exp;el;grid;t</t>
    </r>
  </si>
  <si>
    <t xml:space="preserve"> Grid exported, year</t>
  </si>
  <si>
    <r>
      <t>E</t>
    </r>
    <r>
      <rPr>
        <sz val="9"/>
        <color theme="1"/>
        <rFont val="Calibri"/>
        <family val="2"/>
        <scheme val="minor"/>
      </rPr>
      <t>exp;el;grid;an</t>
    </r>
  </si>
  <si>
    <t>Grid delivered, t</t>
  </si>
  <si>
    <r>
      <t>E</t>
    </r>
    <r>
      <rPr>
        <sz val="9"/>
        <color theme="1"/>
        <rFont val="Calibri"/>
        <family val="2"/>
        <scheme val="minor"/>
      </rPr>
      <t>del;el;grid;t</t>
    </r>
  </si>
  <si>
    <t>Grid delivered, year</t>
  </si>
  <si>
    <r>
      <t>E</t>
    </r>
    <r>
      <rPr>
        <sz val="9"/>
        <color theme="1"/>
        <rFont val="Calibri"/>
        <family val="2"/>
        <scheme val="minor"/>
      </rPr>
      <t>del;el;grid;an</t>
    </r>
  </si>
  <si>
    <t>Redelivered energy factor</t>
  </si>
  <si>
    <r>
      <t xml:space="preserve">Corrected </t>
    </r>
    <r>
      <rPr>
        <sz val="10"/>
        <rFont val="Arial"/>
        <family val="2"/>
      </rPr>
      <t>del. energy</t>
    </r>
  </si>
  <si>
    <r>
      <t>E</t>
    </r>
    <r>
      <rPr>
        <sz val="9"/>
        <color theme="1"/>
        <rFont val="Calibri"/>
        <family val="2"/>
        <scheme val="minor"/>
      </rPr>
      <t>del;el;t;corr</t>
    </r>
  </si>
  <si>
    <t>Copied input value for clarity</t>
  </si>
  <si>
    <t>This is the actual electricity delivered from the grid, following application of the krdel factor</t>
  </si>
  <si>
    <t>Corrected exported energy</t>
  </si>
  <si>
    <t>Grid exp. temp. exp. energy</t>
  </si>
  <si>
    <r>
      <t>E</t>
    </r>
    <r>
      <rPr>
        <sz val="9"/>
        <rFont val="Calibri"/>
        <family val="2"/>
        <scheme val="minor"/>
      </rPr>
      <t>exp;el;tmp;t;corr</t>
    </r>
  </si>
  <si>
    <t>prod/used</t>
  </si>
  <si>
    <t>Calculate weighted delivered energy</t>
  </si>
  <si>
    <t>CALCULATE ELECTRICITY BALANCE COMPONENTS</t>
  </si>
  <si>
    <t>Weighting factors for delivered energy</t>
  </si>
  <si>
    <t>You have selected:  Constant (time independent) EP factors</t>
  </si>
  <si>
    <t>Just a reminder of your selection</t>
  </si>
  <si>
    <t xml:space="preserve">Produced electricity </t>
  </si>
  <si>
    <t>fPren;pr;el,t</t>
  </si>
  <si>
    <t>fPnren;pr;el,t</t>
  </si>
  <si>
    <t xml:space="preserve">In the following equations are used twice: 
- once for renewable primary energy evaluation
- once for non renewable primary energy evaluation
The entire calculation shall be performed independently for each weighting criteria.
Values of krdel and kexp can also be different.
For the evaluation  according to all types of primary energy, values of krdel and kexp shall be the same </t>
  </si>
  <si>
    <t>This shall be calculated depending on production type and any priority.</t>
  </si>
  <si>
    <t>dh</t>
  </si>
  <si>
    <t>dc</t>
  </si>
  <si>
    <t xml:space="preserve">Grid exported electricity </t>
  </si>
  <si>
    <r>
      <t>f</t>
    </r>
    <r>
      <rPr>
        <sz val="8"/>
        <rFont val="Arial"/>
        <family val="2"/>
      </rPr>
      <t>P;nren,exp;el;grid</t>
    </r>
  </si>
  <si>
    <r>
      <t>f</t>
    </r>
    <r>
      <rPr>
        <sz val="8"/>
        <rFont val="Arial"/>
        <family val="2"/>
      </rPr>
      <t xml:space="preserve">P;nren,exp;el;tmp </t>
    </r>
  </si>
  <si>
    <t>el_tmp</t>
  </si>
  <si>
    <t>Temp. exported electricity</t>
  </si>
  <si>
    <t>Exp to non EPB uses</t>
  </si>
  <si>
    <r>
      <t>f</t>
    </r>
    <r>
      <rPr>
        <sz val="8"/>
        <rFont val="Arial"/>
        <family val="2"/>
      </rPr>
      <t>P;nren,exp;el;nEPus</t>
    </r>
  </si>
  <si>
    <t>el_nep</t>
  </si>
  <si>
    <r>
      <t>f</t>
    </r>
    <r>
      <rPr>
        <sz val="8"/>
        <rFont val="Arial"/>
        <family val="2"/>
      </rPr>
      <t>P;ren,exp;el;grid</t>
    </r>
  </si>
  <si>
    <r>
      <t>f</t>
    </r>
    <r>
      <rPr>
        <sz val="8"/>
        <rFont val="Arial"/>
        <family val="2"/>
      </rPr>
      <t xml:space="preserve">P;ren,exp;el;tmp </t>
    </r>
  </si>
  <si>
    <r>
      <t>f</t>
    </r>
    <r>
      <rPr>
        <sz val="8"/>
        <rFont val="Arial"/>
        <family val="2"/>
      </rPr>
      <t>P;ren,exp;el;nEPus</t>
    </r>
  </si>
  <si>
    <r>
      <t>f</t>
    </r>
    <r>
      <rPr>
        <sz val="8"/>
        <rFont val="Arial"/>
        <family val="2"/>
      </rPr>
      <t>P;tot,del;el,grid</t>
    </r>
  </si>
  <si>
    <r>
      <t>f</t>
    </r>
    <r>
      <rPr>
        <sz val="8"/>
        <rFont val="Arial"/>
        <family val="2"/>
      </rPr>
      <t>P;tot,exp;el;grid</t>
    </r>
  </si>
  <si>
    <r>
      <t>f</t>
    </r>
    <r>
      <rPr>
        <sz val="8"/>
        <rFont val="Arial"/>
        <family val="2"/>
      </rPr>
      <t xml:space="preserve">P;tot,exp;el;tmp </t>
    </r>
  </si>
  <si>
    <r>
      <t>f</t>
    </r>
    <r>
      <rPr>
        <sz val="8"/>
        <rFont val="Arial"/>
        <family val="2"/>
      </rPr>
      <t>P;tot,exp;el;nEPus</t>
    </r>
  </si>
  <si>
    <r>
      <t>K</t>
    </r>
    <r>
      <rPr>
        <sz val="8"/>
        <rFont val="Arial"/>
        <family val="2"/>
      </rPr>
      <t>CO2;del;env</t>
    </r>
  </si>
  <si>
    <r>
      <t>K</t>
    </r>
    <r>
      <rPr>
        <sz val="8"/>
        <rFont val="Arial"/>
        <family val="2"/>
      </rPr>
      <t>CO2;exp;el;grid</t>
    </r>
  </si>
  <si>
    <r>
      <t>K</t>
    </r>
    <r>
      <rPr>
        <sz val="8"/>
        <rFont val="Arial"/>
        <family val="2"/>
      </rPr>
      <t xml:space="preserve">CO2;exp;el;tmp </t>
    </r>
  </si>
  <si>
    <r>
      <t>K</t>
    </r>
    <r>
      <rPr>
        <sz val="8"/>
        <rFont val="Arial"/>
        <family val="2"/>
      </rPr>
      <t>CO2;exp;el;nEPus</t>
    </r>
  </si>
  <si>
    <t>pv</t>
  </si>
  <si>
    <r>
      <t>f</t>
    </r>
    <r>
      <rPr>
        <sz val="8"/>
        <rFont val="Arial"/>
        <family val="2"/>
      </rPr>
      <t>P;nren,del;pv</t>
    </r>
  </si>
  <si>
    <r>
      <t>f</t>
    </r>
    <r>
      <rPr>
        <sz val="8"/>
        <rFont val="Arial"/>
        <family val="2"/>
      </rPr>
      <t>P;ren,del;sol</t>
    </r>
  </si>
  <si>
    <r>
      <t>f</t>
    </r>
    <r>
      <rPr>
        <sz val="8"/>
        <rFont val="Arial"/>
        <family val="2"/>
      </rPr>
      <t>P;ren,del;pv</t>
    </r>
  </si>
  <si>
    <r>
      <t>f</t>
    </r>
    <r>
      <rPr>
        <sz val="8"/>
        <rFont val="Arial"/>
        <family val="2"/>
      </rPr>
      <t>P;tot,del;pv</t>
    </r>
  </si>
  <si>
    <r>
      <t>K</t>
    </r>
    <r>
      <rPr>
        <sz val="8"/>
        <rFont val="Arial"/>
        <family val="2"/>
      </rPr>
      <t>CO2;del;DC</t>
    </r>
  </si>
  <si>
    <r>
      <t>K</t>
    </r>
    <r>
      <rPr>
        <sz val="8"/>
        <rFont val="Arial"/>
        <family val="2"/>
      </rPr>
      <t>CO2;del;sol</t>
    </r>
  </si>
  <si>
    <r>
      <t>K</t>
    </r>
    <r>
      <rPr>
        <sz val="8"/>
        <rFont val="Arial"/>
        <family val="2"/>
      </rPr>
      <t>CO2;del;pv</t>
    </r>
  </si>
  <si>
    <t>WEIGHTING FACTORS</t>
  </si>
  <si>
    <t>Assumed constant but may be varying</t>
  </si>
  <si>
    <t>CO2 emission</t>
  </si>
  <si>
    <t>Values to be checked</t>
  </si>
  <si>
    <t>Given by addition of nren + ren</t>
  </si>
  <si>
    <t>Conversion factor, nren</t>
  </si>
  <si>
    <t>Primary energy, nren</t>
  </si>
  <si>
    <t>Primary energy, ren</t>
  </si>
  <si>
    <t>Edel;gas</t>
  </si>
  <si>
    <r>
      <t>f</t>
    </r>
    <r>
      <rPr>
        <sz val="8"/>
        <rFont val="Arial"/>
        <family val="2"/>
      </rPr>
      <t>Pnren,del;gas</t>
    </r>
  </si>
  <si>
    <t>Conversion factor, ren</t>
  </si>
  <si>
    <r>
      <t>f</t>
    </r>
    <r>
      <rPr>
        <sz val="8"/>
        <rFont val="Arial"/>
        <family val="2"/>
      </rPr>
      <t>Pren,del;gas</t>
    </r>
  </si>
  <si>
    <t>Edel;sol</t>
  </si>
  <si>
    <r>
      <t>f</t>
    </r>
    <r>
      <rPr>
        <sz val="8"/>
        <rFont val="Arial"/>
        <family val="2"/>
      </rPr>
      <t>Pnren,del;sol</t>
    </r>
  </si>
  <si>
    <r>
      <t>f</t>
    </r>
    <r>
      <rPr>
        <sz val="8"/>
        <rFont val="Arial"/>
        <family val="2"/>
      </rPr>
      <t>Pren,del;sol</t>
    </r>
  </si>
  <si>
    <t>Environment heat amount</t>
  </si>
  <si>
    <t>Edel;env</t>
  </si>
  <si>
    <r>
      <t>f</t>
    </r>
    <r>
      <rPr>
        <sz val="8"/>
        <rFont val="Arial"/>
        <family val="2"/>
      </rPr>
      <t>Pnren,del;env</t>
    </r>
  </si>
  <si>
    <r>
      <t>f</t>
    </r>
    <r>
      <rPr>
        <sz val="8"/>
        <rFont val="Arial"/>
        <family val="2"/>
      </rPr>
      <t>Pren,del;env</t>
    </r>
  </si>
  <si>
    <t>n</t>
  </si>
  <si>
    <t>k</t>
  </si>
  <si>
    <t>Corrected delivered electricity</t>
  </si>
  <si>
    <t>Table B.12</t>
  </si>
  <si>
    <t>prEN 15603 2015</t>
  </si>
  <si>
    <t>Copy of weighting factor (input data)</t>
  </si>
  <si>
    <t>Calculate weighted delivered energy (nren)</t>
  </si>
  <si>
    <t>Calculate weighted delivered energy (ren)</t>
  </si>
  <si>
    <t>Sum generation inputs with this carrier</t>
  </si>
  <si>
    <t>Recall delivered electric energy</t>
  </si>
  <si>
    <t>Ewe;del</t>
  </si>
  <si>
    <t>Delivered weighted energy (nren)</t>
  </si>
  <si>
    <t>Delivered weighted energy (ren)</t>
  </si>
  <si>
    <t>Calculate weighted exported energy according to the resources used to produce the exported energy (step A)</t>
  </si>
  <si>
    <t>Total weighted delivered energy (electricity + others)</t>
  </si>
  <si>
    <t>Produced electricity weighting factors</t>
  </si>
  <si>
    <t>Exp. For non EPB uses</t>
  </si>
  <si>
    <r>
      <t>E</t>
    </r>
    <r>
      <rPr>
        <sz val="9"/>
        <color theme="1"/>
        <rFont val="Calibri"/>
        <family val="2"/>
        <scheme val="minor"/>
      </rPr>
      <t>Pren;exp;el;tmp;A</t>
    </r>
  </si>
  <si>
    <r>
      <t>E</t>
    </r>
    <r>
      <rPr>
        <sz val="9"/>
        <color theme="1"/>
        <rFont val="Calibri"/>
        <family val="2"/>
        <scheme val="minor"/>
      </rPr>
      <t>Pnren;exp;el;tmp;A</t>
    </r>
  </si>
  <si>
    <t>Grid exp. electricity</t>
  </si>
  <si>
    <r>
      <t>E</t>
    </r>
    <r>
      <rPr>
        <sz val="9"/>
        <color theme="1"/>
        <rFont val="Calibri"/>
        <family val="2"/>
        <scheme val="minor"/>
      </rPr>
      <t>Pren;exp;el;grid;t;A</t>
    </r>
  </si>
  <si>
    <r>
      <t>E</t>
    </r>
    <r>
      <rPr>
        <sz val="9"/>
        <color theme="1"/>
        <rFont val="Calibri"/>
        <family val="2"/>
        <scheme val="minor"/>
      </rPr>
      <t>Pnren;exp;el;grid;t;A</t>
    </r>
  </si>
  <si>
    <t>Step A weighted exported</t>
  </si>
  <si>
    <r>
      <t>E</t>
    </r>
    <r>
      <rPr>
        <sz val="9"/>
        <color theme="1"/>
        <rFont val="Calibri"/>
        <family val="2"/>
        <scheme val="minor"/>
      </rPr>
      <t>Pren;exp;el;t;A</t>
    </r>
  </si>
  <si>
    <r>
      <t>E</t>
    </r>
    <r>
      <rPr>
        <sz val="9"/>
        <color theme="1"/>
        <rFont val="Calibri"/>
        <family val="2"/>
        <scheme val="minor"/>
      </rPr>
      <t>Pnren;exp;el;t;A</t>
    </r>
  </si>
  <si>
    <t xml:space="preserve">Exported for non EPBD uses </t>
  </si>
  <si>
    <r>
      <t>f</t>
    </r>
    <r>
      <rPr>
        <sz val="9"/>
        <color theme="1"/>
        <rFont val="Calibri"/>
        <family val="2"/>
        <scheme val="minor"/>
      </rPr>
      <t>Pren;exp;el;stepA,t</t>
    </r>
  </si>
  <si>
    <r>
      <t>f</t>
    </r>
    <r>
      <rPr>
        <sz val="9"/>
        <color theme="1"/>
        <rFont val="Calibri"/>
        <family val="2"/>
        <scheme val="minor"/>
      </rPr>
      <t>Pnren;exp;el;stepA,t</t>
    </r>
  </si>
  <si>
    <t xml:space="preserve">Step A weighting factor </t>
  </si>
  <si>
    <t>Weighted exported energy</t>
  </si>
  <si>
    <t>Step A EP;ren</t>
  </si>
  <si>
    <r>
      <t>E</t>
    </r>
    <r>
      <rPr>
        <b/>
        <sz val="10"/>
        <color theme="1"/>
        <rFont val="Calibri"/>
        <family val="2"/>
        <scheme val="minor"/>
      </rPr>
      <t>pren;A</t>
    </r>
  </si>
  <si>
    <t>Step A EP;nren</t>
  </si>
  <si>
    <r>
      <t>E</t>
    </r>
    <r>
      <rPr>
        <b/>
        <sz val="10"/>
        <color theme="1"/>
        <rFont val="Calibri"/>
        <family val="2"/>
        <scheme val="minor"/>
      </rPr>
      <t>pnren;A</t>
    </r>
  </si>
  <si>
    <t>Step A EP;tot</t>
  </si>
  <si>
    <r>
      <t>E</t>
    </r>
    <r>
      <rPr>
        <b/>
        <sz val="10"/>
        <color theme="1"/>
        <rFont val="Calibri"/>
        <family val="2"/>
        <scheme val="minor"/>
      </rPr>
      <t>ptot;A</t>
    </r>
  </si>
  <si>
    <t>STEP A balance</t>
  </si>
  <si>
    <t>Weighted delivered - weighted exported</t>
  </si>
  <si>
    <t>For information only</t>
  </si>
  <si>
    <t>Result if Kexp is set to 0 (e.g. calculation is stopped at step A)</t>
  </si>
  <si>
    <t>fPren;exp;el,t</t>
  </si>
  <si>
    <t>fPnren;exp;el,t</t>
  </si>
  <si>
    <t xml:space="preserve">Temporary exported </t>
  </si>
  <si>
    <t xml:space="preserve">Grid exported </t>
  </si>
  <si>
    <t>Take into account (or not) exported energy in the energy performance</t>
  </si>
  <si>
    <t>Weighting factors for exported energy</t>
  </si>
  <si>
    <t>INFO</t>
  </si>
  <si>
    <t>INPUT</t>
  </si>
  <si>
    <r>
      <t>f</t>
    </r>
    <r>
      <rPr>
        <sz val="8"/>
        <rFont val="Arial"/>
        <family val="2"/>
      </rPr>
      <t>Pnren,del;el</t>
    </r>
  </si>
  <si>
    <r>
      <t>f</t>
    </r>
    <r>
      <rPr>
        <sz val="8"/>
        <rFont val="Arial"/>
        <family val="2"/>
      </rPr>
      <t>Pren,del;el</t>
    </r>
  </si>
  <si>
    <r>
      <t>E</t>
    </r>
    <r>
      <rPr>
        <i/>
        <vertAlign val="subscript"/>
        <sz val="10"/>
        <rFont val="Arial"/>
        <family val="2"/>
      </rPr>
      <t>Pnren;del;gas</t>
    </r>
  </si>
  <si>
    <r>
      <t>E</t>
    </r>
    <r>
      <rPr>
        <i/>
        <vertAlign val="subscript"/>
        <sz val="10"/>
        <rFont val="Arial"/>
        <family val="2"/>
      </rPr>
      <t>Pren;del;gas</t>
    </r>
  </si>
  <si>
    <r>
      <t>E</t>
    </r>
    <r>
      <rPr>
        <i/>
        <vertAlign val="subscript"/>
        <sz val="10"/>
        <rFont val="Arial"/>
        <family val="2"/>
      </rPr>
      <t>Pnren;del;sol</t>
    </r>
  </si>
  <si>
    <r>
      <t>E</t>
    </r>
    <r>
      <rPr>
        <i/>
        <vertAlign val="subscript"/>
        <sz val="10"/>
        <rFont val="Arial"/>
        <family val="2"/>
      </rPr>
      <t>Pren;del;sol</t>
    </r>
  </si>
  <si>
    <r>
      <t>E</t>
    </r>
    <r>
      <rPr>
        <i/>
        <vertAlign val="subscript"/>
        <sz val="10"/>
        <rFont val="Arial"/>
        <family val="2"/>
      </rPr>
      <t>Pnren;del;env</t>
    </r>
  </si>
  <si>
    <r>
      <t>E</t>
    </r>
    <r>
      <rPr>
        <i/>
        <vertAlign val="subscript"/>
        <sz val="10"/>
        <rFont val="Arial"/>
        <family val="2"/>
      </rPr>
      <t>Pren;del;env</t>
    </r>
  </si>
  <si>
    <r>
      <t>E</t>
    </r>
    <r>
      <rPr>
        <i/>
        <vertAlign val="subscript"/>
        <sz val="10"/>
        <rFont val="Arial"/>
        <family val="2"/>
      </rPr>
      <t>Pnren;del;el</t>
    </r>
  </si>
  <si>
    <r>
      <t>E</t>
    </r>
    <r>
      <rPr>
        <i/>
        <vertAlign val="subscript"/>
        <sz val="10"/>
        <rFont val="Arial"/>
        <family val="2"/>
      </rPr>
      <t>Pren;del;el</t>
    </r>
  </si>
  <si>
    <r>
      <t>E</t>
    </r>
    <r>
      <rPr>
        <sz val="6"/>
        <color theme="1"/>
        <rFont val="Calibri"/>
        <family val="2"/>
        <scheme val="minor"/>
      </rPr>
      <t>Pren;exp;el;used;nePus;t;AB</t>
    </r>
  </si>
  <si>
    <r>
      <t>E</t>
    </r>
    <r>
      <rPr>
        <sz val="6"/>
        <color theme="1"/>
        <rFont val="Calibri"/>
        <family val="2"/>
        <scheme val="minor"/>
      </rPr>
      <t>Pnren;exp;el;used;nePus;t;AB</t>
    </r>
  </si>
  <si>
    <t>Grid exp. temp. exp. Energy</t>
  </si>
  <si>
    <r>
      <t>E</t>
    </r>
    <r>
      <rPr>
        <sz val="9"/>
        <color theme="1"/>
        <rFont val="Calibri"/>
        <family val="2"/>
        <scheme val="minor"/>
      </rPr>
      <t>Pren;exp;el;tmp;AB</t>
    </r>
  </si>
  <si>
    <r>
      <t>E</t>
    </r>
    <r>
      <rPr>
        <sz val="9"/>
        <color theme="1"/>
        <rFont val="Calibri"/>
        <family val="2"/>
        <scheme val="minor"/>
      </rPr>
      <t>Pnren;exp;el;tmp;AB</t>
    </r>
  </si>
  <si>
    <r>
      <t>E</t>
    </r>
    <r>
      <rPr>
        <sz val="9"/>
        <color theme="1"/>
        <rFont val="Calibri"/>
        <family val="2"/>
        <scheme val="minor"/>
      </rPr>
      <t>Pren;exp;el;grid;t;AB</t>
    </r>
  </si>
  <si>
    <r>
      <t>E</t>
    </r>
    <r>
      <rPr>
        <sz val="9"/>
        <color theme="1"/>
        <rFont val="Calibri"/>
        <family val="2"/>
        <scheme val="minor"/>
      </rPr>
      <t>Pnren;exp;el;grid;t;AB</t>
    </r>
  </si>
  <si>
    <t>Weighted exp. inclusion</t>
  </si>
  <si>
    <r>
      <t>E</t>
    </r>
    <r>
      <rPr>
        <sz val="9"/>
        <color theme="1"/>
        <rFont val="Calibri"/>
        <family val="2"/>
        <scheme val="minor"/>
      </rPr>
      <t>Pren;exp;el;t;AB</t>
    </r>
  </si>
  <si>
    <r>
      <t>E</t>
    </r>
    <r>
      <rPr>
        <sz val="9"/>
        <color theme="1"/>
        <rFont val="Calibri"/>
        <family val="2"/>
        <scheme val="minor"/>
      </rPr>
      <t>Pnren;exp;el;t;AB</t>
    </r>
  </si>
  <si>
    <t>The above equations may also be broken in the following way</t>
  </si>
  <si>
    <t>STEP B "cost"</t>
  </si>
  <si>
    <t>STEP B "benefit"</t>
  </si>
  <si>
    <r>
      <t>E</t>
    </r>
    <r>
      <rPr>
        <i/>
        <sz val="9"/>
        <color theme="1"/>
        <rFont val="Calibri"/>
        <family val="2"/>
        <scheme val="minor"/>
      </rPr>
      <t>Pren;exp;el;t;AB</t>
    </r>
  </si>
  <si>
    <r>
      <t>E</t>
    </r>
    <r>
      <rPr>
        <i/>
        <sz val="9"/>
        <color theme="1"/>
        <rFont val="Calibri"/>
        <family val="2"/>
        <scheme val="minor"/>
      </rPr>
      <t>Pnren;exp;el;t;AB</t>
    </r>
  </si>
  <si>
    <t>These equations are 19-20-21 rearranged</t>
  </si>
  <si>
    <t>with the three positive and 3 negative</t>
  </si>
  <si>
    <t>terms together</t>
  </si>
  <si>
    <t>Exported energy factor</t>
  </si>
  <si>
    <r>
      <t>k</t>
    </r>
    <r>
      <rPr>
        <b/>
        <sz val="10"/>
        <color theme="1"/>
        <rFont val="Calibri"/>
        <family val="2"/>
        <scheme val="minor"/>
      </rPr>
      <t>exp</t>
    </r>
  </si>
  <si>
    <t>Including the exported energy into the energy performance</t>
  </si>
  <si>
    <t>Weighted exported</t>
  </si>
  <si>
    <t>EPren;exp;el;t</t>
  </si>
  <si>
    <t>EPnren;exp;el;t</t>
  </si>
  <si>
    <t>FINAL CALCULATION RESULT  (Weighted energy performance)</t>
  </si>
  <si>
    <t>Weighted EP</t>
  </si>
  <si>
    <t xml:space="preserve">EPnren </t>
  </si>
  <si>
    <t xml:space="preserve">EPtot </t>
  </si>
  <si>
    <t>Renewable energy ratio</t>
  </si>
  <si>
    <t>Total yearly output data</t>
  </si>
  <si>
    <t>Weighted energy performance</t>
  </si>
  <si>
    <t>Ewe</t>
  </si>
  <si>
    <t>M1-4</t>
  </si>
  <si>
    <r>
      <t>E</t>
    </r>
    <r>
      <rPr>
        <i/>
        <sz val="8"/>
        <rFont val="Arial"/>
        <family val="2"/>
      </rPr>
      <t>Pnren</t>
    </r>
  </si>
  <si>
    <r>
      <t>E</t>
    </r>
    <r>
      <rPr>
        <i/>
        <sz val="8"/>
        <rFont val="Arial"/>
        <family val="2"/>
      </rPr>
      <t>Pren</t>
    </r>
  </si>
  <si>
    <r>
      <t>E</t>
    </r>
    <r>
      <rPr>
        <i/>
        <sz val="8"/>
        <rFont val="Arial"/>
        <family val="2"/>
      </rPr>
      <t>Ptot</t>
    </r>
  </si>
  <si>
    <r>
      <t>-∞...</t>
    </r>
    <r>
      <rPr>
        <sz val="10"/>
        <rFont val="Calibri"/>
        <family val="2"/>
      </rPr>
      <t>∞</t>
    </r>
  </si>
  <si>
    <t>Non renewable primary energy weighting</t>
  </si>
  <si>
    <t>Renewable primary energy weighting</t>
  </si>
  <si>
    <t>Total primary energy weighting</t>
  </si>
  <si>
    <t>Yearly output data per service or per building zone</t>
  </si>
  <si>
    <t>Weighted energy performance per service</t>
  </si>
  <si>
    <t xml:space="preserve">Weighted energy performance per zone </t>
  </si>
  <si>
    <t>Weighted energy performance per service and zone</t>
  </si>
  <si>
    <r>
      <t>E</t>
    </r>
    <r>
      <rPr>
        <b/>
        <i/>
        <sz val="8"/>
        <rFont val="Arial"/>
        <family val="2"/>
      </rPr>
      <t>we;X</t>
    </r>
  </si>
  <si>
    <r>
      <t>E</t>
    </r>
    <r>
      <rPr>
        <b/>
        <i/>
        <sz val="8"/>
        <rFont val="Arial"/>
        <family val="2"/>
      </rPr>
      <t>we;z,i</t>
    </r>
  </si>
  <si>
    <r>
      <t>E</t>
    </r>
    <r>
      <rPr>
        <b/>
        <i/>
        <sz val="8"/>
        <rFont val="Arial"/>
        <family val="2"/>
      </rPr>
      <t>we;X;z,i</t>
    </r>
  </si>
  <si>
    <r>
      <t>E</t>
    </r>
    <r>
      <rPr>
        <i/>
        <sz val="8"/>
        <rFont val="Arial"/>
        <family val="2"/>
      </rPr>
      <t>pnren;X</t>
    </r>
  </si>
  <si>
    <r>
      <t>E</t>
    </r>
    <r>
      <rPr>
        <i/>
        <sz val="8"/>
        <rFont val="Arial"/>
        <family val="2"/>
      </rPr>
      <t>Pren;X</t>
    </r>
  </si>
  <si>
    <r>
      <t>E</t>
    </r>
    <r>
      <rPr>
        <i/>
        <sz val="8"/>
        <rFont val="Arial"/>
        <family val="2"/>
      </rPr>
      <t>Ptot;X</t>
    </r>
  </si>
  <si>
    <t>RER;X</t>
  </si>
  <si>
    <r>
      <t>E</t>
    </r>
    <r>
      <rPr>
        <i/>
        <sz val="8"/>
        <rFont val="Arial"/>
        <family val="2"/>
      </rPr>
      <t>pnren;z,i</t>
    </r>
  </si>
  <si>
    <r>
      <t>E</t>
    </r>
    <r>
      <rPr>
        <i/>
        <sz val="8"/>
        <rFont val="Arial"/>
        <family val="2"/>
      </rPr>
      <t>Pren;z,i</t>
    </r>
  </si>
  <si>
    <r>
      <t>E</t>
    </r>
    <r>
      <rPr>
        <i/>
        <sz val="8"/>
        <rFont val="Arial"/>
        <family val="2"/>
      </rPr>
      <t>Ptot;z,i</t>
    </r>
  </si>
  <si>
    <t>RER;z,i</t>
  </si>
  <si>
    <r>
      <t>E</t>
    </r>
    <r>
      <rPr>
        <i/>
        <sz val="8"/>
        <rFont val="Arial"/>
        <family val="2"/>
      </rPr>
      <t>pnren;X;z,i</t>
    </r>
  </si>
  <si>
    <r>
      <t>E</t>
    </r>
    <r>
      <rPr>
        <i/>
        <sz val="8"/>
        <rFont val="Arial"/>
        <family val="2"/>
      </rPr>
      <t>Pren;X;z,i</t>
    </r>
  </si>
  <si>
    <r>
      <t>E</t>
    </r>
    <r>
      <rPr>
        <i/>
        <sz val="8"/>
        <rFont val="Arial"/>
        <family val="2"/>
      </rPr>
      <t>Ptot;X;z,i</t>
    </r>
  </si>
  <si>
    <t>RER;X;z,i</t>
  </si>
  <si>
    <t>&lt;-- factor controlling "sharpness" of the correlation</t>
  </si>
  <si>
    <t>x</t>
  </si>
  <si>
    <t>List all productions by type e.g. el_PV, el_wind, el_CHP, el_CHPren, etc,</t>
  </si>
  <si>
    <t>OTHER RESULTS MIGHT BE THE UNWEIGHTED DELIVERED ENERGY BY ENERGY CARRIER AND BY SERVICE</t>
  </si>
  <si>
    <t>&lt;-- factor controlling the minimum value at 1 (1-K/2)</t>
  </si>
  <si>
    <t>Qualifier</t>
  </si>
  <si>
    <t>Name of the data set</t>
  </si>
  <si>
    <t>EN 15603 : 2008</t>
  </si>
  <si>
    <t>Qualifier: type of use</t>
  </si>
  <si>
    <t>Qualifier: energy carrier</t>
  </si>
  <si>
    <t>el_aux</t>
  </si>
  <si>
    <t>&lt;-- Insert here the name of each set</t>
  </si>
  <si>
    <t>COST weighting factors</t>
  </si>
  <si>
    <t>Cdel;gas</t>
  </si>
  <si>
    <t>Cdel;oil</t>
  </si>
  <si>
    <t>Cdel;coal</t>
  </si>
  <si>
    <t>Cdel;wood</t>
  </si>
  <si>
    <t>Cdel;bmss</t>
  </si>
  <si>
    <t>Cdel;custom</t>
  </si>
  <si>
    <t>Cdel;DH</t>
  </si>
  <si>
    <t>Cdel;DC</t>
  </si>
  <si>
    <t>Cdel;sol</t>
  </si>
  <si>
    <t>Cdel;pv</t>
  </si>
  <si>
    <t>Cdel;env</t>
  </si>
  <si>
    <t>Cdel;el</t>
  </si>
  <si>
    <t>Cexp;el;grid</t>
  </si>
  <si>
    <t xml:space="preserve">Cexp;el;tmp </t>
  </si>
  <si>
    <t>Cexp;el;nEPus</t>
  </si>
  <si>
    <t>Unit conversion factor</t>
  </si>
  <si>
    <t>Current equation.
No distinction between electric energy uses</t>
  </si>
  <si>
    <t>Main input to generators</t>
  </si>
  <si>
    <t>Auxiliary energy use</t>
  </si>
  <si>
    <t>Joule effect use</t>
  </si>
  <si>
    <t>el_joule</t>
  </si>
  <si>
    <t>el_nEPB</t>
  </si>
  <si>
    <t>Current equation.
No distinction between production types</t>
  </si>
  <si>
    <t>PV production</t>
  </si>
  <si>
    <t>Cogenerated electricity</t>
  </si>
  <si>
    <t>el_pv</t>
  </si>
  <si>
    <t>el_chp</t>
  </si>
  <si>
    <r>
      <t>E</t>
    </r>
    <r>
      <rPr>
        <sz val="9"/>
        <color theme="1"/>
        <rFont val="Calibri"/>
        <family val="2"/>
        <scheme val="minor"/>
      </rPr>
      <t>pr;el;pv;t</t>
    </r>
  </si>
  <si>
    <r>
      <t>E</t>
    </r>
    <r>
      <rPr>
        <sz val="9"/>
        <color theme="1"/>
        <rFont val="Calibri"/>
        <family val="2"/>
        <scheme val="minor"/>
      </rPr>
      <t>pr;el;chp;t</t>
    </r>
  </si>
  <si>
    <r>
      <t>E</t>
    </r>
    <r>
      <rPr>
        <i/>
        <sz val="9"/>
        <color theme="1"/>
        <rFont val="Calibri"/>
        <family val="2"/>
        <scheme val="minor"/>
      </rPr>
      <t>nEPus;el;t</t>
    </r>
  </si>
  <si>
    <t>Only PV production</t>
  </si>
  <si>
    <t>Only CHP production</t>
  </si>
  <si>
    <t>take into account matching factor?</t>
  </si>
  <si>
    <t>This is a possible default matching factor function.</t>
  </si>
  <si>
    <t>Perfect match is assumed when production and use are strongly unbalanced</t>
  </si>
  <si>
    <t>Minimum match is assumed when production and use are the same value</t>
  </si>
  <si>
    <t>Matching is relative: it is the quota of the minimum of the two.</t>
  </si>
  <si>
    <t>The example in the calculattion is with k=1 and n=1</t>
  </si>
  <si>
    <t xml:space="preserve">Draft spreadsheet, according to template for all EPB standards </t>
  </si>
  <si>
    <t>Concerns EPB standard:</t>
  </si>
  <si>
    <t>DISCLAIMER:</t>
  </si>
  <si>
    <r>
      <t>·</t>
    </r>
    <r>
      <rPr>
        <sz val="7"/>
        <rFont val="Times New Roman"/>
        <family val="1"/>
      </rPr>
      <t xml:space="preserve">         </t>
    </r>
    <r>
      <rPr>
        <sz val="10"/>
        <rFont val="Arial"/>
        <family val="2"/>
      </rPr>
      <t xml:space="preserve">This spreadsheet has been developed in the framework of the preparation and revision of the set of EN or ISO standards on the energy performance of buildings, to support the European "Energy Performance of Buildings Directive" recast (EPBD-recast, directive 2010/31/EU). </t>
    </r>
  </si>
  <si>
    <r>
      <t>·</t>
    </r>
    <r>
      <rPr>
        <sz val="7"/>
        <rFont val="Times New Roman"/>
        <family val="1"/>
      </rPr>
      <t xml:space="preserve">         </t>
    </r>
    <r>
      <rPr>
        <sz val="10"/>
        <rFont val="Arial"/>
        <family val="2"/>
      </rPr>
      <t>It is meant for use by  CEN and ISO technical committee(s) and the working group(s) working on the preparation or revision of the EPB-standard to which this spreadsheet applies. The spreadsheet supports checking  that all equations in the developed standard are consistent and can be linked with other relevant standards. It is not meant to perform a full or partial energy performance calculation.</t>
    </r>
  </si>
  <si>
    <r>
      <t>·</t>
    </r>
    <r>
      <rPr>
        <sz val="7"/>
        <rFont val="Times New Roman"/>
        <family val="1"/>
      </rPr>
      <t xml:space="preserve">         </t>
    </r>
    <r>
      <rPr>
        <sz val="10"/>
        <rFont val="Arial"/>
        <family val="2"/>
      </rPr>
      <t>The spreadsheet supports the expert user of the standards, in particular those who want to review the content of the standard and those who want to translate the standard to a software, to understand the correct interpretation of the equations and calculation steps in the standard.</t>
    </r>
  </si>
  <si>
    <r>
      <t>·</t>
    </r>
    <r>
      <rPr>
        <sz val="7"/>
        <rFont val="Times New Roman"/>
        <family val="1"/>
      </rPr>
      <t xml:space="preserve">         </t>
    </r>
    <r>
      <rPr>
        <sz val="10"/>
        <rFont val="Arial"/>
        <family val="2"/>
      </rPr>
      <t>Although it has been developed with care, neither the technical committee(s), nor the working group(s) and experts related to the EPB- standard to which this spreadsheet applies warrant that the calculations and procedures in this spreadsheet are free of errors. The technical committees as well as the working groups and their respective members expressly disclaim any liability or responsibility arising from use of this spreadsheet, or any consequences thereof. Any responsibility arising from the use of this spreadsheet lies with the user.</t>
    </r>
  </si>
  <si>
    <t>DRAFT VERSION:</t>
  </si>
  <si>
    <r>
      <t>·</t>
    </r>
    <r>
      <rPr>
        <sz val="7"/>
        <rFont val="Times New Roman"/>
        <family val="1"/>
      </rPr>
      <t xml:space="preserve">         </t>
    </r>
    <r>
      <rPr>
        <sz val="10"/>
        <rFont val="Arial"/>
        <family val="2"/>
      </rPr>
      <t>As long as the associated EPB standard or any of the other EPB standards to which it is directly linked are in a draft stage, this spreadsheet is also a draft version only.</t>
    </r>
  </si>
  <si>
    <t xml:space="preserve">WARNINGS: </t>
  </si>
  <si>
    <r>
      <t>·</t>
    </r>
    <r>
      <rPr>
        <sz val="7"/>
        <rFont val="Times New Roman"/>
        <family val="1"/>
      </rPr>
      <t xml:space="preserve">         </t>
    </r>
    <r>
      <rPr>
        <sz val="10"/>
        <rFont val="Arial"/>
        <family val="2"/>
      </rPr>
      <t xml:space="preserve">Note that the spreadsheet may not allow testing all calculation options that are possible according to the standard to which it applies. This remark applies in particular but not only to limitations on the number instances of a variable that can be considered. </t>
    </r>
  </si>
  <si>
    <r>
      <t>·</t>
    </r>
    <r>
      <rPr>
        <sz val="7"/>
        <rFont val="Times New Roman"/>
        <family val="1"/>
      </rPr>
      <t xml:space="preserve">         </t>
    </r>
    <r>
      <rPr>
        <sz val="10"/>
        <rFont val="Arial"/>
        <family val="2"/>
      </rPr>
      <t>In case of differences, the standard should be regarded as the reference, not the spreadsheet. However, during the standard's drafting phase, shortcomings in the draft standard may have been detected and dealt with in the spreadsheets (ideally, such differences are marked).</t>
    </r>
  </si>
  <si>
    <r>
      <t>·</t>
    </r>
    <r>
      <rPr>
        <sz val="7"/>
        <rFont val="Times New Roman"/>
        <family val="1"/>
      </rPr>
      <t xml:space="preserve">         </t>
    </r>
    <r>
      <rPr>
        <sz val="10"/>
        <rFont val="Arial"/>
        <family val="2"/>
      </rPr>
      <t xml:space="preserve">Note also that these spreadsheets are purely intended for testing and demonstration and therefore not aiming to be user friendly or to be protected against wrong or improper use. </t>
    </r>
  </si>
  <si>
    <t>TERMS OF USE:</t>
  </si>
  <si>
    <r>
      <t>·</t>
    </r>
    <r>
      <rPr>
        <sz val="7"/>
        <rFont val="Times New Roman"/>
        <family val="1"/>
      </rPr>
      <t xml:space="preserve">         </t>
    </r>
    <r>
      <rPr>
        <sz val="10"/>
        <rFont val="Arial"/>
        <family val="2"/>
      </rPr>
      <t>The user is not allowed to redistribute a modified version of this spreadsheet.</t>
    </r>
  </si>
  <si>
    <r>
      <t>·</t>
    </r>
    <r>
      <rPr>
        <sz val="7"/>
        <rFont val="Times New Roman"/>
        <family val="1"/>
      </rPr>
      <t xml:space="preserve">         </t>
    </r>
    <r>
      <rPr>
        <sz val="10"/>
        <rFont val="Arial"/>
        <family val="2"/>
      </rPr>
      <t>The author(s) would appreciate your feed back on the spreadsheet via the comment sheets for the associated draft standard to be prepared by the national standards bodies during enquiry of the draft standard(s),</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</si>
  <si>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</si>
  <si>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spreadsheet?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</si>
  <si>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r>
      <rPr>
        <b/>
        <i/>
        <sz val="10"/>
        <rFont val="Arial"/>
        <family val="2"/>
      </rPr>
      <t xml:space="preserve">Method_input
</t>
    </r>
    <r>
      <rPr>
        <sz val="10"/>
        <rFont val="Arial"/>
        <family val="2"/>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</si>
  <si>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</si>
  <si>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color rgb="FFFF0000"/>
        <rFont val="Arial"/>
        <family val="2"/>
      </rPr>
      <t>THIS SHEET IS REQUIRED TO DEMONSTRATE THE AVAILABLE DATA OUTPUT.</t>
    </r>
  </si>
  <si>
    <t>ISO/WD 52000-1, Energy performance of buildings — Overarching EPB assessment – Part 1: General framework and procedures</t>
  </si>
  <si>
    <t>THIS SHEET HAS ADDITIONAL FEATURES THAT ARE CURRENTLY BEING DEVELOPED
The calculation is repeated for multiple time steps. There is one column per time step.
Weighting factors are concentrated in the sheet "ConvFactors"
A temporary dummy matching function was defined in the sheet "Fmatch"
The calculation will be linked to a diagram (sheet "Diagram") via an interface sheet ("Base calc")
The sheet will be multi-lingual - Currently only English is supported
Next releases will be more complete.</t>
  </si>
  <si>
    <t>Green: checked and valid</t>
  </si>
  <si>
    <t>Yellow: fitting exactly</t>
  </si>
  <si>
    <t>Red: to be checked, just provisional</t>
  </si>
  <si>
    <t>ELECTRICITY USE AND PRODUCTION SUMMARY</t>
  </si>
  <si>
    <t>Text</t>
  </si>
  <si>
    <t>Cogenerator electric energy allocation factor</t>
  </si>
  <si>
    <t>aw</t>
  </si>
  <si>
    <t>-1…1</t>
  </si>
  <si>
    <t>CHP electricity allocation factor</t>
  </si>
  <si>
    <t>aW</t>
  </si>
  <si>
    <t>CHP input</t>
  </si>
  <si>
    <t>Copied here for clarity</t>
  </si>
  <si>
    <r>
      <t>f</t>
    </r>
    <r>
      <rPr>
        <sz val="8"/>
        <rFont val="Arial"/>
        <family val="2"/>
      </rPr>
      <t>Pnren,del;chp</t>
    </r>
  </si>
  <si>
    <r>
      <t>f</t>
    </r>
    <r>
      <rPr>
        <sz val="8"/>
        <rFont val="Arial"/>
        <family val="2"/>
      </rPr>
      <t>Pren,del;chp</t>
    </r>
  </si>
  <si>
    <t>Cogenerator auxiiary energy</t>
  </si>
  <si>
    <t>WHW,chp,aux</t>
  </si>
  <si>
    <t>Weighted energy input</t>
  </si>
  <si>
    <r>
      <t>E</t>
    </r>
    <r>
      <rPr>
        <sz val="9"/>
        <color theme="1"/>
        <rFont val="Calibri"/>
        <family val="2"/>
        <scheme val="minor"/>
      </rPr>
      <t>Pnren;in;chp</t>
    </r>
  </si>
  <si>
    <r>
      <t>E</t>
    </r>
    <r>
      <rPr>
        <sz val="9"/>
        <color theme="1"/>
        <rFont val="Calibri"/>
        <family val="2"/>
        <scheme val="minor"/>
      </rPr>
      <t>Pren;in;chp</t>
    </r>
  </si>
  <si>
    <r>
      <t>f</t>
    </r>
    <r>
      <rPr>
        <sz val="9"/>
        <color theme="1"/>
        <rFont val="Calibri"/>
        <family val="2"/>
        <scheme val="minor"/>
      </rPr>
      <t>Pnren;exp;el;stepA;pv;t</t>
    </r>
  </si>
  <si>
    <r>
      <t>f</t>
    </r>
    <r>
      <rPr>
        <sz val="9"/>
        <color theme="1"/>
        <rFont val="Calibri"/>
        <family val="2"/>
        <scheme val="minor"/>
      </rPr>
      <t>Pren;exp;el;stepA;pv;t</t>
    </r>
  </si>
  <si>
    <t>Weighting factors for CHP el.</t>
  </si>
  <si>
    <t>Weighting factors for PV el.</t>
  </si>
  <si>
    <t>Weighted energy input allocated to electricity</t>
  </si>
  <si>
    <r>
      <t>E</t>
    </r>
    <r>
      <rPr>
        <sz val="9"/>
        <color theme="1"/>
        <rFont val="Calibri"/>
        <family val="2"/>
        <scheme val="minor"/>
      </rPr>
      <t>Pnren;in;chp;el</t>
    </r>
  </si>
  <si>
    <r>
      <t>E</t>
    </r>
    <r>
      <rPr>
        <sz val="9"/>
        <color theme="1"/>
        <rFont val="Calibri"/>
        <family val="2"/>
        <scheme val="minor"/>
      </rPr>
      <t>Pren;in;chp;el</t>
    </r>
  </si>
  <si>
    <t>Repeated for clarity</t>
  </si>
  <si>
    <t>Priority selection</t>
  </si>
  <si>
    <t>Priority for produced electricity</t>
  </si>
  <si>
    <t>Used electricity</t>
  </si>
  <si>
    <t>Level 1 production</t>
  </si>
  <si>
    <t>Level 1 used</t>
  </si>
  <si>
    <t>Still to be used</t>
  </si>
  <si>
    <t>Level 2 production</t>
  </si>
  <si>
    <t>Level 2 used</t>
  </si>
  <si>
    <t>Without priority</t>
  </si>
  <si>
    <t>CHP used</t>
  </si>
  <si>
    <t>PV used</t>
  </si>
  <si>
    <t>CHP usable</t>
  </si>
  <si>
    <t>PV usable</t>
  </si>
  <si>
    <t>CHP exported</t>
  </si>
  <si>
    <t>PV exported</t>
  </si>
  <si>
    <t>CHP production fraction</t>
  </si>
  <si>
    <t>PV production fraction</t>
  </si>
  <si>
    <t>Really exported</t>
  </si>
  <si>
    <t>Sum of exported</t>
  </si>
  <si>
    <t>Selected text for combo boxes</t>
  </si>
  <si>
    <t>Listing all uses by type e.g. "el" (main), "el_aux", "el_Joule", "el_nEPus", etc</t>
  </si>
  <si>
    <t>Names are repeated here to have the combo working</t>
  </si>
  <si>
    <t>Choose your language at sheet "Language"</t>
  </si>
  <si>
    <r>
      <t>f</t>
    </r>
    <r>
      <rPr>
        <i/>
        <sz val="8"/>
        <rFont val="Arial"/>
        <family val="2"/>
      </rPr>
      <t>Pnren</t>
    </r>
  </si>
  <si>
    <t>Please select here the desired weighting factor data set</t>
  </si>
  <si>
    <t>Put the name of your set in row 5 (yellow cell)</t>
  </si>
  <si>
    <t>Please fill in one column for each weighting factor set you wish to use</t>
  </si>
  <si>
    <t>Currency unit</t>
  </si>
  <si>
    <t>€</t>
  </si>
  <si>
    <t>Electricity from nearby</t>
  </si>
  <si>
    <r>
      <t>f</t>
    </r>
    <r>
      <rPr>
        <sz val="8"/>
        <rFont val="Arial"/>
        <family val="2"/>
      </rPr>
      <t>Pnren;del;oil</t>
    </r>
  </si>
  <si>
    <t>Nearby</t>
  </si>
  <si>
    <t>Distant</t>
  </si>
  <si>
    <t>RER calculation (renewable energy)</t>
  </si>
  <si>
    <t>On-site</t>
  </si>
  <si>
    <t>Selected set</t>
  </si>
  <si>
    <t>Please select here the desired perimeter choice</t>
  </si>
  <si>
    <t>RER calculation (total energy)</t>
  </si>
  <si>
    <t>EP calculation (delivered energy)</t>
  </si>
  <si>
    <t>Perim</t>
  </si>
  <si>
    <t>dist</t>
  </si>
  <si>
    <t>nrby</t>
  </si>
  <si>
    <t>onst</t>
  </si>
  <si>
    <t>Please select here the desired priority set</t>
  </si>
  <si>
    <t>Please fill in one column for each priority option set you wish to use</t>
  </si>
  <si>
    <t>Krdel</t>
  </si>
  <si>
    <t>Kexp</t>
  </si>
  <si>
    <t>Epr;el;lvl,1;t</t>
  </si>
  <si>
    <t>Piority level 1</t>
  </si>
  <si>
    <t>Piority level 2</t>
  </si>
  <si>
    <t>Piority level 3</t>
  </si>
  <si>
    <t>If first set to "NONE", other not relevant</t>
  </si>
  <si>
    <t>Piority level 1 - EL_EXP_PRIO_LEVEL_1</t>
  </si>
  <si>
    <t>Piority level 2 - EL_EXP_PRIO_LEVEL_2</t>
  </si>
  <si>
    <t>Piority level 3 - EL_EXP_PRIO_LEVEL_3</t>
  </si>
  <si>
    <t>EL_EXP_PRIO_LEVEL_1</t>
  </si>
  <si>
    <t>EL_EXP_PRIO_LEVEL_2</t>
  </si>
  <si>
    <t>EL_EXP_PRIO_LEVEL_3</t>
  </si>
  <si>
    <t>TO be added</t>
  </si>
  <si>
    <t>Annex E calculation</t>
  </si>
  <si>
    <t>Result with perimeter = ALL - Filter to be added</t>
  </si>
  <si>
    <t>Ratio produced/used, t</t>
  </si>
  <si>
    <t>Matching factor, t</t>
  </si>
  <si>
    <t>Please select if you want to take into account a matching factor</t>
  </si>
  <si>
    <t xml:space="preserve">Sample matching factor: </t>
  </si>
  <si>
    <t>with  x = Epr;el/EEPus;el, k=1 and n=1</t>
  </si>
  <si>
    <t>See sheet "Fmatch"</t>
  </si>
  <si>
    <t>Use sample matching factor or not</t>
  </si>
  <si>
    <t>Take into account matching factor?</t>
  </si>
  <si>
    <t>See "National options" sheet</t>
  </si>
  <si>
    <t>See "ConvFactors" sheet</t>
  </si>
  <si>
    <t>M3-8-3</t>
  </si>
  <si>
    <t>M3-8-2</t>
  </si>
  <si>
    <t>M3-8-4</t>
  </si>
  <si>
    <t>M3-8-1</t>
  </si>
  <si>
    <t>M4-8-1</t>
  </si>
  <si>
    <t>Simulated input</t>
  </si>
  <si>
    <t>List</t>
  </si>
  <si>
    <t>n.a</t>
  </si>
  <si>
    <t>M4-8</t>
  </si>
  <si>
    <t>M3-X</t>
  </si>
  <si>
    <t>M8-X</t>
  </si>
  <si>
    <t>M4-X</t>
  </si>
  <si>
    <t>M9-1</t>
  </si>
  <si>
    <t>M2-1</t>
  </si>
  <si>
    <t>M5-1</t>
  </si>
  <si>
    <t>Immediate use</t>
  </si>
  <si>
    <t>case list below for selection</t>
  </si>
  <si>
    <t>EPB</t>
  </si>
  <si>
    <t>Selected example case (see sheet "Base_calc"):</t>
  </si>
  <si>
    <t>Available fuels</t>
  </si>
  <si>
    <t>Table A/B.24 – Energy carrier identifiers and perimeter</t>
  </si>
  <si>
    <t xml:space="preserve">Table A/B.25 - Weighting factors (based on gross or net calorific value) </t>
  </si>
  <si>
    <t>Identifier</t>
  </si>
  <si>
    <t>Perimeter</t>
  </si>
  <si>
    <t>Energy carrier description…</t>
  </si>
  <si>
    <t>Energy carrier identifier</t>
  </si>
  <si>
    <t>Energy carrier perimeter</t>
  </si>
  <si>
    <t xml:space="preserve">Note: for clarity and ease of comparison, the format of this table is not the same as in the standard: 
there is one table here for each column in the standard </t>
  </si>
  <si>
    <t>el_nrby</t>
  </si>
  <si>
    <t>Electricity from nearby (to be used as an example)</t>
  </si>
  <si>
    <t>Oil</t>
  </si>
  <si>
    <t>Edel;oil</t>
  </si>
  <si>
    <r>
      <t>f</t>
    </r>
    <r>
      <rPr>
        <sz val="8"/>
        <rFont val="Arial"/>
        <family val="2"/>
      </rPr>
      <t>Pnren,del;oil</t>
    </r>
  </si>
  <si>
    <r>
      <t>f</t>
    </r>
    <r>
      <rPr>
        <sz val="8"/>
        <rFont val="Arial"/>
        <family val="2"/>
      </rPr>
      <t>Pren,del;oil</t>
    </r>
  </si>
  <si>
    <r>
      <t>E</t>
    </r>
    <r>
      <rPr>
        <i/>
        <vertAlign val="subscript"/>
        <sz val="10"/>
        <rFont val="Arial"/>
        <family val="2"/>
      </rPr>
      <t>Pnren;del;oil</t>
    </r>
  </si>
  <si>
    <r>
      <t>E</t>
    </r>
    <r>
      <rPr>
        <i/>
        <vertAlign val="subscript"/>
        <sz val="10"/>
        <rFont val="Arial"/>
        <family val="2"/>
      </rPr>
      <t>Pren;del;oil</t>
    </r>
  </si>
  <si>
    <t xml:space="preserve">Gas </t>
  </si>
  <si>
    <t>EP_nren</t>
  </si>
  <si>
    <t>EP_ren</t>
  </si>
  <si>
    <t>Edel;cr,j</t>
  </si>
  <si>
    <r>
      <t>f</t>
    </r>
    <r>
      <rPr>
        <sz val="8"/>
        <rFont val="Arial"/>
        <family val="2"/>
      </rPr>
      <t>Pnren,del;cr,j</t>
    </r>
  </si>
  <si>
    <r>
      <t>f</t>
    </r>
    <r>
      <rPr>
        <sz val="8"/>
        <rFont val="Arial"/>
        <family val="2"/>
      </rPr>
      <t>Pren,del;cr,j</t>
    </r>
  </si>
  <si>
    <r>
      <t>E</t>
    </r>
    <r>
      <rPr>
        <i/>
        <vertAlign val="subscript"/>
        <sz val="10"/>
        <rFont val="Arial"/>
        <family val="2"/>
      </rPr>
      <t>Pnren;del;cr,j</t>
    </r>
  </si>
  <si>
    <r>
      <t>E</t>
    </r>
    <r>
      <rPr>
        <i/>
        <vertAlign val="subscript"/>
        <sz val="10"/>
        <rFont val="Arial"/>
        <family val="2"/>
      </rPr>
      <t>Pren;del;cr,j</t>
    </r>
  </si>
  <si>
    <r>
      <t>f</t>
    </r>
    <r>
      <rPr>
        <sz val="8"/>
        <rFont val="Arial"/>
        <family val="2"/>
      </rPr>
      <t>Pnren,del;pv</t>
    </r>
  </si>
  <si>
    <r>
      <t>f</t>
    </r>
    <r>
      <rPr>
        <sz val="8"/>
        <rFont val="Arial"/>
        <family val="2"/>
      </rPr>
      <t>Pren,del;pv</t>
    </r>
  </si>
  <si>
    <r>
      <t>E</t>
    </r>
    <r>
      <rPr>
        <i/>
        <vertAlign val="subscript"/>
        <sz val="10"/>
        <rFont val="Arial"/>
        <family val="2"/>
      </rPr>
      <t>Pnren;del;pv</t>
    </r>
  </si>
  <si>
    <r>
      <t>E</t>
    </r>
    <r>
      <rPr>
        <i/>
        <vertAlign val="subscript"/>
        <sz val="10"/>
        <rFont val="Arial"/>
        <family val="2"/>
      </rPr>
      <t>Pren;del;pv</t>
    </r>
  </si>
  <si>
    <t>Weighted delivered energy of non exported energy carriers</t>
  </si>
  <si>
    <r>
      <t>E</t>
    </r>
    <r>
      <rPr>
        <i/>
        <vertAlign val="subscript"/>
        <sz val="10"/>
        <rFont val="Arial"/>
        <family val="2"/>
      </rPr>
      <t>Pnren;del;nexp</t>
    </r>
  </si>
  <si>
    <r>
      <t>E</t>
    </r>
    <r>
      <rPr>
        <i/>
        <vertAlign val="subscript"/>
        <sz val="10"/>
        <rFont val="Arial"/>
        <family val="2"/>
      </rPr>
      <t>Pren;del;nexp</t>
    </r>
  </si>
  <si>
    <t>PV deliverd energy</t>
  </si>
  <si>
    <t>Delivered PV energy</t>
  </si>
  <si>
    <t>PV carrier code</t>
  </si>
  <si>
    <t>Epv,del</t>
  </si>
  <si>
    <t>&lt;-- Pointer, do not change these values</t>
  </si>
  <si>
    <t>Edel;PV</t>
  </si>
  <si>
    <t>Level 3 production</t>
  </si>
  <si>
    <t>Level 3 used</t>
  </si>
  <si>
    <t>el_wind</t>
  </si>
  <si>
    <t>For further development</t>
  </si>
  <si>
    <t>Other generation</t>
  </si>
  <si>
    <t>This distinction  ay be used to select which uses may be covered by on-site electricity production. This feature is not yet implemented in this spreadsheet</t>
  </si>
  <si>
    <t>This distinction is used for priority. 
It can be used also in connection with electricity uses.</t>
  </si>
  <si>
    <r>
      <t xml:space="preserve">This is not calculated in the standard procedure. It is the actual grid exported energy, after application of krdel factor.
</t>
    </r>
    <r>
      <rPr>
        <b/>
        <sz val="10"/>
        <color rgb="FFFF0000"/>
        <rFont val="Arial"/>
        <family val="2"/>
      </rPr>
      <t>IT HAS TO BE CALCULATED INDEED TO DETERMINE THE ELECTRICITY EXPORTED AT EACH TIME STEP.</t>
    </r>
  </si>
  <si>
    <t>Calculate the total weighted deliverd enrgy for non exported energy carriers</t>
  </si>
  <si>
    <t>See clause 9.8.6.2.2</t>
  </si>
  <si>
    <t>el_none</t>
  </si>
  <si>
    <t>Wind useble</t>
  </si>
  <si>
    <t>WIND exported</t>
  </si>
  <si>
    <t>Wind electricity</t>
  </si>
  <si>
    <r>
      <t>E</t>
    </r>
    <r>
      <rPr>
        <sz val="9"/>
        <color theme="1"/>
        <rFont val="Calibri"/>
        <family val="2"/>
        <scheme val="minor"/>
      </rPr>
      <t>pr;el;wind;t</t>
    </r>
  </si>
  <si>
    <t>Wind used</t>
  </si>
  <si>
    <t>Wind production fraction</t>
  </si>
  <si>
    <t>Wind exported</t>
  </si>
  <si>
    <t>Weighting factors for wind el</t>
  </si>
  <si>
    <t>Weighting factors for wind  to be added</t>
  </si>
  <si>
    <t>Select electricity production for level 1</t>
  </si>
  <si>
    <t>Select electricity production for level 2</t>
  </si>
  <si>
    <t>Select electricity production for level 3</t>
  </si>
  <si>
    <t>Start iteration</t>
  </si>
  <si>
    <t>This is exported anyway</t>
  </si>
  <si>
    <t>Parse used electricity (not in the standard, just for xls )</t>
  </si>
  <si>
    <t>Matching factor, if any, is already in Epr;el;used;Epus,t</t>
  </si>
  <si>
    <t>Selection of the actual value</t>
  </si>
  <si>
    <t>Just for XLS working</t>
  </si>
  <si>
    <r>
      <t xml:space="preserve">RER 
</t>
    </r>
    <r>
      <rPr>
        <sz val="10"/>
        <color rgb="FFFF0000"/>
        <rFont val="Arial"/>
        <family val="2"/>
      </rPr>
      <t>(EXAMPLE, RER including all perimeters,
 filter will be added)</t>
    </r>
  </si>
  <si>
    <t>Old assessment: it was done independently. Kept pro memoria</t>
  </si>
  <si>
    <t>End of new spreadsheet</t>
  </si>
  <si>
    <t>RESULTS OF THE EN 15603 CALCULATION</t>
  </si>
  <si>
    <t>Calculation according to method input, output and calculatio sheets</t>
  </si>
  <si>
    <t>yellow: input data</t>
  </si>
  <si>
    <t>File name</t>
  </si>
  <si>
    <t>Note: the filter according to perimeter for RER and energy performance is not yet active</t>
  </si>
  <si>
    <r>
      <t xml:space="preserve">Please fill in one column for each perimeter choice you wish to use: </t>
    </r>
    <r>
      <rPr>
        <b/>
        <sz val="10"/>
        <rFont val="Arial"/>
        <family val="2"/>
      </rPr>
      <t>1 = included -- 0 = excluded</t>
    </r>
  </si>
  <si>
    <t>PV, Wind and CHP are available in this sheet</t>
  </si>
  <si>
    <t xml:space="preserve">Please select here the desired parameter set </t>
  </si>
  <si>
    <t>Please fill in one column for each paramter set you wish to use</t>
  </si>
  <si>
    <t>Selection logic - Don't change!</t>
  </si>
  <si>
    <t>Language translation table</t>
  </si>
  <si>
    <t>&lt;-- Not yet functional</t>
  </si>
  <si>
    <t>NOTE: weighting supported: primary energy only for now</t>
  </si>
  <si>
    <t>(2)</t>
  </si>
  <si>
    <t>(3)</t>
  </si>
  <si>
    <t>(4)</t>
  </si>
  <si>
    <t>(5)</t>
  </si>
  <si>
    <t>(7)</t>
  </si>
  <si>
    <t>(8)</t>
  </si>
  <si>
    <t>(9)</t>
  </si>
  <si>
    <t>EEPus;el;left;t,1</t>
  </si>
  <si>
    <t>(10)</t>
  </si>
  <si>
    <t>EEPus;el;left;t,2</t>
  </si>
  <si>
    <t>(11)</t>
  </si>
  <si>
    <t>Epr;el;lvl,2;t</t>
  </si>
  <si>
    <t xml:space="preserve">Epr;el;lvl,1;usmax;t </t>
  </si>
  <si>
    <t xml:space="preserve">Epr;el;lvl,2;usmax;t </t>
  </si>
  <si>
    <t>EEPus;el;left;t,3</t>
  </si>
  <si>
    <t>Epr;el;lvl,3;t</t>
  </si>
  <si>
    <t xml:space="preserve">Epr;el;lvl,3;usmax;t </t>
  </si>
  <si>
    <t>EEPus;el;left;t</t>
  </si>
  <si>
    <t>(12)</t>
  </si>
  <si>
    <t>(13)</t>
  </si>
  <si>
    <t>(14)</t>
  </si>
  <si>
    <t>(15)</t>
  </si>
  <si>
    <t xml:space="preserve">Epr;el;pv;used;t </t>
  </si>
  <si>
    <t xml:space="preserve">Epr;el;chp;used;t </t>
  </si>
  <si>
    <t xml:space="preserve">Epr;el;wind;used;t </t>
  </si>
  <si>
    <t xml:space="preserve">Eexp;el;pv;t </t>
  </si>
  <si>
    <t xml:space="preserve">Eexp;chp;pv;t </t>
  </si>
  <si>
    <t xml:space="preserve">Eexp;wind;pv;t </t>
  </si>
  <si>
    <t>Referred to production type instead of priority level</t>
  </si>
  <si>
    <t xml:space="preserve">Epr;el;pv;usmax;t </t>
  </si>
  <si>
    <t xml:space="preserve">Epr;el;chp;usmax;t </t>
  </si>
  <si>
    <t xml:space="preserve">Epr;el;wind;usmax;t </t>
  </si>
  <si>
    <t>Parsing values according to prod. Type</t>
  </si>
  <si>
    <t>fpr;el;pv</t>
  </si>
  <si>
    <t>fpr;el;wind</t>
  </si>
  <si>
    <t>fpr;el;chp</t>
  </si>
  <si>
    <t xml:space="preserve">Eexp;el;t </t>
  </si>
  <si>
    <t>(16)</t>
  </si>
  <si>
    <t>Sum of exported to check if correct</t>
  </si>
  <si>
    <t>(17)</t>
  </si>
  <si>
    <t>(19)</t>
  </si>
  <si>
    <t>(20)</t>
  </si>
  <si>
    <r>
      <t>E</t>
    </r>
    <r>
      <rPr>
        <sz val="6"/>
        <color theme="1"/>
        <rFont val="Arial Narrow"/>
        <family val="2"/>
      </rPr>
      <t>Pnren;exp;el;used;nePus;t;A</t>
    </r>
  </si>
  <si>
    <r>
      <t>E</t>
    </r>
    <r>
      <rPr>
        <sz val="6"/>
        <color theme="1"/>
        <rFont val="Arial Narrow"/>
        <family val="2"/>
      </rPr>
      <t>Pren;exp;el;used;nePus;t;A</t>
    </r>
  </si>
  <si>
    <t>(21)</t>
  </si>
  <si>
    <t>Electricity available for use outside the building</t>
  </si>
  <si>
    <t>Weighted electricity available for use outside the building</t>
  </si>
  <si>
    <t>Eexp;el;avl,t</t>
  </si>
  <si>
    <t>EPnren;exp;el;avl,t</t>
  </si>
  <si>
    <t>EPren;exp;el;avl,t</t>
  </si>
  <si>
    <t>(22)</t>
  </si>
  <si>
    <t>To be added in the standard</t>
  </si>
  <si>
    <t>To be added here: weighting by CO2 or cost</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</si>
  <si>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</si>
  <si>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</si>
  <si>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</si>
  <si>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</si>
  <si>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</si>
  <si>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</si>
  <si>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</si>
  <si>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</si>
  <si>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</si>
  <si>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</si>
  <si>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</si>
  <si>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</si>
  <si>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</si>
  <si>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</si>
  <si>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</si>
  <si>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</si>
  <si>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</si>
  <si>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</si>
  <si>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</si>
  <si>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</si>
  <si>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</si>
  <si>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</si>
  <si>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</si>
  <si>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</si>
  <si>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</si>
  <si>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</si>
  <si>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</si>
  <si>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 + (51)</t>
  </si>
  <si>
    <t>(51)</t>
  </si>
  <si>
    <t>(50) (part)</t>
  </si>
  <si>
    <t>(50)</t>
  </si>
  <si>
    <t>EEPus;el;gen;t</t>
  </si>
  <si>
    <t>EEPus;el;aux;t</t>
  </si>
  <si>
    <t>EEPus;el;joule,t</t>
  </si>
  <si>
    <t>Main electric input to generators</t>
  </si>
  <si>
    <t>Auxiliary enrgy</t>
  </si>
  <si>
    <t xml:space="preserve">Electricity used to produce direct heat </t>
  </si>
  <si>
    <r>
      <t>k</t>
    </r>
    <r>
      <rPr>
        <b/>
        <sz val="9"/>
        <color theme="1"/>
        <rFont val="Calibri"/>
        <family val="2"/>
        <scheme val="minor"/>
      </rPr>
      <t>rdel</t>
    </r>
  </si>
  <si>
    <r>
      <t>k</t>
    </r>
    <r>
      <rPr>
        <b/>
        <i/>
        <sz val="10"/>
        <rFont val="Arial"/>
        <family val="2"/>
      </rPr>
      <t>exp</t>
    </r>
  </si>
  <si>
    <t xml:space="preserve">TO BE COMPLETED </t>
  </si>
  <si>
    <t>This is not a calculation in the standard</t>
  </si>
  <si>
    <t>This is an equivalent calculation for demonstration purpose</t>
  </si>
  <si>
    <t>M4-8-2</t>
  </si>
  <si>
    <t>EPren</t>
  </si>
  <si>
    <t>-- Not yet functional --</t>
  </si>
  <si>
    <t>Sheet: INFO</t>
  </si>
  <si>
    <t>This sheet. It starts with a description of all sheets. Then a simple procedure is given to use the spreadsheet</t>
  </si>
  <si>
    <t>Sheet: Language</t>
  </si>
  <si>
    <t>It will contain the strings to have the spreadsheet translated into other languages.
It is currently not working. The strings will be updated after completion.</t>
  </si>
  <si>
    <t>Sheet: Diagram new</t>
  </si>
  <si>
    <t>This sheet displays graphically the values of the needs, input/outputs of generation devices, electric erngy flow.
The up/down buttons allow to change the input data of the calculation. This feature works only if the correct base calculation is selected.</t>
  </si>
  <si>
    <t>The display of results will be connected later.</t>
  </si>
  <si>
    <t>Sheet: Base calculation</t>
  </si>
  <si>
    <t>This sheet contains the definition of the input data to ISO 52001. It acts as an interface to the grphical display in Diagram_New sheet.</t>
  </si>
  <si>
    <r>
      <t xml:space="preserve">Three fixed data set can be defined in columns K to M.
</t>
    </r>
    <r>
      <rPr>
        <b/>
        <sz val="10"/>
        <rFont val="Arial"/>
        <family val="2"/>
      </rPr>
      <t>The "case shown" combo</t>
    </r>
    <r>
      <rPr>
        <sz val="10"/>
        <rFont val="Arial"/>
        <family val="2"/>
      </rPr>
      <t xml:space="preserve"> at row 6, column C selects which case is used for the calculation in the following sheets.
 The 3 test cases cannot be influenced by the graphic interface.
The fourth selection of the combo is the currently displayed case on the graphical interface (sheet Diagram_New)</t>
    </r>
  </si>
  <si>
    <r>
      <t xml:space="preserve">Columns R to AC are used to define and store 12 test cases that can be displayed and controlled via the graphic interface (Diagram_New sheet)
The </t>
    </r>
    <r>
      <rPr>
        <b/>
        <sz val="10"/>
        <rFont val="Arial"/>
        <family val="2"/>
      </rPr>
      <t>"calculation example shown" combo</t>
    </r>
    <r>
      <rPr>
        <sz val="10"/>
        <rFont val="Arial"/>
        <family val="2"/>
      </rPr>
      <t xml:space="preserve"> at row 9 column D controls which test case is displayed.
The test case on the graphic interface is used in the calcualtion only if the previous conmbo is set on the 4th case.</t>
    </r>
  </si>
  <si>
    <t>Sheet: National options</t>
  </si>
  <si>
    <t xml:space="preserve">Table A-B.31 - Priority for generation system, export </t>
  </si>
  <si>
    <t>Table A-B.35 - krdel and kexp factors</t>
  </si>
  <si>
    <t>Table A-B.33 - matching factor</t>
  </si>
  <si>
    <t xml:space="preserve">Table A-B.21 — Perimeter choice </t>
  </si>
  <si>
    <t>Options about priority for export, krdel and kexp factors, matching factor and perimeters are selected in this sheet.</t>
  </si>
  <si>
    <t xml:space="preserve">Use the "custom" option to specify your priority for electricity export. </t>
  </si>
  <si>
    <t>Sheet: ConvFactors</t>
  </si>
  <si>
    <t>Weighting factors are input in this sheet. Several weighting factor sets can be defined in columns J to P. Then use the combo box to select one.</t>
  </si>
  <si>
    <t>Only non-renewable and renewable primary energy weighting is active now.</t>
  </si>
  <si>
    <t>NOTE: for most data of the test case, 12 values are required because the calculation is repeated 12 times.</t>
  </si>
  <si>
    <t>The calculation is repeated for 12 calculation intervals to demonstrate interactione between time intervals.</t>
  </si>
  <si>
    <t>Columns G to R contain the data for each calculation interval</t>
  </si>
  <si>
    <t xml:space="preserve">Column S contains the data for the calculation period </t>
  </si>
  <si>
    <t>Column T contains relevant identifiers for the calculation</t>
  </si>
  <si>
    <t>All data are connected to other sheets. Data can be input manuallly here but this would disrupt the spreadsheet.</t>
  </si>
  <si>
    <t>Columns E to P contain the data for each calculation interval</t>
  </si>
  <si>
    <t xml:space="preserve">Column Q contains the data for the calculation period </t>
  </si>
  <si>
    <t>Column R contains relevant identifiers for the calculation</t>
  </si>
  <si>
    <r>
      <t xml:space="preserve">All data are connected to the sheet </t>
    </r>
    <r>
      <rPr>
        <b/>
        <sz val="10"/>
        <color rgb="FFFF0000"/>
        <rFont val="Arial"/>
        <family val="2"/>
      </rPr>
      <t>method input</t>
    </r>
    <r>
      <rPr>
        <sz val="10"/>
        <color rgb="FFFF0000"/>
        <rFont val="Arial"/>
        <family val="2"/>
      </rPr>
      <t>. Do not change any data manually here since this would disrupt the spreadsheet.</t>
    </r>
  </si>
  <si>
    <t>This sheet contains the input for the calculation.</t>
  </si>
  <si>
    <t>This sheet contains the calculation sequence.</t>
  </si>
  <si>
    <t>This sheet demonstrates the order inwhich equations in the standard shall be used.</t>
  </si>
  <si>
    <t>Sheet: Method_output</t>
  </si>
  <si>
    <t>Sheet: Method_calculation</t>
  </si>
  <si>
    <t>Sheet: Method_input</t>
  </si>
  <si>
    <t>This sheet contains the calulation results</t>
  </si>
  <si>
    <t>Results per service and per building part are not yet available. They are demonstrated in a dedicated spread-sheet</t>
  </si>
  <si>
    <t>Sheet: Fmatch</t>
  </si>
  <si>
    <t>This sheet contains a sample function for the matching factor</t>
  </si>
  <si>
    <t>Sheet: History</t>
  </si>
  <si>
    <t>Story of the development of this spreadsheet.</t>
  </si>
  <si>
    <t>Prepared for II Penq</t>
  </si>
  <si>
    <t>Aligned to ISO DIS 52001-1</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</si>
</sst>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
    <numFmt numFmtId="165" formatCode="0.0"/>
    <numFmt numFmtId="166" formatCode="0.0%"/>
    <numFmt numFmtId="167" formatCode="#,##0.0"/>
    <numFmt numFmtId="168" formatCode="#,##0\ &quot;kWh&quot;"/>
    <numFmt numFmtId="169" formatCode="#,##0.000"/>
    <numFmt numFmtId="170" formatCode="_-* #,##0.00\ [$€-1]_-;\-* #,##0.00\ [$€-1]_-;_-* &quot;-&quot;??\ [$€-1]_-"/>
  </numFmts>
  <fonts count="92" x14ac:knownFonts="1">
    <font>
      <sz val="10"/>
      <name val="Arial"/>
    </font>
    <font>
      <sz val="11"/>
      <color theme="1"/>
      <name val="Calibri"/>
      <family val="2"/>
      <scheme val="minor"/>
    </font>
    <font>
      <sz val="11"/>
      <color theme="1"/>
      <name val="Calibri"/>
      <family val="2"/>
      <scheme val="minor"/>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sz val="10"/>
      <name val="Calibri"/>
      <family val="2"/>
    </font>
    <font>
      <b/>
      <sz val="11"/>
      <name val="Arial"/>
      <family val="2"/>
    </font>
    <font>
      <b/>
      <i/>
      <sz val="10"/>
      <name val="Arial"/>
      <family val="2"/>
    </font>
    <font>
      <sz val="8"/>
      <name val="Arial"/>
      <family val="2"/>
    </font>
    <font>
      <b/>
      <sz val="14"/>
      <name val="Arial"/>
      <family val="2"/>
    </font>
    <font>
      <sz val="9"/>
      <name val="Arial"/>
      <family val="2"/>
    </font>
    <font>
      <i/>
      <sz val="9"/>
      <name val="Arial"/>
      <family val="2"/>
    </font>
    <font>
      <i/>
      <vertAlign val="subscript"/>
      <sz val="10"/>
      <name val="Arial"/>
      <family val="2"/>
    </font>
    <font>
      <sz val="10"/>
      <color indexed="10"/>
      <name val="Arial"/>
      <family val="2"/>
    </font>
    <font>
      <sz val="12"/>
      <name val="Arial"/>
      <family val="2"/>
    </font>
    <font>
      <b/>
      <sz val="10"/>
      <color indexed="12"/>
      <name val="Arial"/>
      <family val="2"/>
    </font>
    <font>
      <i/>
      <sz val="8"/>
      <name val="Arial"/>
      <family val="2"/>
    </font>
    <font>
      <sz val="10"/>
      <color indexed="14"/>
      <name val="Arial"/>
      <family val="2"/>
    </font>
    <font>
      <sz val="10"/>
      <color indexed="12"/>
      <name val="Arial"/>
      <family val="2"/>
    </font>
    <font>
      <b/>
      <sz val="12"/>
      <name val="Arial"/>
      <family val="2"/>
    </font>
    <font>
      <b/>
      <sz val="10"/>
      <color indexed="14"/>
      <name val="Arial"/>
      <family val="2"/>
    </font>
    <font>
      <b/>
      <sz val="18"/>
      <name val="Arial"/>
      <family val="2"/>
    </font>
    <font>
      <sz val="18"/>
      <name val="Arial"/>
      <family val="2"/>
    </font>
    <font>
      <b/>
      <sz val="10"/>
      <color theme="9" tint="0.79998168889431442"/>
      <name val="Arial"/>
      <family val="2"/>
    </font>
    <font>
      <sz val="10"/>
      <color rgb="FFFF0000"/>
      <name val="Arial"/>
      <family val="2"/>
    </font>
    <font>
      <i/>
      <sz val="10"/>
      <color indexed="14"/>
      <name val="Arial"/>
      <family val="2"/>
    </font>
    <font>
      <b/>
      <i/>
      <sz val="8"/>
      <name val="Arial"/>
      <family val="2"/>
    </font>
    <font>
      <sz val="12"/>
      <color rgb="FFFFFF00"/>
      <name val="Arial"/>
      <family val="2"/>
    </font>
    <font>
      <sz val="10"/>
      <color rgb="FFFFFF00"/>
      <name val="Arial"/>
      <family val="2"/>
    </font>
    <font>
      <b/>
      <sz val="12"/>
      <color rgb="FFFFFF00"/>
      <name val="Arial"/>
      <family val="2"/>
    </font>
    <font>
      <b/>
      <sz val="12"/>
      <color rgb="FFFF0000"/>
      <name val="Arial"/>
      <family val="2"/>
    </font>
    <font>
      <sz val="10"/>
      <color theme="3" tint="0.39997558519241921"/>
      <name val="Arial"/>
      <family val="2"/>
    </font>
    <font>
      <i/>
      <sz val="10"/>
      <color rgb="FFFF0000"/>
      <name val="Arial"/>
      <family val="2"/>
    </font>
    <font>
      <i/>
      <sz val="8"/>
      <color rgb="FFFF0000"/>
      <name val="Arial"/>
      <family val="2"/>
    </font>
    <font>
      <b/>
      <sz val="10"/>
      <color rgb="FFFF0000"/>
      <name val="Arial"/>
      <family val="2"/>
    </font>
    <font>
      <b/>
      <i/>
      <sz val="10"/>
      <color rgb="FFFF0000"/>
      <name val="Arial"/>
      <family val="2"/>
    </font>
    <font>
      <sz val="10"/>
      <color rgb="FF0070C0"/>
      <name val="Arial"/>
      <family val="2"/>
    </font>
    <font>
      <i/>
      <sz val="10"/>
      <color rgb="FF0070C0"/>
      <name val="Arial"/>
      <family val="2"/>
    </font>
    <font>
      <i/>
      <sz val="8"/>
      <color rgb="FF0070C0"/>
      <name val="Arial"/>
      <family val="2"/>
    </font>
    <font>
      <b/>
      <sz val="10"/>
      <color rgb="FF0070C0"/>
      <name val="Arial"/>
      <family val="2"/>
    </font>
    <font>
      <b/>
      <i/>
      <sz val="10"/>
      <color rgb="FF0070C0"/>
      <name val="Arial"/>
      <family val="2"/>
    </font>
    <font>
      <sz val="11"/>
      <color rgb="FF006100"/>
      <name val="Calibri"/>
      <family val="2"/>
      <scheme val="minor"/>
    </font>
    <font>
      <sz val="11"/>
      <color rgb="FF9C6500"/>
      <name val="Calibri"/>
      <family val="2"/>
      <scheme val="minor"/>
    </font>
    <font>
      <sz val="10"/>
      <name val="Arial"/>
      <family val="2"/>
    </font>
    <font>
      <i/>
      <sz val="10"/>
      <color theme="1"/>
      <name val="Arial"/>
      <family val="2"/>
    </font>
    <font>
      <sz val="10"/>
      <color theme="1"/>
      <name val="Arial"/>
      <family val="2"/>
    </font>
    <font>
      <sz val="10"/>
      <color rgb="FF00B050"/>
      <name val="Arial"/>
      <family val="2"/>
    </font>
    <font>
      <sz val="8"/>
      <color rgb="FF00B050"/>
      <name val="Arial"/>
      <family val="2"/>
    </font>
    <font>
      <sz val="8"/>
      <color rgb="FFFF0000"/>
      <name val="Arial"/>
      <family val="2"/>
    </font>
    <font>
      <b/>
      <sz val="8"/>
      <name val="Arial"/>
      <family val="2"/>
    </font>
    <font>
      <sz val="11"/>
      <color rgb="FF9C0006"/>
      <name val="Calibri"/>
      <family val="2"/>
      <scheme val="minor"/>
    </font>
    <font>
      <i/>
      <sz val="10"/>
      <color rgb="FF00B050"/>
      <name val="Arial"/>
      <family val="2"/>
    </font>
    <font>
      <sz val="28"/>
      <name val="Arial"/>
      <family val="2"/>
    </font>
    <font>
      <sz val="9"/>
      <color theme="1"/>
      <name val="Calibri"/>
      <family val="2"/>
      <scheme val="minor"/>
    </font>
    <font>
      <i/>
      <sz val="10"/>
      <color theme="1"/>
      <name val="Calibri"/>
      <family val="2"/>
      <scheme val="minor"/>
    </font>
    <font>
      <sz val="10"/>
      <color rgb="FFFF0000"/>
      <name val="Calibri"/>
      <family val="2"/>
      <scheme val="minor"/>
    </font>
    <font>
      <i/>
      <sz val="10"/>
      <name val="Calibri"/>
      <family val="2"/>
      <scheme val="minor"/>
    </font>
    <font>
      <sz val="9"/>
      <name val="Calibri"/>
      <family val="2"/>
      <scheme val="minor"/>
    </font>
    <font>
      <sz val="11"/>
      <color rgb="FF00B050"/>
      <name val="Calibri"/>
      <family val="2"/>
      <scheme val="minor"/>
    </font>
    <font>
      <sz val="11"/>
      <color rgb="FFFF0000"/>
      <name val="Calibri"/>
      <family val="2"/>
      <scheme val="minor"/>
    </font>
    <font>
      <b/>
      <sz val="11"/>
      <color rgb="FF0070C0"/>
      <name val="Calibri"/>
      <family val="2"/>
      <scheme val="minor"/>
    </font>
    <font>
      <sz val="7"/>
      <color theme="1"/>
      <name val="Calibri"/>
      <family val="2"/>
      <scheme val="minor"/>
    </font>
    <font>
      <sz val="6"/>
      <color theme="1"/>
      <name val="Calibri"/>
      <family val="2"/>
      <scheme val="minor"/>
    </font>
    <font>
      <sz val="10"/>
      <color theme="1"/>
      <name val="Calibri"/>
      <family val="2"/>
      <scheme val="minor"/>
    </font>
    <font>
      <b/>
      <sz val="12"/>
      <color theme="1"/>
      <name val="Calibri"/>
      <family val="2"/>
      <scheme val="minor"/>
    </font>
    <font>
      <b/>
      <sz val="10"/>
      <color theme="1"/>
      <name val="Calibri"/>
      <family val="2"/>
      <scheme val="minor"/>
    </font>
    <font>
      <b/>
      <sz val="11"/>
      <color theme="1"/>
      <name val="Calibri"/>
      <family val="2"/>
      <scheme val="minor"/>
    </font>
    <font>
      <b/>
      <sz val="10"/>
      <color rgb="FF00B050"/>
      <name val="Arial"/>
      <family val="2"/>
    </font>
    <font>
      <b/>
      <i/>
      <sz val="11"/>
      <color theme="1"/>
      <name val="Calibri"/>
      <family val="2"/>
      <scheme val="minor"/>
    </font>
    <font>
      <i/>
      <sz val="11"/>
      <color theme="1"/>
      <name val="Calibri"/>
      <family val="2"/>
      <scheme val="minor"/>
    </font>
    <font>
      <i/>
      <sz val="9"/>
      <color theme="1"/>
      <name val="Calibri"/>
      <family val="2"/>
      <scheme val="minor"/>
    </font>
    <font>
      <b/>
      <i/>
      <sz val="12"/>
      <color theme="1"/>
      <name val="Calibri"/>
      <family val="2"/>
      <scheme val="minor"/>
    </font>
    <font>
      <b/>
      <sz val="16"/>
      <color theme="1"/>
      <name val="Calibri"/>
      <family val="2"/>
      <scheme val="minor"/>
    </font>
    <font>
      <sz val="8"/>
      <color rgb="FF0070C0"/>
      <name val="Arial"/>
      <family val="2"/>
    </font>
    <font>
      <sz val="11"/>
      <name val="Calibri"/>
      <family val="2"/>
      <scheme val="minor"/>
    </font>
    <font>
      <sz val="7"/>
      <name val="Times New Roman"/>
      <family val="1"/>
    </font>
    <font>
      <b/>
      <i/>
      <sz val="12"/>
      <name val="Arial"/>
      <family val="2"/>
    </font>
    <font>
      <b/>
      <sz val="20"/>
      <name val="Arial"/>
      <family val="2"/>
    </font>
    <font>
      <i/>
      <sz val="8"/>
      <name val="Arial Narrow"/>
      <family val="2"/>
    </font>
    <font>
      <b/>
      <sz val="24"/>
      <name val="Arial"/>
      <family val="2"/>
    </font>
    <font>
      <sz val="7"/>
      <color theme="1"/>
      <name val="Arial Narrow"/>
      <family val="2"/>
    </font>
    <font>
      <sz val="6"/>
      <color theme="1"/>
      <name val="Arial Narrow"/>
      <family val="2"/>
    </font>
    <font>
      <b/>
      <sz val="9"/>
      <color theme="1"/>
      <name val="Calibri"/>
      <family val="2"/>
      <scheme val="minor"/>
    </font>
    <font>
      <sz val="10"/>
      <name val="Arial Narrow"/>
      <family val="2"/>
    </font>
    <font>
      <b/>
      <sz val="16"/>
      <name val="Arial"/>
      <family val="2"/>
    </font>
  </fonts>
  <fills count="40">
    <fill>
      <patternFill patternType="none"/>
    </fill>
    <fill>
      <patternFill patternType="gray125"/>
    </fill>
    <fill>
      <patternFill patternType="solid">
        <fgColor indexed="13"/>
        <bgColor indexed="64"/>
      </patternFill>
    </fill>
    <fill>
      <patternFill patternType="solid">
        <fgColor indexed="42"/>
        <bgColor indexed="64"/>
      </patternFill>
    </fill>
    <fill>
      <patternFill patternType="solid">
        <fgColor indexed="47"/>
        <bgColor indexed="64"/>
      </patternFill>
    </fill>
    <fill>
      <patternFill patternType="solid">
        <fgColor indexed="45"/>
        <bgColor indexed="64"/>
      </patternFill>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indexed="14"/>
        <bgColor indexed="64"/>
      </patternFill>
    </fill>
    <fill>
      <patternFill patternType="solid">
        <fgColor indexed="43"/>
        <bgColor indexed="64"/>
      </patternFill>
    </fill>
    <fill>
      <patternFill patternType="solid">
        <fgColor indexed="41"/>
        <bgColor indexed="64"/>
      </patternFill>
    </fill>
    <fill>
      <patternFill patternType="solid">
        <fgColor theme="0" tint="-4.9989318521683403E-2"/>
        <bgColor indexed="64"/>
      </patternFill>
    </fill>
    <fill>
      <patternFill patternType="solid">
        <fgColor rgb="FFCCFFFF"/>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FF00FF"/>
        <bgColor indexed="64"/>
      </patternFill>
    </fill>
    <fill>
      <patternFill patternType="solid">
        <fgColor theme="9" tint="0.59999389629810485"/>
        <bgColor indexed="64"/>
      </patternFill>
    </fill>
    <fill>
      <patternFill patternType="solid">
        <fgColor rgb="FFFFFF66"/>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rgb="FFC6EFCE"/>
      </patternFill>
    </fill>
    <fill>
      <patternFill patternType="solid">
        <fgColor rgb="FFFFEB9C"/>
      </patternFill>
    </fill>
    <fill>
      <patternFill patternType="solid">
        <fgColor theme="9" tint="0.39997558519241921"/>
        <bgColor indexed="64"/>
      </patternFill>
    </fill>
    <fill>
      <patternFill patternType="solid">
        <fgColor theme="6" tint="0.59999389629810485"/>
        <bgColor indexed="64"/>
      </patternFill>
    </fill>
    <fill>
      <patternFill patternType="solid">
        <fgColor rgb="FFFFC7CE"/>
      </patternFill>
    </fill>
    <fill>
      <patternFill patternType="solid">
        <fgColor rgb="FFFF0000"/>
        <bgColor indexed="64"/>
      </patternFill>
    </fill>
    <fill>
      <patternFill patternType="solid">
        <fgColor theme="8" tint="0.79998168889431442"/>
        <bgColor indexed="64"/>
      </patternFill>
    </fill>
    <fill>
      <patternFill patternType="solid">
        <fgColor rgb="FF66FF66"/>
        <bgColor indexed="64"/>
      </patternFill>
    </fill>
    <fill>
      <patternFill patternType="solid">
        <fgColor theme="2"/>
        <bgColor indexed="64"/>
      </patternFill>
    </fill>
    <fill>
      <patternFill patternType="solid">
        <fgColor theme="0" tint="-0.249977111117893"/>
        <bgColor indexed="64"/>
      </patternFill>
    </fill>
  </fills>
  <borders count="24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right/>
      <top/>
      <bottom style="mediumDashed">
        <color indexed="64"/>
      </bottom>
      <diagonal/>
    </border>
    <border>
      <left style="dashed">
        <color indexed="64"/>
      </left>
      <right style="medium">
        <color indexed="64"/>
      </right>
      <top style="dashed">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style="mediumDashed">
        <color indexed="64"/>
      </top>
      <bottom style="thin">
        <color indexed="64"/>
      </bottom>
      <diagonal/>
    </border>
    <border>
      <left style="thin">
        <color indexed="64"/>
      </left>
      <right style="thin">
        <color indexed="64"/>
      </right>
      <top style="mediumDashed">
        <color indexed="64"/>
      </top>
      <bottom style="thin">
        <color indexed="64"/>
      </bottom>
      <diagonal/>
    </border>
    <border>
      <left style="thin">
        <color indexed="64"/>
      </left>
      <right style="medium">
        <color indexed="64"/>
      </right>
      <top style="mediumDashed">
        <color indexed="64"/>
      </top>
      <bottom style="thin">
        <color indexed="64"/>
      </bottom>
      <diagonal/>
    </border>
    <border>
      <left/>
      <right/>
      <top style="mediumDashed">
        <color indexed="64"/>
      </top>
      <bottom style="thin">
        <color indexed="64"/>
      </bottom>
      <diagonal/>
    </border>
    <border>
      <left style="medium">
        <color indexed="64"/>
      </left>
      <right style="medium">
        <color indexed="64"/>
      </right>
      <top style="mediumDashed">
        <color indexed="64"/>
      </top>
      <bottom style="thin">
        <color indexed="64"/>
      </bottom>
      <diagonal/>
    </border>
    <border>
      <left style="medium">
        <color indexed="64"/>
      </left>
      <right style="thin">
        <color indexed="64"/>
      </right>
      <top style="thin">
        <color indexed="64"/>
      </top>
      <bottom style="mediumDashed">
        <color indexed="64"/>
      </bottom>
      <diagonal/>
    </border>
    <border>
      <left style="thin">
        <color indexed="64"/>
      </left>
      <right style="thin">
        <color indexed="64"/>
      </right>
      <top style="thin">
        <color indexed="64"/>
      </top>
      <bottom style="mediumDashed">
        <color indexed="64"/>
      </bottom>
      <diagonal/>
    </border>
    <border>
      <left style="thin">
        <color indexed="64"/>
      </left>
      <right style="medium">
        <color indexed="64"/>
      </right>
      <top style="thin">
        <color indexed="64"/>
      </top>
      <bottom style="mediumDashed">
        <color indexed="64"/>
      </bottom>
      <diagonal/>
    </border>
    <border>
      <left/>
      <right/>
      <top style="thin">
        <color indexed="64"/>
      </top>
      <bottom style="mediumDashed">
        <color indexed="64"/>
      </bottom>
      <diagonal/>
    </border>
    <border>
      <left style="medium">
        <color indexed="64"/>
      </left>
      <right style="medium">
        <color indexed="64"/>
      </right>
      <top style="thin">
        <color indexed="64"/>
      </top>
      <bottom style="mediumDashed">
        <color indexed="64"/>
      </bottom>
      <diagonal/>
    </border>
    <border>
      <left style="medium">
        <color indexed="64"/>
      </left>
      <right style="thin">
        <color indexed="64"/>
      </right>
      <top style="mediumDashed">
        <color indexed="64"/>
      </top>
      <bottom/>
      <diagonal/>
    </border>
    <border>
      <left style="thin">
        <color indexed="64"/>
      </left>
      <right style="thin">
        <color indexed="64"/>
      </right>
      <top style="mediumDashed">
        <color indexed="64"/>
      </top>
      <bottom/>
      <diagonal/>
    </border>
    <border>
      <left style="thin">
        <color indexed="64"/>
      </left>
      <right style="medium">
        <color indexed="64"/>
      </right>
      <top style="mediumDashed">
        <color indexed="64"/>
      </top>
      <bottom/>
      <diagonal/>
    </border>
    <border>
      <left style="medium">
        <color indexed="64"/>
      </left>
      <right style="thin">
        <color indexed="64"/>
      </right>
      <top/>
      <bottom style="mediumDashed">
        <color indexed="64"/>
      </bottom>
      <diagonal/>
    </border>
    <border>
      <left style="thin">
        <color indexed="64"/>
      </left>
      <right style="thin">
        <color indexed="64"/>
      </right>
      <top/>
      <bottom style="mediumDashed">
        <color indexed="64"/>
      </bottom>
      <diagonal/>
    </border>
    <border>
      <left style="thin">
        <color indexed="64"/>
      </left>
      <right style="medium">
        <color indexed="64"/>
      </right>
      <top/>
      <bottom style="mediumDashed">
        <color indexed="64"/>
      </bottom>
      <diagonal/>
    </border>
    <border>
      <left style="medium">
        <color indexed="64"/>
      </left>
      <right style="medium">
        <color indexed="64"/>
      </right>
      <top/>
      <bottom style="mediumDashed">
        <color indexed="64"/>
      </bottom>
      <diagonal/>
    </border>
    <border>
      <left style="medium">
        <color indexed="64"/>
      </left>
      <right style="medium">
        <color indexed="64"/>
      </right>
      <top style="medium">
        <color indexed="64"/>
      </top>
      <bottom style="mediumDashed">
        <color indexed="64"/>
      </bottom>
      <diagonal/>
    </border>
    <border>
      <left style="medium">
        <color indexed="64"/>
      </left>
      <right style="thin">
        <color indexed="64"/>
      </right>
      <top style="medium">
        <color indexed="64"/>
      </top>
      <bottom style="mediumDashed">
        <color indexed="64"/>
      </bottom>
      <diagonal/>
    </border>
    <border>
      <left style="thin">
        <color indexed="64"/>
      </left>
      <right style="thin">
        <color indexed="64"/>
      </right>
      <top style="medium">
        <color indexed="64"/>
      </top>
      <bottom style="mediumDashed">
        <color indexed="64"/>
      </bottom>
      <diagonal/>
    </border>
    <border>
      <left style="thin">
        <color indexed="64"/>
      </left>
      <right style="medium">
        <color indexed="64"/>
      </right>
      <top style="medium">
        <color indexed="64"/>
      </top>
      <bottom style="mediumDashed">
        <color indexed="64"/>
      </bottom>
      <diagonal/>
    </border>
    <border>
      <left/>
      <right/>
      <top style="medium">
        <color indexed="64"/>
      </top>
      <bottom style="mediumDashed">
        <color indexed="64"/>
      </bottom>
      <diagonal/>
    </border>
    <border>
      <left style="medium">
        <color indexed="64"/>
      </left>
      <right style="medium">
        <color indexed="64"/>
      </right>
      <top style="mediumDashed">
        <color indexed="64"/>
      </top>
      <bottom style="mediumDashed">
        <color indexed="64"/>
      </bottom>
      <diagonal/>
    </border>
    <border>
      <left style="medium">
        <color indexed="64"/>
      </left>
      <right style="thin">
        <color indexed="64"/>
      </right>
      <top style="mediumDashed">
        <color indexed="64"/>
      </top>
      <bottom style="mediumDashed">
        <color indexed="64"/>
      </bottom>
      <diagonal/>
    </border>
    <border>
      <left style="thin">
        <color indexed="64"/>
      </left>
      <right style="thin">
        <color indexed="64"/>
      </right>
      <top style="mediumDashed">
        <color indexed="64"/>
      </top>
      <bottom style="mediumDashed">
        <color indexed="64"/>
      </bottom>
      <diagonal/>
    </border>
    <border>
      <left style="thin">
        <color indexed="64"/>
      </left>
      <right style="medium">
        <color indexed="64"/>
      </right>
      <top style="mediumDashed">
        <color indexed="64"/>
      </top>
      <bottom style="mediumDashed">
        <color indexed="64"/>
      </bottom>
      <diagonal/>
    </border>
    <border>
      <left/>
      <right/>
      <top style="mediumDashed">
        <color indexed="64"/>
      </top>
      <bottom style="mediumDashed">
        <color indexed="64"/>
      </bottom>
      <diagonal/>
    </border>
    <border>
      <left style="medium">
        <color indexed="64"/>
      </left>
      <right style="medium">
        <color indexed="64"/>
      </right>
      <top style="mediumDashed">
        <color indexed="64"/>
      </top>
      <bottom/>
      <diagonal/>
    </border>
    <border>
      <left style="medium">
        <color indexed="64"/>
      </left>
      <right style="thin">
        <color indexed="64"/>
      </right>
      <top style="dashDot">
        <color indexed="64"/>
      </top>
      <bottom style="thin">
        <color indexed="64"/>
      </bottom>
      <diagonal/>
    </border>
    <border>
      <left style="thin">
        <color indexed="64"/>
      </left>
      <right style="thin">
        <color indexed="64"/>
      </right>
      <top style="dashDot">
        <color indexed="64"/>
      </top>
      <bottom style="thin">
        <color indexed="64"/>
      </bottom>
      <diagonal/>
    </border>
    <border>
      <left style="thin">
        <color indexed="64"/>
      </left>
      <right style="medium">
        <color indexed="64"/>
      </right>
      <top style="dashDot">
        <color indexed="64"/>
      </top>
      <bottom style="thin">
        <color indexed="64"/>
      </bottom>
      <diagonal/>
    </border>
    <border>
      <left/>
      <right/>
      <top style="dashDot">
        <color indexed="64"/>
      </top>
      <bottom style="thin">
        <color indexed="64"/>
      </bottom>
      <diagonal/>
    </border>
    <border>
      <left style="medium">
        <color indexed="64"/>
      </left>
      <right style="medium">
        <color indexed="64"/>
      </right>
      <top style="dashDot">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Dashed">
        <color indexed="64"/>
      </bottom>
      <diagonal/>
    </border>
    <border>
      <left style="thin">
        <color indexed="64"/>
      </left>
      <right/>
      <top style="mediumDashed">
        <color indexed="64"/>
      </top>
      <bottom style="thin">
        <color indexed="64"/>
      </bottom>
      <diagonal/>
    </border>
    <border>
      <left style="thin">
        <color indexed="64"/>
      </left>
      <right/>
      <top style="thin">
        <color indexed="64"/>
      </top>
      <bottom style="mediumDashed">
        <color indexed="64"/>
      </bottom>
      <diagonal/>
    </border>
    <border>
      <left style="thin">
        <color indexed="64"/>
      </left>
      <right/>
      <top style="mediumDashed">
        <color indexed="64"/>
      </top>
      <bottom style="mediumDashed">
        <color indexed="64"/>
      </bottom>
      <diagonal/>
    </border>
    <border>
      <left style="thin">
        <color indexed="64"/>
      </left>
      <right/>
      <top style="mediumDashed">
        <color indexed="64"/>
      </top>
      <bottom/>
      <diagonal/>
    </border>
    <border>
      <left style="thin">
        <color indexed="64"/>
      </left>
      <right/>
      <top style="dashDot">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Dashed">
        <color indexed="64"/>
      </top>
      <bottom style="thin">
        <color indexed="64"/>
      </bottom>
      <diagonal/>
    </border>
    <border>
      <left/>
      <right style="medium">
        <color indexed="64"/>
      </right>
      <top style="mediumDashed">
        <color indexed="64"/>
      </top>
      <bottom style="thin">
        <color indexed="64"/>
      </bottom>
      <diagonal/>
    </border>
    <border>
      <left style="medium">
        <color indexed="64"/>
      </left>
      <right style="medium">
        <color indexed="64"/>
      </right>
      <top style="thin">
        <color indexed="64"/>
      </top>
      <bottom style="dashDot">
        <color indexed="64"/>
      </bottom>
      <diagonal/>
    </border>
    <border>
      <left style="medium">
        <color indexed="64"/>
      </left>
      <right style="thin">
        <color indexed="64"/>
      </right>
      <top style="thin">
        <color indexed="64"/>
      </top>
      <bottom style="dashDot">
        <color indexed="64"/>
      </bottom>
      <diagonal/>
    </border>
    <border>
      <left style="thin">
        <color indexed="64"/>
      </left>
      <right style="thin">
        <color indexed="64"/>
      </right>
      <top style="thin">
        <color indexed="64"/>
      </top>
      <bottom style="dashDot">
        <color indexed="64"/>
      </bottom>
      <diagonal/>
    </border>
    <border>
      <left style="thin">
        <color indexed="64"/>
      </left>
      <right/>
      <top style="thin">
        <color indexed="64"/>
      </top>
      <bottom style="dashDot">
        <color indexed="64"/>
      </bottom>
      <diagonal/>
    </border>
    <border>
      <left style="thin">
        <color indexed="64"/>
      </left>
      <right style="medium">
        <color indexed="64"/>
      </right>
      <top style="thin">
        <color indexed="64"/>
      </top>
      <bottom style="dashDot">
        <color indexed="64"/>
      </bottom>
      <diagonal/>
    </border>
    <border>
      <left/>
      <right/>
      <top style="thin">
        <color indexed="64"/>
      </top>
      <bottom style="dashDot">
        <color indexed="64"/>
      </bottom>
      <diagonal/>
    </border>
    <border>
      <left style="thin">
        <color indexed="64"/>
      </left>
      <right/>
      <top/>
      <bottom style="mediumDashed">
        <color indexed="64"/>
      </bottom>
      <diagonal/>
    </border>
    <border>
      <left style="medium">
        <color indexed="64"/>
      </left>
      <right style="medium">
        <color indexed="64"/>
      </right>
      <top style="dashed">
        <color indexed="64"/>
      </top>
      <bottom style="thin">
        <color indexed="64"/>
      </bottom>
      <diagonal/>
    </border>
    <border>
      <left style="medium">
        <color indexed="64"/>
      </left>
      <right style="thin">
        <color indexed="64"/>
      </right>
      <top style="dashed">
        <color indexed="64"/>
      </top>
      <bottom style="thin">
        <color indexed="64"/>
      </bottom>
      <diagonal/>
    </border>
    <border>
      <left style="thin">
        <color indexed="64"/>
      </left>
      <right style="thin">
        <color indexed="64"/>
      </right>
      <top style="dashed">
        <color indexed="64"/>
      </top>
      <bottom style="thin">
        <color indexed="64"/>
      </bottom>
      <diagonal/>
    </border>
    <border>
      <left style="thin">
        <color indexed="64"/>
      </left>
      <right/>
      <top style="dashed">
        <color indexed="64"/>
      </top>
      <bottom style="thin">
        <color indexed="64"/>
      </bottom>
      <diagonal/>
    </border>
    <border>
      <left style="thin">
        <color indexed="64"/>
      </left>
      <right style="medium">
        <color indexed="64"/>
      </right>
      <top style="dashed">
        <color indexed="64"/>
      </top>
      <bottom style="thin">
        <color indexed="64"/>
      </bottom>
      <diagonal/>
    </border>
    <border>
      <left/>
      <right/>
      <top style="dashed">
        <color indexed="64"/>
      </top>
      <bottom style="thin">
        <color indexed="64"/>
      </bottom>
      <diagonal/>
    </border>
    <border>
      <left style="medium">
        <color indexed="64"/>
      </left>
      <right/>
      <top style="medium">
        <color indexed="64"/>
      </top>
      <bottom style="mediumDashed">
        <color indexed="64"/>
      </bottom>
      <diagonal/>
    </border>
    <border>
      <left/>
      <right style="medium">
        <color indexed="64"/>
      </right>
      <top style="medium">
        <color indexed="64"/>
      </top>
      <bottom style="mediumDashed">
        <color indexed="64"/>
      </bottom>
      <diagonal/>
    </border>
    <border>
      <left style="medium">
        <color indexed="64"/>
      </left>
      <right/>
      <top style="dotted">
        <color indexed="64"/>
      </top>
      <bottom/>
      <diagonal/>
    </border>
    <border>
      <left/>
      <right style="medium">
        <color indexed="64"/>
      </right>
      <top style="dotted">
        <color indexed="64"/>
      </top>
      <bottom/>
      <diagonal/>
    </border>
    <border>
      <left/>
      <right/>
      <top style="dotted">
        <color indexed="64"/>
      </top>
      <bottom/>
      <diagonal/>
    </border>
    <border>
      <left/>
      <right/>
      <top/>
      <bottom style="dotted">
        <color indexed="64"/>
      </bottom>
      <diagonal/>
    </border>
    <border>
      <left/>
      <right/>
      <top/>
      <bottom style="dashed">
        <color indexed="64"/>
      </bottom>
      <diagonal/>
    </border>
    <border>
      <left/>
      <right/>
      <top style="dashed">
        <color indexed="64"/>
      </top>
      <bottom/>
      <diagonal/>
    </border>
    <border>
      <left/>
      <right/>
      <top style="dashed">
        <color rgb="FF0070C0"/>
      </top>
      <bottom style="dotted">
        <color indexed="64"/>
      </bottom>
      <diagonal/>
    </border>
    <border>
      <left/>
      <right style="dashed">
        <color rgb="FF0070C0"/>
      </right>
      <top style="dashed">
        <color rgb="FF0070C0"/>
      </top>
      <bottom style="dotted">
        <color indexed="64"/>
      </bottom>
      <diagonal/>
    </border>
    <border>
      <left/>
      <right style="dashed">
        <color rgb="FF0070C0"/>
      </right>
      <top style="dashed">
        <color rgb="FF0070C0"/>
      </top>
      <bottom style="dashed">
        <color indexed="64"/>
      </bottom>
      <diagonal/>
    </border>
    <border>
      <left/>
      <right/>
      <top style="dashed">
        <color rgb="FF0070C0"/>
      </top>
      <bottom/>
      <diagonal/>
    </border>
    <border>
      <left/>
      <right style="dashed">
        <color rgb="FF0070C0"/>
      </right>
      <top style="dashed">
        <color rgb="FF0070C0"/>
      </top>
      <bottom/>
      <diagonal/>
    </border>
    <border>
      <left style="dashed">
        <color auto="1"/>
      </left>
      <right style="dashed">
        <color auto="1"/>
      </right>
      <top/>
      <bottom/>
      <diagonal/>
    </border>
    <border>
      <left style="dashed">
        <color auto="1"/>
      </left>
      <right/>
      <top/>
      <bottom/>
      <diagonal/>
    </border>
    <border>
      <left/>
      <right style="dashed">
        <color auto="1"/>
      </right>
      <top/>
      <bottom/>
      <diagonal/>
    </border>
    <border>
      <left style="dashed">
        <color auto="1"/>
      </left>
      <right/>
      <top style="medium">
        <color indexed="64"/>
      </top>
      <bottom style="medium">
        <color indexed="64"/>
      </bottom>
      <diagonal/>
    </border>
    <border>
      <left/>
      <right style="dashed">
        <color auto="1"/>
      </right>
      <top style="medium">
        <color indexed="64"/>
      </top>
      <bottom style="medium">
        <color indexed="64"/>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top style="dashed">
        <color rgb="FF0070C0"/>
      </top>
      <bottom style="dotted">
        <color indexed="64"/>
      </bottom>
      <diagonal/>
    </border>
    <border>
      <left/>
      <right style="medium">
        <color indexed="64"/>
      </right>
      <top/>
      <bottom style="dotted">
        <color indexed="64"/>
      </bottom>
      <diagonal/>
    </border>
    <border>
      <left style="medium">
        <color indexed="64"/>
      </left>
      <right/>
      <top style="dashed">
        <color rgb="FF0070C0"/>
      </top>
      <bottom style="dashed">
        <color indexed="64"/>
      </bottom>
      <diagonal/>
    </border>
    <border>
      <left/>
      <right style="medium">
        <color indexed="64"/>
      </right>
      <top/>
      <bottom style="dashed">
        <color indexed="64"/>
      </bottom>
      <diagonal/>
    </border>
    <border>
      <left style="medium">
        <color indexed="64"/>
      </left>
      <right/>
      <top style="dashed">
        <color rgb="FF0070C0"/>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dashed">
        <color indexed="64"/>
      </right>
      <top/>
      <bottom style="dashed">
        <color indexed="64"/>
      </bottom>
      <diagonal/>
    </border>
    <border>
      <left style="medium">
        <color indexed="64"/>
      </left>
      <right style="dashed">
        <color indexed="64"/>
      </right>
      <top/>
      <bottom/>
      <diagonal/>
    </border>
    <border>
      <left style="medium">
        <color indexed="64"/>
      </left>
      <right style="dashed">
        <color indexed="64"/>
      </right>
      <top style="dashed">
        <color indexed="64"/>
      </top>
      <bottom/>
      <diagonal/>
    </border>
    <border>
      <left style="medium">
        <color indexed="64"/>
      </left>
      <right style="dashed">
        <color indexed="64"/>
      </right>
      <top/>
      <bottom style="medium">
        <color indexed="64"/>
      </bottom>
      <diagonal/>
    </border>
    <border>
      <left style="dashed">
        <color auto="1"/>
      </left>
      <right/>
      <top style="dashed">
        <color auto="1"/>
      </top>
      <bottom/>
      <diagonal/>
    </border>
    <border>
      <left/>
      <right style="dashed">
        <color auto="1"/>
      </right>
      <top style="dashed">
        <color auto="1"/>
      </top>
      <bottom/>
      <diagonal/>
    </border>
    <border>
      <left style="dashed">
        <color auto="1"/>
      </left>
      <right/>
      <top/>
      <bottom style="dashed">
        <color auto="1"/>
      </bottom>
      <diagonal/>
    </border>
    <border>
      <left/>
      <right style="dashed">
        <color auto="1"/>
      </right>
      <top/>
      <bottom style="dashed">
        <color auto="1"/>
      </bottom>
      <diagonal/>
    </border>
    <border>
      <left/>
      <right/>
      <top style="dashed">
        <color rgb="FF0070C0"/>
      </top>
      <bottom style="dashed">
        <color indexed="64"/>
      </bottom>
      <diagonal/>
    </border>
    <border>
      <left/>
      <right style="dashed">
        <color auto="1"/>
      </right>
      <top/>
      <bottom style="medium">
        <color indexed="64"/>
      </bottom>
      <diagonal/>
    </border>
    <border>
      <left style="dashed">
        <color indexed="64"/>
      </left>
      <right style="medium">
        <color indexed="64"/>
      </right>
      <top/>
      <bottom/>
      <diagonal/>
    </border>
    <border>
      <left style="dashed">
        <color indexed="64"/>
      </left>
      <right style="medium">
        <color indexed="64"/>
      </right>
      <top/>
      <bottom style="dashed">
        <color indexed="64"/>
      </bottom>
      <diagonal/>
    </border>
    <border>
      <left style="dashed">
        <color indexed="64"/>
      </left>
      <right style="medium">
        <color indexed="64"/>
      </right>
      <top/>
      <bottom style="medium">
        <color indexed="64"/>
      </bottom>
      <diagonal/>
    </border>
    <border>
      <left style="mediumDashed">
        <color rgb="FFFF0000"/>
      </left>
      <right/>
      <top/>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dashed">
        <color indexed="64"/>
      </right>
      <top style="medium">
        <color indexed="64"/>
      </top>
      <bottom style="thin">
        <color indexed="64"/>
      </bottom>
      <diagonal/>
    </border>
    <border>
      <left style="thin">
        <color indexed="64"/>
      </left>
      <right style="dotted">
        <color indexed="64"/>
      </right>
      <top/>
      <bottom style="thin">
        <color indexed="64"/>
      </bottom>
      <diagonal/>
    </border>
    <border>
      <left style="dotted">
        <color indexed="64"/>
      </left>
      <right style="dotted">
        <color indexed="64"/>
      </right>
      <top/>
      <bottom style="thin">
        <color indexed="64"/>
      </bottom>
      <diagonal/>
    </border>
    <border>
      <left style="dotted">
        <color indexed="64"/>
      </left>
      <right style="dashed">
        <color indexed="64"/>
      </right>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dashed">
        <color indexed="64"/>
      </right>
      <top style="thin">
        <color indexed="64"/>
      </top>
      <bottom style="thin">
        <color indexed="64"/>
      </bottom>
      <diagonal/>
    </border>
    <border>
      <left style="thin">
        <color indexed="64"/>
      </left>
      <right style="dotted">
        <color indexed="64"/>
      </right>
      <top/>
      <bottom/>
      <diagonal/>
    </border>
    <border>
      <left style="dotted">
        <color indexed="64"/>
      </left>
      <right style="dotted">
        <color indexed="64"/>
      </right>
      <top/>
      <bottom/>
      <diagonal/>
    </border>
    <border>
      <left style="dotted">
        <color indexed="64"/>
      </left>
      <right style="dashed">
        <color indexed="64"/>
      </right>
      <top/>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dashed">
        <color indexed="64"/>
      </right>
      <top style="thin">
        <color indexed="64"/>
      </top>
      <bottom style="medium">
        <color indexed="64"/>
      </bottom>
      <diagonal/>
    </border>
    <border>
      <left style="thin">
        <color indexed="64"/>
      </left>
      <right/>
      <top style="thin">
        <color indexed="64"/>
      </top>
      <bottom style="dashed">
        <color indexed="64"/>
      </bottom>
      <diagonal/>
    </border>
    <border>
      <left/>
      <right/>
      <top style="thin">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style="thin">
        <color indexed="64"/>
      </left>
      <right/>
      <top style="dashed">
        <color indexed="64"/>
      </top>
      <bottom/>
      <diagonal/>
    </border>
    <border>
      <left style="thin">
        <color indexed="64"/>
      </left>
      <right/>
      <top style="dashed">
        <color indexed="64"/>
      </top>
      <bottom style="medium">
        <color indexed="64"/>
      </bottom>
      <diagonal/>
    </border>
    <border>
      <left style="thin">
        <color indexed="64"/>
      </left>
      <right/>
      <top/>
      <bottom style="dashed">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right style="medium">
        <color indexed="64"/>
      </right>
      <top style="thin">
        <color indexed="64"/>
      </top>
      <bottom style="dashed">
        <color indexed="64"/>
      </bottom>
      <diagonal/>
    </border>
    <border>
      <left style="medium">
        <color indexed="64"/>
      </left>
      <right style="medium">
        <color indexed="64"/>
      </right>
      <top style="thin">
        <color indexed="64"/>
      </top>
      <bottom style="dashed">
        <color indexed="64"/>
      </bottom>
      <diagonal/>
    </border>
    <border>
      <left/>
      <right style="medium">
        <color indexed="64"/>
      </right>
      <top style="dashed">
        <color indexed="64"/>
      </top>
      <bottom style="thin">
        <color indexed="64"/>
      </bottom>
      <diagonal/>
    </border>
    <border>
      <left style="thin">
        <color indexed="64"/>
      </left>
      <right style="thin">
        <color indexed="64"/>
      </right>
      <top style="dotted">
        <color indexed="64"/>
      </top>
      <bottom style="dotted">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dotted">
        <color indexed="64"/>
      </top>
      <bottom style="dotted">
        <color indexed="64"/>
      </bottom>
      <diagonal/>
    </border>
    <border>
      <left style="thin">
        <color indexed="64"/>
      </left>
      <right style="thin">
        <color indexed="64"/>
      </right>
      <top/>
      <bottom style="medium">
        <color indexed="64"/>
      </bottom>
      <diagonal/>
    </border>
    <border>
      <left style="thin">
        <color indexed="64"/>
      </left>
      <right style="thin">
        <color indexed="64"/>
      </right>
      <top style="mediumDash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dotted">
        <color indexed="64"/>
      </top>
      <bottom style="mediumDashed">
        <color indexed="64"/>
      </bottom>
      <diagonal/>
    </border>
    <border>
      <left/>
      <right style="thin">
        <color indexed="64"/>
      </right>
      <top style="dotted">
        <color indexed="64"/>
      </top>
      <bottom style="mediumDashed">
        <color indexed="64"/>
      </bottom>
      <diagonal/>
    </border>
    <border>
      <left style="medium">
        <color indexed="64"/>
      </left>
      <right/>
      <top style="mediumDashed">
        <color indexed="64"/>
      </top>
      <bottom style="dotted">
        <color indexed="64"/>
      </bottom>
      <diagonal/>
    </border>
    <border>
      <left style="thin">
        <color indexed="64"/>
      </left>
      <right style="medium">
        <color indexed="64"/>
      </right>
      <top style="mediumDashed">
        <color indexed="64"/>
      </top>
      <bottom style="dotted">
        <color indexed="64"/>
      </bottom>
      <diagonal/>
    </border>
    <border>
      <left style="medium">
        <color indexed="64"/>
      </left>
      <right/>
      <top style="dotted">
        <color indexed="64"/>
      </top>
      <bottom style="mediumDashed">
        <color indexed="64"/>
      </bottom>
      <diagonal/>
    </border>
    <border>
      <left style="thin">
        <color indexed="64"/>
      </left>
      <right style="medium">
        <color indexed="64"/>
      </right>
      <top style="dotted">
        <color indexed="64"/>
      </top>
      <bottom style="mediumDashed">
        <color indexed="64"/>
      </bottom>
      <diagonal/>
    </border>
    <border>
      <left style="medium">
        <color indexed="64"/>
      </left>
      <right style="mediumDashed">
        <color indexed="64"/>
      </right>
      <top style="medium">
        <color indexed="64"/>
      </top>
      <bottom style="thin">
        <color indexed="64"/>
      </bottom>
      <diagonal/>
    </border>
    <border>
      <left style="mediumDashed">
        <color indexed="64"/>
      </left>
      <right style="mediumDashed">
        <color indexed="64"/>
      </right>
      <top style="medium">
        <color indexed="64"/>
      </top>
      <bottom style="thin">
        <color indexed="64"/>
      </bottom>
      <diagonal/>
    </border>
    <border>
      <left style="medium">
        <color indexed="64"/>
      </left>
      <right style="mediumDashed">
        <color indexed="64"/>
      </right>
      <top style="thin">
        <color indexed="64"/>
      </top>
      <bottom style="thin">
        <color indexed="64"/>
      </bottom>
      <diagonal/>
    </border>
    <border>
      <left style="mediumDashed">
        <color indexed="64"/>
      </left>
      <right style="mediumDashed">
        <color indexed="64"/>
      </right>
      <top style="thin">
        <color indexed="64"/>
      </top>
      <bottom style="thin">
        <color indexed="64"/>
      </bottom>
      <diagonal/>
    </border>
    <border>
      <left style="medium">
        <color indexed="64"/>
      </left>
      <right style="mediumDashed">
        <color indexed="64"/>
      </right>
      <top style="thin">
        <color indexed="64"/>
      </top>
      <bottom style="medium">
        <color indexed="64"/>
      </bottom>
      <diagonal/>
    </border>
    <border>
      <left style="mediumDashed">
        <color indexed="64"/>
      </left>
      <right style="mediumDashed">
        <color indexed="64"/>
      </right>
      <top style="thin">
        <color indexed="64"/>
      </top>
      <bottom style="medium">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thin">
        <color indexed="64"/>
      </top>
      <bottom/>
      <diagonal/>
    </border>
    <border>
      <left style="medium">
        <color indexed="64"/>
      </left>
      <right style="mediumDashed">
        <color indexed="64"/>
      </right>
      <top style="thin">
        <color indexed="64"/>
      </top>
      <bottom/>
      <diagonal/>
    </border>
    <border>
      <left style="mediumDashed">
        <color indexed="64"/>
      </left>
      <right style="mediumDashed">
        <color indexed="64"/>
      </right>
      <top style="thin">
        <color indexed="64"/>
      </top>
      <bottom/>
      <diagonal/>
    </border>
    <border>
      <left style="mediumDashed">
        <color indexed="64"/>
      </left>
      <right style="medium">
        <color indexed="64"/>
      </right>
      <top style="medium">
        <color indexed="64"/>
      </top>
      <bottom style="thin">
        <color indexed="64"/>
      </bottom>
      <diagonal/>
    </border>
    <border>
      <left style="mediumDashed">
        <color indexed="64"/>
      </left>
      <right style="medium">
        <color indexed="64"/>
      </right>
      <top style="thin">
        <color indexed="64"/>
      </top>
      <bottom style="thin">
        <color indexed="64"/>
      </bottom>
      <diagonal/>
    </border>
    <border>
      <left style="mediumDashed">
        <color indexed="64"/>
      </left>
      <right style="medium">
        <color indexed="64"/>
      </right>
      <top style="thin">
        <color indexed="64"/>
      </top>
      <bottom style="medium">
        <color indexed="64"/>
      </bottom>
      <diagonal/>
    </border>
    <border>
      <left style="mediumDashed">
        <color indexed="64"/>
      </left>
      <right style="medium">
        <color indexed="64"/>
      </right>
      <top style="thin">
        <color indexed="64"/>
      </top>
      <bottom/>
      <diagonal/>
    </border>
    <border>
      <left/>
      <right/>
      <top style="mediumDashed">
        <color indexed="64"/>
      </top>
      <bottom style="dotted">
        <color indexed="64"/>
      </bottom>
      <diagonal/>
    </border>
    <border>
      <left/>
      <right style="thin">
        <color indexed="64"/>
      </right>
      <top style="mediumDashed">
        <color indexed="64"/>
      </top>
      <bottom style="dotted">
        <color indexed="64"/>
      </bottom>
      <diagonal/>
    </border>
    <border>
      <left style="medium">
        <color indexed="64"/>
      </left>
      <right/>
      <top style="mediumDashed">
        <color indexed="64"/>
      </top>
      <bottom style="medium">
        <color indexed="64"/>
      </bottom>
      <diagonal/>
    </border>
    <border>
      <left style="thin">
        <color indexed="64"/>
      </left>
      <right style="thin">
        <color indexed="64"/>
      </right>
      <top style="mediumDashed">
        <color indexed="64"/>
      </top>
      <bottom style="medium">
        <color indexed="64"/>
      </bottom>
      <diagonal/>
    </border>
    <border>
      <left/>
      <right style="thin">
        <color indexed="64"/>
      </right>
      <top style="mediumDashed">
        <color indexed="64"/>
      </top>
      <bottom style="medium">
        <color indexed="64"/>
      </bottom>
      <diagonal/>
    </border>
    <border>
      <left style="thin">
        <color indexed="64"/>
      </left>
      <right style="medium">
        <color indexed="64"/>
      </right>
      <top style="mediumDashed">
        <color indexed="64"/>
      </top>
      <bottom style="medium">
        <color indexed="64"/>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medium">
        <color indexed="64"/>
      </left>
      <right/>
      <top style="medium">
        <color indexed="64"/>
      </top>
      <bottom style="dotted">
        <color indexed="64"/>
      </bottom>
      <diagonal/>
    </border>
    <border>
      <left/>
      <right/>
      <top style="medium">
        <color indexed="64"/>
      </top>
      <bottom style="dotted">
        <color indexed="64"/>
      </bottom>
      <diagonal/>
    </border>
    <border>
      <left/>
      <right style="thin">
        <color indexed="64"/>
      </right>
      <top style="medium">
        <color indexed="64"/>
      </top>
      <bottom style="dotted">
        <color indexed="64"/>
      </bottom>
      <diagonal/>
    </border>
    <border>
      <left style="thin">
        <color rgb="FFFF0000"/>
      </left>
      <right style="thin">
        <color rgb="FFFF0000"/>
      </right>
      <top style="thin">
        <color rgb="FFFF0000"/>
      </top>
      <bottom style="thin">
        <color rgb="FFFF0000"/>
      </bottom>
      <diagonal/>
    </border>
  </borders>
  <cellStyleXfs count="12">
    <xf numFmtId="0" fontId="0" fillId="0" borderId="0"/>
    <xf numFmtId="0" fontId="6" fillId="0" borderId="0"/>
    <xf numFmtId="0" fontId="48" fillId="30" borderId="0" applyNumberFormat="0" applyBorder="0" applyAlignment="0" applyProtection="0"/>
    <xf numFmtId="0" fontId="49" fillId="31" borderId="0" applyNumberFormat="0" applyBorder="0" applyAlignment="0" applyProtection="0"/>
    <xf numFmtId="9" fontId="50" fillId="0" borderId="0" applyFont="0" applyFill="0" applyBorder="0" applyAlignment="0" applyProtection="0"/>
    <xf numFmtId="0" fontId="57" fillId="34" borderId="0" applyNumberFormat="0" applyBorder="0" applyAlignment="0" applyProtection="0"/>
    <xf numFmtId="0" fontId="52" fillId="0" borderId="0"/>
    <xf numFmtId="0" fontId="52" fillId="0" borderId="0"/>
    <xf numFmtId="0" fontId="6" fillId="0" borderId="0"/>
    <xf numFmtId="170" fontId="6" fillId="0" borderId="0" applyFont="0" applyFill="0" applyBorder="0" applyAlignment="0" applyProtection="0"/>
    <xf numFmtId="0" fontId="6" fillId="0" borderId="0"/>
    <xf numFmtId="0" fontId="2" fillId="0" borderId="0"/>
  </cellStyleXfs>
  <cellXfs count="1882">
    <xf numFmtId="0" fontId="0" fillId="0" borderId="0" xfId="0"/>
    <xf numFmtId="0" fontId="0" fillId="0" borderId="0" xfId="0" applyAlignment="1">
      <alignment horizontal="center" vertical="center" wrapText="1"/>
    </xf>
    <xf numFmtId="0" fontId="0" fillId="0" borderId="0" xfId="0" applyAlignment="1">
      <alignment horizontal="left" vertical="center" wrapText="1"/>
    </xf>
    <xf numFmtId="0" fontId="10" fillId="0" borderId="32" xfId="0" applyFont="1" applyBorder="1" applyAlignment="1">
      <alignment horizontal="center" vertical="center" wrapText="1"/>
    </xf>
    <xf numFmtId="0" fontId="0" fillId="0" borderId="1" xfId="0" applyBorder="1"/>
    <xf numFmtId="0" fontId="10" fillId="7" borderId="32" xfId="0" applyFont="1" applyFill="1" applyBorder="1" applyAlignment="1">
      <alignment horizontal="left" vertical="center"/>
    </xf>
    <xf numFmtId="0" fontId="0" fillId="0" borderId="0" xfId="0" applyAlignment="1">
      <alignment horizontal="center"/>
    </xf>
    <xf numFmtId="0" fontId="0" fillId="0" borderId="0" xfId="0" applyAlignment="1">
      <alignment wrapText="1"/>
    </xf>
    <xf numFmtId="0" fontId="0" fillId="0" borderId="9" xfId="0" applyBorder="1"/>
    <xf numFmtId="0" fontId="10" fillId="0" borderId="45" xfId="0" applyFont="1" applyBorder="1" applyAlignment="1">
      <alignment horizontal="center"/>
    </xf>
    <xf numFmtId="0" fontId="10" fillId="0" borderId="46" xfId="0" applyFont="1" applyBorder="1" applyAlignment="1">
      <alignment horizontal="center"/>
    </xf>
    <xf numFmtId="0" fontId="10" fillId="0" borderId="47" xfId="0" applyFont="1" applyBorder="1" applyAlignment="1">
      <alignment horizontal="center" wrapText="1"/>
    </xf>
    <xf numFmtId="0" fontId="0" fillId="0" borderId="48" xfId="0" applyBorder="1" applyAlignment="1">
      <alignment horizontal="center"/>
    </xf>
    <xf numFmtId="0" fontId="0" fillId="0" borderId="49" xfId="0" applyBorder="1" applyAlignment="1">
      <alignment wrapText="1"/>
    </xf>
    <xf numFmtId="14" fontId="7" fillId="0" borderId="4" xfId="0" applyNumberFormat="1" applyFont="1" applyBorder="1" applyAlignment="1">
      <alignment horizontal="center"/>
    </xf>
    <xf numFmtId="0" fontId="0" fillId="0" borderId="7" xfId="0" applyBorder="1" applyAlignment="1">
      <alignment wrapText="1"/>
    </xf>
    <xf numFmtId="14" fontId="0" fillId="0" borderId="4" xfId="0" applyNumberForma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8" xfId="0" applyBorder="1" applyAlignment="1">
      <alignment wrapText="1"/>
    </xf>
    <xf numFmtId="0" fontId="6" fillId="0" borderId="0" xfId="1"/>
    <xf numFmtId="0" fontId="6" fillId="0" borderId="1" xfId="1" applyBorder="1"/>
    <xf numFmtId="0" fontId="6" fillId="0" borderId="0" xfId="1" applyAlignment="1" applyProtection="1">
      <alignment vertical="center" wrapText="1"/>
    </xf>
    <xf numFmtId="0" fontId="10" fillId="0" borderId="0" xfId="1" applyFont="1" applyAlignment="1" applyProtection="1">
      <alignment vertical="center" wrapText="1"/>
    </xf>
    <xf numFmtId="0" fontId="6" fillId="0" borderId="1" xfId="1" applyBorder="1" applyAlignment="1" applyProtection="1">
      <alignment vertical="center" wrapText="1"/>
    </xf>
    <xf numFmtId="0" fontId="6" fillId="0" borderId="0" xfId="1" applyBorder="1" applyAlignment="1" applyProtection="1">
      <alignment vertical="center" wrapText="1"/>
    </xf>
    <xf numFmtId="0" fontId="6" fillId="0" borderId="0" xfId="1" applyFont="1" applyFill="1" applyBorder="1" applyAlignment="1" applyProtection="1">
      <alignment vertical="center" wrapText="1"/>
    </xf>
    <xf numFmtId="0" fontId="10" fillId="10" borderId="1" xfId="1" applyFont="1" applyFill="1" applyBorder="1" applyAlignment="1" applyProtection="1">
      <alignment vertical="center" wrapText="1"/>
    </xf>
    <xf numFmtId="0" fontId="26" fillId="13" borderId="0" xfId="1" applyFont="1" applyFill="1" applyAlignment="1" applyProtection="1">
      <alignment vertical="center"/>
    </xf>
    <xf numFmtId="0" fontId="10" fillId="0" borderId="2" xfId="1" applyFont="1" applyBorder="1" applyAlignment="1" applyProtection="1">
      <alignment vertical="center" wrapText="1"/>
    </xf>
    <xf numFmtId="0" fontId="10" fillId="0" borderId="3" xfId="1" applyFont="1" applyBorder="1" applyAlignment="1" applyProtection="1">
      <alignment vertical="center" wrapText="1"/>
    </xf>
    <xf numFmtId="0" fontId="10" fillId="0" borderId="4" xfId="1" applyFont="1" applyFill="1" applyBorder="1" applyAlignment="1" applyProtection="1">
      <alignment vertical="center" wrapText="1"/>
    </xf>
    <xf numFmtId="0" fontId="6" fillId="0" borderId="1" xfId="1" applyFont="1" applyBorder="1" applyAlignment="1" applyProtection="1">
      <alignment vertical="center" wrapText="1"/>
    </xf>
    <xf numFmtId="0" fontId="10" fillId="0" borderId="1" xfId="1" applyFont="1" applyFill="1" applyBorder="1" applyAlignment="1" applyProtection="1">
      <alignment vertical="center" wrapText="1"/>
    </xf>
    <xf numFmtId="0" fontId="6" fillId="0" borderId="1" xfId="1" applyFont="1" applyFill="1" applyBorder="1" applyAlignment="1" applyProtection="1">
      <alignment horizontal="right" vertical="center" wrapText="1"/>
    </xf>
    <xf numFmtId="0" fontId="6" fillId="0" borderId="4" xfId="1" applyFont="1" applyFill="1" applyBorder="1" applyAlignment="1" applyProtection="1">
      <alignment vertical="center" wrapText="1"/>
    </xf>
    <xf numFmtId="0" fontId="8" fillId="0" borderId="1" xfId="1" applyFont="1" applyBorder="1" applyAlignment="1" applyProtection="1">
      <alignment vertical="center" wrapText="1"/>
    </xf>
    <xf numFmtId="0" fontId="8" fillId="0" borderId="1" xfId="1" applyFont="1" applyFill="1" applyBorder="1" applyAlignment="1" applyProtection="1">
      <alignment vertical="center" wrapText="1"/>
    </xf>
    <xf numFmtId="0" fontId="6" fillId="0" borderId="0" xfId="1" applyFill="1" applyAlignment="1" applyProtection="1">
      <alignment vertical="center" wrapText="1"/>
    </xf>
    <xf numFmtId="0" fontId="31" fillId="10" borderId="69" xfId="1" applyFont="1" applyFill="1" applyBorder="1" applyAlignment="1" applyProtection="1">
      <alignment horizontal="center" vertical="center" wrapText="1"/>
    </xf>
    <xf numFmtId="0" fontId="6" fillId="0" borderId="0" xfId="1" applyAlignment="1" applyProtection="1">
      <alignment horizontal="center" vertical="center" wrapText="1"/>
    </xf>
    <xf numFmtId="0" fontId="6" fillId="0" borderId="0" xfId="1" applyBorder="1" applyAlignment="1" applyProtection="1">
      <alignment horizontal="center" vertical="center" wrapText="1"/>
    </xf>
    <xf numFmtId="0" fontId="20" fillId="0" borderId="7" xfId="1" applyFont="1" applyFill="1" applyBorder="1" applyAlignment="1" applyProtection="1">
      <alignment horizontal="center" vertical="center" wrapText="1"/>
      <protection locked="0"/>
    </xf>
    <xf numFmtId="0" fontId="6" fillId="0" borderId="1" xfId="1" applyFont="1" applyFill="1" applyBorder="1" applyAlignment="1" applyProtection="1">
      <alignment horizontal="center" vertical="center" wrapText="1"/>
    </xf>
    <xf numFmtId="0" fontId="20" fillId="0" borderId="1" xfId="1" applyFont="1" applyFill="1" applyBorder="1" applyAlignment="1" applyProtection="1">
      <alignment horizontal="center" vertical="center" wrapText="1"/>
      <protection locked="0"/>
    </xf>
    <xf numFmtId="1" fontId="20" fillId="0" borderId="1" xfId="1" applyNumberFormat="1" applyFont="1" applyFill="1" applyBorder="1" applyAlignment="1" applyProtection="1">
      <alignment horizontal="center" vertical="center" wrapText="1"/>
      <protection locked="0"/>
    </xf>
    <xf numFmtId="1" fontId="20" fillId="0" borderId="1" xfId="1" applyNumberFormat="1" applyFont="1" applyBorder="1" applyAlignment="1" applyProtection="1">
      <alignment horizontal="center" vertical="center" wrapText="1"/>
      <protection locked="0"/>
    </xf>
    <xf numFmtId="2" fontId="24" fillId="0" borderId="1" xfId="1" applyNumberFormat="1" applyFont="1" applyBorder="1" applyAlignment="1" applyProtection="1">
      <alignment horizontal="center" vertical="center" wrapText="1"/>
      <protection locked="0"/>
    </xf>
    <xf numFmtId="1" fontId="25" fillId="0" borderId="7" xfId="1" applyNumberFormat="1" applyFont="1" applyBorder="1" applyAlignment="1" applyProtection="1">
      <alignment horizontal="center" vertical="center" wrapText="1"/>
    </xf>
    <xf numFmtId="1" fontId="25" fillId="0" borderId="1" xfId="1" applyNumberFormat="1" applyFont="1" applyBorder="1" applyAlignment="1" applyProtection="1">
      <alignment horizontal="center" vertical="center" wrapText="1"/>
    </xf>
    <xf numFmtId="1" fontId="25" fillId="0" borderId="1" xfId="1" applyNumberFormat="1" applyFont="1" applyFill="1" applyBorder="1" applyAlignment="1" applyProtection="1">
      <alignment horizontal="center" vertical="center" wrapText="1"/>
    </xf>
    <xf numFmtId="1" fontId="6" fillId="0" borderId="1" xfId="1" applyNumberFormat="1" applyBorder="1" applyAlignment="1" applyProtection="1">
      <alignment horizontal="center" vertical="center" wrapText="1"/>
    </xf>
    <xf numFmtId="0" fontId="6" fillId="0" borderId="1" xfId="1" applyBorder="1" applyAlignment="1" applyProtection="1">
      <alignment horizontal="center" vertical="center" wrapText="1"/>
    </xf>
    <xf numFmtId="1" fontId="25" fillId="0" borderId="7" xfId="1" applyNumberFormat="1" applyFont="1" applyFill="1" applyBorder="1" applyAlignment="1" applyProtection="1">
      <alignment horizontal="center" vertical="center" wrapText="1"/>
    </xf>
    <xf numFmtId="2" fontId="24" fillId="0" borderId="1" xfId="1" applyNumberFormat="1" applyFont="1" applyBorder="1" applyAlignment="1" applyProtection="1">
      <alignment horizontal="center" vertical="center" wrapText="1"/>
    </xf>
    <xf numFmtId="0" fontId="6" fillId="0" borderId="22" xfId="1" applyBorder="1" applyAlignment="1" applyProtection="1">
      <alignment horizontal="center" vertical="center" wrapText="1"/>
    </xf>
    <xf numFmtId="1" fontId="25" fillId="0" borderId="22" xfId="1" applyNumberFormat="1" applyFont="1" applyBorder="1" applyAlignment="1" applyProtection="1">
      <alignment horizontal="center" vertical="center" wrapText="1"/>
    </xf>
    <xf numFmtId="0" fontId="10" fillId="0" borderId="3" xfId="1" applyFont="1" applyBorder="1" applyAlignment="1" applyProtection="1">
      <alignment horizontal="center" vertical="center" wrapText="1"/>
    </xf>
    <xf numFmtId="0" fontId="10" fillId="0" borderId="62" xfId="1" applyFont="1" applyBorder="1" applyAlignment="1" applyProtection="1">
      <alignment horizontal="center" vertical="center" wrapText="1"/>
    </xf>
    <xf numFmtId="0" fontId="20" fillId="0" borderId="4" xfId="1" applyFont="1" applyFill="1" applyBorder="1" applyAlignment="1" applyProtection="1">
      <alignment horizontal="center" vertical="center" wrapText="1"/>
      <protection locked="0"/>
    </xf>
    <xf numFmtId="0" fontId="6" fillId="0" borderId="4" xfId="1" applyFont="1" applyFill="1" applyBorder="1" applyAlignment="1" applyProtection="1">
      <alignment horizontal="center" vertical="center" wrapText="1"/>
    </xf>
    <xf numFmtId="0" fontId="6" fillId="0" borderId="7" xfId="1" applyFont="1" applyFill="1" applyBorder="1" applyAlignment="1" applyProtection="1">
      <alignment horizontal="center" vertical="center" wrapText="1"/>
    </xf>
    <xf numFmtId="1" fontId="20" fillId="0" borderId="4" xfId="1" applyNumberFormat="1" applyFont="1" applyFill="1" applyBorder="1" applyAlignment="1" applyProtection="1">
      <alignment horizontal="center" vertical="center" wrapText="1"/>
      <protection locked="0"/>
    </xf>
    <xf numFmtId="1" fontId="20" fillId="0" borderId="7" xfId="1" applyNumberFormat="1" applyFont="1" applyFill="1" applyBorder="1" applyAlignment="1" applyProtection="1">
      <alignment horizontal="center" vertical="center" wrapText="1"/>
      <protection locked="0"/>
    </xf>
    <xf numFmtId="1" fontId="20" fillId="0" borderId="4" xfId="1" applyNumberFormat="1" applyFont="1" applyBorder="1" applyAlignment="1" applyProtection="1">
      <alignment horizontal="center" vertical="center" wrapText="1"/>
      <protection locked="0"/>
    </xf>
    <xf numFmtId="1" fontId="20" fillId="0" borderId="7" xfId="1" applyNumberFormat="1" applyFont="1" applyBorder="1" applyAlignment="1" applyProtection="1">
      <alignment horizontal="center" vertical="center" wrapText="1"/>
      <protection locked="0"/>
    </xf>
    <xf numFmtId="2" fontId="24" fillId="0" borderId="4" xfId="1" applyNumberFormat="1" applyFont="1" applyBorder="1" applyAlignment="1" applyProtection="1">
      <alignment horizontal="center" vertical="center" wrapText="1"/>
      <protection locked="0"/>
    </xf>
    <xf numFmtId="2" fontId="24" fillId="0" borderId="7" xfId="1" applyNumberFormat="1" applyFont="1" applyBorder="1" applyAlignment="1" applyProtection="1">
      <alignment horizontal="center" vertical="center" wrapText="1"/>
      <protection locked="0"/>
    </xf>
    <xf numFmtId="2" fontId="24" fillId="0" borderId="4" xfId="1" applyNumberFormat="1" applyFont="1" applyBorder="1" applyAlignment="1" applyProtection="1">
      <alignment horizontal="center" vertical="center" wrapText="1"/>
    </xf>
    <xf numFmtId="2" fontId="24" fillId="0" borderId="7" xfId="1" applyNumberFormat="1" applyFont="1" applyBorder="1" applyAlignment="1" applyProtection="1">
      <alignment horizontal="center" vertical="center" wrapText="1"/>
    </xf>
    <xf numFmtId="1" fontId="25" fillId="0" borderId="4" xfId="1" applyNumberFormat="1" applyFont="1" applyBorder="1" applyAlignment="1" applyProtection="1">
      <alignment horizontal="center" vertical="center" wrapText="1"/>
    </xf>
    <xf numFmtId="1" fontId="25" fillId="0" borderId="4" xfId="1" applyNumberFormat="1" applyFont="1" applyFill="1" applyBorder="1" applyAlignment="1" applyProtection="1">
      <alignment horizontal="center" vertical="center" wrapText="1"/>
    </xf>
    <xf numFmtId="0" fontId="6" fillId="0" borderId="28" xfId="1" applyBorder="1" applyAlignment="1" applyProtection="1">
      <alignment horizontal="center" vertical="center" wrapText="1"/>
    </xf>
    <xf numFmtId="0" fontId="6" fillId="0" borderId="33" xfId="1" applyBorder="1" applyAlignment="1" applyProtection="1">
      <alignment horizontal="center" vertical="center" wrapText="1"/>
    </xf>
    <xf numFmtId="1" fontId="25" fillId="0" borderId="28" xfId="1" applyNumberFormat="1" applyFont="1" applyBorder="1" applyAlignment="1" applyProtection="1">
      <alignment horizontal="center" vertical="center" wrapText="1"/>
    </xf>
    <xf numFmtId="1" fontId="25" fillId="0" borderId="33" xfId="1" applyNumberFormat="1" applyFont="1" applyBorder="1" applyAlignment="1" applyProtection="1">
      <alignment horizontal="center" vertical="center" wrapText="1"/>
    </xf>
    <xf numFmtId="1" fontId="6" fillId="0" borderId="4" xfId="1" applyNumberFormat="1" applyBorder="1" applyAlignment="1" applyProtection="1">
      <alignment horizontal="center" vertical="center" wrapText="1"/>
    </xf>
    <xf numFmtId="0" fontId="6" fillId="0" borderId="7" xfId="1" applyBorder="1" applyAlignment="1" applyProtection="1">
      <alignment horizontal="center" vertical="center" wrapText="1"/>
    </xf>
    <xf numFmtId="164" fontId="25" fillId="0" borderId="4" xfId="1" applyNumberFormat="1" applyFont="1" applyBorder="1" applyAlignment="1" applyProtection="1">
      <alignment horizontal="center" vertical="center" wrapText="1"/>
    </xf>
    <xf numFmtId="0" fontId="6" fillId="0" borderId="4" xfId="1" applyBorder="1" applyAlignment="1" applyProtection="1">
      <alignment horizontal="center" vertical="center" wrapText="1"/>
    </xf>
    <xf numFmtId="1" fontId="25" fillId="0" borderId="5" xfId="1" applyNumberFormat="1" applyFont="1" applyBorder="1" applyAlignment="1" applyProtection="1">
      <alignment horizontal="center" vertical="center" wrapText="1"/>
    </xf>
    <xf numFmtId="1" fontId="25" fillId="0" borderId="6" xfId="1" applyNumberFormat="1" applyFont="1" applyBorder="1" applyAlignment="1" applyProtection="1">
      <alignment horizontal="center" vertical="center" wrapText="1"/>
    </xf>
    <xf numFmtId="1" fontId="25" fillId="0" borderId="8" xfId="1" applyNumberFormat="1" applyFont="1" applyBorder="1" applyAlignment="1" applyProtection="1">
      <alignment horizontal="center" vertical="center" wrapText="1"/>
    </xf>
    <xf numFmtId="0" fontId="10" fillId="0" borderId="50" xfId="1" applyFont="1" applyBorder="1" applyAlignment="1" applyProtection="1">
      <alignment vertical="center" wrapText="1"/>
    </xf>
    <xf numFmtId="0" fontId="6" fillId="0" borderId="13" xfId="1" applyBorder="1" applyAlignment="1" applyProtection="1">
      <alignment vertical="center" wrapText="1"/>
    </xf>
    <xf numFmtId="0" fontId="6" fillId="0" borderId="13" xfId="1" applyFill="1" applyBorder="1" applyAlignment="1" applyProtection="1">
      <alignment vertical="center" wrapText="1"/>
    </xf>
    <xf numFmtId="0" fontId="6" fillId="5" borderId="13" xfId="1" applyFill="1" applyBorder="1" applyAlignment="1" applyProtection="1">
      <alignment vertical="center" wrapText="1"/>
    </xf>
    <xf numFmtId="0" fontId="20" fillId="4" borderId="13" xfId="1" applyFont="1" applyFill="1" applyBorder="1" applyAlignment="1" applyProtection="1">
      <alignment vertical="center" wrapText="1"/>
    </xf>
    <xf numFmtId="0" fontId="20" fillId="0" borderId="13" xfId="1" applyFont="1" applyFill="1" applyBorder="1" applyAlignment="1" applyProtection="1">
      <alignment vertical="center" wrapText="1"/>
    </xf>
    <xf numFmtId="0" fontId="20" fillId="0" borderId="13" xfId="1" applyFont="1" applyBorder="1" applyAlignment="1" applyProtection="1">
      <alignment vertical="center" wrapText="1"/>
    </xf>
    <xf numFmtId="0" fontId="6" fillId="0" borderId="66" xfId="1" applyBorder="1" applyAlignment="1" applyProtection="1">
      <alignment vertical="center" wrapText="1"/>
    </xf>
    <xf numFmtId="0" fontId="20" fillId="0" borderId="66" xfId="1" applyFont="1" applyBorder="1" applyAlignment="1" applyProtection="1">
      <alignment vertical="center" wrapText="1"/>
    </xf>
    <xf numFmtId="0" fontId="6" fillId="0" borderId="51" xfId="1" applyBorder="1" applyAlignment="1" applyProtection="1">
      <alignment vertical="center" wrapText="1"/>
    </xf>
    <xf numFmtId="0" fontId="14" fillId="0" borderId="4" xfId="1" applyFont="1" applyBorder="1" applyAlignment="1" applyProtection="1">
      <alignment vertical="center" wrapText="1"/>
    </xf>
    <xf numFmtId="0" fontId="10" fillId="0" borderId="4" xfId="1" applyFont="1" applyBorder="1" applyAlignment="1" applyProtection="1">
      <alignment vertical="center" wrapText="1"/>
    </xf>
    <xf numFmtId="0" fontId="6" fillId="0" borderId="4" xfId="1" applyFont="1" applyBorder="1" applyAlignment="1" applyProtection="1">
      <alignment vertical="center" wrapText="1"/>
    </xf>
    <xf numFmtId="0" fontId="6" fillId="14" borderId="4" xfId="1" applyFont="1" applyFill="1" applyBorder="1" applyAlignment="1" applyProtection="1">
      <alignment vertical="center" wrapText="1"/>
    </xf>
    <xf numFmtId="0" fontId="8" fillId="14" borderId="1" xfId="1" applyFont="1" applyFill="1" applyBorder="1" applyAlignment="1" applyProtection="1">
      <alignment vertical="center" wrapText="1"/>
    </xf>
    <xf numFmtId="0" fontId="6" fillId="0" borderId="28" xfId="1" applyBorder="1" applyAlignment="1" applyProtection="1">
      <alignment vertical="center" wrapText="1"/>
    </xf>
    <xf numFmtId="0" fontId="6" fillId="0" borderId="22" xfId="1" applyBorder="1" applyAlignment="1" applyProtection="1">
      <alignment vertical="center" wrapText="1"/>
    </xf>
    <xf numFmtId="0" fontId="6" fillId="0" borderId="22" xfId="1" applyFill="1" applyBorder="1" applyAlignment="1" applyProtection="1">
      <alignment vertical="center" wrapText="1"/>
    </xf>
    <xf numFmtId="0" fontId="6" fillId="0" borderId="28" xfId="1" applyFont="1" applyBorder="1" applyAlignment="1" applyProtection="1">
      <alignment vertical="center" wrapText="1"/>
    </xf>
    <xf numFmtId="0" fontId="8" fillId="0" borderId="22" xfId="1" applyFont="1" applyBorder="1" applyAlignment="1" applyProtection="1">
      <alignment vertical="center" wrapText="1"/>
    </xf>
    <xf numFmtId="0" fontId="6" fillId="0" borderId="48" xfId="1" applyFont="1" applyFill="1" applyBorder="1" applyAlignment="1" applyProtection="1">
      <alignment vertical="center" wrapText="1"/>
    </xf>
    <xf numFmtId="0" fontId="8" fillId="0" borderId="9" xfId="1" applyFont="1" applyBorder="1" applyAlignment="1" applyProtection="1">
      <alignment vertical="center" wrapText="1"/>
    </xf>
    <xf numFmtId="0" fontId="6" fillId="0" borderId="26" xfId="1" applyFont="1" applyBorder="1" applyAlignment="1" applyProtection="1">
      <alignment vertical="center" wrapText="1"/>
    </xf>
    <xf numFmtId="0" fontId="6" fillId="0" borderId="28" xfId="1" applyFont="1" applyFill="1" applyBorder="1" applyAlignment="1" applyProtection="1">
      <alignment vertical="center" wrapText="1"/>
    </xf>
    <xf numFmtId="0" fontId="8" fillId="0" borderId="22" xfId="1" applyFont="1" applyFill="1" applyBorder="1" applyAlignment="1" applyProtection="1">
      <alignment vertical="center" wrapText="1"/>
    </xf>
    <xf numFmtId="0" fontId="6" fillId="0" borderId="28" xfId="1" applyFill="1" applyBorder="1" applyAlignment="1" applyProtection="1">
      <alignment vertical="center" wrapText="1"/>
    </xf>
    <xf numFmtId="0" fontId="6" fillId="0" borderId="5" xfId="1" applyFont="1" applyBorder="1" applyAlignment="1" applyProtection="1">
      <alignment vertical="center" wrapText="1"/>
    </xf>
    <xf numFmtId="0" fontId="8" fillId="0" borderId="6" xfId="1" applyFont="1" applyBorder="1" applyAlignment="1" applyProtection="1">
      <alignment vertical="center" wrapText="1"/>
    </xf>
    <xf numFmtId="0" fontId="6" fillId="0" borderId="0" xfId="1" applyAlignment="1"/>
    <xf numFmtId="0" fontId="10" fillId="10" borderId="47" xfId="1" applyFont="1" applyFill="1" applyBorder="1" applyAlignment="1"/>
    <xf numFmtId="0" fontId="6" fillId="0" borderId="22" xfId="1" applyBorder="1" applyAlignment="1"/>
    <xf numFmtId="0" fontId="6" fillId="0" borderId="28" xfId="1" applyBorder="1" applyAlignment="1"/>
    <xf numFmtId="0" fontId="6" fillId="0" borderId="33" xfId="1" applyBorder="1" applyAlignment="1"/>
    <xf numFmtId="0" fontId="6" fillId="0" borderId="28" xfId="1" applyFill="1" applyBorder="1" applyAlignment="1"/>
    <xf numFmtId="0" fontId="6" fillId="0" borderId="22" xfId="1" applyFill="1" applyBorder="1" applyAlignment="1"/>
    <xf numFmtId="0" fontId="6" fillId="10" borderId="22" xfId="1" applyFill="1" applyBorder="1" applyAlignment="1"/>
    <xf numFmtId="0" fontId="6" fillId="10" borderId="33" xfId="1" applyFill="1" applyBorder="1" applyAlignment="1"/>
    <xf numFmtId="0" fontId="6" fillId="6" borderId="28" xfId="1" applyFill="1" applyBorder="1" applyAlignment="1"/>
    <xf numFmtId="0" fontId="6" fillId="6" borderId="22" xfId="1" applyFill="1" applyBorder="1" applyAlignment="1"/>
    <xf numFmtId="0" fontId="10" fillId="2" borderId="1" xfId="1" applyFont="1" applyFill="1" applyBorder="1" applyAlignment="1" applyProtection="1">
      <alignment vertical="center"/>
    </xf>
    <xf numFmtId="0" fontId="26" fillId="9" borderId="0" xfId="1" applyFont="1" applyFill="1" applyAlignment="1" applyProtection="1">
      <alignment vertical="center"/>
    </xf>
    <xf numFmtId="0" fontId="25" fillId="0" borderId="0" xfId="1" applyFont="1" applyFill="1" applyAlignment="1" applyProtection="1">
      <alignment vertical="center" wrapText="1"/>
    </xf>
    <xf numFmtId="0" fontId="6" fillId="0" borderId="0" xfId="1" applyFill="1" applyAlignment="1" applyProtection="1">
      <alignment vertical="center"/>
    </xf>
    <xf numFmtId="0" fontId="6" fillId="0" borderId="0" xfId="1" applyFont="1" applyFill="1" applyBorder="1" applyAlignment="1" applyProtection="1">
      <alignment horizontal="center" vertical="center" wrapText="1"/>
    </xf>
    <xf numFmtId="0" fontId="6" fillId="0" borderId="0" xfId="1" applyFill="1" applyAlignment="1" applyProtection="1">
      <alignment horizontal="center" vertical="center" wrapText="1"/>
    </xf>
    <xf numFmtId="0" fontId="10" fillId="0" borderId="60" xfId="1" applyFont="1" applyBorder="1" applyAlignment="1" applyProtection="1">
      <alignment horizontal="center" vertical="center" wrapText="1"/>
    </xf>
    <xf numFmtId="0" fontId="20" fillId="13" borderId="15" xfId="1" applyFont="1" applyFill="1" applyBorder="1" applyAlignment="1" applyProtection="1">
      <alignment horizontal="center" vertical="center" wrapText="1"/>
      <protection locked="0"/>
    </xf>
    <xf numFmtId="0" fontId="6" fillId="13" borderId="15" xfId="1" applyFont="1" applyFill="1" applyBorder="1" applyAlignment="1" applyProtection="1">
      <alignment horizontal="center" vertical="center" wrapText="1"/>
    </xf>
    <xf numFmtId="0" fontId="20" fillId="13" borderId="39" xfId="1" applyFont="1" applyFill="1" applyBorder="1" applyAlignment="1" applyProtection="1">
      <alignment horizontal="center" vertical="center" wrapText="1"/>
      <protection locked="0"/>
    </xf>
    <xf numFmtId="0" fontId="20" fillId="13" borderId="60" xfId="1" applyFont="1" applyFill="1" applyBorder="1" applyAlignment="1" applyProtection="1">
      <alignment horizontal="center" vertical="center" wrapText="1"/>
      <protection locked="0"/>
    </xf>
    <xf numFmtId="1" fontId="20" fillId="13" borderId="15" xfId="1" applyNumberFormat="1" applyFont="1" applyFill="1" applyBorder="1" applyAlignment="1" applyProtection="1">
      <alignment horizontal="center" vertical="center" wrapText="1"/>
      <protection locked="0"/>
    </xf>
    <xf numFmtId="2" fontId="24" fillId="13" borderId="15" xfId="1" applyNumberFormat="1" applyFont="1" applyFill="1" applyBorder="1" applyAlignment="1" applyProtection="1">
      <alignment horizontal="center" vertical="center" wrapText="1"/>
      <protection locked="0"/>
    </xf>
    <xf numFmtId="2" fontId="24" fillId="13" borderId="39" xfId="1" applyNumberFormat="1" applyFont="1" applyFill="1" applyBorder="1" applyAlignment="1" applyProtection="1">
      <alignment horizontal="center" vertical="center" wrapText="1"/>
      <protection locked="0"/>
    </xf>
    <xf numFmtId="2" fontId="24" fillId="13" borderId="60" xfId="1" applyNumberFormat="1" applyFont="1" applyFill="1" applyBorder="1" applyAlignment="1" applyProtection="1">
      <alignment horizontal="center" vertical="center" wrapText="1"/>
    </xf>
    <xf numFmtId="1" fontId="25" fillId="13" borderId="15" xfId="1" applyNumberFormat="1" applyFont="1" applyFill="1" applyBorder="1" applyAlignment="1" applyProtection="1">
      <alignment horizontal="center" vertical="center" wrapText="1"/>
    </xf>
    <xf numFmtId="1" fontId="25" fillId="13" borderId="39" xfId="1" applyNumberFormat="1" applyFont="1" applyFill="1" applyBorder="1" applyAlignment="1" applyProtection="1">
      <alignment horizontal="center" vertical="center" wrapText="1"/>
    </xf>
    <xf numFmtId="0" fontId="6" fillId="13" borderId="0" xfId="1" applyFill="1" applyAlignment="1" applyProtection="1">
      <alignment horizontal="center" vertical="center" wrapText="1"/>
    </xf>
    <xf numFmtId="1" fontId="25" fillId="13" borderId="0" xfId="1" applyNumberFormat="1" applyFont="1" applyFill="1" applyBorder="1" applyAlignment="1" applyProtection="1">
      <alignment horizontal="center" vertical="center" wrapText="1"/>
    </xf>
    <xf numFmtId="1" fontId="6" fillId="13" borderId="69" xfId="1" applyNumberFormat="1" applyFill="1" applyBorder="1" applyAlignment="1" applyProtection="1">
      <alignment horizontal="center" vertical="center" wrapText="1"/>
    </xf>
    <xf numFmtId="1" fontId="25" fillId="13" borderId="60" xfId="1" applyNumberFormat="1" applyFont="1" applyFill="1" applyBorder="1" applyAlignment="1" applyProtection="1">
      <alignment horizontal="center" vertical="center" wrapText="1"/>
    </xf>
    <xf numFmtId="0" fontId="6" fillId="13" borderId="0" xfId="1" applyFill="1" applyBorder="1" applyAlignment="1" applyProtection="1">
      <alignment horizontal="center" vertical="center" wrapText="1"/>
    </xf>
    <xf numFmtId="0" fontId="6" fillId="13" borderId="69" xfId="1" applyFill="1" applyBorder="1" applyAlignment="1" applyProtection="1">
      <alignment horizontal="center" vertical="center" wrapText="1"/>
    </xf>
    <xf numFmtId="0" fontId="10" fillId="0" borderId="15" xfId="1" applyFont="1" applyFill="1" applyBorder="1" applyAlignment="1" applyProtection="1">
      <alignment horizontal="center" vertical="center" wrapText="1"/>
    </xf>
    <xf numFmtId="0" fontId="10" fillId="0" borderId="1" xfId="1" applyFont="1" applyFill="1" applyBorder="1" applyAlignment="1" applyProtection="1">
      <alignment horizontal="center" vertical="center" wrapText="1"/>
    </xf>
    <xf numFmtId="0" fontId="6" fillId="10" borderId="70" xfId="1" applyFill="1" applyBorder="1" applyAlignment="1" applyProtection="1">
      <alignment horizontal="center" vertical="center" wrapText="1"/>
    </xf>
    <xf numFmtId="0" fontId="25" fillId="10" borderId="14" xfId="1" applyFont="1" applyFill="1" applyBorder="1" applyAlignment="1" applyProtection="1">
      <alignment horizontal="center" vertical="center" wrapText="1"/>
    </xf>
    <xf numFmtId="0" fontId="6" fillId="10" borderId="19" xfId="1" applyFill="1" applyBorder="1" applyAlignment="1" applyProtection="1">
      <alignment horizontal="center" vertical="center" wrapText="1"/>
    </xf>
    <xf numFmtId="0" fontId="25" fillId="0" borderId="0" xfId="1" applyFont="1" applyFill="1" applyAlignment="1" applyProtection="1">
      <alignment horizontal="center" vertical="center" wrapText="1"/>
    </xf>
    <xf numFmtId="0" fontId="6" fillId="0" borderId="1" xfId="1" quotePrefix="1" applyFont="1" applyFill="1" applyBorder="1" applyAlignment="1" applyProtection="1">
      <alignment horizontal="center" vertical="center" wrapText="1"/>
    </xf>
    <xf numFmtId="0" fontId="25" fillId="13" borderId="1" xfId="1" applyFont="1" applyFill="1" applyBorder="1" applyAlignment="1" applyProtection="1">
      <alignment horizontal="center" vertical="center" wrapText="1"/>
    </xf>
    <xf numFmtId="0" fontId="25" fillId="13" borderId="6" xfId="1" applyFont="1" applyFill="1" applyBorder="1" applyAlignment="1" applyProtection="1">
      <alignment horizontal="center" vertical="center" wrapText="1"/>
    </xf>
    <xf numFmtId="0" fontId="6" fillId="0" borderId="8" xfId="1" applyFont="1" applyFill="1" applyBorder="1" applyAlignment="1" applyProtection="1">
      <alignment horizontal="center" vertical="center" wrapText="1"/>
    </xf>
    <xf numFmtId="0" fontId="25" fillId="0" borderId="3" xfId="1" applyFont="1" applyFill="1" applyBorder="1" applyAlignment="1" applyProtection="1">
      <alignment horizontal="center" vertical="center" wrapText="1"/>
    </xf>
    <xf numFmtId="0" fontId="6" fillId="0" borderId="62" xfId="1" applyFont="1" applyFill="1" applyBorder="1" applyAlignment="1" applyProtection="1">
      <alignment horizontal="center" vertical="center" wrapText="1"/>
    </xf>
    <xf numFmtId="0" fontId="6" fillId="0" borderId="6" xfId="1" applyFont="1" applyFill="1" applyBorder="1" applyAlignment="1" applyProtection="1">
      <alignment horizontal="center" vertical="center" wrapText="1"/>
    </xf>
    <xf numFmtId="0" fontId="6" fillId="0" borderId="3" xfId="1" applyFont="1" applyFill="1" applyBorder="1" applyAlignment="1" applyProtection="1">
      <alignment horizontal="center" vertical="center" wrapText="1"/>
    </xf>
    <xf numFmtId="0" fontId="6" fillId="0" borderId="7" xfId="1" quotePrefix="1" applyFont="1" applyFill="1" applyBorder="1" applyAlignment="1" applyProtection="1">
      <alignment horizontal="center" vertical="center" wrapText="1"/>
    </xf>
    <xf numFmtId="0" fontId="6" fillId="0" borderId="6" xfId="1" quotePrefix="1" applyFont="1" applyFill="1" applyBorder="1" applyAlignment="1" applyProtection="1">
      <alignment horizontal="center" vertical="center" wrapText="1"/>
    </xf>
    <xf numFmtId="0" fontId="6" fillId="0" borderId="8" xfId="1" quotePrefix="1" applyFont="1" applyFill="1" applyBorder="1" applyAlignment="1" applyProtection="1">
      <alignment horizontal="center" vertical="center" wrapText="1"/>
    </xf>
    <xf numFmtId="0" fontId="6" fillId="0" borderId="22" xfId="1" applyFill="1" applyBorder="1" applyAlignment="1" applyProtection="1">
      <alignment horizontal="center" vertical="center" wrapText="1"/>
    </xf>
    <xf numFmtId="0" fontId="6" fillId="0" borderId="33" xfId="1" applyFill="1" applyBorder="1" applyAlignment="1" applyProtection="1">
      <alignment horizontal="center" vertical="center" wrapText="1"/>
    </xf>
    <xf numFmtId="0" fontId="25" fillId="0" borderId="22" xfId="1" applyFont="1" applyFill="1" applyBorder="1" applyAlignment="1" applyProtection="1">
      <alignment horizontal="center" vertical="center" wrapText="1"/>
    </xf>
    <xf numFmtId="0" fontId="6" fillId="0" borderId="33" xfId="1" applyFont="1" applyFill="1" applyBorder="1" applyAlignment="1" applyProtection="1">
      <alignment horizontal="center" vertical="center" wrapText="1"/>
    </xf>
    <xf numFmtId="0" fontId="6" fillId="0" borderId="36" xfId="1" applyFont="1" applyFill="1" applyBorder="1" applyAlignment="1" applyProtection="1">
      <alignment horizontal="center" vertical="center" wrapText="1"/>
    </xf>
    <xf numFmtId="0" fontId="6" fillId="0" borderId="29" xfId="1" applyFont="1" applyFill="1" applyBorder="1" applyAlignment="1" applyProtection="1">
      <alignment horizontal="center" vertical="center" wrapText="1"/>
    </xf>
    <xf numFmtId="1" fontId="6" fillId="0" borderId="7" xfId="1" applyNumberFormat="1" applyFont="1" applyFill="1" applyBorder="1" applyAlignment="1" applyProtection="1">
      <alignment horizontal="center" vertical="center" wrapText="1"/>
    </xf>
    <xf numFmtId="1" fontId="6" fillId="0" borderId="8" xfId="1" applyNumberFormat="1" applyFont="1" applyFill="1" applyBorder="1" applyAlignment="1" applyProtection="1">
      <alignment horizontal="center" vertical="center" wrapText="1"/>
    </xf>
    <xf numFmtId="0" fontId="6" fillId="0" borderId="22" xfId="1" applyFont="1" applyFill="1" applyBorder="1" applyAlignment="1" applyProtection="1">
      <alignment horizontal="center" vertical="center" wrapText="1"/>
    </xf>
    <xf numFmtId="1" fontId="6" fillId="0" borderId="33" xfId="1" applyNumberFormat="1" applyFont="1" applyFill="1" applyBorder="1" applyAlignment="1" applyProtection="1">
      <alignment horizontal="center" vertical="center" wrapText="1"/>
    </xf>
    <xf numFmtId="0" fontId="25" fillId="13" borderId="3" xfId="1" applyFont="1" applyFill="1" applyBorder="1" applyAlignment="1" applyProtection="1">
      <alignment horizontal="center" vertical="center" wrapText="1"/>
    </xf>
    <xf numFmtId="1" fontId="6" fillId="0" borderId="62" xfId="1" applyNumberFormat="1" applyFont="1" applyFill="1" applyBorder="1" applyAlignment="1" applyProtection="1">
      <alignment horizontal="center" vertical="center" wrapText="1"/>
    </xf>
    <xf numFmtId="0" fontId="25" fillId="13" borderId="9" xfId="1" applyFont="1" applyFill="1" applyBorder="1" applyAlignment="1" applyProtection="1">
      <alignment horizontal="center" vertical="center" wrapText="1"/>
    </xf>
    <xf numFmtId="1" fontId="6" fillId="0" borderId="49" xfId="1" applyNumberFormat="1" applyFont="1" applyFill="1" applyBorder="1" applyAlignment="1" applyProtection="1">
      <alignment horizontal="center" vertical="center" wrapText="1"/>
    </xf>
    <xf numFmtId="3" fontId="20" fillId="10" borderId="4" xfId="1" applyNumberFormat="1" applyFont="1" applyFill="1" applyBorder="1" applyAlignment="1" applyProtection="1">
      <alignment horizontal="center" vertical="center" wrapText="1"/>
      <protection locked="0"/>
    </xf>
    <xf numFmtId="3" fontId="20" fillId="10" borderId="1" xfId="1" applyNumberFormat="1" applyFont="1" applyFill="1" applyBorder="1" applyAlignment="1" applyProtection="1">
      <alignment horizontal="center" vertical="center" wrapText="1"/>
      <protection locked="0"/>
    </xf>
    <xf numFmtId="0" fontId="21" fillId="12" borderId="0" xfId="1" applyFont="1" applyFill="1" applyAlignment="1" applyProtection="1">
      <alignment vertical="center" wrapText="1"/>
    </xf>
    <xf numFmtId="0" fontId="6" fillId="0" borderId="0" xfId="1" applyAlignment="1" applyProtection="1">
      <alignment vertical="center"/>
    </xf>
    <xf numFmtId="0" fontId="6" fillId="0" borderId="1" xfId="1" applyBorder="1" applyAlignment="1" applyProtection="1">
      <alignment vertical="center"/>
    </xf>
    <xf numFmtId="0" fontId="6" fillId="0" borderId="0" xfId="1" applyAlignment="1" applyProtection="1">
      <alignment horizontal="center" vertical="center"/>
    </xf>
    <xf numFmtId="0" fontId="6" fillId="0" borderId="1" xfId="1" applyBorder="1" applyAlignment="1" applyProtection="1">
      <alignment horizontal="center" vertical="center"/>
    </xf>
    <xf numFmtId="0" fontId="6" fillId="0" borderId="9" xfId="1" applyBorder="1" applyAlignment="1" applyProtection="1">
      <alignment horizontal="center" vertical="center" wrapText="1"/>
    </xf>
    <xf numFmtId="0" fontId="8" fillId="0" borderId="1" xfId="1" applyFont="1" applyBorder="1" applyAlignment="1" applyProtection="1">
      <alignment horizontal="center" vertical="center" wrapText="1"/>
    </xf>
    <xf numFmtId="0" fontId="6" fillId="0" borderId="1" xfId="1" applyFont="1" applyBorder="1" applyAlignment="1" applyProtection="1">
      <alignment horizontal="center" vertical="center" wrapText="1"/>
    </xf>
    <xf numFmtId="0" fontId="6" fillId="10" borderId="14" xfId="1" applyFill="1" applyBorder="1" applyAlignment="1" applyProtection="1">
      <alignment horizontal="center" vertical="center" wrapText="1"/>
    </xf>
    <xf numFmtId="0" fontId="10" fillId="10" borderId="21" xfId="1" applyFont="1" applyFill="1" applyBorder="1" applyAlignment="1" applyProtection="1">
      <alignment vertical="center" wrapText="1"/>
    </xf>
    <xf numFmtId="0" fontId="30" fillId="10" borderId="16" xfId="1" applyFont="1" applyFill="1" applyBorder="1" applyAlignment="1" applyProtection="1">
      <alignment vertical="center" wrapText="1"/>
    </xf>
    <xf numFmtId="0" fontId="25" fillId="7" borderId="69" xfId="1" applyFont="1" applyFill="1" applyBorder="1" applyAlignment="1" applyProtection="1">
      <alignment horizontal="center" vertical="center" wrapText="1"/>
    </xf>
    <xf numFmtId="0" fontId="6" fillId="7" borderId="70" xfId="1" applyFill="1" applyBorder="1" applyAlignment="1" applyProtection="1">
      <alignment horizontal="center" vertical="center" wrapText="1"/>
    </xf>
    <xf numFmtId="0" fontId="6" fillId="10" borderId="21" xfId="1" applyFont="1" applyFill="1" applyBorder="1" applyAlignment="1" applyProtection="1">
      <alignment vertical="center"/>
    </xf>
    <xf numFmtId="0" fontId="6" fillId="10" borderId="17" xfId="1" applyFill="1" applyBorder="1" applyAlignment="1" applyProtection="1">
      <alignment vertical="center" wrapText="1"/>
    </xf>
    <xf numFmtId="0" fontId="6" fillId="0" borderId="36" xfId="1" applyBorder="1" applyAlignment="1" applyProtection="1">
      <alignment horizontal="center" vertical="center" wrapText="1"/>
    </xf>
    <xf numFmtId="0" fontId="6" fillId="7" borderId="15" xfId="1" applyFill="1" applyBorder="1" applyAlignment="1" applyProtection="1">
      <alignment vertical="center"/>
    </xf>
    <xf numFmtId="0" fontId="6" fillId="7" borderId="11" xfId="1" applyFill="1" applyBorder="1" applyAlignment="1" applyProtection="1">
      <alignment vertical="center"/>
    </xf>
    <xf numFmtId="0" fontId="8" fillId="0" borderId="36" xfId="1" applyFont="1" applyFill="1" applyBorder="1" applyAlignment="1" applyProtection="1">
      <alignment vertical="center" wrapText="1"/>
    </xf>
    <xf numFmtId="164" fontId="6" fillId="10" borderId="1" xfId="1" applyNumberFormat="1" applyFill="1" applyBorder="1" applyAlignment="1" applyProtection="1">
      <alignment horizontal="center" vertical="center"/>
    </xf>
    <xf numFmtId="0" fontId="10" fillId="0" borderId="26" xfId="1" applyFont="1" applyBorder="1" applyAlignment="1" applyProtection="1">
      <alignment vertical="center" wrapText="1"/>
    </xf>
    <xf numFmtId="0" fontId="6" fillId="0" borderId="36" xfId="1" applyBorder="1" applyAlignment="1" applyProtection="1">
      <alignment vertical="center" wrapText="1"/>
    </xf>
    <xf numFmtId="0" fontId="10" fillId="0" borderId="36" xfId="1" applyFont="1" applyFill="1" applyBorder="1" applyAlignment="1" applyProtection="1">
      <alignment horizontal="center" vertical="center" wrapText="1"/>
    </xf>
    <xf numFmtId="0" fontId="10" fillId="0" borderId="69" xfId="1" applyFont="1" applyFill="1" applyBorder="1" applyAlignment="1" applyProtection="1">
      <alignment horizontal="center" vertical="center" wrapText="1"/>
    </xf>
    <xf numFmtId="0" fontId="10" fillId="0" borderId="26" xfId="1" applyFont="1" applyBorder="1" applyAlignment="1" applyProtection="1">
      <alignment horizontal="center" vertical="center" wrapText="1"/>
    </xf>
    <xf numFmtId="0" fontId="10" fillId="0" borderId="36" xfId="1" applyFont="1" applyBorder="1" applyAlignment="1" applyProtection="1">
      <alignment horizontal="center" vertical="center" wrapText="1"/>
    </xf>
    <xf numFmtId="0" fontId="6" fillId="0" borderId="71" xfId="1" applyBorder="1" applyAlignment="1" applyProtection="1">
      <alignment vertical="center" wrapText="1"/>
    </xf>
    <xf numFmtId="0" fontId="6" fillId="0" borderId="9" xfId="1" quotePrefix="1" applyFont="1" applyFill="1" applyBorder="1" applyAlignment="1" applyProtection="1">
      <alignment horizontal="center" vertical="center" wrapText="1"/>
    </xf>
    <xf numFmtId="0" fontId="6" fillId="0" borderId="49" xfId="1" applyFont="1" applyFill="1" applyBorder="1" applyAlignment="1" applyProtection="1">
      <alignment horizontal="center" vertical="center" wrapText="1"/>
    </xf>
    <xf numFmtId="3" fontId="6" fillId="0" borderId="48" xfId="1" applyNumberFormat="1" applyFont="1" applyFill="1" applyBorder="1" applyAlignment="1" applyProtection="1">
      <alignment horizontal="center" vertical="center" wrapText="1"/>
    </xf>
    <xf numFmtId="3" fontId="6" fillId="0" borderId="9" xfId="1" applyNumberFormat="1" applyFont="1" applyFill="1" applyBorder="1" applyAlignment="1" applyProtection="1">
      <alignment horizontal="center" vertical="center" wrapText="1"/>
    </xf>
    <xf numFmtId="3" fontId="6" fillId="0" borderId="49" xfId="1" applyNumberFormat="1" applyFont="1" applyFill="1" applyBorder="1" applyAlignment="1" applyProtection="1">
      <alignment horizontal="center" vertical="center" wrapText="1"/>
    </xf>
    <xf numFmtId="0" fontId="6" fillId="0" borderId="12" xfId="1" applyBorder="1" applyAlignment="1" applyProtection="1">
      <alignment vertical="center" wrapText="1"/>
    </xf>
    <xf numFmtId="0" fontId="6" fillId="0" borderId="72" xfId="1" applyFont="1" applyBorder="1" applyAlignment="1" applyProtection="1">
      <alignment vertical="center" wrapText="1"/>
    </xf>
    <xf numFmtId="0" fontId="8" fillId="0" borderId="73" xfId="1" applyFont="1" applyBorder="1" applyAlignment="1" applyProtection="1">
      <alignment vertical="center" wrapText="1"/>
    </xf>
    <xf numFmtId="0" fontId="6" fillId="0" borderId="73" xfId="1" quotePrefix="1" applyFont="1" applyFill="1" applyBorder="1" applyAlignment="1" applyProtection="1">
      <alignment horizontal="center" vertical="center" wrapText="1"/>
    </xf>
    <xf numFmtId="0" fontId="6" fillId="0" borderId="74" xfId="1" applyFont="1" applyFill="1" applyBorder="1" applyAlignment="1" applyProtection="1">
      <alignment horizontal="center" vertical="center" wrapText="1"/>
    </xf>
    <xf numFmtId="3" fontId="6" fillId="0" borderId="72" xfId="1" applyNumberFormat="1" applyFont="1" applyFill="1" applyBorder="1" applyAlignment="1" applyProtection="1">
      <alignment horizontal="center" vertical="center" wrapText="1"/>
    </xf>
    <xf numFmtId="3" fontId="6" fillId="0" borderId="73" xfId="1" applyNumberFormat="1" applyFont="1" applyFill="1" applyBorder="1" applyAlignment="1" applyProtection="1">
      <alignment horizontal="center" vertical="center" wrapText="1"/>
    </xf>
    <xf numFmtId="3" fontId="6" fillId="0" borderId="74" xfId="1" applyNumberFormat="1" applyFont="1" applyFill="1" applyBorder="1" applyAlignment="1" applyProtection="1">
      <alignment horizontal="center" vertical="center" wrapText="1"/>
    </xf>
    <xf numFmtId="0" fontId="6" fillId="0" borderId="76" xfId="1" applyBorder="1" applyAlignment="1" applyProtection="1">
      <alignment vertical="center" wrapText="1"/>
    </xf>
    <xf numFmtId="0" fontId="6" fillId="0" borderId="77" xfId="1" applyFont="1" applyBorder="1" applyAlignment="1" applyProtection="1">
      <alignment vertical="center" wrapText="1"/>
    </xf>
    <xf numFmtId="0" fontId="8" fillId="0" borderId="78" xfId="1" applyFont="1" applyBorder="1" applyAlignment="1" applyProtection="1">
      <alignment vertical="center" wrapText="1"/>
    </xf>
    <xf numFmtId="0" fontId="6" fillId="0" borderId="78" xfId="1" quotePrefix="1" applyFont="1" applyFill="1" applyBorder="1" applyAlignment="1" applyProtection="1">
      <alignment horizontal="center" vertical="center" wrapText="1"/>
    </xf>
    <xf numFmtId="0" fontId="6" fillId="0" borderId="79" xfId="1" applyFont="1" applyFill="1" applyBorder="1" applyAlignment="1" applyProtection="1">
      <alignment horizontal="center" vertical="center" wrapText="1"/>
    </xf>
    <xf numFmtId="3" fontId="20" fillId="10" borderId="77" xfId="1" applyNumberFormat="1" applyFont="1" applyFill="1" applyBorder="1" applyAlignment="1" applyProtection="1">
      <alignment horizontal="center" vertical="center" wrapText="1"/>
      <protection locked="0"/>
    </xf>
    <xf numFmtId="3" fontId="20" fillId="10" borderId="78" xfId="1" applyNumberFormat="1" applyFont="1" applyFill="1" applyBorder="1" applyAlignment="1" applyProtection="1">
      <alignment horizontal="center" vertical="center" wrapText="1"/>
      <protection locked="0"/>
    </xf>
    <xf numFmtId="0" fontId="6" fillId="0" borderId="81" xfId="1" applyBorder="1" applyAlignment="1" applyProtection="1">
      <alignment vertical="center" wrapText="1"/>
    </xf>
    <xf numFmtId="0" fontId="6" fillId="0" borderId="12" xfId="1" applyFill="1" applyBorder="1" applyAlignment="1" applyProtection="1">
      <alignment vertical="center" wrapText="1"/>
    </xf>
    <xf numFmtId="0" fontId="8" fillId="0" borderId="36" xfId="1" applyFont="1" applyBorder="1" applyAlignment="1" applyProtection="1">
      <alignment vertical="center" wrapText="1"/>
    </xf>
    <xf numFmtId="0" fontId="6" fillId="0" borderId="36" xfId="1" quotePrefix="1" applyFont="1" applyFill="1" applyBorder="1" applyAlignment="1" applyProtection="1">
      <alignment horizontal="center" vertical="center" wrapText="1"/>
    </xf>
    <xf numFmtId="3" fontId="20" fillId="10" borderId="26" xfId="1" applyNumberFormat="1" applyFont="1" applyFill="1" applyBorder="1" applyAlignment="1" applyProtection="1">
      <alignment horizontal="center" vertical="center" wrapText="1"/>
      <protection locked="0"/>
    </xf>
    <xf numFmtId="3" fontId="20" fillId="10" borderId="36" xfId="1" applyNumberFormat="1" applyFont="1" applyFill="1" applyBorder="1" applyAlignment="1" applyProtection="1">
      <alignment horizontal="center" vertical="center" wrapText="1"/>
      <protection locked="0"/>
    </xf>
    <xf numFmtId="0" fontId="6" fillId="0" borderId="71" xfId="1" applyFill="1" applyBorder="1" applyAlignment="1" applyProtection="1">
      <alignment vertical="center" wrapText="1"/>
    </xf>
    <xf numFmtId="0" fontId="6" fillId="0" borderId="9" xfId="1" applyFont="1" applyFill="1" applyBorder="1" applyAlignment="1" applyProtection="1">
      <alignment horizontal="right" vertical="center" wrapText="1"/>
    </xf>
    <xf numFmtId="0" fontId="20" fillId="13" borderId="14" xfId="1" applyFont="1" applyFill="1" applyBorder="1" applyAlignment="1" applyProtection="1">
      <alignment horizontal="center" vertical="center" wrapText="1"/>
      <protection locked="0"/>
    </xf>
    <xf numFmtId="0" fontId="20" fillId="0" borderId="48" xfId="1" applyFont="1" applyFill="1" applyBorder="1" applyAlignment="1" applyProtection="1">
      <alignment horizontal="center" vertical="center" wrapText="1"/>
      <protection locked="0"/>
    </xf>
    <xf numFmtId="0" fontId="20" fillId="0" borderId="9" xfId="1" applyFont="1" applyFill="1" applyBorder="1" applyAlignment="1" applyProtection="1">
      <alignment horizontal="center" vertical="center" wrapText="1"/>
      <protection locked="0"/>
    </xf>
    <xf numFmtId="0" fontId="20" fillId="0" borderId="49" xfId="1" applyFont="1" applyFill="1" applyBorder="1" applyAlignment="1" applyProtection="1">
      <alignment horizontal="center" vertical="center" wrapText="1"/>
      <protection locked="0"/>
    </xf>
    <xf numFmtId="0" fontId="6" fillId="14" borderId="72" xfId="1" applyFont="1" applyFill="1" applyBorder="1" applyAlignment="1" applyProtection="1">
      <alignment vertical="center" wrapText="1"/>
    </xf>
    <xf numFmtId="0" fontId="8" fillId="14" borderId="73" xfId="1" applyFont="1" applyFill="1" applyBorder="1" applyAlignment="1" applyProtection="1">
      <alignment vertical="center" wrapText="1"/>
    </xf>
    <xf numFmtId="0" fontId="6" fillId="13" borderId="75" xfId="1" applyFont="1" applyFill="1" applyBorder="1" applyAlignment="1" applyProtection="1">
      <alignment horizontal="center" vertical="center" wrapText="1"/>
    </xf>
    <xf numFmtId="0" fontId="6" fillId="0" borderId="72" xfId="1" applyFont="1" applyFill="1" applyBorder="1" applyAlignment="1" applyProtection="1">
      <alignment horizontal="center" vertical="center" wrapText="1"/>
    </xf>
    <xf numFmtId="0" fontId="6" fillId="0" borderId="73" xfId="1" applyFont="1" applyFill="1" applyBorder="1" applyAlignment="1" applyProtection="1">
      <alignment horizontal="center" vertical="center" wrapText="1"/>
    </xf>
    <xf numFmtId="0" fontId="6" fillId="14" borderId="77" xfId="1" applyFont="1" applyFill="1" applyBorder="1" applyAlignment="1" applyProtection="1">
      <alignment vertical="center" wrapText="1"/>
    </xf>
    <xf numFmtId="0" fontId="8" fillId="14" borderId="78" xfId="1" applyFont="1" applyFill="1" applyBorder="1" applyAlignment="1" applyProtection="1">
      <alignment vertical="center" wrapText="1"/>
    </xf>
    <xf numFmtId="0" fontId="6" fillId="13" borderId="80" xfId="1" applyFont="1" applyFill="1" applyBorder="1" applyAlignment="1" applyProtection="1">
      <alignment horizontal="center" vertical="center" wrapText="1"/>
    </xf>
    <xf numFmtId="0" fontId="6" fillId="0" borderId="77" xfId="1" applyFont="1" applyFill="1" applyBorder="1" applyAlignment="1" applyProtection="1">
      <alignment horizontal="center" vertical="center" wrapText="1"/>
    </xf>
    <xf numFmtId="0" fontId="6" fillId="0" borderId="78" xfId="1" applyFont="1" applyFill="1" applyBorder="1" applyAlignment="1" applyProtection="1">
      <alignment horizontal="center" vertical="center" wrapText="1"/>
    </xf>
    <xf numFmtId="3" fontId="6" fillId="8" borderId="75" xfId="1" applyNumberFormat="1" applyFont="1" applyFill="1" applyBorder="1" applyAlignment="1" applyProtection="1">
      <alignment horizontal="center" vertical="center" wrapText="1"/>
    </xf>
    <xf numFmtId="3" fontId="6" fillId="9" borderId="15" xfId="1" applyNumberFormat="1" applyFont="1" applyFill="1" applyBorder="1" applyAlignment="1" applyProtection="1">
      <alignment horizontal="center" vertical="center" wrapText="1"/>
    </xf>
    <xf numFmtId="3" fontId="6" fillId="9" borderId="80" xfId="1" applyNumberFormat="1" applyFont="1" applyFill="1" applyBorder="1" applyAlignment="1" applyProtection="1">
      <alignment horizontal="center" vertical="center" wrapText="1"/>
    </xf>
    <xf numFmtId="3" fontId="6" fillId="8" borderId="14" xfId="1" applyNumberFormat="1" applyFont="1" applyFill="1" applyBorder="1" applyAlignment="1" applyProtection="1">
      <alignment horizontal="center" vertical="center" wrapText="1"/>
    </xf>
    <xf numFmtId="3" fontId="6" fillId="9" borderId="69" xfId="1" applyNumberFormat="1" applyFont="1" applyFill="1" applyBorder="1" applyAlignment="1" applyProtection="1">
      <alignment horizontal="center" vertical="center" wrapText="1"/>
    </xf>
    <xf numFmtId="0" fontId="6" fillId="0" borderId="72" xfId="1" applyFont="1" applyFill="1" applyBorder="1" applyAlignment="1" applyProtection="1">
      <alignment vertical="center" wrapText="1"/>
    </xf>
    <xf numFmtId="0" fontId="8" fillId="0" borderId="73" xfId="1" applyFont="1" applyFill="1" applyBorder="1" applyAlignment="1" applyProtection="1">
      <alignment vertical="center" wrapText="1"/>
    </xf>
    <xf numFmtId="0" fontId="6" fillId="0" borderId="75" xfId="1" applyFont="1" applyFill="1" applyBorder="1" applyAlignment="1" applyProtection="1">
      <alignment horizontal="center" vertical="center" wrapText="1"/>
    </xf>
    <xf numFmtId="0" fontId="6" fillId="0" borderId="76" xfId="1" applyFill="1" applyBorder="1" applyAlignment="1" applyProtection="1">
      <alignment vertical="center" wrapText="1"/>
    </xf>
    <xf numFmtId="0" fontId="6" fillId="0" borderId="15" xfId="1" applyFont="1" applyFill="1" applyBorder="1" applyAlignment="1" applyProtection="1">
      <alignment horizontal="center" vertical="center" wrapText="1"/>
    </xf>
    <xf numFmtId="0" fontId="6" fillId="0" borderId="26" xfId="1" applyFont="1" applyFill="1" applyBorder="1" applyAlignment="1" applyProtection="1">
      <alignment vertical="center" wrapText="1"/>
    </xf>
    <xf numFmtId="0" fontId="8" fillId="0" borderId="9" xfId="1" applyFont="1" applyFill="1" applyBorder="1" applyAlignment="1" applyProtection="1">
      <alignment vertical="center" wrapText="1"/>
    </xf>
    <xf numFmtId="167" fontId="6" fillId="9" borderId="75" xfId="1" applyNumberFormat="1" applyFont="1" applyFill="1" applyBorder="1" applyAlignment="1" applyProtection="1">
      <alignment horizontal="center" vertical="center" wrapText="1"/>
    </xf>
    <xf numFmtId="167" fontId="20" fillId="10" borderId="72" xfId="1" applyNumberFormat="1" applyFont="1" applyFill="1" applyBorder="1" applyAlignment="1" applyProtection="1">
      <alignment horizontal="center" vertical="center" wrapText="1"/>
      <protection locked="0"/>
    </xf>
    <xf numFmtId="167" fontId="20" fillId="10" borderId="73" xfId="1" applyNumberFormat="1" applyFont="1" applyFill="1" applyBorder="1" applyAlignment="1" applyProtection="1">
      <alignment horizontal="center" vertical="center" wrapText="1"/>
      <protection locked="0"/>
    </xf>
    <xf numFmtId="0" fontId="6" fillId="0" borderId="77" xfId="1" applyFont="1" applyFill="1" applyBorder="1" applyAlignment="1" applyProtection="1">
      <alignment vertical="center" wrapText="1"/>
    </xf>
    <xf numFmtId="0" fontId="8" fillId="0" borderId="78" xfId="1" applyFont="1" applyFill="1" applyBorder="1" applyAlignment="1" applyProtection="1">
      <alignment vertical="center" wrapText="1"/>
    </xf>
    <xf numFmtId="0" fontId="6" fillId="0" borderId="80" xfId="1" applyFont="1" applyFill="1" applyBorder="1" applyAlignment="1" applyProtection="1">
      <alignment horizontal="center" vertical="center" wrapText="1"/>
    </xf>
    <xf numFmtId="0" fontId="31" fillId="10" borderId="72" xfId="1" applyFont="1" applyFill="1" applyBorder="1" applyAlignment="1" applyProtection="1">
      <alignment horizontal="center" vertical="center" wrapText="1"/>
    </xf>
    <xf numFmtId="0" fontId="31" fillId="10" borderId="73" xfId="1" applyFont="1" applyFill="1" applyBorder="1" applyAlignment="1" applyProtection="1">
      <alignment horizontal="center" vertical="center" wrapText="1"/>
    </xf>
    <xf numFmtId="0" fontId="31" fillId="10" borderId="4" xfId="1" applyFont="1" applyFill="1" applyBorder="1" applyAlignment="1" applyProtection="1">
      <alignment horizontal="center" vertical="center" wrapText="1"/>
    </xf>
    <xf numFmtId="0" fontId="31" fillId="10" borderId="1" xfId="1" applyFont="1" applyFill="1" applyBorder="1" applyAlignment="1" applyProtection="1">
      <alignment horizontal="center" vertical="center" wrapText="1"/>
    </xf>
    <xf numFmtId="3" fontId="6" fillId="0" borderId="4" xfId="1" applyNumberFormat="1" applyFont="1" applyFill="1" applyBorder="1" applyAlignment="1" applyProtection="1">
      <alignment horizontal="center" vertical="center" wrapText="1"/>
    </xf>
    <xf numFmtId="3" fontId="6" fillId="0" borderId="1" xfId="1" applyNumberFormat="1" applyFont="1" applyFill="1" applyBorder="1" applyAlignment="1" applyProtection="1">
      <alignment horizontal="center" vertical="center" wrapText="1"/>
    </xf>
    <xf numFmtId="3" fontId="6" fillId="0" borderId="7" xfId="1" applyNumberFormat="1" applyFont="1" applyFill="1" applyBorder="1" applyAlignment="1" applyProtection="1">
      <alignment horizontal="center" vertical="center" wrapText="1"/>
    </xf>
    <xf numFmtId="0" fontId="6" fillId="0" borderId="82" xfId="1" applyFont="1" applyFill="1" applyBorder="1" applyAlignment="1" applyProtection="1">
      <alignment vertical="center" wrapText="1"/>
    </xf>
    <xf numFmtId="0" fontId="8" fillId="0" borderId="83" xfId="1" applyFont="1" applyFill="1" applyBorder="1" applyAlignment="1" applyProtection="1">
      <alignment vertical="center" wrapText="1"/>
    </xf>
    <xf numFmtId="0" fontId="6" fillId="0" borderId="83" xfId="1" quotePrefix="1" applyFont="1" applyFill="1" applyBorder="1" applyAlignment="1" applyProtection="1">
      <alignment horizontal="center" vertical="center" wrapText="1"/>
    </xf>
    <xf numFmtId="0" fontId="6" fillId="0" borderId="84" xfId="1" applyFont="1" applyFill="1" applyBorder="1" applyAlignment="1" applyProtection="1">
      <alignment horizontal="center" vertical="center" wrapText="1"/>
    </xf>
    <xf numFmtId="3" fontId="6" fillId="0" borderId="77" xfId="1" applyNumberFormat="1" applyFont="1" applyFill="1" applyBorder="1" applyAlignment="1" applyProtection="1">
      <alignment horizontal="center" vertical="center" wrapText="1"/>
    </xf>
    <xf numFmtId="3" fontId="6" fillId="0" borderId="78" xfId="1" applyNumberFormat="1" applyFont="1" applyFill="1" applyBorder="1" applyAlignment="1" applyProtection="1">
      <alignment horizontal="center" vertical="center" wrapText="1"/>
    </xf>
    <xf numFmtId="3" fontId="6" fillId="0" borderId="79" xfId="1" applyNumberFormat="1" applyFont="1" applyFill="1" applyBorder="1" applyAlignment="1" applyProtection="1">
      <alignment horizontal="center" vertical="center" wrapText="1"/>
    </xf>
    <xf numFmtId="0" fontId="6" fillId="0" borderId="81" xfId="1" applyFill="1" applyBorder="1" applyAlignment="1" applyProtection="1">
      <alignment vertical="center" wrapText="1"/>
    </xf>
    <xf numFmtId="3" fontId="6" fillId="0" borderId="85" xfId="1" applyNumberFormat="1" applyFont="1" applyFill="1" applyBorder="1" applyAlignment="1" applyProtection="1">
      <alignment horizontal="center" vertical="center" wrapText="1"/>
    </xf>
    <xf numFmtId="3" fontId="20" fillId="10" borderId="48" xfId="1" applyNumberFormat="1" applyFont="1" applyFill="1" applyBorder="1" applyAlignment="1" applyProtection="1">
      <alignment horizontal="center" vertical="center" wrapText="1"/>
      <protection locked="0"/>
    </xf>
    <xf numFmtId="3" fontId="20" fillId="10" borderId="9" xfId="1" applyNumberFormat="1" applyFont="1" applyFill="1" applyBorder="1" applyAlignment="1" applyProtection="1">
      <alignment horizontal="center" vertical="center" wrapText="1"/>
      <protection locked="0"/>
    </xf>
    <xf numFmtId="0" fontId="31" fillId="10" borderId="77" xfId="1" applyFont="1" applyFill="1" applyBorder="1" applyAlignment="1" applyProtection="1">
      <alignment horizontal="center" vertical="center" wrapText="1"/>
    </xf>
    <xf numFmtId="0" fontId="31" fillId="10" borderId="78" xfId="1" applyFont="1" applyFill="1" applyBorder="1" applyAlignment="1" applyProtection="1">
      <alignment horizontal="center" vertical="center" wrapText="1"/>
    </xf>
    <xf numFmtId="3" fontId="6" fillId="0" borderId="26" xfId="1" applyNumberFormat="1" applyFont="1" applyFill="1" applyBorder="1" applyAlignment="1" applyProtection="1">
      <alignment horizontal="center" vertical="center" wrapText="1"/>
    </xf>
    <xf numFmtId="3" fontId="6" fillId="0" borderId="36" xfId="1" applyNumberFormat="1" applyFont="1" applyFill="1" applyBorder="1" applyAlignment="1" applyProtection="1">
      <alignment horizontal="center" vertical="center" wrapText="1"/>
    </xf>
    <xf numFmtId="3" fontId="6" fillId="0" borderId="29" xfId="1" applyNumberFormat="1" applyFont="1" applyFill="1" applyBorder="1" applyAlignment="1" applyProtection="1">
      <alignment horizontal="center" vertical="center" wrapText="1"/>
    </xf>
    <xf numFmtId="165" fontId="31" fillId="10" borderId="72" xfId="1" applyNumberFormat="1" applyFont="1" applyFill="1" applyBorder="1" applyAlignment="1" applyProtection="1">
      <alignment horizontal="center" vertical="center" wrapText="1"/>
    </xf>
    <xf numFmtId="165" fontId="31" fillId="10" borderId="73" xfId="1" applyNumberFormat="1" applyFont="1" applyFill="1" applyBorder="1" applyAlignment="1" applyProtection="1">
      <alignment horizontal="center" vertical="center" wrapText="1"/>
    </xf>
    <xf numFmtId="0" fontId="6" fillId="0" borderId="85" xfId="1" applyFont="1" applyFill="1" applyBorder="1" applyAlignment="1" applyProtection="1">
      <alignment vertical="center" wrapText="1"/>
    </xf>
    <xf numFmtId="0" fontId="6" fillId="0" borderId="87" xfId="1" applyFont="1" applyFill="1" applyBorder="1" applyAlignment="1" applyProtection="1">
      <alignment horizontal="center" vertical="center" wrapText="1"/>
    </xf>
    <xf numFmtId="0" fontId="6" fillId="0" borderId="88" xfId="1" applyFill="1" applyBorder="1" applyAlignment="1" applyProtection="1">
      <alignment vertical="center" wrapText="1"/>
    </xf>
    <xf numFmtId="3" fontId="6" fillId="0" borderId="86" xfId="1" applyNumberFormat="1" applyFont="1" applyFill="1" applyBorder="1" applyAlignment="1" applyProtection="1">
      <alignment horizontal="center" vertical="center" wrapText="1"/>
    </xf>
    <xf numFmtId="3" fontId="6" fillId="0" borderId="87" xfId="1" applyNumberFormat="1" applyFont="1" applyFill="1" applyBorder="1" applyAlignment="1" applyProtection="1">
      <alignment horizontal="center" vertical="center" wrapText="1"/>
    </xf>
    <xf numFmtId="167" fontId="6" fillId="9" borderId="15" xfId="1" applyNumberFormat="1" applyFont="1" applyFill="1" applyBorder="1" applyAlignment="1" applyProtection="1">
      <alignment horizontal="center" vertical="center" wrapText="1"/>
    </xf>
    <xf numFmtId="165" fontId="6" fillId="0" borderId="4" xfId="1" applyNumberFormat="1" applyFont="1" applyFill="1" applyBorder="1" applyAlignment="1" applyProtection="1">
      <alignment horizontal="center" vertical="center" wrapText="1"/>
    </xf>
    <xf numFmtId="165" fontId="6" fillId="0" borderId="1" xfId="1" applyNumberFormat="1" applyFont="1" applyFill="1" applyBorder="1" applyAlignment="1" applyProtection="1">
      <alignment horizontal="center" vertical="center" wrapText="1"/>
    </xf>
    <xf numFmtId="165" fontId="6" fillId="0" borderId="7" xfId="1" applyNumberFormat="1" applyFont="1" applyFill="1" applyBorder="1" applyAlignment="1" applyProtection="1">
      <alignment horizontal="center" vertical="center" wrapText="1"/>
    </xf>
    <xf numFmtId="165" fontId="6" fillId="0" borderId="77" xfId="1" applyNumberFormat="1" applyFont="1" applyFill="1" applyBorder="1" applyAlignment="1" applyProtection="1">
      <alignment horizontal="center" vertical="center" wrapText="1"/>
    </xf>
    <xf numFmtId="165" fontId="6" fillId="0" borderId="78" xfId="1" applyNumberFormat="1" applyFont="1" applyFill="1" applyBorder="1" applyAlignment="1" applyProtection="1">
      <alignment horizontal="center" vertical="center" wrapText="1"/>
    </xf>
    <xf numFmtId="165" fontId="6" fillId="0" borderId="79" xfId="1" applyNumberFormat="1" applyFont="1" applyFill="1" applyBorder="1" applyAlignment="1" applyProtection="1">
      <alignment horizontal="center" vertical="center" wrapText="1"/>
    </xf>
    <xf numFmtId="0" fontId="6" fillId="0" borderId="66" xfId="1" applyFill="1" applyBorder="1" applyAlignment="1" applyProtection="1">
      <alignment vertical="center" wrapText="1"/>
    </xf>
    <xf numFmtId="3" fontId="31" fillId="10" borderId="72" xfId="1" applyNumberFormat="1" applyFont="1" applyFill="1" applyBorder="1" applyAlignment="1" applyProtection="1">
      <alignment horizontal="center" vertical="center" wrapText="1"/>
    </xf>
    <xf numFmtId="3" fontId="31" fillId="10" borderId="73" xfId="1" applyNumberFormat="1" applyFont="1" applyFill="1" applyBorder="1" applyAlignment="1" applyProtection="1">
      <alignment horizontal="center" vertical="center" wrapText="1"/>
    </xf>
    <xf numFmtId="0" fontId="13" fillId="0" borderId="1" xfId="1" applyFont="1" applyFill="1" applyBorder="1" applyAlignment="1" applyProtection="1">
      <alignment vertical="center" wrapText="1"/>
    </xf>
    <xf numFmtId="3" fontId="6" fillId="8" borderId="13" xfId="1" applyNumberFormat="1" applyFont="1" applyFill="1" applyBorder="1" applyAlignment="1" applyProtection="1">
      <alignment horizontal="center" vertical="center" wrapText="1"/>
    </xf>
    <xf numFmtId="0" fontId="6" fillId="0" borderId="13" xfId="1" applyFont="1" applyFill="1" applyBorder="1" applyAlignment="1" applyProtection="1">
      <alignment horizontal="center" vertical="center" wrapText="1"/>
    </xf>
    <xf numFmtId="0" fontId="18" fillId="0" borderId="4" xfId="1" applyFont="1" applyFill="1" applyBorder="1" applyAlignment="1" applyProtection="1">
      <alignment horizontal="center" vertical="center" wrapText="1"/>
    </xf>
    <xf numFmtId="167" fontId="20" fillId="10" borderId="4" xfId="1" applyNumberFormat="1" applyFont="1" applyFill="1" applyBorder="1" applyAlignment="1" applyProtection="1">
      <alignment horizontal="center" vertical="center" wrapText="1"/>
      <protection locked="0"/>
    </xf>
    <xf numFmtId="167" fontId="20" fillId="10" borderId="1" xfId="1" applyNumberFormat="1" applyFont="1" applyFill="1" applyBorder="1" applyAlignment="1" applyProtection="1">
      <alignment horizontal="center" vertical="center" wrapText="1"/>
      <protection locked="0"/>
    </xf>
    <xf numFmtId="3" fontId="6" fillId="0" borderId="1" xfId="1" quotePrefix="1" applyNumberFormat="1" applyFont="1" applyFill="1" applyBorder="1" applyAlignment="1" applyProtection="1">
      <alignment horizontal="center" vertical="center" wrapText="1"/>
    </xf>
    <xf numFmtId="3" fontId="6" fillId="9" borderId="13" xfId="1" applyNumberFormat="1" applyFont="1" applyFill="1" applyBorder="1" applyAlignment="1" applyProtection="1">
      <alignment horizontal="center" vertical="center" wrapText="1"/>
    </xf>
    <xf numFmtId="167" fontId="6" fillId="9" borderId="13" xfId="1" applyNumberFormat="1" applyFont="1" applyFill="1" applyBorder="1" applyAlignment="1" applyProtection="1">
      <alignment horizontal="center" vertical="center" wrapText="1"/>
    </xf>
    <xf numFmtId="3" fontId="6" fillId="0" borderId="75" xfId="1" applyNumberFormat="1" applyFont="1" applyFill="1" applyBorder="1" applyAlignment="1" applyProtection="1">
      <alignment horizontal="center" vertical="center" wrapText="1"/>
    </xf>
    <xf numFmtId="167" fontId="31" fillId="10" borderId="72" xfId="1" applyNumberFormat="1" applyFont="1" applyFill="1" applyBorder="1" applyAlignment="1" applyProtection="1">
      <alignment horizontal="center" vertical="center" wrapText="1"/>
    </xf>
    <xf numFmtId="167" fontId="31" fillId="10" borderId="73" xfId="1" applyNumberFormat="1" applyFont="1" applyFill="1" applyBorder="1" applyAlignment="1" applyProtection="1">
      <alignment horizontal="center" vertical="center" wrapText="1"/>
    </xf>
    <xf numFmtId="3" fontId="31" fillId="10" borderId="4" xfId="1" applyNumberFormat="1" applyFont="1" applyFill="1" applyBorder="1" applyAlignment="1" applyProtection="1">
      <alignment horizontal="center" vertical="center" wrapText="1"/>
    </xf>
    <xf numFmtId="3" fontId="31" fillId="10" borderId="1" xfId="1" applyNumberFormat="1" applyFont="1" applyFill="1" applyBorder="1" applyAlignment="1" applyProtection="1">
      <alignment horizontal="center" vertical="center" wrapText="1"/>
    </xf>
    <xf numFmtId="3" fontId="31" fillId="10" borderId="26" xfId="1" applyNumberFormat="1" applyFont="1" applyFill="1" applyBorder="1" applyAlignment="1" applyProtection="1">
      <alignment horizontal="center" vertical="center" wrapText="1"/>
    </xf>
    <xf numFmtId="3" fontId="31" fillId="10" borderId="36" xfId="1" applyNumberFormat="1" applyFont="1" applyFill="1" applyBorder="1" applyAlignment="1" applyProtection="1">
      <alignment horizontal="center" vertical="center" wrapText="1"/>
    </xf>
    <xf numFmtId="3" fontId="31" fillId="10" borderId="77" xfId="1" applyNumberFormat="1" applyFont="1" applyFill="1" applyBorder="1" applyAlignment="1" applyProtection="1">
      <alignment horizontal="center" vertical="center" wrapText="1"/>
    </xf>
    <xf numFmtId="3" fontId="31" fillId="10" borderId="78" xfId="1" applyNumberFormat="1" applyFont="1" applyFill="1" applyBorder="1" applyAlignment="1" applyProtection="1">
      <alignment horizontal="center" vertical="center" wrapText="1"/>
    </xf>
    <xf numFmtId="0" fontId="6" fillId="10" borderId="11" xfId="1" applyFill="1" applyBorder="1" applyAlignment="1" applyProtection="1">
      <alignment horizontal="left" vertical="center"/>
    </xf>
    <xf numFmtId="0" fontId="6" fillId="10" borderId="11" xfId="1" applyFill="1" applyBorder="1" applyAlignment="1" applyProtection="1">
      <alignment vertical="center"/>
    </xf>
    <xf numFmtId="0" fontId="26" fillId="15" borderId="90" xfId="1" applyFont="1" applyFill="1" applyBorder="1" applyAlignment="1" applyProtection="1">
      <alignment vertical="center" wrapText="1"/>
    </xf>
    <xf numFmtId="0" fontId="6" fillId="15" borderId="91" xfId="1" applyFill="1" applyBorder="1" applyAlignment="1" applyProtection="1">
      <alignment vertical="center" wrapText="1"/>
    </xf>
    <xf numFmtId="0" fontId="10" fillId="15" borderId="91" xfId="1" applyFont="1" applyFill="1" applyBorder="1" applyAlignment="1" applyProtection="1">
      <alignment horizontal="center" vertical="center" wrapText="1"/>
    </xf>
    <xf numFmtId="0" fontId="6" fillId="15" borderId="92" xfId="1" applyFont="1" applyFill="1" applyBorder="1" applyAlignment="1" applyProtection="1">
      <alignment horizontal="center" vertical="center" wrapText="1"/>
    </xf>
    <xf numFmtId="0" fontId="10" fillId="15" borderId="93" xfId="1" applyFont="1" applyFill="1" applyBorder="1" applyAlignment="1" applyProtection="1">
      <alignment horizontal="center" vertical="center" wrapText="1"/>
    </xf>
    <xf numFmtId="0" fontId="10" fillId="15" borderId="90" xfId="1" applyFont="1" applyFill="1" applyBorder="1" applyAlignment="1" applyProtection="1">
      <alignment horizontal="center" vertical="center" wrapText="1"/>
    </xf>
    <xf numFmtId="0" fontId="10" fillId="15" borderId="92" xfId="1" applyFont="1" applyFill="1" applyBorder="1" applyAlignment="1" applyProtection="1">
      <alignment horizontal="center" vertical="center" wrapText="1"/>
    </xf>
    <xf numFmtId="0" fontId="6" fillId="15" borderId="89" xfId="1" applyFill="1" applyBorder="1" applyAlignment="1" applyProtection="1">
      <alignment vertical="center" wrapText="1"/>
    </xf>
    <xf numFmtId="3" fontId="6" fillId="9" borderId="14" xfId="1" applyNumberFormat="1" applyFont="1" applyFill="1" applyBorder="1" applyAlignment="1" applyProtection="1">
      <alignment horizontal="center" vertical="center" wrapText="1"/>
    </xf>
    <xf numFmtId="0" fontId="6" fillId="0" borderId="95" xfId="1" applyFont="1" applyFill="1" applyBorder="1" applyAlignment="1" applyProtection="1">
      <alignment vertical="center" wrapText="1"/>
    </xf>
    <xf numFmtId="0" fontId="8" fillId="0" borderId="96" xfId="1" applyFont="1" applyFill="1" applyBorder="1" applyAlignment="1" applyProtection="1">
      <alignment vertical="center" wrapText="1"/>
    </xf>
    <xf numFmtId="0" fontId="6" fillId="0" borderId="96" xfId="1" quotePrefix="1" applyFont="1" applyFill="1" applyBorder="1" applyAlignment="1" applyProtection="1">
      <alignment horizontal="center" vertical="center" wrapText="1"/>
    </xf>
    <xf numFmtId="0" fontId="6" fillId="0" borderId="97" xfId="1" applyFont="1" applyFill="1" applyBorder="1" applyAlignment="1" applyProtection="1">
      <alignment horizontal="center" vertical="center" wrapText="1"/>
    </xf>
    <xf numFmtId="0" fontId="6" fillId="0" borderId="98" xfId="1" applyFont="1" applyFill="1" applyBorder="1" applyAlignment="1" applyProtection="1">
      <alignment horizontal="center" vertical="center" wrapText="1"/>
    </xf>
    <xf numFmtId="0" fontId="6" fillId="0" borderId="95" xfId="1" applyFont="1" applyFill="1" applyBorder="1" applyAlignment="1" applyProtection="1">
      <alignment horizontal="center" vertical="center" wrapText="1"/>
    </xf>
    <xf numFmtId="0" fontId="6" fillId="0" borderId="96" xfId="1" applyFont="1" applyFill="1" applyBorder="1" applyAlignment="1" applyProtection="1">
      <alignment horizontal="center" vertical="center" wrapText="1"/>
    </xf>
    <xf numFmtId="0" fontId="31" fillId="6" borderId="94" xfId="1" applyFont="1" applyFill="1" applyBorder="1" applyAlignment="1" applyProtection="1">
      <alignment vertical="center" wrapText="1"/>
    </xf>
    <xf numFmtId="3" fontId="6" fillId="0" borderId="13" xfId="1" applyNumberFormat="1" applyFont="1" applyFill="1" applyBorder="1" applyAlignment="1" applyProtection="1">
      <alignment horizontal="center" vertical="center" wrapText="1"/>
    </xf>
    <xf numFmtId="167" fontId="6" fillId="9" borderId="76" xfId="1" applyNumberFormat="1" applyFont="1" applyFill="1" applyBorder="1" applyAlignment="1" applyProtection="1">
      <alignment horizontal="center" vertical="center" wrapText="1"/>
    </xf>
    <xf numFmtId="0" fontId="6" fillId="0" borderId="75" xfId="1" applyBorder="1" applyAlignment="1" applyProtection="1">
      <alignment vertical="center" wrapText="1"/>
    </xf>
    <xf numFmtId="3" fontId="6" fillId="8" borderId="15" xfId="1" applyNumberFormat="1" applyFont="1" applyFill="1" applyBorder="1" applyAlignment="1" applyProtection="1">
      <alignment horizontal="center" vertical="center" wrapText="1"/>
    </xf>
    <xf numFmtId="0" fontId="6" fillId="0" borderId="73" xfId="1" applyBorder="1" applyAlignment="1" applyProtection="1">
      <alignment vertical="center" wrapText="1"/>
    </xf>
    <xf numFmtId="3" fontId="6" fillId="9" borderId="55" xfId="1" applyNumberFormat="1" applyFont="1" applyFill="1" applyBorder="1" applyAlignment="1" applyProtection="1">
      <alignment horizontal="center" vertical="center" wrapText="1"/>
    </xf>
    <xf numFmtId="3" fontId="6" fillId="8" borderId="12" xfId="1" applyNumberFormat="1" applyFont="1" applyFill="1" applyBorder="1" applyAlignment="1" applyProtection="1">
      <alignment horizontal="center" vertical="center" wrapText="1"/>
    </xf>
    <xf numFmtId="3" fontId="6" fillId="0" borderId="4" xfId="1" applyNumberFormat="1" applyFont="1" applyFill="1" applyBorder="1" applyAlignment="1" applyProtection="1">
      <alignment horizontal="center" vertical="center" wrapText="1"/>
      <protection locked="0"/>
    </xf>
    <xf numFmtId="3" fontId="6" fillId="0" borderId="1" xfId="1" applyNumberFormat="1" applyFont="1" applyFill="1" applyBorder="1" applyAlignment="1" applyProtection="1">
      <alignment horizontal="center" vertical="center" wrapText="1"/>
      <protection locked="0"/>
    </xf>
    <xf numFmtId="3" fontId="6" fillId="0" borderId="82" xfId="1" applyNumberFormat="1" applyFont="1" applyFill="1" applyBorder="1" applyAlignment="1" applyProtection="1">
      <alignment horizontal="center" vertical="center" wrapText="1"/>
    </xf>
    <xf numFmtId="3" fontId="6" fillId="0" borderId="83" xfId="1" applyNumberFormat="1" applyFont="1" applyFill="1" applyBorder="1" applyAlignment="1" applyProtection="1">
      <alignment horizontal="center" vertical="center" wrapText="1"/>
    </xf>
    <xf numFmtId="3" fontId="6" fillId="0" borderId="84" xfId="1" applyNumberFormat="1" applyFont="1" applyFill="1" applyBorder="1" applyAlignment="1" applyProtection="1">
      <alignment horizontal="center" vertical="center" wrapText="1"/>
    </xf>
    <xf numFmtId="0" fontId="6" fillId="0" borderId="99" xfId="1" applyFill="1" applyBorder="1" applyAlignment="1" applyProtection="1">
      <alignment vertical="center" wrapText="1"/>
    </xf>
    <xf numFmtId="0" fontId="6" fillId="0" borderId="100" xfId="1" applyFont="1" applyFill="1" applyBorder="1" applyAlignment="1" applyProtection="1">
      <alignment vertical="center" wrapText="1"/>
    </xf>
    <xf numFmtId="0" fontId="8" fillId="0" borderId="101" xfId="1" applyFont="1" applyFill="1" applyBorder="1" applyAlignment="1" applyProtection="1">
      <alignment vertical="center" wrapText="1"/>
    </xf>
    <xf numFmtId="0" fontId="6" fillId="0" borderId="101" xfId="1" quotePrefix="1" applyFont="1" applyFill="1" applyBorder="1" applyAlignment="1" applyProtection="1">
      <alignment horizontal="center" vertical="center" wrapText="1"/>
    </xf>
    <xf numFmtId="0" fontId="6" fillId="0" borderId="102" xfId="1" applyFont="1" applyFill="1" applyBorder="1" applyAlignment="1" applyProtection="1">
      <alignment horizontal="center" vertical="center" wrapText="1"/>
    </xf>
    <xf numFmtId="3" fontId="6" fillId="0" borderId="100" xfId="1" applyNumberFormat="1" applyFont="1" applyFill="1" applyBorder="1" applyAlignment="1" applyProtection="1">
      <alignment horizontal="center" vertical="center" wrapText="1"/>
    </xf>
    <xf numFmtId="3" fontId="6" fillId="0" borderId="101" xfId="1" applyNumberFormat="1" applyFont="1" applyFill="1" applyBorder="1" applyAlignment="1" applyProtection="1">
      <alignment horizontal="center" vertical="center" wrapText="1"/>
    </xf>
    <xf numFmtId="3" fontId="6" fillId="0" borderId="102" xfId="1" applyNumberFormat="1" applyFont="1" applyFill="1" applyBorder="1" applyAlignment="1" applyProtection="1">
      <alignment horizontal="center" vertical="center" wrapText="1"/>
    </xf>
    <xf numFmtId="0" fontId="6" fillId="0" borderId="104" xfId="1" applyFill="1" applyBorder="1" applyAlignment="1" applyProtection="1">
      <alignment vertical="center" wrapText="1"/>
    </xf>
    <xf numFmtId="3" fontId="6" fillId="8" borderId="55" xfId="1" applyNumberFormat="1" applyFont="1" applyFill="1" applyBorder="1" applyAlignment="1" applyProtection="1">
      <alignment horizontal="center" vertical="center" wrapText="1"/>
    </xf>
    <xf numFmtId="3" fontId="6" fillId="16" borderId="103" xfId="1" applyNumberFormat="1" applyFont="1" applyFill="1" applyBorder="1" applyAlignment="1" applyProtection="1">
      <alignment horizontal="center" vertical="center" wrapText="1"/>
    </xf>
    <xf numFmtId="0" fontId="6" fillId="8" borderId="48" xfId="1" applyFont="1" applyFill="1" applyBorder="1" applyAlignment="1" applyProtection="1">
      <alignment horizontal="center" vertical="center" wrapText="1"/>
    </xf>
    <xf numFmtId="0" fontId="6" fillId="8" borderId="9" xfId="1" applyFont="1" applyFill="1" applyBorder="1" applyAlignment="1" applyProtection="1">
      <alignment horizontal="center" vertical="center" wrapText="1"/>
    </xf>
    <xf numFmtId="0" fontId="6" fillId="0" borderId="14" xfId="1" applyFont="1" applyFill="1" applyBorder="1" applyAlignment="1" applyProtection="1">
      <alignment horizontal="center" vertical="center" wrapText="1"/>
    </xf>
    <xf numFmtId="0" fontId="6" fillId="0" borderId="48" xfId="1" applyFont="1" applyFill="1" applyBorder="1" applyAlignment="1" applyProtection="1">
      <alignment horizontal="center" vertical="center" wrapText="1"/>
    </xf>
    <xf numFmtId="0" fontId="6" fillId="0" borderId="9" xfId="1" applyFont="1" applyFill="1" applyBorder="1" applyAlignment="1" applyProtection="1">
      <alignment horizontal="center" vertical="center" wrapText="1"/>
    </xf>
    <xf numFmtId="0" fontId="6" fillId="17" borderId="12" xfId="1" applyFill="1" applyBorder="1" applyAlignment="1" applyProtection="1">
      <alignment vertical="center" wrapText="1"/>
    </xf>
    <xf numFmtId="3" fontId="14" fillId="8" borderId="55" xfId="1" applyNumberFormat="1" applyFont="1" applyFill="1" applyBorder="1" applyAlignment="1" applyProtection="1">
      <alignment horizontal="center" vertical="center" wrapText="1"/>
    </xf>
    <xf numFmtId="3" fontId="14" fillId="0" borderId="82" xfId="1" applyNumberFormat="1" applyFont="1" applyFill="1" applyBorder="1" applyAlignment="1" applyProtection="1">
      <alignment horizontal="center" vertical="center" wrapText="1"/>
    </xf>
    <xf numFmtId="3" fontId="14" fillId="0" borderId="83" xfId="1" applyNumberFormat="1" applyFont="1" applyFill="1" applyBorder="1" applyAlignment="1" applyProtection="1">
      <alignment horizontal="center" vertical="center" wrapText="1"/>
    </xf>
    <xf numFmtId="3" fontId="14" fillId="0" borderId="84" xfId="1" applyNumberFormat="1" applyFont="1" applyFill="1" applyBorder="1" applyAlignment="1" applyProtection="1">
      <alignment horizontal="center" vertical="center" wrapText="1"/>
    </xf>
    <xf numFmtId="3" fontId="14" fillId="16" borderId="103" xfId="1" applyNumberFormat="1" applyFont="1" applyFill="1" applyBorder="1" applyAlignment="1" applyProtection="1">
      <alignment horizontal="center" vertical="center" wrapText="1"/>
    </xf>
    <xf numFmtId="3" fontId="14" fillId="0" borderId="100" xfId="1" applyNumberFormat="1" applyFont="1" applyFill="1" applyBorder="1" applyAlignment="1" applyProtection="1">
      <alignment horizontal="center" vertical="center" wrapText="1"/>
    </xf>
    <xf numFmtId="3" fontId="14" fillId="0" borderId="101" xfId="1" applyNumberFormat="1" applyFont="1" applyFill="1" applyBorder="1" applyAlignment="1" applyProtection="1">
      <alignment horizontal="center" vertical="center" wrapText="1"/>
    </xf>
    <xf numFmtId="3" fontId="14" fillId="0" borderId="102" xfId="1" applyNumberFormat="1" applyFont="1" applyFill="1" applyBorder="1" applyAlignment="1" applyProtection="1">
      <alignment horizontal="center" vertical="center" wrapText="1"/>
    </xf>
    <xf numFmtId="0" fontId="10" fillId="0" borderId="82" xfId="1" applyFont="1" applyFill="1" applyBorder="1" applyAlignment="1" applyProtection="1">
      <alignment vertical="center" wrapText="1"/>
    </xf>
    <xf numFmtId="0" fontId="14" fillId="0" borderId="83" xfId="1" applyFont="1" applyFill="1" applyBorder="1" applyAlignment="1" applyProtection="1">
      <alignment vertical="center" wrapText="1"/>
    </xf>
    <xf numFmtId="0" fontId="10" fillId="0" borderId="84" xfId="1" applyFont="1" applyFill="1" applyBorder="1" applyAlignment="1" applyProtection="1">
      <alignment horizontal="center" vertical="center" wrapText="1"/>
    </xf>
    <xf numFmtId="0" fontId="10" fillId="0" borderId="100" xfId="1" applyFont="1" applyFill="1" applyBorder="1" applyAlignment="1" applyProtection="1">
      <alignment vertical="center" wrapText="1"/>
    </xf>
    <xf numFmtId="0" fontId="14" fillId="0" borderId="101" xfId="1" applyFont="1" applyFill="1" applyBorder="1" applyAlignment="1" applyProtection="1">
      <alignment vertical="center" wrapText="1"/>
    </xf>
    <xf numFmtId="0" fontId="10" fillId="0" borderId="102" xfId="1" applyFont="1" applyFill="1" applyBorder="1" applyAlignment="1" applyProtection="1">
      <alignment horizontal="center" vertical="center" wrapText="1"/>
    </xf>
    <xf numFmtId="0" fontId="6" fillId="18" borderId="48" xfId="1" applyFont="1" applyFill="1" applyBorder="1" applyAlignment="1" applyProtection="1">
      <alignment vertical="center" wrapText="1"/>
    </xf>
    <xf numFmtId="0" fontId="6" fillId="0" borderId="22" xfId="1" quotePrefix="1" applyFont="1" applyFill="1" applyBorder="1" applyAlignment="1" applyProtection="1">
      <alignment horizontal="center" vertical="center" wrapText="1"/>
    </xf>
    <xf numFmtId="3" fontId="6" fillId="9" borderId="98" xfId="1" applyNumberFormat="1" applyFont="1" applyFill="1" applyBorder="1" applyAlignment="1" applyProtection="1">
      <alignment horizontal="center" vertical="center" wrapText="1"/>
    </xf>
    <xf numFmtId="3" fontId="6" fillId="0" borderId="95" xfId="1" applyNumberFormat="1" applyFont="1" applyFill="1" applyBorder="1" applyAlignment="1" applyProtection="1">
      <alignment horizontal="center" vertical="center" wrapText="1"/>
    </xf>
    <xf numFmtId="3" fontId="6" fillId="0" borderId="96" xfId="1" applyNumberFormat="1" applyFont="1" applyFill="1" applyBorder="1" applyAlignment="1" applyProtection="1">
      <alignment horizontal="center" vertical="center" wrapText="1"/>
    </xf>
    <xf numFmtId="3" fontId="6" fillId="0" borderId="97" xfId="1" applyNumberFormat="1" applyFont="1" applyFill="1" applyBorder="1" applyAlignment="1" applyProtection="1">
      <alignment horizontal="center" vertical="center" wrapText="1"/>
    </xf>
    <xf numFmtId="0" fontId="6" fillId="0" borderId="94" xfId="1" applyFill="1" applyBorder="1" applyAlignment="1" applyProtection="1">
      <alignment vertical="center" wrapText="1"/>
    </xf>
    <xf numFmtId="0" fontId="10" fillId="19" borderId="95" xfId="1" applyFont="1" applyFill="1" applyBorder="1" applyAlignment="1" applyProtection="1">
      <alignment vertical="center" wrapText="1"/>
    </xf>
    <xf numFmtId="0" fontId="14" fillId="0" borderId="1" xfId="1" applyFont="1" applyFill="1" applyBorder="1" applyAlignment="1" applyProtection="1">
      <alignment vertical="center" wrapText="1"/>
    </xf>
    <xf numFmtId="0" fontId="10" fillId="0" borderId="105" xfId="1" applyFont="1" applyBorder="1" applyAlignment="1" applyProtection="1">
      <alignment horizontal="center" vertical="center" wrapText="1"/>
    </xf>
    <xf numFmtId="0" fontId="10" fillId="0" borderId="20" xfId="1" applyFont="1" applyFill="1" applyBorder="1" applyAlignment="1" applyProtection="1">
      <alignment horizontal="center" vertical="center" wrapText="1"/>
    </xf>
    <xf numFmtId="0" fontId="10" fillId="0" borderId="21" xfId="1" applyFont="1" applyFill="1" applyBorder="1" applyAlignment="1" applyProtection="1">
      <alignment horizontal="center" vertical="center" wrapText="1"/>
    </xf>
    <xf numFmtId="0" fontId="10" fillId="15" borderId="106" xfId="1" applyFont="1" applyFill="1" applyBorder="1" applyAlignment="1" applyProtection="1">
      <alignment horizontal="center" vertical="center" wrapText="1"/>
    </xf>
    <xf numFmtId="0" fontId="6" fillId="0" borderId="107" xfId="1" quotePrefix="1" applyFont="1" applyFill="1" applyBorder="1" applyAlignment="1" applyProtection="1">
      <alignment horizontal="center" vertical="center" wrapText="1"/>
    </xf>
    <xf numFmtId="0" fontId="6" fillId="0" borderId="20" xfId="1" quotePrefix="1" applyFont="1" applyFill="1" applyBorder="1" applyAlignment="1" applyProtection="1">
      <alignment horizontal="center" vertical="center" wrapText="1"/>
    </xf>
    <xf numFmtId="0" fontId="6" fillId="0" borderId="21" xfId="1" quotePrefix="1" applyFont="1" applyFill="1" applyBorder="1" applyAlignment="1" applyProtection="1">
      <alignment horizontal="center" vertical="center" wrapText="1"/>
    </xf>
    <xf numFmtId="0" fontId="6" fillId="0" borderId="17" xfId="1" quotePrefix="1" applyFont="1" applyFill="1" applyBorder="1" applyAlignment="1" applyProtection="1">
      <alignment horizontal="center" vertical="center" wrapText="1"/>
    </xf>
    <xf numFmtId="0" fontId="6" fillId="0" borderId="108" xfId="1" quotePrefix="1" applyFont="1" applyFill="1" applyBorder="1" applyAlignment="1" applyProtection="1">
      <alignment horizontal="center" vertical="center" wrapText="1"/>
    </xf>
    <xf numFmtId="0" fontId="6" fillId="0" borderId="107" xfId="1" applyBorder="1" applyAlignment="1" applyProtection="1">
      <alignment vertical="center" wrapText="1"/>
    </xf>
    <xf numFmtId="0" fontId="6" fillId="0" borderId="16" xfId="1" quotePrefix="1" applyFont="1" applyFill="1" applyBorder="1" applyAlignment="1" applyProtection="1">
      <alignment horizontal="center" vertical="center" wrapText="1"/>
    </xf>
    <xf numFmtId="3" fontId="6" fillId="0" borderId="20" xfId="1" quotePrefix="1" applyNumberFormat="1" applyFont="1" applyFill="1" applyBorder="1" applyAlignment="1" applyProtection="1">
      <alignment horizontal="center" vertical="center" wrapText="1"/>
    </xf>
    <xf numFmtId="0" fontId="6" fillId="0" borderId="109" xfId="1" quotePrefix="1" applyFont="1" applyFill="1" applyBorder="1" applyAlignment="1" applyProtection="1">
      <alignment horizontal="center" vertical="center" wrapText="1"/>
    </xf>
    <xf numFmtId="3" fontId="6" fillId="0" borderId="108" xfId="1" applyNumberFormat="1" applyFont="1" applyFill="1" applyBorder="1" applyAlignment="1" applyProtection="1">
      <alignment horizontal="center" vertical="center" wrapText="1"/>
    </xf>
    <xf numFmtId="0" fontId="6" fillId="0" borderId="110" xfId="1" quotePrefix="1" applyFont="1" applyFill="1" applyBorder="1" applyAlignment="1" applyProtection="1">
      <alignment horizontal="center" vertical="center" wrapText="1"/>
    </xf>
    <xf numFmtId="0" fontId="6" fillId="0" borderId="111" xfId="1" quotePrefix="1" applyFont="1" applyFill="1" applyBorder="1" applyAlignment="1" applyProtection="1">
      <alignment horizontal="center" vertical="center" wrapText="1"/>
    </xf>
    <xf numFmtId="0" fontId="25" fillId="13" borderId="17" xfId="1" applyFont="1" applyFill="1" applyBorder="1" applyAlignment="1" applyProtection="1">
      <alignment horizontal="center" vertical="center" wrapText="1"/>
    </xf>
    <xf numFmtId="0" fontId="25" fillId="13" borderId="112" xfId="1" applyFont="1" applyFill="1" applyBorder="1" applyAlignment="1" applyProtection="1">
      <alignment horizontal="center" vertical="center" wrapText="1"/>
    </xf>
    <xf numFmtId="0" fontId="25" fillId="0" borderId="105" xfId="1" applyFont="1" applyFill="1" applyBorder="1" applyAlignment="1" applyProtection="1">
      <alignment horizontal="center" vertical="center" wrapText="1"/>
    </xf>
    <xf numFmtId="0" fontId="25" fillId="13" borderId="20" xfId="1" applyFont="1" applyFill="1" applyBorder="1" applyAlignment="1" applyProtection="1">
      <alignment horizontal="center" vertical="center" wrapText="1"/>
    </xf>
    <xf numFmtId="0" fontId="6" fillId="0" borderId="20" xfId="1" applyFont="1" applyFill="1" applyBorder="1" applyAlignment="1" applyProtection="1">
      <alignment horizontal="center" vertical="center" wrapText="1"/>
    </xf>
    <xf numFmtId="0" fontId="6" fillId="0" borderId="112" xfId="1" applyFont="1" applyFill="1" applyBorder="1" applyAlignment="1" applyProtection="1">
      <alignment horizontal="center" vertical="center" wrapText="1"/>
    </xf>
    <xf numFmtId="0" fontId="6" fillId="0" borderId="105" xfId="1" applyFont="1" applyFill="1" applyBorder="1" applyAlignment="1" applyProtection="1">
      <alignment horizontal="center" vertical="center" wrapText="1"/>
    </xf>
    <xf numFmtId="0" fontId="6" fillId="0" borderId="112" xfId="1" quotePrefix="1" applyFont="1" applyFill="1" applyBorder="1" applyAlignment="1" applyProtection="1">
      <alignment horizontal="center" vertical="center" wrapText="1"/>
    </xf>
    <xf numFmtId="0" fontId="6" fillId="0" borderId="16" xfId="1" applyFill="1" applyBorder="1" applyAlignment="1" applyProtection="1">
      <alignment horizontal="center" vertical="center" wrapText="1"/>
    </xf>
    <xf numFmtId="0" fontId="25" fillId="0" borderId="16" xfId="1" applyFont="1" applyFill="1" applyBorder="1" applyAlignment="1" applyProtection="1">
      <alignment horizontal="center" vertical="center" wrapText="1"/>
    </xf>
    <xf numFmtId="0" fontId="6" fillId="0" borderId="21" xfId="1" applyFont="1" applyFill="1" applyBorder="1" applyAlignment="1" applyProtection="1">
      <alignment horizontal="center" vertical="center" wrapText="1"/>
    </xf>
    <xf numFmtId="0" fontId="6" fillId="0" borderId="16" xfId="1" applyFont="1" applyFill="1" applyBorder="1" applyAlignment="1" applyProtection="1">
      <alignment horizontal="center" vertical="center" wrapText="1"/>
    </xf>
    <xf numFmtId="0" fontId="25" fillId="13" borderId="105" xfId="1" applyFont="1" applyFill="1" applyBorder="1" applyAlignment="1" applyProtection="1">
      <alignment horizontal="center" vertical="center" wrapText="1"/>
    </xf>
    <xf numFmtId="0" fontId="15" fillId="0" borderId="107" xfId="1" quotePrefix="1" applyFont="1" applyFill="1" applyBorder="1" applyAlignment="1" applyProtection="1">
      <alignment horizontal="center" vertical="center" wrapText="1"/>
    </xf>
    <xf numFmtId="0" fontId="15" fillId="0" borderId="20" xfId="1" quotePrefix="1" applyFont="1" applyFill="1" applyBorder="1" applyAlignment="1" applyProtection="1">
      <alignment horizontal="center" vertical="center" wrapText="1"/>
    </xf>
    <xf numFmtId="0" fontId="15" fillId="0" borderId="21" xfId="1" quotePrefix="1" applyFont="1" applyFill="1" applyBorder="1" applyAlignment="1" applyProtection="1">
      <alignment horizontal="center" vertical="center" wrapText="1"/>
    </xf>
    <xf numFmtId="0" fontId="15" fillId="0" borderId="17" xfId="1" quotePrefix="1" applyFont="1" applyFill="1" applyBorder="1" applyAlignment="1" applyProtection="1">
      <alignment horizontal="center" vertical="center" wrapText="1"/>
    </xf>
    <xf numFmtId="3" fontId="15" fillId="0" borderId="20" xfId="1" quotePrefix="1" applyNumberFormat="1" applyFont="1" applyFill="1" applyBorder="1" applyAlignment="1" applyProtection="1">
      <alignment horizontal="center" vertical="center" wrapText="1"/>
    </xf>
    <xf numFmtId="0" fontId="15" fillId="0" borderId="108" xfId="1" quotePrefix="1" applyFont="1" applyFill="1" applyBorder="1" applyAlignment="1" applyProtection="1">
      <alignment horizontal="center" vertical="center" wrapText="1"/>
    </xf>
    <xf numFmtId="3" fontId="15" fillId="0" borderId="1" xfId="1" quotePrefix="1" applyNumberFormat="1" applyFont="1" applyFill="1" applyBorder="1" applyAlignment="1" applyProtection="1">
      <alignment horizontal="center" vertical="center" wrapText="1"/>
    </xf>
    <xf numFmtId="0" fontId="15" fillId="0" borderId="16" xfId="1" quotePrefix="1" applyFont="1" applyFill="1" applyBorder="1" applyAlignment="1" applyProtection="1">
      <alignment horizontal="center" vertical="center" wrapText="1"/>
    </xf>
    <xf numFmtId="0" fontId="15" fillId="0" borderId="110" xfId="1" quotePrefix="1" applyFont="1" applyFill="1" applyBorder="1" applyAlignment="1" applyProtection="1">
      <alignment horizontal="center" vertical="center" wrapText="1"/>
    </xf>
    <xf numFmtId="0" fontId="15" fillId="0" borderId="111" xfId="1" quotePrefix="1" applyFont="1" applyFill="1" applyBorder="1" applyAlignment="1" applyProtection="1">
      <alignment horizontal="center" vertical="center" wrapText="1"/>
    </xf>
    <xf numFmtId="0" fontId="6" fillId="0" borderId="0" xfId="1" applyAlignment="1">
      <alignment vertical="center"/>
    </xf>
    <xf numFmtId="0" fontId="10" fillId="13" borderId="0" xfId="1" applyFont="1" applyFill="1" applyAlignment="1">
      <alignment vertical="center"/>
    </xf>
    <xf numFmtId="0" fontId="6" fillId="13" borderId="0" xfId="1" applyFill="1" applyAlignment="1">
      <alignment vertical="center"/>
    </xf>
    <xf numFmtId="0" fontId="28" fillId="3" borderId="0" xfId="1" applyFont="1" applyFill="1" applyAlignment="1">
      <alignment vertical="center"/>
    </xf>
    <xf numFmtId="0" fontId="29" fillId="3" borderId="0" xfId="1" applyFont="1" applyFill="1" applyAlignment="1">
      <alignment vertical="center"/>
    </xf>
    <xf numFmtId="0" fontId="6" fillId="0" borderId="0" xfId="1" applyBorder="1" applyAlignment="1">
      <alignment vertical="center"/>
    </xf>
    <xf numFmtId="0" fontId="6" fillId="14" borderId="0" xfId="1" applyFill="1" applyBorder="1" applyAlignment="1">
      <alignment vertical="center"/>
    </xf>
    <xf numFmtId="0" fontId="10" fillId="14" borderId="0" xfId="1" applyFont="1" applyFill="1" applyBorder="1" applyAlignment="1">
      <alignment vertical="center"/>
    </xf>
    <xf numFmtId="0" fontId="6" fillId="4" borderId="32" xfId="1" applyFill="1" applyBorder="1" applyAlignment="1">
      <alignment vertical="center"/>
    </xf>
    <xf numFmtId="0" fontId="6" fillId="4" borderId="23" xfId="1" applyFill="1" applyBorder="1" applyAlignment="1">
      <alignment vertical="center"/>
    </xf>
    <xf numFmtId="0" fontId="10" fillId="4" borderId="63" xfId="1" applyFont="1" applyFill="1" applyBorder="1" applyAlignment="1">
      <alignment vertical="center"/>
    </xf>
    <xf numFmtId="0" fontId="6" fillId="14" borderId="0" xfId="1" applyFont="1" applyFill="1" applyBorder="1" applyAlignment="1">
      <alignment vertical="center"/>
    </xf>
    <xf numFmtId="0" fontId="6" fillId="14" borderId="27" xfId="1" applyFont="1" applyFill="1" applyBorder="1" applyAlignment="1">
      <alignment vertical="center"/>
    </xf>
    <xf numFmtId="0" fontId="6" fillId="4" borderId="40" xfId="1" applyFill="1" applyBorder="1" applyAlignment="1">
      <alignment vertical="center"/>
    </xf>
    <xf numFmtId="0" fontId="6" fillId="4" borderId="0" xfId="1" applyFill="1" applyBorder="1" applyAlignment="1">
      <alignment vertical="center"/>
    </xf>
    <xf numFmtId="0" fontId="10" fillId="4" borderId="18" xfId="1" applyFont="1" applyFill="1" applyBorder="1" applyAlignment="1">
      <alignment vertical="center"/>
    </xf>
    <xf numFmtId="0" fontId="6" fillId="14" borderId="40" xfId="1" applyFont="1" applyFill="1" applyBorder="1" applyAlignment="1">
      <alignment vertical="center"/>
    </xf>
    <xf numFmtId="0" fontId="6" fillId="4" borderId="18" xfId="1" applyFill="1" applyBorder="1" applyAlignment="1">
      <alignment vertical="center"/>
    </xf>
    <xf numFmtId="0" fontId="16" fillId="14" borderId="23" xfId="1" applyFont="1" applyFill="1" applyBorder="1" applyAlignment="1">
      <alignment vertical="center"/>
    </xf>
    <xf numFmtId="0" fontId="6" fillId="14" borderId="23" xfId="1" applyFont="1" applyFill="1" applyBorder="1" applyAlignment="1">
      <alignment vertical="center"/>
    </xf>
    <xf numFmtId="1" fontId="6" fillId="4" borderId="18" xfId="1" applyNumberFormat="1" applyFill="1" applyBorder="1" applyAlignment="1">
      <alignment vertical="center"/>
    </xf>
    <xf numFmtId="0" fontId="16" fillId="14" borderId="0" xfId="1" applyFont="1" applyFill="1" applyBorder="1" applyAlignment="1">
      <alignment vertical="center"/>
    </xf>
    <xf numFmtId="0" fontId="10" fillId="2" borderId="32" xfId="1" applyFont="1" applyFill="1" applyBorder="1" applyAlignment="1">
      <alignment vertical="center"/>
    </xf>
    <xf numFmtId="0" fontId="6" fillId="2" borderId="24" xfId="1" applyFill="1" applyBorder="1" applyAlignment="1">
      <alignment vertical="center"/>
    </xf>
    <xf numFmtId="0" fontId="10" fillId="2" borderId="40" xfId="1" applyFont="1" applyFill="1" applyBorder="1" applyAlignment="1">
      <alignment vertical="center"/>
    </xf>
    <xf numFmtId="0" fontId="6" fillId="2" borderId="27" xfId="1" applyFill="1" applyBorder="1" applyAlignment="1">
      <alignment vertical="center"/>
    </xf>
    <xf numFmtId="0" fontId="6" fillId="14" borderId="0" xfId="1" applyFont="1" applyFill="1" applyAlignment="1">
      <alignment vertical="center"/>
    </xf>
    <xf numFmtId="0" fontId="10" fillId="2" borderId="27" xfId="1" applyFont="1" applyFill="1" applyBorder="1" applyAlignment="1">
      <alignment vertical="center"/>
    </xf>
    <xf numFmtId="0" fontId="6" fillId="2" borderId="40" xfId="1" applyFill="1" applyBorder="1" applyAlignment="1">
      <alignment vertical="center"/>
    </xf>
    <xf numFmtId="0" fontId="6" fillId="14" borderId="30" xfId="1" applyFill="1" applyBorder="1" applyAlignment="1">
      <alignment vertical="center"/>
    </xf>
    <xf numFmtId="0" fontId="6" fillId="4" borderId="30" xfId="1" applyFill="1" applyBorder="1" applyAlignment="1">
      <alignment vertical="center"/>
    </xf>
    <xf numFmtId="0" fontId="6" fillId="4" borderId="64" xfId="1" applyFill="1" applyBorder="1" applyAlignment="1">
      <alignment vertical="center"/>
    </xf>
    <xf numFmtId="0" fontId="6" fillId="14" borderId="0" xfId="1" applyFill="1" applyAlignment="1">
      <alignment vertical="center"/>
    </xf>
    <xf numFmtId="0" fontId="6" fillId="2" borderId="52" xfId="1" applyFill="1" applyBorder="1" applyAlignment="1">
      <alignment vertical="center"/>
    </xf>
    <xf numFmtId="0" fontId="6" fillId="0" borderId="0" xfId="1" applyFill="1" applyBorder="1" applyAlignment="1">
      <alignment vertical="center"/>
    </xf>
    <xf numFmtId="0" fontId="6" fillId="4" borderId="53" xfId="1" applyFill="1" applyBorder="1" applyAlignment="1">
      <alignment vertical="center"/>
    </xf>
    <xf numFmtId="1" fontId="6" fillId="0" borderId="0" xfId="1" applyNumberFormat="1" applyFill="1" applyBorder="1" applyAlignment="1">
      <alignment vertical="center"/>
    </xf>
    <xf numFmtId="0" fontId="34" fillId="21" borderId="0" xfId="1" applyFont="1" applyFill="1" applyAlignment="1">
      <alignment vertical="center"/>
    </xf>
    <xf numFmtId="0" fontId="36" fillId="21" borderId="0" xfId="1" applyFont="1" applyFill="1" applyAlignment="1">
      <alignment vertical="center"/>
    </xf>
    <xf numFmtId="0" fontId="13" fillId="20" borderId="113" xfId="1" applyFont="1" applyFill="1" applyBorder="1" applyAlignment="1" applyProtection="1">
      <alignment vertical="center"/>
    </xf>
    <xf numFmtId="0" fontId="8" fillId="20" borderId="75" xfId="1" applyFont="1" applyFill="1" applyBorder="1" applyAlignment="1" applyProtection="1">
      <alignment vertical="center" wrapText="1"/>
    </xf>
    <xf numFmtId="0" fontId="6" fillId="20" borderId="75" xfId="1" quotePrefix="1" applyFont="1" applyFill="1" applyBorder="1" applyAlignment="1" applyProtection="1">
      <alignment horizontal="center" vertical="center" wrapText="1"/>
    </xf>
    <xf numFmtId="0" fontId="6" fillId="20" borderId="75" xfId="1" applyFont="1" applyFill="1" applyBorder="1" applyAlignment="1" applyProtection="1">
      <alignment horizontal="center" vertical="center" wrapText="1"/>
    </xf>
    <xf numFmtId="0" fontId="6" fillId="20" borderId="114" xfId="1" applyFill="1" applyBorder="1" applyAlignment="1" applyProtection="1">
      <alignment vertical="center" wrapText="1"/>
    </xf>
    <xf numFmtId="0" fontId="6" fillId="0" borderId="12" xfId="1" applyFill="1" applyBorder="1" applyAlignment="1" applyProtection="1">
      <alignment horizontal="center" vertical="center" wrapText="1"/>
    </xf>
    <xf numFmtId="2" fontId="6" fillId="0" borderId="48" xfId="1" applyNumberFormat="1" applyFont="1" applyFill="1" applyBorder="1" applyAlignment="1" applyProtection="1">
      <alignment horizontal="center" vertical="center" wrapText="1"/>
    </xf>
    <xf numFmtId="2" fontId="6" fillId="0" borderId="9" xfId="1" applyNumberFormat="1" applyFont="1" applyFill="1" applyBorder="1" applyAlignment="1" applyProtection="1">
      <alignment horizontal="center" vertical="center" wrapText="1"/>
    </xf>
    <xf numFmtId="2" fontId="6" fillId="0" borderId="49" xfId="1" applyNumberFormat="1" applyFont="1" applyFill="1" applyBorder="1" applyAlignment="1" applyProtection="1">
      <alignment horizontal="center" vertical="center" wrapText="1"/>
    </xf>
    <xf numFmtId="2" fontId="6" fillId="0" borderId="1" xfId="1" applyNumberFormat="1" applyFont="1" applyFill="1" applyBorder="1" applyAlignment="1" applyProtection="1">
      <alignment horizontal="center" vertical="center" wrapText="1"/>
    </xf>
    <xf numFmtId="2" fontId="6" fillId="0" borderId="7" xfId="1" applyNumberFormat="1" applyFont="1" applyFill="1" applyBorder="1" applyAlignment="1" applyProtection="1">
      <alignment horizontal="center" vertical="center" wrapText="1"/>
    </xf>
    <xf numFmtId="2" fontId="6" fillId="0" borderId="4" xfId="1" applyNumberFormat="1" applyFont="1" applyFill="1" applyBorder="1" applyAlignment="1" applyProtection="1">
      <alignment horizontal="center" vertical="center" wrapText="1"/>
    </xf>
    <xf numFmtId="164" fontId="6" fillId="0" borderId="14" xfId="1" applyNumberFormat="1" applyFont="1" applyFill="1" applyBorder="1" applyAlignment="1" applyProtection="1">
      <alignment horizontal="center" vertical="center" wrapText="1"/>
    </xf>
    <xf numFmtId="164" fontId="6" fillId="0" borderId="15" xfId="1" applyNumberFormat="1" applyFont="1" applyFill="1" applyBorder="1" applyAlignment="1" applyProtection="1">
      <alignment horizontal="center" vertical="center" wrapText="1"/>
    </xf>
    <xf numFmtId="0" fontId="10" fillId="0" borderId="72" xfId="1" applyFont="1" applyFill="1" applyBorder="1" applyAlignment="1" applyProtection="1">
      <alignment vertical="center" wrapText="1"/>
    </xf>
    <xf numFmtId="164" fontId="6" fillId="0" borderId="75" xfId="1" applyNumberFormat="1" applyFont="1" applyFill="1" applyBorder="1" applyAlignment="1" applyProtection="1">
      <alignment horizontal="center" vertical="center" wrapText="1"/>
    </xf>
    <xf numFmtId="164" fontId="6" fillId="0" borderId="80" xfId="1" applyNumberFormat="1" applyFont="1" applyFill="1" applyBorder="1" applyAlignment="1" applyProtection="1">
      <alignment horizontal="center" vertical="center" wrapText="1"/>
    </xf>
    <xf numFmtId="2" fontId="6" fillId="0" borderId="77" xfId="1" applyNumberFormat="1" applyFont="1" applyFill="1" applyBorder="1" applyAlignment="1" applyProtection="1">
      <alignment horizontal="center" vertical="center" wrapText="1"/>
    </xf>
    <xf numFmtId="2" fontId="6" fillId="0" borderId="78" xfId="1" applyNumberFormat="1" applyFont="1" applyFill="1" applyBorder="1" applyAlignment="1" applyProtection="1">
      <alignment horizontal="center" vertical="center" wrapText="1"/>
    </xf>
    <xf numFmtId="2" fontId="6" fillId="0" borderId="79" xfId="1" applyNumberFormat="1" applyFont="1" applyFill="1" applyBorder="1" applyAlignment="1" applyProtection="1">
      <alignment horizontal="center" vertical="center" wrapText="1"/>
    </xf>
    <xf numFmtId="0" fontId="10" fillId="0" borderId="28" xfId="1" applyFont="1" applyFill="1" applyBorder="1" applyAlignment="1" applyProtection="1">
      <alignment vertical="center" wrapText="1"/>
    </xf>
    <xf numFmtId="0" fontId="6" fillId="10" borderId="28" xfId="1" applyFont="1" applyFill="1" applyBorder="1" applyAlignment="1" applyProtection="1">
      <alignment horizontal="center" vertical="center" wrapText="1"/>
    </xf>
    <xf numFmtId="0" fontId="6" fillId="10" borderId="22" xfId="1" applyFont="1" applyFill="1" applyBorder="1" applyAlignment="1" applyProtection="1">
      <alignment horizontal="center" vertical="center" wrapText="1"/>
    </xf>
    <xf numFmtId="0" fontId="8" fillId="0" borderId="107" xfId="1" applyFont="1" applyFill="1" applyBorder="1" applyAlignment="1" applyProtection="1">
      <alignment vertical="center" wrapText="1"/>
    </xf>
    <xf numFmtId="4" fontId="6" fillId="0" borderId="4" xfId="1" applyNumberFormat="1" applyFont="1" applyFill="1" applyBorder="1" applyAlignment="1" applyProtection="1">
      <alignment horizontal="center" vertical="center" wrapText="1"/>
    </xf>
    <xf numFmtId="4" fontId="6" fillId="0" borderId="1" xfId="1" applyNumberFormat="1" applyFont="1" applyFill="1" applyBorder="1" applyAlignment="1" applyProtection="1">
      <alignment horizontal="center" vertical="center" wrapText="1"/>
    </xf>
    <xf numFmtId="4" fontId="6" fillId="0" borderId="7" xfId="1" applyNumberFormat="1" applyFont="1" applyFill="1" applyBorder="1" applyAlignment="1" applyProtection="1">
      <alignment horizontal="center" vertical="center" wrapText="1"/>
    </xf>
    <xf numFmtId="3" fontId="6" fillId="0" borderId="15" xfId="1" applyNumberFormat="1" applyFont="1" applyFill="1" applyBorder="1" applyAlignment="1" applyProtection="1">
      <alignment horizontal="center" vertical="center" wrapText="1"/>
    </xf>
    <xf numFmtId="0" fontId="6" fillId="0" borderId="116" xfId="1" applyFont="1" applyFill="1" applyBorder="1" applyAlignment="1" applyProtection="1">
      <alignment vertical="center" wrapText="1"/>
    </xf>
    <xf numFmtId="3" fontId="6" fillId="0" borderId="117" xfId="1" applyNumberFormat="1" applyFont="1" applyFill="1" applyBorder="1" applyAlignment="1" applyProtection="1">
      <alignment horizontal="center" vertical="center" wrapText="1"/>
    </xf>
    <xf numFmtId="0" fontId="6" fillId="0" borderId="115" xfId="1" applyFill="1" applyBorder="1" applyAlignment="1" applyProtection="1">
      <alignment vertical="center" wrapText="1"/>
    </xf>
    <xf numFmtId="3" fontId="15" fillId="0" borderId="4" xfId="1" applyNumberFormat="1" applyFont="1" applyFill="1" applyBorder="1" applyAlignment="1" applyProtection="1">
      <alignment horizontal="center" vertical="center" wrapText="1"/>
    </xf>
    <xf numFmtId="3" fontId="15" fillId="0" borderId="1" xfId="1" applyNumberFormat="1" applyFont="1" applyFill="1" applyBorder="1" applyAlignment="1" applyProtection="1">
      <alignment horizontal="center" vertical="center" wrapText="1"/>
    </xf>
    <xf numFmtId="3" fontId="15" fillId="0" borderId="7" xfId="1" applyNumberFormat="1" applyFont="1" applyFill="1" applyBorder="1" applyAlignment="1" applyProtection="1">
      <alignment horizontal="center" vertical="center" wrapText="1"/>
    </xf>
    <xf numFmtId="3" fontId="6" fillId="0" borderId="69" xfId="1" applyNumberFormat="1" applyFont="1" applyFill="1" applyBorder="1" applyAlignment="1" applyProtection="1">
      <alignment horizontal="center" vertical="center" wrapText="1"/>
    </xf>
    <xf numFmtId="3" fontId="6" fillId="0" borderId="103" xfId="1" applyNumberFormat="1" applyFont="1" applyFill="1" applyBorder="1" applyAlignment="1" applyProtection="1">
      <alignment horizontal="center" vertical="center" wrapText="1"/>
    </xf>
    <xf numFmtId="0" fontId="15" fillId="0" borderId="15" xfId="1" applyFont="1" applyFill="1" applyBorder="1" applyAlignment="1" applyProtection="1">
      <alignment horizontal="center" vertical="center" wrapText="1"/>
    </xf>
    <xf numFmtId="4" fontId="6" fillId="0" borderId="48" xfId="1" applyNumberFormat="1" applyFont="1" applyFill="1" applyBorder="1" applyAlignment="1" applyProtection="1">
      <alignment horizontal="center" vertical="center" wrapText="1"/>
    </xf>
    <xf numFmtId="4" fontId="6" fillId="0" borderId="9" xfId="1" applyNumberFormat="1" applyFont="1" applyFill="1" applyBorder="1" applyAlignment="1" applyProtection="1">
      <alignment horizontal="center" vertical="center" wrapText="1"/>
    </xf>
    <xf numFmtId="4" fontId="6" fillId="0" borderId="49" xfId="1" applyNumberFormat="1" applyFont="1" applyFill="1" applyBorder="1" applyAlignment="1" applyProtection="1">
      <alignment horizontal="center" vertical="center" wrapText="1"/>
    </xf>
    <xf numFmtId="164" fontId="6" fillId="0" borderId="0" xfId="1" applyNumberFormat="1" applyFont="1" applyFill="1" applyBorder="1" applyAlignment="1" applyProtection="1">
      <alignment horizontal="center" vertical="center" wrapText="1"/>
    </xf>
    <xf numFmtId="2" fontId="6" fillId="0" borderId="26" xfId="1" applyNumberFormat="1" applyFont="1" applyFill="1" applyBorder="1" applyAlignment="1" applyProtection="1">
      <alignment horizontal="center" vertical="center" wrapText="1"/>
    </xf>
    <xf numFmtId="2" fontId="6" fillId="0" borderId="36" xfId="1" applyNumberFormat="1" applyFont="1" applyFill="1" applyBorder="1" applyAlignment="1" applyProtection="1">
      <alignment horizontal="center" vertical="center" wrapText="1"/>
    </xf>
    <xf numFmtId="2" fontId="6" fillId="0" borderId="29" xfId="1" applyNumberFormat="1" applyFont="1" applyFill="1" applyBorder="1" applyAlignment="1" applyProtection="1">
      <alignment horizontal="center" vertical="center" wrapText="1"/>
    </xf>
    <xf numFmtId="0" fontId="14" fillId="0" borderId="9" xfId="1" applyFont="1" applyFill="1" applyBorder="1" applyAlignment="1" applyProtection="1">
      <alignment vertical="center" wrapText="1"/>
    </xf>
    <xf numFmtId="0" fontId="10" fillId="0" borderId="9" xfId="1" quotePrefix="1" applyFont="1" applyFill="1" applyBorder="1" applyAlignment="1" applyProtection="1">
      <alignment horizontal="center" vertical="center" wrapText="1"/>
    </xf>
    <xf numFmtId="0" fontId="10" fillId="0" borderId="17" xfId="1" quotePrefix="1" applyFont="1" applyFill="1" applyBorder="1" applyAlignment="1" applyProtection="1">
      <alignment horizontal="center" vertical="center" wrapText="1"/>
    </xf>
    <xf numFmtId="0" fontId="10" fillId="0" borderId="49" xfId="1" applyFont="1" applyFill="1" applyBorder="1" applyAlignment="1" applyProtection="1">
      <alignment horizontal="center" vertical="center" wrapText="1"/>
    </xf>
    <xf numFmtId="3" fontId="10" fillId="0" borderId="14" xfId="1" applyNumberFormat="1" applyFont="1" applyFill="1" applyBorder="1" applyAlignment="1" applyProtection="1">
      <alignment horizontal="center" vertical="center" wrapText="1"/>
    </xf>
    <xf numFmtId="3" fontId="10" fillId="0" borderId="48" xfId="1" applyNumberFormat="1" applyFont="1" applyFill="1" applyBorder="1" applyAlignment="1" applyProtection="1">
      <alignment horizontal="center" vertical="center" wrapText="1"/>
    </xf>
    <xf numFmtId="3" fontId="10" fillId="0" borderId="9" xfId="1" applyNumberFormat="1" applyFont="1" applyFill="1" applyBorder="1" applyAlignment="1" applyProtection="1">
      <alignment horizontal="center" vertical="center" wrapText="1"/>
    </xf>
    <xf numFmtId="3" fontId="10" fillId="0" borderId="49" xfId="1" applyNumberFormat="1" applyFont="1" applyFill="1" applyBorder="1" applyAlignment="1" applyProtection="1">
      <alignment horizontal="center" vertical="center" wrapText="1"/>
    </xf>
    <xf numFmtId="0" fontId="10" fillId="0" borderId="116" xfId="1" applyFont="1" applyFill="1" applyBorder="1" applyAlignment="1" applyProtection="1">
      <alignment vertical="center" wrapText="1"/>
    </xf>
    <xf numFmtId="0" fontId="13" fillId="20" borderId="54" xfId="1" applyFont="1" applyFill="1" applyBorder="1" applyAlignment="1" applyProtection="1">
      <alignment vertical="center"/>
    </xf>
    <xf numFmtId="0" fontId="8" fillId="20" borderId="55" xfId="1" applyFont="1" applyFill="1" applyBorder="1" applyAlignment="1" applyProtection="1">
      <alignment vertical="center" wrapText="1"/>
    </xf>
    <xf numFmtId="0" fontId="6" fillId="20" borderId="55" xfId="1" quotePrefix="1" applyFont="1" applyFill="1" applyBorder="1" applyAlignment="1" applyProtection="1">
      <alignment horizontal="center" vertical="center" wrapText="1"/>
    </xf>
    <xf numFmtId="0" fontId="6" fillId="20" borderId="55" xfId="1" applyFont="1" applyFill="1" applyBorder="1" applyAlignment="1" applyProtection="1">
      <alignment horizontal="center" vertical="center" wrapText="1"/>
    </xf>
    <xf numFmtId="0" fontId="6" fillId="20" borderId="56" xfId="1" applyFill="1" applyBorder="1" applyAlignment="1" applyProtection="1">
      <alignment vertical="center" wrapText="1"/>
    </xf>
    <xf numFmtId="0" fontId="8" fillId="0" borderId="86" xfId="1" applyFont="1" applyFill="1" applyBorder="1" applyAlignment="1" applyProtection="1">
      <alignment vertical="center" wrapText="1"/>
    </xf>
    <xf numFmtId="0" fontId="6" fillId="0" borderId="86" xfId="1" quotePrefix="1" applyFont="1" applyFill="1" applyBorder="1" applyAlignment="1" applyProtection="1">
      <alignment horizontal="center" vertical="center" wrapText="1"/>
    </xf>
    <xf numFmtId="0" fontId="6" fillId="0" borderId="121" xfId="1" quotePrefix="1" applyFont="1" applyFill="1" applyBorder="1" applyAlignment="1" applyProtection="1">
      <alignment horizontal="center" vertical="center" wrapText="1"/>
    </xf>
    <xf numFmtId="164" fontId="6" fillId="0" borderId="57" xfId="1" applyNumberFormat="1" applyFont="1" applyFill="1" applyBorder="1" applyAlignment="1" applyProtection="1">
      <alignment horizontal="center" vertical="center" wrapText="1"/>
    </xf>
    <xf numFmtId="4" fontId="6" fillId="0" borderId="85" xfId="1" applyNumberFormat="1" applyFont="1" applyFill="1" applyBorder="1" applyAlignment="1" applyProtection="1">
      <alignment horizontal="center" vertical="center" wrapText="1"/>
    </xf>
    <xf numFmtId="4" fontId="6" fillId="0" borderId="86" xfId="1" applyNumberFormat="1" applyFont="1" applyFill="1" applyBorder="1" applyAlignment="1" applyProtection="1">
      <alignment horizontal="center" vertical="center" wrapText="1"/>
    </xf>
    <xf numFmtId="4" fontId="6" fillId="0" borderId="87" xfId="1" applyNumberFormat="1" applyFont="1" applyFill="1" applyBorder="1" applyAlignment="1" applyProtection="1">
      <alignment horizontal="center" vertical="center" wrapText="1"/>
    </xf>
    <xf numFmtId="3" fontId="6" fillId="0" borderId="80" xfId="1" applyNumberFormat="1" applyFont="1" applyFill="1" applyBorder="1" applyAlignment="1" applyProtection="1">
      <alignment horizontal="center" vertical="center" wrapText="1"/>
    </xf>
    <xf numFmtId="3" fontId="15" fillId="0" borderId="48" xfId="1" applyNumberFormat="1" applyFont="1" applyFill="1" applyBorder="1" applyAlignment="1" applyProtection="1">
      <alignment horizontal="center" vertical="center" wrapText="1"/>
    </xf>
    <xf numFmtId="3" fontId="15" fillId="0" borderId="9" xfId="1" applyNumberFormat="1" applyFont="1" applyFill="1" applyBorder="1" applyAlignment="1" applyProtection="1">
      <alignment horizontal="center" vertical="center" wrapText="1"/>
    </xf>
    <xf numFmtId="3" fontId="15" fillId="0" borderId="49" xfId="1" applyNumberFormat="1" applyFont="1" applyFill="1" applyBorder="1" applyAlignment="1" applyProtection="1">
      <alignment horizontal="center" vertical="center" wrapText="1"/>
    </xf>
    <xf numFmtId="4" fontId="6" fillId="0" borderId="28" xfId="1" applyNumberFormat="1" applyFont="1" applyFill="1" applyBorder="1" applyAlignment="1" applyProtection="1">
      <alignment horizontal="center" vertical="center" wrapText="1"/>
    </xf>
    <xf numFmtId="4" fontId="6" fillId="0" borderId="22" xfId="1" applyNumberFormat="1" applyFont="1" applyFill="1" applyBorder="1" applyAlignment="1" applyProtection="1">
      <alignment horizontal="center" vertical="center" wrapText="1"/>
    </xf>
    <xf numFmtId="4" fontId="6" fillId="0" borderId="33" xfId="1" applyNumberFormat="1" applyFont="1" applyFill="1" applyBorder="1" applyAlignment="1" applyProtection="1">
      <alignment horizontal="center" vertical="center" wrapText="1"/>
    </xf>
    <xf numFmtId="0" fontId="10" fillId="0" borderId="123" xfId="1" applyFont="1" applyFill="1" applyBorder="1" applyAlignment="1" applyProtection="1">
      <alignment vertical="center" wrapText="1"/>
    </xf>
    <xf numFmtId="0" fontId="8" fillId="0" borderId="124" xfId="1" applyFont="1" applyFill="1" applyBorder="1" applyAlignment="1" applyProtection="1">
      <alignment vertical="center" wrapText="1"/>
    </xf>
    <xf numFmtId="0" fontId="6" fillId="0" borderId="124" xfId="1" quotePrefix="1" applyFont="1" applyFill="1" applyBorder="1" applyAlignment="1" applyProtection="1">
      <alignment horizontal="center" vertical="center" wrapText="1"/>
    </xf>
    <xf numFmtId="0" fontId="6" fillId="0" borderId="125" xfId="1" quotePrefix="1" applyFont="1" applyFill="1" applyBorder="1" applyAlignment="1" applyProtection="1">
      <alignment horizontal="center" vertical="center" wrapText="1"/>
    </xf>
    <xf numFmtId="0" fontId="6" fillId="0" borderId="126" xfId="1" applyFont="1" applyFill="1" applyBorder="1" applyAlignment="1" applyProtection="1">
      <alignment horizontal="center" vertical="center" wrapText="1"/>
    </xf>
    <xf numFmtId="3" fontId="6" fillId="0" borderId="127" xfId="1" applyNumberFormat="1" applyFont="1" applyFill="1" applyBorder="1" applyAlignment="1" applyProtection="1">
      <alignment horizontal="center" vertical="center" wrapText="1"/>
    </xf>
    <xf numFmtId="3" fontId="6" fillId="0" borderId="123" xfId="1" applyNumberFormat="1" applyFont="1" applyFill="1" applyBorder="1" applyAlignment="1" applyProtection="1">
      <alignment horizontal="center" vertical="center" wrapText="1"/>
    </xf>
    <xf numFmtId="3" fontId="6" fillId="0" borderId="124" xfId="1" applyNumberFormat="1" applyFont="1" applyFill="1" applyBorder="1" applyAlignment="1" applyProtection="1">
      <alignment horizontal="center" vertical="center" wrapText="1"/>
    </xf>
    <xf numFmtId="3" fontId="6" fillId="0" borderId="126" xfId="1" applyNumberFormat="1" applyFont="1" applyFill="1" applyBorder="1" applyAlignment="1" applyProtection="1">
      <alignment horizontal="center" vertical="center" wrapText="1"/>
    </xf>
    <xf numFmtId="0" fontId="6" fillId="0" borderId="122" xfId="1" applyFill="1" applyBorder="1" applyAlignment="1" applyProtection="1">
      <alignment vertical="center" wrapText="1"/>
    </xf>
    <xf numFmtId="3" fontId="6" fillId="0" borderId="26" xfId="1" applyNumberFormat="1" applyFont="1" applyFill="1" applyBorder="1" applyAlignment="1" applyProtection="1">
      <alignment horizontal="center" vertical="center" wrapText="1"/>
      <protection locked="0"/>
    </xf>
    <xf numFmtId="3" fontId="6" fillId="0" borderId="36" xfId="1" applyNumberFormat="1" applyFont="1" applyFill="1" applyBorder="1" applyAlignment="1" applyProtection="1">
      <alignment horizontal="center" vertical="center" wrapText="1"/>
      <protection locked="0"/>
    </xf>
    <xf numFmtId="3" fontId="6" fillId="9" borderId="75" xfId="1" applyNumberFormat="1" applyFont="1" applyFill="1" applyBorder="1" applyAlignment="1" applyProtection="1">
      <alignment horizontal="center" vertical="center" wrapText="1"/>
    </xf>
    <xf numFmtId="3" fontId="6" fillId="0" borderId="72" xfId="1" applyNumberFormat="1" applyFont="1" applyFill="1" applyBorder="1" applyAlignment="1" applyProtection="1">
      <alignment horizontal="center" vertical="center" wrapText="1"/>
      <protection locked="0"/>
    </xf>
    <xf numFmtId="3" fontId="6" fillId="0" borderId="73" xfId="1" applyNumberFormat="1" applyFont="1" applyFill="1" applyBorder="1" applyAlignment="1" applyProtection="1">
      <alignment horizontal="center" vertical="center" wrapText="1"/>
      <protection locked="0"/>
    </xf>
    <xf numFmtId="0" fontId="15" fillId="0" borderId="4" xfId="1" applyFont="1" applyFill="1" applyBorder="1" applyAlignment="1" applyProtection="1">
      <alignment horizontal="center" vertical="center" wrapText="1"/>
    </xf>
    <xf numFmtId="0" fontId="15" fillId="0" borderId="1" xfId="1" applyFont="1" applyFill="1" applyBorder="1" applyAlignment="1" applyProtection="1">
      <alignment horizontal="center" vertical="center" wrapText="1"/>
    </xf>
    <xf numFmtId="0" fontId="6" fillId="15" borderId="72" xfId="1" applyFont="1" applyFill="1" applyBorder="1" applyAlignment="1" applyProtection="1">
      <alignment vertical="center" wrapText="1"/>
    </xf>
    <xf numFmtId="0" fontId="8" fillId="15" borderId="73" xfId="1" applyFont="1" applyFill="1" applyBorder="1" applyAlignment="1" applyProtection="1">
      <alignment vertical="center" wrapText="1"/>
    </xf>
    <xf numFmtId="0" fontId="6" fillId="15" borderId="73" xfId="1" quotePrefix="1" applyFont="1" applyFill="1" applyBorder="1" applyAlignment="1" applyProtection="1">
      <alignment horizontal="center" vertical="center" wrapText="1"/>
    </xf>
    <xf numFmtId="0" fontId="6" fillId="15" borderId="107" xfId="1" quotePrefix="1" applyFont="1" applyFill="1" applyBorder="1" applyAlignment="1" applyProtection="1">
      <alignment horizontal="center" vertical="center" wrapText="1"/>
    </xf>
    <xf numFmtId="0" fontId="6" fillId="15" borderId="74" xfId="1" applyFont="1" applyFill="1" applyBorder="1" applyAlignment="1" applyProtection="1">
      <alignment horizontal="center" vertical="center" wrapText="1"/>
    </xf>
    <xf numFmtId="164" fontId="6" fillId="15" borderId="75" xfId="1" applyNumberFormat="1" applyFont="1" applyFill="1" applyBorder="1" applyAlignment="1" applyProtection="1">
      <alignment horizontal="center" vertical="center" wrapText="1"/>
    </xf>
    <xf numFmtId="4" fontId="6" fillId="15" borderId="72" xfId="1" applyNumberFormat="1" applyFont="1" applyFill="1" applyBorder="1" applyAlignment="1" applyProtection="1">
      <alignment horizontal="center" vertical="center" wrapText="1"/>
    </xf>
    <xf numFmtId="4" fontId="6" fillId="15" borderId="73" xfId="1" applyNumberFormat="1" applyFont="1" applyFill="1" applyBorder="1" applyAlignment="1" applyProtection="1">
      <alignment horizontal="center" vertical="center" wrapText="1"/>
    </xf>
    <xf numFmtId="0" fontId="6" fillId="15" borderId="76" xfId="1" applyFill="1" applyBorder="1" applyAlignment="1" applyProtection="1">
      <alignment vertical="center" wrapText="1"/>
    </xf>
    <xf numFmtId="0" fontId="10" fillId="0" borderId="77" xfId="1" applyFont="1" applyFill="1" applyBorder="1" applyAlignment="1" applyProtection="1">
      <alignment vertical="center" wrapText="1"/>
    </xf>
    <xf numFmtId="0" fontId="10" fillId="15" borderId="72" xfId="1" applyFont="1" applyFill="1" applyBorder="1" applyAlignment="1" applyProtection="1">
      <alignment vertical="center" wrapText="1"/>
    </xf>
    <xf numFmtId="0" fontId="10" fillId="0" borderId="78" xfId="1" quotePrefix="1" applyFont="1" applyFill="1" applyBorder="1" applyAlignment="1" applyProtection="1">
      <alignment horizontal="center" vertical="center" wrapText="1"/>
    </xf>
    <xf numFmtId="0" fontId="10" fillId="0" borderId="108" xfId="1" quotePrefix="1" applyFont="1" applyFill="1" applyBorder="1" applyAlignment="1" applyProtection="1">
      <alignment horizontal="center" vertical="center" wrapText="1"/>
    </xf>
    <xf numFmtId="0" fontId="10" fillId="0" borderId="79" xfId="1" applyFont="1" applyFill="1" applyBorder="1" applyAlignment="1" applyProtection="1">
      <alignment horizontal="center" vertical="center" wrapText="1"/>
    </xf>
    <xf numFmtId="3" fontId="10" fillId="0" borderId="80" xfId="1" applyNumberFormat="1" applyFont="1" applyFill="1" applyBorder="1" applyAlignment="1" applyProtection="1">
      <alignment horizontal="center" vertical="center" wrapText="1"/>
    </xf>
    <xf numFmtId="3" fontId="10" fillId="0" borderId="77" xfId="1" applyNumberFormat="1" applyFont="1" applyFill="1" applyBorder="1" applyAlignment="1" applyProtection="1">
      <alignment horizontal="center" vertical="center" wrapText="1"/>
    </xf>
    <xf numFmtId="3" fontId="10" fillId="0" borderId="78" xfId="1" applyNumberFormat="1" applyFont="1" applyFill="1" applyBorder="1" applyAlignment="1" applyProtection="1">
      <alignment horizontal="center" vertical="center" wrapText="1"/>
    </xf>
    <xf numFmtId="3" fontId="10" fillId="0" borderId="79" xfId="1" applyNumberFormat="1" applyFont="1" applyFill="1" applyBorder="1" applyAlignment="1" applyProtection="1">
      <alignment horizontal="center" vertical="center" wrapText="1"/>
    </xf>
    <xf numFmtId="3" fontId="6" fillId="0" borderId="14" xfId="1" applyNumberFormat="1" applyFont="1" applyFill="1" applyBorder="1" applyAlignment="1" applyProtection="1">
      <alignment horizontal="center" vertical="center" wrapText="1"/>
    </xf>
    <xf numFmtId="3" fontId="6" fillId="0" borderId="57" xfId="1" applyNumberFormat="1" applyFont="1" applyFill="1" applyBorder="1" applyAlignment="1" applyProtection="1">
      <alignment horizontal="center" vertical="center" wrapText="1"/>
    </xf>
    <xf numFmtId="0" fontId="14" fillId="0" borderId="73" xfId="1" applyFont="1" applyFill="1" applyBorder="1" applyAlignment="1" applyProtection="1">
      <alignment vertical="center" wrapText="1"/>
    </xf>
    <xf numFmtId="0" fontId="10" fillId="0" borderId="73" xfId="1" quotePrefix="1" applyFont="1" applyFill="1" applyBorder="1" applyAlignment="1" applyProtection="1">
      <alignment horizontal="center" vertical="center" wrapText="1"/>
    </xf>
    <xf numFmtId="0" fontId="10" fillId="0" borderId="107" xfId="1" quotePrefix="1" applyFont="1" applyFill="1" applyBorder="1" applyAlignment="1" applyProtection="1">
      <alignment horizontal="center" vertical="center" wrapText="1"/>
    </xf>
    <xf numFmtId="0" fontId="10" fillId="0" borderId="74" xfId="1" applyFont="1" applyFill="1" applyBorder="1" applyAlignment="1" applyProtection="1">
      <alignment horizontal="center" vertical="center" wrapText="1"/>
    </xf>
    <xf numFmtId="3" fontId="10" fillId="0" borderId="72" xfId="1" applyNumberFormat="1" applyFont="1" applyFill="1" applyBorder="1" applyAlignment="1" applyProtection="1">
      <alignment horizontal="center" vertical="center" wrapText="1"/>
    </xf>
    <xf numFmtId="3" fontId="10" fillId="0" borderId="73" xfId="1" applyNumberFormat="1" applyFont="1" applyFill="1" applyBorder="1" applyAlignment="1" applyProtection="1">
      <alignment horizontal="center" vertical="center" wrapText="1"/>
    </xf>
    <xf numFmtId="3" fontId="10" fillId="0" borderId="74" xfId="1" applyNumberFormat="1" applyFont="1" applyFill="1" applyBorder="1" applyAlignment="1" applyProtection="1">
      <alignment horizontal="center" vertical="center" wrapText="1"/>
    </xf>
    <xf numFmtId="0" fontId="10" fillId="0" borderId="76" xfId="1" applyFont="1" applyFill="1" applyBorder="1" applyAlignment="1" applyProtection="1">
      <alignment vertical="center" wrapText="1"/>
    </xf>
    <xf numFmtId="3" fontId="10" fillId="0" borderId="75" xfId="1" applyNumberFormat="1" applyFont="1" applyFill="1" applyBorder="1" applyAlignment="1" applyProtection="1">
      <alignment horizontal="center" vertical="center" wrapText="1"/>
    </xf>
    <xf numFmtId="0" fontId="14" fillId="0" borderId="22" xfId="1" applyFont="1" applyFill="1" applyBorder="1" applyAlignment="1" applyProtection="1">
      <alignment vertical="center" wrapText="1"/>
    </xf>
    <xf numFmtId="0" fontId="10" fillId="0" borderId="22" xfId="1" quotePrefix="1" applyFont="1" applyFill="1" applyBorder="1" applyAlignment="1" applyProtection="1">
      <alignment horizontal="center" vertical="center" wrapText="1"/>
    </xf>
    <xf numFmtId="0" fontId="10" fillId="0" borderId="16" xfId="1" quotePrefix="1" applyFont="1" applyFill="1" applyBorder="1" applyAlignment="1" applyProtection="1">
      <alignment horizontal="center" vertical="center" wrapText="1"/>
    </xf>
    <xf numFmtId="0" fontId="10" fillId="0" borderId="33" xfId="1" applyFont="1" applyFill="1" applyBorder="1" applyAlignment="1" applyProtection="1">
      <alignment horizontal="center" vertical="center" wrapText="1"/>
    </xf>
    <xf numFmtId="3" fontId="10" fillId="0" borderId="0" xfId="1" applyNumberFormat="1" applyFont="1" applyFill="1" applyBorder="1" applyAlignment="1" applyProtection="1">
      <alignment horizontal="center" vertical="center" wrapText="1"/>
    </xf>
    <xf numFmtId="3" fontId="10" fillId="0" borderId="28" xfId="1" applyNumberFormat="1" applyFont="1" applyFill="1" applyBorder="1" applyAlignment="1" applyProtection="1">
      <alignment horizontal="center" vertical="center" wrapText="1"/>
    </xf>
    <xf numFmtId="3" fontId="10" fillId="0" borderId="22" xfId="1" applyNumberFormat="1" applyFont="1" applyFill="1" applyBorder="1" applyAlignment="1" applyProtection="1">
      <alignment horizontal="center" vertical="center" wrapText="1"/>
    </xf>
    <xf numFmtId="3" fontId="10" fillId="0" borderId="33" xfId="1" applyNumberFormat="1" applyFont="1" applyFill="1" applyBorder="1" applyAlignment="1" applyProtection="1">
      <alignment horizontal="center" vertical="center" wrapText="1"/>
    </xf>
    <xf numFmtId="0" fontId="10" fillId="0" borderId="66" xfId="1" applyFont="1" applyFill="1" applyBorder="1" applyAlignment="1" applyProtection="1">
      <alignment vertical="center" wrapText="1"/>
    </xf>
    <xf numFmtId="0" fontId="13" fillId="20" borderId="128" xfId="1" applyFont="1" applyFill="1" applyBorder="1" applyAlignment="1" applyProtection="1">
      <alignment vertical="center"/>
    </xf>
    <xf numFmtId="0" fontId="8" fillId="20" borderId="93" xfId="1" applyFont="1" applyFill="1" applyBorder="1" applyAlignment="1" applyProtection="1">
      <alignment vertical="center" wrapText="1"/>
    </xf>
    <xf numFmtId="0" fontId="6" fillId="20" borderId="93" xfId="1" quotePrefix="1" applyFont="1" applyFill="1" applyBorder="1" applyAlignment="1" applyProtection="1">
      <alignment horizontal="center" vertical="center" wrapText="1"/>
    </xf>
    <xf numFmtId="0" fontId="6" fillId="20" borderId="93" xfId="1" applyFont="1" applyFill="1" applyBorder="1" applyAlignment="1" applyProtection="1">
      <alignment horizontal="center" vertical="center" wrapText="1"/>
    </xf>
    <xf numFmtId="0" fontId="6" fillId="20" borderId="129" xfId="1" applyFill="1" applyBorder="1" applyAlignment="1" applyProtection="1">
      <alignment vertical="center" wrapText="1"/>
    </xf>
    <xf numFmtId="0" fontId="6" fillId="10" borderId="4" xfId="1" applyFont="1" applyFill="1" applyBorder="1" applyAlignment="1" applyProtection="1">
      <alignment horizontal="center" vertical="center" wrapText="1"/>
    </xf>
    <xf numFmtId="0" fontId="6" fillId="10" borderId="1" xfId="1" applyFont="1" applyFill="1" applyBorder="1" applyAlignment="1" applyProtection="1">
      <alignment horizontal="center" vertical="center" wrapText="1"/>
    </xf>
    <xf numFmtId="3" fontId="31" fillId="22" borderId="1" xfId="1" applyNumberFormat="1" applyFont="1" applyFill="1" applyBorder="1" applyAlignment="1" applyProtection="1">
      <alignment horizontal="center" vertical="center" wrapText="1"/>
    </xf>
    <xf numFmtId="3" fontId="20" fillId="22" borderId="1" xfId="1" applyNumberFormat="1" applyFont="1" applyFill="1" applyBorder="1" applyAlignment="1" applyProtection="1">
      <alignment horizontal="center" vertical="center" wrapText="1"/>
      <protection locked="0"/>
    </xf>
    <xf numFmtId="3" fontId="20" fillId="22" borderId="4" xfId="1" applyNumberFormat="1" applyFont="1" applyFill="1" applyBorder="1" applyAlignment="1" applyProtection="1">
      <alignment horizontal="center" vertical="center" wrapText="1"/>
      <protection locked="0"/>
    </xf>
    <xf numFmtId="3" fontId="6" fillId="8" borderId="76" xfId="1" applyNumberFormat="1" applyFont="1" applyFill="1" applyBorder="1" applyAlignment="1" applyProtection="1">
      <alignment horizontal="center" vertical="center" wrapText="1"/>
    </xf>
    <xf numFmtId="1" fontId="6" fillId="0" borderId="4" xfId="1" applyNumberFormat="1" applyFont="1" applyFill="1" applyBorder="1" applyAlignment="1" applyProtection="1">
      <alignment horizontal="center" vertical="center" wrapText="1"/>
    </xf>
    <xf numFmtId="1" fontId="6" fillId="0" borderId="1" xfId="1" applyNumberFormat="1" applyFont="1" applyFill="1" applyBorder="1" applyAlignment="1" applyProtection="1">
      <alignment horizontal="center" vertical="center" wrapText="1"/>
    </xf>
    <xf numFmtId="0" fontId="10" fillId="0" borderId="21" xfId="1" applyFont="1" applyBorder="1" applyAlignment="1" applyProtection="1">
      <alignment horizontal="center" vertical="center" wrapText="1"/>
    </xf>
    <xf numFmtId="0" fontId="37" fillId="6" borderId="34" xfId="1" applyFont="1" applyFill="1" applyBorder="1" applyAlignment="1" applyProtection="1">
      <alignment horizontal="center" vertical="center" wrapText="1"/>
    </xf>
    <xf numFmtId="0" fontId="6" fillId="6" borderId="35" xfId="1" applyFill="1" applyBorder="1" applyAlignment="1" applyProtection="1">
      <alignment vertical="center" wrapText="1"/>
    </xf>
    <xf numFmtId="0" fontId="25" fillId="10" borderId="14" xfId="1" applyFont="1" applyFill="1" applyBorder="1" applyAlignment="1" applyProtection="1">
      <alignment horizontal="center" vertical="center"/>
    </xf>
    <xf numFmtId="0" fontId="10" fillId="2" borderId="0" xfId="1" applyFont="1" applyFill="1" applyBorder="1" applyAlignment="1">
      <alignment vertical="center"/>
    </xf>
    <xf numFmtId="0" fontId="6" fillId="2" borderId="0" xfId="1" applyFill="1" applyBorder="1" applyAlignment="1">
      <alignment vertical="center"/>
    </xf>
    <xf numFmtId="0" fontId="6" fillId="2" borderId="30" xfId="1" applyFill="1" applyBorder="1" applyAlignment="1">
      <alignment vertical="center"/>
    </xf>
    <xf numFmtId="0" fontId="6" fillId="0" borderId="0" xfId="1" applyFill="1" applyAlignment="1">
      <alignment vertical="center"/>
    </xf>
    <xf numFmtId="0" fontId="6" fillId="23" borderId="0" xfId="1" applyFill="1" applyAlignment="1">
      <alignment vertical="center"/>
    </xf>
    <xf numFmtId="0" fontId="6" fillId="10" borderId="21" xfId="1" applyFill="1" applyBorder="1" applyAlignment="1">
      <alignment vertical="center"/>
    </xf>
    <xf numFmtId="0" fontId="6" fillId="10" borderId="70" xfId="1" applyFill="1" applyBorder="1" applyAlignment="1">
      <alignment vertical="center"/>
    </xf>
    <xf numFmtId="0" fontId="6" fillId="10" borderId="0" xfId="1" applyFill="1" applyBorder="1" applyAlignment="1">
      <alignment vertical="center"/>
    </xf>
    <xf numFmtId="0" fontId="6" fillId="10" borderId="18" xfId="1" applyFill="1" applyBorder="1" applyAlignment="1">
      <alignment vertical="center"/>
    </xf>
    <xf numFmtId="0" fontId="6" fillId="10" borderId="17" xfId="1" applyFill="1" applyBorder="1" applyAlignment="1">
      <alignment vertical="center"/>
    </xf>
    <xf numFmtId="0" fontId="6" fillId="10" borderId="14" xfId="1" applyFill="1" applyBorder="1" applyAlignment="1">
      <alignment vertical="center"/>
    </xf>
    <xf numFmtId="0" fontId="6" fillId="10" borderId="19" xfId="1" applyFill="1" applyBorder="1" applyAlignment="1">
      <alignment vertical="center"/>
    </xf>
    <xf numFmtId="0" fontId="6" fillId="7" borderId="23" xfId="1" applyFill="1" applyBorder="1" applyAlignment="1">
      <alignment vertical="center"/>
    </xf>
    <xf numFmtId="0" fontId="6" fillId="7" borderId="0" xfId="1" applyFill="1" applyBorder="1" applyAlignment="1">
      <alignment vertical="center"/>
    </xf>
    <xf numFmtId="0" fontId="6" fillId="7" borderId="0" xfId="1" applyFont="1" applyFill="1" applyBorder="1" applyAlignment="1">
      <alignment horizontal="left" vertical="center"/>
    </xf>
    <xf numFmtId="0" fontId="10" fillId="2" borderId="23" xfId="1" applyFont="1" applyFill="1" applyBorder="1" applyAlignment="1">
      <alignment horizontal="center" vertical="center"/>
    </xf>
    <xf numFmtId="0" fontId="10" fillId="14" borderId="130" xfId="1" applyFont="1" applyFill="1" applyBorder="1" applyAlignment="1">
      <alignment vertical="center"/>
    </xf>
    <xf numFmtId="0" fontId="6" fillId="14" borderId="131" xfId="1" applyFont="1" applyFill="1" applyBorder="1" applyAlignment="1">
      <alignment vertical="center"/>
    </xf>
    <xf numFmtId="0" fontId="6" fillId="24" borderId="0" xfId="1" applyFont="1" applyFill="1" applyBorder="1" applyAlignment="1">
      <alignment vertical="center"/>
    </xf>
    <xf numFmtId="0" fontId="10" fillId="7" borderId="0" xfId="1" applyFont="1" applyFill="1" applyBorder="1" applyAlignment="1">
      <alignment vertical="center"/>
    </xf>
    <xf numFmtId="0" fontId="14" fillId="7" borderId="0" xfId="1" applyFont="1" applyFill="1" applyBorder="1" applyAlignment="1">
      <alignment horizontal="left" vertical="center"/>
    </xf>
    <xf numFmtId="0" fontId="6" fillId="7" borderId="132" xfId="1" applyFill="1" applyBorder="1" applyAlignment="1">
      <alignment vertical="center"/>
    </xf>
    <xf numFmtId="0" fontId="6" fillId="7" borderId="133" xfId="1" applyFill="1" applyBorder="1" applyAlignment="1">
      <alignment vertical="center"/>
    </xf>
    <xf numFmtId="0" fontId="6" fillId="7" borderId="134" xfId="1" applyFill="1" applyBorder="1" applyAlignment="1">
      <alignment vertical="center"/>
    </xf>
    <xf numFmtId="0" fontId="6" fillId="7" borderId="135" xfId="1" applyFill="1" applyBorder="1" applyAlignment="1">
      <alignment vertical="center"/>
    </xf>
    <xf numFmtId="0" fontId="14" fillId="7" borderId="0" xfId="1" applyFont="1" applyFill="1" applyBorder="1" applyAlignment="1">
      <alignment vertical="center"/>
    </xf>
    <xf numFmtId="0" fontId="14" fillId="7" borderId="0" xfId="1" applyFont="1" applyFill="1" applyBorder="1" applyAlignment="1">
      <alignment horizontal="center" vertical="center"/>
    </xf>
    <xf numFmtId="0" fontId="6" fillId="24" borderId="0" xfId="1" applyFont="1" applyFill="1" applyAlignment="1">
      <alignment vertical="center"/>
    </xf>
    <xf numFmtId="0" fontId="6" fillId="24" borderId="0" xfId="1" applyFill="1" applyBorder="1" applyAlignment="1">
      <alignment vertical="center"/>
    </xf>
    <xf numFmtId="0" fontId="16" fillId="24" borderId="0" xfId="1" applyFont="1" applyFill="1" applyBorder="1" applyAlignment="1">
      <alignment vertical="center"/>
    </xf>
    <xf numFmtId="0" fontId="6" fillId="25" borderId="0" xfId="1" applyFont="1" applyFill="1" applyBorder="1" applyAlignment="1">
      <alignment vertical="center"/>
    </xf>
    <xf numFmtId="0" fontId="6" fillId="8" borderId="0" xfId="1" applyFont="1" applyFill="1" applyBorder="1" applyAlignment="1">
      <alignment vertical="center"/>
    </xf>
    <xf numFmtId="0" fontId="10" fillId="2" borderId="0" xfId="1" applyFont="1" applyFill="1" applyBorder="1" applyAlignment="1">
      <alignment horizontal="center" vertical="center"/>
    </xf>
    <xf numFmtId="0" fontId="6" fillId="26" borderId="0" xfId="1" applyFont="1" applyFill="1" applyBorder="1" applyAlignment="1">
      <alignment vertical="center"/>
    </xf>
    <xf numFmtId="0" fontId="6" fillId="27" borderId="0" xfId="1" applyFont="1" applyFill="1" applyBorder="1" applyAlignment="1">
      <alignment vertical="center"/>
    </xf>
    <xf numFmtId="0" fontId="16" fillId="26" borderId="0" xfId="1" applyFont="1" applyFill="1" applyBorder="1" applyAlignment="1">
      <alignment vertical="center"/>
    </xf>
    <xf numFmtId="0" fontId="6" fillId="16" borderId="0" xfId="1" applyFont="1" applyFill="1" applyBorder="1" applyAlignment="1">
      <alignment vertical="center"/>
    </xf>
    <xf numFmtId="0" fontId="6" fillId="28" borderId="0" xfId="1" applyFill="1" applyBorder="1" applyAlignment="1">
      <alignment vertical="center"/>
    </xf>
    <xf numFmtId="0" fontId="6" fillId="28" borderId="14" xfId="1" applyFill="1" applyBorder="1" applyAlignment="1">
      <alignment vertical="center"/>
    </xf>
    <xf numFmtId="0" fontId="6" fillId="28" borderId="14" xfId="1" applyFont="1" applyFill="1" applyBorder="1" applyAlignment="1">
      <alignment vertical="center"/>
    </xf>
    <xf numFmtId="0" fontId="6" fillId="28" borderId="0" xfId="1" applyFont="1" applyFill="1" applyAlignment="1">
      <alignment vertical="center"/>
    </xf>
    <xf numFmtId="0" fontId="6" fillId="29" borderId="69" xfId="1" applyFill="1" applyBorder="1" applyAlignment="1">
      <alignment vertical="center"/>
    </xf>
    <xf numFmtId="0" fontId="6" fillId="29" borderId="69" xfId="1" applyFont="1" applyFill="1" applyBorder="1" applyAlignment="1">
      <alignment vertical="center"/>
    </xf>
    <xf numFmtId="0" fontId="6" fillId="25" borderId="0" xfId="1" applyFill="1" applyBorder="1" applyAlignment="1">
      <alignment horizontal="right" vertical="center"/>
    </xf>
    <xf numFmtId="0" fontId="6" fillId="25" borderId="0" xfId="1" applyFont="1" applyFill="1" applyAlignment="1">
      <alignment vertical="center"/>
    </xf>
    <xf numFmtId="0" fontId="6" fillId="25" borderId="0" xfId="1" applyFill="1" applyBorder="1" applyAlignment="1">
      <alignment vertical="center"/>
    </xf>
    <xf numFmtId="0" fontId="6" fillId="25" borderId="0" xfId="1" applyFill="1" applyAlignment="1">
      <alignment vertical="center"/>
    </xf>
    <xf numFmtId="0" fontId="38" fillId="7" borderId="137" xfId="1" applyFont="1" applyFill="1" applyBorder="1" applyAlignment="1">
      <alignment vertical="center"/>
    </xf>
    <xf numFmtId="0" fontId="38" fillId="7" borderId="138" xfId="1" applyFont="1" applyFill="1" applyBorder="1" applyAlignment="1">
      <alignment vertical="center"/>
    </xf>
    <xf numFmtId="0" fontId="38" fillId="7" borderId="140" xfId="1" applyFont="1" applyFill="1" applyBorder="1" applyAlignment="1">
      <alignment vertical="center"/>
    </xf>
    <xf numFmtId="0" fontId="6" fillId="0" borderId="0" xfId="1" applyAlignment="1">
      <alignment horizontal="center" vertical="center"/>
    </xf>
    <xf numFmtId="0" fontId="10" fillId="13" borderId="0" xfId="1" applyFont="1" applyFill="1" applyAlignment="1">
      <alignment horizontal="center" vertical="center"/>
    </xf>
    <xf numFmtId="0" fontId="28" fillId="3" borderId="0" xfId="1" applyFont="1" applyFill="1" applyAlignment="1">
      <alignment horizontal="center" vertical="center"/>
    </xf>
    <xf numFmtId="0" fontId="29" fillId="3" borderId="0" xfId="1" applyFont="1" applyFill="1" applyAlignment="1">
      <alignment horizontal="center" vertical="center"/>
    </xf>
    <xf numFmtId="0" fontId="36" fillId="21" borderId="0" xfId="1" applyFont="1" applyFill="1" applyAlignment="1">
      <alignment horizontal="center" vertical="center"/>
    </xf>
    <xf numFmtId="0" fontId="35" fillId="21" borderId="0" xfId="1" applyFont="1" applyFill="1" applyAlignment="1">
      <alignment horizontal="center" vertical="center"/>
    </xf>
    <xf numFmtId="0" fontId="6" fillId="4" borderId="0" xfId="1" applyFill="1" applyBorder="1" applyAlignment="1">
      <alignment horizontal="center" vertical="center"/>
    </xf>
    <xf numFmtId="0" fontId="6" fillId="4" borderId="30" xfId="1" applyFill="1" applyBorder="1" applyAlignment="1">
      <alignment horizontal="center" vertical="center"/>
    </xf>
    <xf numFmtId="0" fontId="10" fillId="4" borderId="10" xfId="1" applyFont="1" applyFill="1" applyBorder="1" applyAlignment="1">
      <alignment horizontal="right" vertical="center"/>
    </xf>
    <xf numFmtId="0" fontId="10" fillId="4" borderId="35" xfId="1" applyFont="1" applyFill="1" applyBorder="1" applyAlignment="1">
      <alignment vertical="center"/>
    </xf>
    <xf numFmtId="0" fontId="6" fillId="7" borderId="30" xfId="1" applyFill="1" applyBorder="1" applyAlignment="1">
      <alignment vertical="center"/>
    </xf>
    <xf numFmtId="0" fontId="6" fillId="14" borderId="30" xfId="1" applyFont="1" applyFill="1" applyBorder="1" applyAlignment="1">
      <alignment vertical="center"/>
    </xf>
    <xf numFmtId="0" fontId="6" fillId="2" borderId="53" xfId="1" applyFill="1" applyBorder="1" applyAlignment="1">
      <alignment vertical="center"/>
    </xf>
    <xf numFmtId="0" fontId="6" fillId="10" borderId="16" xfId="1" applyFill="1" applyBorder="1" applyAlignment="1">
      <alignment vertical="center"/>
    </xf>
    <xf numFmtId="0" fontId="6" fillId="10" borderId="69" xfId="1" applyFill="1" applyBorder="1" applyAlignment="1">
      <alignment horizontal="center" vertical="center"/>
    </xf>
    <xf numFmtId="0" fontId="6" fillId="26" borderId="0" xfId="1" applyFill="1" applyAlignment="1">
      <alignment horizontal="right" vertical="center"/>
    </xf>
    <xf numFmtId="0" fontId="6" fillId="25" borderId="0" xfId="1" applyFont="1" applyFill="1" applyBorder="1" applyAlignment="1">
      <alignment horizontal="right" vertical="center"/>
    </xf>
    <xf numFmtId="0" fontId="6" fillId="14" borderId="0" xfId="1" applyFont="1" applyFill="1" applyBorder="1" applyAlignment="1">
      <alignment horizontal="right" vertical="center"/>
    </xf>
    <xf numFmtId="0" fontId="6" fillId="8" borderId="0" xfId="1" applyFont="1" applyFill="1" applyBorder="1" applyAlignment="1">
      <alignment horizontal="right" vertical="center"/>
    </xf>
    <xf numFmtId="0" fontId="6" fillId="14" borderId="0" xfId="1" applyFont="1" applyFill="1" applyBorder="1" applyAlignment="1">
      <alignment horizontal="center" vertical="center"/>
    </xf>
    <xf numFmtId="3" fontId="6" fillId="26" borderId="0" xfId="1" applyNumberFormat="1" applyFont="1" applyFill="1" applyBorder="1" applyAlignment="1">
      <alignment horizontal="center" vertical="center"/>
    </xf>
    <xf numFmtId="3" fontId="6" fillId="25" borderId="0" xfId="1" applyNumberFormat="1" applyFont="1" applyFill="1" applyBorder="1" applyAlignment="1">
      <alignment horizontal="center" vertical="center"/>
    </xf>
    <xf numFmtId="3" fontId="6" fillId="8" borderId="0" xfId="1" applyNumberFormat="1" applyFont="1" applyFill="1" applyBorder="1" applyAlignment="1">
      <alignment horizontal="center" vertical="center"/>
    </xf>
    <xf numFmtId="165" fontId="6" fillId="14" borderId="0" xfId="1" applyNumberFormat="1" applyFont="1" applyFill="1" applyBorder="1" applyAlignment="1">
      <alignment horizontal="center" vertical="center"/>
    </xf>
    <xf numFmtId="3" fontId="10" fillId="2" borderId="0" xfId="1" applyNumberFormat="1" applyFont="1" applyFill="1" applyBorder="1" applyAlignment="1">
      <alignment horizontal="center" vertical="center"/>
    </xf>
    <xf numFmtId="0" fontId="10" fillId="2" borderId="40" xfId="1" applyFont="1" applyFill="1" applyBorder="1" applyAlignment="1">
      <alignment horizontal="right" vertical="center"/>
    </xf>
    <xf numFmtId="3" fontId="6" fillId="7" borderId="0" xfId="1" applyNumberFormat="1" applyFill="1" applyBorder="1" applyAlignment="1">
      <alignment horizontal="center" vertical="center"/>
    </xf>
    <xf numFmtId="3" fontId="38" fillId="7" borderId="136" xfId="1" applyNumberFormat="1" applyFont="1" applyFill="1" applyBorder="1" applyAlignment="1">
      <alignment horizontal="center" vertical="center"/>
    </xf>
    <xf numFmtId="3" fontId="6" fillId="24" borderId="0" xfId="1" applyNumberFormat="1" applyFill="1" applyBorder="1" applyAlignment="1">
      <alignment horizontal="center" vertical="center"/>
    </xf>
    <xf numFmtId="0" fontId="38" fillId="7" borderId="139" xfId="1" applyFont="1" applyFill="1" applyBorder="1" applyAlignment="1">
      <alignment horizontal="center" vertical="center"/>
    </xf>
    <xf numFmtId="3" fontId="6" fillId="8" borderId="0" xfId="1" applyNumberFormat="1" applyFill="1" applyBorder="1" applyAlignment="1">
      <alignment horizontal="center" vertical="center"/>
    </xf>
    <xf numFmtId="3" fontId="6" fillId="28" borderId="134" xfId="1" applyNumberFormat="1" applyFill="1" applyBorder="1" applyAlignment="1">
      <alignment horizontal="center" vertical="center"/>
    </xf>
    <xf numFmtId="0" fontId="17" fillId="25" borderId="0" xfId="1" applyFont="1" applyFill="1" applyBorder="1" applyAlignment="1">
      <alignment horizontal="center" vertical="center"/>
    </xf>
    <xf numFmtId="3" fontId="17" fillId="25" borderId="0" xfId="1" applyNumberFormat="1" applyFont="1" applyFill="1" applyBorder="1" applyAlignment="1">
      <alignment horizontal="center" vertical="center"/>
    </xf>
    <xf numFmtId="3" fontId="6" fillId="28" borderId="0" xfId="1" applyNumberFormat="1" applyFill="1" applyBorder="1" applyAlignment="1">
      <alignment horizontal="center" vertical="center"/>
    </xf>
    <xf numFmtId="3" fontId="6" fillId="29" borderId="69" xfId="1" applyNumberFormat="1" applyFill="1" applyBorder="1" applyAlignment="1">
      <alignment horizontal="center" vertical="center"/>
    </xf>
    <xf numFmtId="3" fontId="6" fillId="29" borderId="0" xfId="1" applyNumberFormat="1" applyFill="1" applyBorder="1" applyAlignment="1">
      <alignment horizontal="center" vertical="center"/>
    </xf>
    <xf numFmtId="0" fontId="6" fillId="4" borderId="142" xfId="1" applyFill="1" applyBorder="1" applyAlignment="1">
      <alignment horizontal="center" vertical="center"/>
    </xf>
    <xf numFmtId="0" fontId="6" fillId="4" borderId="143" xfId="1" applyFill="1" applyBorder="1" applyAlignment="1">
      <alignment horizontal="center" vertical="center"/>
    </xf>
    <xf numFmtId="0" fontId="10" fillId="4" borderId="144" xfId="1" applyFont="1" applyFill="1" applyBorder="1" applyAlignment="1">
      <alignment horizontal="center" vertical="center"/>
    </xf>
    <xf numFmtId="3" fontId="10" fillId="4" borderId="145" xfId="1" applyNumberFormat="1" applyFont="1" applyFill="1" applyBorder="1" applyAlignment="1">
      <alignment horizontal="center" vertical="center"/>
    </xf>
    <xf numFmtId="0" fontId="10" fillId="4" borderId="143" xfId="1" applyFont="1" applyFill="1" applyBorder="1" applyAlignment="1">
      <alignment horizontal="center" vertical="center"/>
    </xf>
    <xf numFmtId="0" fontId="6" fillId="4" borderId="141" xfId="1" applyFill="1" applyBorder="1" applyAlignment="1">
      <alignment vertical="center"/>
    </xf>
    <xf numFmtId="0" fontId="6" fillId="4" borderId="141" xfId="1" applyFill="1" applyBorder="1" applyAlignment="1">
      <alignment horizontal="center" vertical="center"/>
    </xf>
    <xf numFmtId="3" fontId="6" fillId="4" borderId="141" xfId="1" applyNumberFormat="1" applyFill="1" applyBorder="1" applyAlignment="1">
      <alignment horizontal="center" vertical="center"/>
    </xf>
    <xf numFmtId="0" fontId="10" fillId="0" borderId="48" xfId="1" applyFont="1" applyFill="1" applyBorder="1" applyAlignment="1" applyProtection="1">
      <alignment vertical="center" wrapText="1"/>
    </xf>
    <xf numFmtId="0" fontId="6" fillId="7" borderId="53" xfId="1" applyFill="1" applyBorder="1" applyAlignment="1">
      <alignment vertical="center"/>
    </xf>
    <xf numFmtId="0" fontId="6" fillId="7" borderId="52" xfId="1" applyFill="1" applyBorder="1" applyAlignment="1">
      <alignment vertical="center"/>
    </xf>
    <xf numFmtId="0" fontId="31" fillId="0" borderId="4" xfId="1" applyFont="1" applyFill="1" applyBorder="1" applyAlignment="1" applyProtection="1">
      <alignment vertical="center" wrapText="1"/>
    </xf>
    <xf numFmtId="0" fontId="39" fillId="0" borderId="1" xfId="1" applyFont="1" applyFill="1" applyBorder="1" applyAlignment="1" applyProtection="1">
      <alignment vertical="center" wrapText="1"/>
    </xf>
    <xf numFmtId="0" fontId="31" fillId="0" borderId="1" xfId="1" quotePrefix="1" applyFont="1" applyFill="1" applyBorder="1" applyAlignment="1" applyProtection="1">
      <alignment horizontal="center" vertical="center" wrapText="1"/>
    </xf>
    <xf numFmtId="0" fontId="31" fillId="0" borderId="20" xfId="1" quotePrefix="1" applyFont="1" applyFill="1" applyBorder="1" applyAlignment="1" applyProtection="1">
      <alignment horizontal="center" vertical="center" wrapText="1"/>
    </xf>
    <xf numFmtId="0" fontId="31" fillId="0" borderId="7" xfId="1" applyFont="1" applyFill="1" applyBorder="1" applyAlignment="1" applyProtection="1">
      <alignment horizontal="center" vertical="center" wrapText="1"/>
    </xf>
    <xf numFmtId="3" fontId="31" fillId="0" borderId="15" xfId="1" applyNumberFormat="1" applyFont="1" applyFill="1" applyBorder="1" applyAlignment="1" applyProtection="1">
      <alignment horizontal="center" vertical="center" wrapText="1"/>
    </xf>
    <xf numFmtId="3" fontId="31" fillId="0" borderId="4" xfId="1" applyNumberFormat="1" applyFont="1" applyFill="1" applyBorder="1" applyAlignment="1" applyProtection="1">
      <alignment horizontal="center" vertical="center" wrapText="1"/>
    </xf>
    <xf numFmtId="3" fontId="31" fillId="0" borderId="1" xfId="1" applyNumberFormat="1" applyFont="1" applyFill="1" applyBorder="1" applyAlignment="1" applyProtection="1">
      <alignment horizontal="center" vertical="center" wrapText="1"/>
    </xf>
    <xf numFmtId="3" fontId="31" fillId="0" borderId="7" xfId="1" applyNumberFormat="1" applyFont="1" applyFill="1" applyBorder="1" applyAlignment="1" applyProtection="1">
      <alignment horizontal="center" vertical="center" wrapText="1"/>
    </xf>
    <xf numFmtId="0" fontId="41" fillId="0" borderId="4" xfId="1" applyFont="1" applyFill="1" applyBorder="1" applyAlignment="1" applyProtection="1">
      <alignment vertical="center" wrapText="1"/>
    </xf>
    <xf numFmtId="0" fontId="42" fillId="0" borderId="9" xfId="1" applyFont="1" applyFill="1" applyBorder="1" applyAlignment="1" applyProtection="1">
      <alignment vertical="center" wrapText="1"/>
    </xf>
    <xf numFmtId="0" fontId="41" fillId="0" borderId="9" xfId="1" quotePrefix="1" applyFont="1" applyFill="1" applyBorder="1" applyAlignment="1" applyProtection="1">
      <alignment horizontal="center" vertical="center" wrapText="1"/>
    </xf>
    <xf numFmtId="0" fontId="41" fillId="0" borderId="17" xfId="1" quotePrefix="1" applyFont="1" applyFill="1" applyBorder="1" applyAlignment="1" applyProtection="1">
      <alignment horizontal="center" vertical="center" wrapText="1"/>
    </xf>
    <xf numFmtId="0" fontId="41" fillId="0" borderId="49" xfId="1" applyFont="1" applyFill="1" applyBorder="1" applyAlignment="1" applyProtection="1">
      <alignment horizontal="center" vertical="center" wrapText="1"/>
    </xf>
    <xf numFmtId="3" fontId="41" fillId="0" borderId="14" xfId="1" applyNumberFormat="1" applyFont="1" applyFill="1" applyBorder="1" applyAlignment="1" applyProtection="1">
      <alignment horizontal="center" vertical="center" wrapText="1"/>
    </xf>
    <xf numFmtId="3" fontId="41" fillId="0" borderId="48" xfId="1" applyNumberFormat="1" applyFont="1" applyFill="1" applyBorder="1" applyAlignment="1" applyProtection="1">
      <alignment horizontal="center" vertical="center" wrapText="1"/>
    </xf>
    <xf numFmtId="3" fontId="41" fillId="0" borderId="9" xfId="1" applyNumberFormat="1" applyFont="1" applyFill="1" applyBorder="1" applyAlignment="1" applyProtection="1">
      <alignment horizontal="center" vertical="center" wrapText="1"/>
    </xf>
    <xf numFmtId="3" fontId="41" fillId="0" borderId="49" xfId="1" applyNumberFormat="1" applyFont="1" applyFill="1" applyBorder="1" applyAlignment="1" applyProtection="1">
      <alignment horizontal="center" vertical="center" wrapText="1"/>
    </xf>
    <xf numFmtId="0" fontId="43" fillId="0" borderId="26" xfId="1" applyFont="1" applyFill="1" applyBorder="1" applyAlignment="1" applyProtection="1">
      <alignment vertical="center" wrapText="1"/>
    </xf>
    <xf numFmtId="0" fontId="44" fillId="0" borderId="117" xfId="1" applyFont="1" applyFill="1" applyBorder="1" applyAlignment="1" applyProtection="1">
      <alignment vertical="center" wrapText="1"/>
    </xf>
    <xf numFmtId="0" fontId="43" fillId="0" borderId="36" xfId="1" quotePrefix="1" applyFont="1" applyFill="1" applyBorder="1" applyAlignment="1" applyProtection="1">
      <alignment horizontal="center" vertical="center" wrapText="1"/>
    </xf>
    <xf numFmtId="0" fontId="43" fillId="0" borderId="21" xfId="1" quotePrefix="1" applyFont="1" applyFill="1" applyBorder="1" applyAlignment="1" applyProtection="1">
      <alignment horizontal="center" vertical="center" wrapText="1"/>
    </xf>
    <xf numFmtId="0" fontId="43" fillId="0" borderId="29" xfId="1" applyFont="1" applyFill="1" applyBorder="1" applyAlignment="1" applyProtection="1">
      <alignment horizontal="center" vertical="center" wrapText="1"/>
    </xf>
    <xf numFmtId="3" fontId="43" fillId="0" borderId="69" xfId="1" applyNumberFormat="1" applyFont="1" applyFill="1" applyBorder="1" applyAlignment="1" applyProtection="1">
      <alignment horizontal="center" vertical="center" wrapText="1"/>
    </xf>
    <xf numFmtId="3" fontId="43" fillId="0" borderId="26" xfId="1" applyNumberFormat="1" applyFont="1" applyFill="1" applyBorder="1" applyAlignment="1" applyProtection="1">
      <alignment horizontal="center" vertical="center" wrapText="1"/>
    </xf>
    <xf numFmtId="3" fontId="43" fillId="0" borderId="36" xfId="1" applyNumberFormat="1" applyFont="1" applyFill="1" applyBorder="1" applyAlignment="1" applyProtection="1">
      <alignment horizontal="center" vertical="center" wrapText="1"/>
    </xf>
    <xf numFmtId="3" fontId="43" fillId="0" borderId="29" xfId="1" applyNumberFormat="1" applyFont="1" applyFill="1" applyBorder="1" applyAlignment="1" applyProtection="1">
      <alignment horizontal="center" vertical="center" wrapText="1"/>
    </xf>
    <xf numFmtId="0" fontId="43" fillId="0" borderId="116" xfId="1" applyFont="1" applyFill="1" applyBorder="1" applyAlignment="1" applyProtection="1">
      <alignment vertical="center" wrapText="1"/>
    </xf>
    <xf numFmtId="0" fontId="43" fillId="0" borderId="117" xfId="1" quotePrefix="1" applyFont="1" applyFill="1" applyBorder="1" applyAlignment="1" applyProtection="1">
      <alignment horizontal="center" vertical="center" wrapText="1"/>
    </xf>
    <xf numFmtId="0" fontId="43" fillId="0" borderId="118" xfId="1" quotePrefix="1" applyFont="1" applyFill="1" applyBorder="1" applyAlignment="1" applyProtection="1">
      <alignment horizontal="center" vertical="center" wrapText="1"/>
    </xf>
    <xf numFmtId="0" fontId="43" fillId="0" borderId="119" xfId="1" applyFont="1" applyFill="1" applyBorder="1" applyAlignment="1" applyProtection="1">
      <alignment horizontal="center" vertical="center" wrapText="1"/>
    </xf>
    <xf numFmtId="3" fontId="43" fillId="0" borderId="120" xfId="1" applyNumberFormat="1" applyFont="1" applyFill="1" applyBorder="1" applyAlignment="1" applyProtection="1">
      <alignment horizontal="center" vertical="center" wrapText="1"/>
    </xf>
    <xf numFmtId="3" fontId="43" fillId="0" borderId="116" xfId="1" applyNumberFormat="1" applyFont="1" applyFill="1" applyBorder="1" applyAlignment="1" applyProtection="1">
      <alignment horizontal="center" vertical="center" wrapText="1"/>
    </xf>
    <xf numFmtId="3" fontId="43" fillId="0" borderId="117" xfId="1" applyNumberFormat="1" applyFont="1" applyFill="1" applyBorder="1" applyAlignment="1" applyProtection="1">
      <alignment horizontal="center" vertical="center" wrapText="1"/>
    </xf>
    <xf numFmtId="3" fontId="43" fillId="0" borderId="119" xfId="1" applyNumberFormat="1" applyFont="1" applyFill="1" applyBorder="1" applyAlignment="1" applyProtection="1">
      <alignment horizontal="center" vertical="center" wrapText="1"/>
    </xf>
    <xf numFmtId="0" fontId="44" fillId="0" borderId="36" xfId="1" applyFont="1" applyFill="1" applyBorder="1" applyAlignment="1" applyProtection="1">
      <alignment vertical="center" wrapText="1"/>
    </xf>
    <xf numFmtId="0" fontId="46" fillId="0" borderId="116" xfId="1" applyFont="1" applyFill="1" applyBorder="1" applyAlignment="1" applyProtection="1">
      <alignment vertical="center" wrapText="1"/>
    </xf>
    <xf numFmtId="0" fontId="47" fillId="0" borderId="9" xfId="1" applyFont="1" applyFill="1" applyBorder="1" applyAlignment="1" applyProtection="1">
      <alignment vertical="center" wrapText="1"/>
    </xf>
    <xf numFmtId="0" fontId="46" fillId="0" borderId="9" xfId="1" quotePrefix="1" applyFont="1" applyFill="1" applyBorder="1" applyAlignment="1" applyProtection="1">
      <alignment horizontal="center" vertical="center" wrapText="1"/>
    </xf>
    <xf numFmtId="0" fontId="46" fillId="0" borderId="17" xfId="1" quotePrefix="1" applyFont="1" applyFill="1" applyBorder="1" applyAlignment="1" applyProtection="1">
      <alignment horizontal="center" vertical="center" wrapText="1"/>
    </xf>
    <xf numFmtId="0" fontId="46" fillId="0" borderId="49" xfId="1" applyFont="1" applyFill="1" applyBorder="1" applyAlignment="1" applyProtection="1">
      <alignment horizontal="center" vertical="center" wrapText="1"/>
    </xf>
    <xf numFmtId="3" fontId="46" fillId="0" borderId="14" xfId="1" applyNumberFormat="1" applyFont="1" applyFill="1" applyBorder="1" applyAlignment="1" applyProtection="1">
      <alignment horizontal="center" vertical="center" wrapText="1"/>
    </xf>
    <xf numFmtId="3" fontId="46" fillId="0" borderId="48" xfId="1" applyNumberFormat="1" applyFont="1" applyFill="1" applyBorder="1" applyAlignment="1" applyProtection="1">
      <alignment horizontal="center" vertical="center" wrapText="1"/>
    </xf>
    <xf numFmtId="3" fontId="46" fillId="0" borderId="9" xfId="1" applyNumberFormat="1" applyFont="1" applyFill="1" applyBorder="1" applyAlignment="1" applyProtection="1">
      <alignment horizontal="center" vertical="center" wrapText="1"/>
    </xf>
    <xf numFmtId="3" fontId="46" fillId="0" borderId="49" xfId="1" applyNumberFormat="1" applyFont="1" applyFill="1" applyBorder="1" applyAlignment="1" applyProtection="1">
      <alignment horizontal="center" vertical="center" wrapText="1"/>
    </xf>
    <xf numFmtId="0" fontId="10" fillId="4" borderId="34" xfId="1" applyFont="1" applyFill="1" applyBorder="1" applyAlignment="1">
      <alignment horizontal="left" vertical="center"/>
    </xf>
    <xf numFmtId="0" fontId="6" fillId="16" borderId="34" xfId="1" applyFill="1" applyBorder="1" applyAlignment="1">
      <alignment vertical="center"/>
    </xf>
    <xf numFmtId="0" fontId="6" fillId="16" borderId="10" xfId="1" applyFill="1" applyBorder="1" applyAlignment="1">
      <alignment horizontal="center" vertical="center"/>
    </xf>
    <xf numFmtId="0" fontId="6" fillId="16" borderId="35" xfId="1" applyFill="1" applyBorder="1" applyAlignment="1">
      <alignment vertical="center"/>
    </xf>
    <xf numFmtId="0" fontId="10" fillId="16" borderId="10" xfId="1" applyFont="1" applyFill="1" applyBorder="1" applyAlignment="1">
      <alignment horizontal="center" vertical="center"/>
    </xf>
    <xf numFmtId="0" fontId="10" fillId="16" borderId="10" xfId="1" applyFont="1" applyFill="1" applyBorder="1" applyAlignment="1">
      <alignment vertical="center"/>
    </xf>
    <xf numFmtId="166" fontId="10" fillId="16" borderId="10" xfId="1" applyNumberFormat="1" applyFont="1" applyFill="1" applyBorder="1" applyAlignment="1">
      <alignment horizontal="center" vertical="center"/>
    </xf>
    <xf numFmtId="0" fontId="6" fillId="7" borderId="32" xfId="1" applyFill="1" applyBorder="1" applyAlignment="1">
      <alignment vertical="center"/>
    </xf>
    <xf numFmtId="0" fontId="16" fillId="7" borderId="24" xfId="1" applyFont="1" applyFill="1" applyBorder="1" applyAlignment="1">
      <alignment vertical="center"/>
    </xf>
    <xf numFmtId="0" fontId="6" fillId="7" borderId="40" xfId="1" applyFill="1" applyBorder="1" applyAlignment="1">
      <alignment vertical="center"/>
    </xf>
    <xf numFmtId="0" fontId="6" fillId="7" borderId="27" xfId="1" applyFont="1" applyFill="1" applyBorder="1" applyAlignment="1">
      <alignment vertical="center"/>
    </xf>
    <xf numFmtId="0" fontId="10" fillId="7" borderId="146" xfId="1" applyFont="1" applyFill="1" applyBorder="1" applyAlignment="1">
      <alignment vertical="center"/>
    </xf>
    <xf numFmtId="0" fontId="16" fillId="7" borderId="147" xfId="1" applyFont="1" applyFill="1" applyBorder="1" applyAlignment="1">
      <alignment vertical="center"/>
    </xf>
    <xf numFmtId="0" fontId="16" fillId="7" borderId="27" xfId="1" applyFont="1" applyFill="1" applyBorder="1" applyAlignment="1">
      <alignment vertical="center"/>
    </xf>
    <xf numFmtId="0" fontId="6" fillId="7" borderId="40" xfId="1" applyFill="1" applyBorder="1" applyAlignment="1">
      <alignment horizontal="right" vertical="center"/>
    </xf>
    <xf numFmtId="0" fontId="6" fillId="26" borderId="27" xfId="1" applyFill="1" applyBorder="1" applyAlignment="1">
      <alignment vertical="center"/>
    </xf>
    <xf numFmtId="0" fontId="38" fillId="7" borderId="148" xfId="1" applyFont="1" applyFill="1" applyBorder="1" applyAlignment="1">
      <alignment horizontal="right" vertical="center"/>
    </xf>
    <xf numFmtId="0" fontId="6" fillId="7" borderId="149" xfId="1" applyFill="1" applyBorder="1" applyAlignment="1">
      <alignment vertical="center"/>
    </xf>
    <xf numFmtId="0" fontId="10" fillId="7" borderId="130" xfId="1" applyFont="1" applyFill="1" applyBorder="1" applyAlignment="1">
      <alignment horizontal="right" vertical="center"/>
    </xf>
    <xf numFmtId="3" fontId="6" fillId="7" borderId="40" xfId="1" applyNumberFormat="1" applyFill="1" applyBorder="1" applyAlignment="1">
      <alignment horizontal="right" vertical="center"/>
    </xf>
    <xf numFmtId="0" fontId="38" fillId="7" borderId="150" xfId="1" applyFont="1" applyFill="1" applyBorder="1" applyAlignment="1">
      <alignment horizontal="right" vertical="center"/>
    </xf>
    <xf numFmtId="0" fontId="6" fillId="7" borderId="151" xfId="1" applyFill="1" applyBorder="1" applyAlignment="1">
      <alignment vertical="center"/>
    </xf>
    <xf numFmtId="0" fontId="10" fillId="7" borderId="146" xfId="1" applyFont="1" applyFill="1" applyBorder="1" applyAlignment="1">
      <alignment horizontal="left" vertical="center"/>
    </xf>
    <xf numFmtId="0" fontId="6" fillId="7" borderId="27" xfId="1" applyFill="1" applyBorder="1" applyAlignment="1">
      <alignment vertical="center"/>
    </xf>
    <xf numFmtId="0" fontId="16" fillId="7" borderId="151" xfId="1" applyFont="1" applyFill="1" applyBorder="1" applyAlignment="1">
      <alignment vertical="center"/>
    </xf>
    <xf numFmtId="0" fontId="10" fillId="7" borderId="40" xfId="1" applyFont="1" applyFill="1" applyBorder="1" applyAlignment="1">
      <alignment vertical="center"/>
    </xf>
    <xf numFmtId="0" fontId="38" fillId="7" borderId="152" xfId="1" applyFont="1" applyFill="1" applyBorder="1" applyAlignment="1">
      <alignment horizontal="right" vertical="center"/>
    </xf>
    <xf numFmtId="0" fontId="6" fillId="24" borderId="27" xfId="1" applyFill="1" applyBorder="1" applyAlignment="1">
      <alignment vertical="center"/>
    </xf>
    <xf numFmtId="0" fontId="6" fillId="8" borderId="27" xfId="1" applyFill="1" applyBorder="1" applyAlignment="1">
      <alignment vertical="center"/>
    </xf>
    <xf numFmtId="0" fontId="6" fillId="28" borderId="27" xfId="1" applyFill="1" applyBorder="1" applyAlignment="1">
      <alignment vertical="center"/>
    </xf>
    <xf numFmtId="0" fontId="6" fillId="28" borderId="151" xfId="1" applyFill="1" applyBorder="1" applyAlignment="1">
      <alignment vertical="center"/>
    </xf>
    <xf numFmtId="0" fontId="6" fillId="7" borderId="147" xfId="1" applyFill="1" applyBorder="1" applyAlignment="1">
      <alignment vertical="center"/>
    </xf>
    <xf numFmtId="0" fontId="6" fillId="25" borderId="27" xfId="1" applyFill="1" applyBorder="1" applyAlignment="1">
      <alignment vertical="center"/>
    </xf>
    <xf numFmtId="0" fontId="10" fillId="4" borderId="23" xfId="1" applyFont="1" applyFill="1" applyBorder="1" applyAlignment="1">
      <alignment vertical="center"/>
    </xf>
    <xf numFmtId="0" fontId="6" fillId="4" borderId="0" xfId="1" applyFill="1" applyBorder="1" applyAlignment="1">
      <alignment horizontal="right" vertical="center"/>
    </xf>
    <xf numFmtId="0" fontId="6" fillId="0" borderId="0" xfId="1" applyBorder="1" applyAlignment="1" applyProtection="1">
      <alignment vertical="center"/>
    </xf>
    <xf numFmtId="0" fontId="24" fillId="0" borderId="0" xfId="1" applyFont="1" applyBorder="1" applyAlignment="1" applyProtection="1">
      <alignment horizontal="center" vertical="center" wrapText="1"/>
    </xf>
    <xf numFmtId="0" fontId="8" fillId="0" borderId="20" xfId="1" applyFont="1" applyBorder="1" applyAlignment="1" applyProtection="1">
      <alignment horizontal="center" vertical="center" wrapText="1"/>
    </xf>
    <xf numFmtId="0" fontId="8" fillId="0" borderId="17" xfId="1" applyFont="1" applyBorder="1" applyAlignment="1" applyProtection="1">
      <alignment horizontal="center" vertical="center" wrapText="1"/>
    </xf>
    <xf numFmtId="0" fontId="6" fillId="0" borderId="20" xfId="1" applyBorder="1" applyAlignment="1" applyProtection="1">
      <alignment horizontal="center" vertical="center" wrapText="1"/>
    </xf>
    <xf numFmtId="0" fontId="6" fillId="0" borderId="20" xfId="1" applyBorder="1" applyAlignment="1" applyProtection="1">
      <alignment horizontal="center" vertical="center"/>
    </xf>
    <xf numFmtId="0" fontId="24" fillId="0" borderId="13" xfId="1" applyFont="1" applyBorder="1" applyAlignment="1" applyProtection="1">
      <alignment horizontal="center" vertical="center" wrapText="1"/>
    </xf>
    <xf numFmtId="0" fontId="10" fillId="0" borderId="92" xfId="1" applyFont="1" applyFill="1" applyBorder="1" applyAlignment="1" applyProtection="1">
      <alignment horizontal="center" vertical="center" wrapText="1"/>
    </xf>
    <xf numFmtId="4" fontId="6" fillId="0" borderId="74" xfId="1" applyNumberFormat="1" applyFont="1" applyFill="1" applyBorder="1" applyAlignment="1" applyProtection="1">
      <alignment horizontal="center" vertical="center" wrapText="1"/>
    </xf>
    <xf numFmtId="165" fontId="6" fillId="0" borderId="74" xfId="1" applyNumberFormat="1" applyFont="1" applyFill="1" applyBorder="1" applyAlignment="1" applyProtection="1">
      <alignment horizontal="center" vertical="center" wrapText="1"/>
    </xf>
    <xf numFmtId="167" fontId="6" fillId="0" borderId="7" xfId="1" applyNumberFormat="1" applyFont="1" applyFill="1" applyBorder="1" applyAlignment="1" applyProtection="1">
      <alignment horizontal="center" vertical="center" wrapText="1"/>
    </xf>
    <xf numFmtId="167" fontId="6" fillId="0" borderId="74" xfId="1" applyNumberFormat="1" applyFont="1" applyFill="1" applyBorder="1" applyAlignment="1" applyProtection="1">
      <alignment horizontal="center" vertical="center" wrapText="1"/>
    </xf>
    <xf numFmtId="0" fontId="16" fillId="26" borderId="32" xfId="1" applyFont="1" applyFill="1" applyBorder="1" applyAlignment="1">
      <alignment vertical="center"/>
    </xf>
    <xf numFmtId="0" fontId="6" fillId="8" borderId="40" xfId="1" applyFont="1" applyFill="1" applyBorder="1" applyAlignment="1">
      <alignment vertical="center"/>
    </xf>
    <xf numFmtId="0" fontId="6" fillId="0" borderId="27" xfId="1" applyBorder="1" applyAlignment="1">
      <alignment vertical="center"/>
    </xf>
    <xf numFmtId="0" fontId="6" fillId="25" borderId="53" xfId="1" applyFont="1" applyFill="1" applyBorder="1" applyAlignment="1">
      <alignment vertical="center"/>
    </xf>
    <xf numFmtId="0" fontId="6" fillId="7" borderId="24" xfId="1" applyFill="1" applyBorder="1" applyAlignment="1">
      <alignment vertical="center"/>
    </xf>
    <xf numFmtId="0" fontId="6" fillId="7" borderId="153" xfId="1" applyFill="1" applyBorder="1" applyAlignment="1">
      <alignment vertical="center"/>
    </xf>
    <xf numFmtId="0" fontId="6" fillId="7" borderId="154" xfId="1" applyFill="1" applyBorder="1" applyAlignment="1">
      <alignment vertical="center"/>
    </xf>
    <xf numFmtId="0" fontId="6" fillId="7" borderId="155" xfId="1" applyFill="1" applyBorder="1" applyAlignment="1">
      <alignment horizontal="center" vertical="center"/>
    </xf>
    <xf numFmtId="0" fontId="6" fillId="7" borderId="151" xfId="1" applyFill="1" applyBorder="1" applyAlignment="1">
      <alignment horizontal="center" vertical="center"/>
    </xf>
    <xf numFmtId="0" fontId="6" fillId="7" borderId="157" xfId="1" applyFill="1" applyBorder="1" applyAlignment="1">
      <alignment horizontal="center" vertical="center"/>
    </xf>
    <xf numFmtId="0" fontId="6" fillId="7" borderId="147" xfId="1" applyFill="1" applyBorder="1" applyAlignment="1">
      <alignment horizontal="center" vertical="center"/>
    </xf>
    <xf numFmtId="0" fontId="6" fillId="7" borderId="158" xfId="1" applyFill="1" applyBorder="1" applyAlignment="1">
      <alignment horizontal="center" vertical="center"/>
    </xf>
    <xf numFmtId="0" fontId="6" fillId="7" borderId="23" xfId="1" applyFill="1" applyBorder="1" applyAlignment="1">
      <alignment horizontal="center" vertical="center"/>
    </xf>
    <xf numFmtId="0" fontId="6" fillId="25" borderId="0" xfId="1" applyFill="1" applyBorder="1" applyAlignment="1">
      <alignment horizontal="center" vertical="center"/>
    </xf>
    <xf numFmtId="0" fontId="6" fillId="28" borderId="0" xfId="1" applyFill="1" applyBorder="1" applyAlignment="1">
      <alignment horizontal="center" vertical="center"/>
    </xf>
    <xf numFmtId="0" fontId="6" fillId="24" borderId="0" xfId="1" applyFill="1" applyBorder="1" applyAlignment="1">
      <alignment horizontal="center" vertical="center"/>
    </xf>
    <xf numFmtId="0" fontId="6" fillId="7" borderId="0" xfId="1" applyFill="1" applyBorder="1" applyAlignment="1">
      <alignment horizontal="center" vertical="center"/>
    </xf>
    <xf numFmtId="2" fontId="39" fillId="4" borderId="142" xfId="1" applyNumberFormat="1" applyFont="1" applyFill="1" applyBorder="1" applyAlignment="1">
      <alignment horizontal="center" vertical="center"/>
    </xf>
    <xf numFmtId="0" fontId="6" fillId="7" borderId="112" xfId="1" applyFill="1" applyBorder="1" applyAlignment="1">
      <alignment vertical="center"/>
    </xf>
    <xf numFmtId="0" fontId="10" fillId="7" borderId="39" xfId="1" applyFont="1" applyFill="1" applyBorder="1" applyAlignment="1">
      <alignment vertical="center"/>
    </xf>
    <xf numFmtId="0" fontId="6" fillId="7" borderId="39" xfId="1" applyFill="1" applyBorder="1" applyAlignment="1">
      <alignment vertical="center"/>
    </xf>
    <xf numFmtId="0" fontId="6" fillId="7" borderId="39" xfId="1" applyFill="1" applyBorder="1" applyAlignment="1">
      <alignment horizontal="center" vertical="center"/>
    </xf>
    <xf numFmtId="0" fontId="6" fillId="7" borderId="42" xfId="1" applyFill="1" applyBorder="1" applyAlignment="1">
      <alignment vertical="center"/>
    </xf>
    <xf numFmtId="0" fontId="6" fillId="0" borderId="0" xfId="1" applyFill="1" applyBorder="1" applyAlignment="1">
      <alignment horizontal="center" vertical="center"/>
    </xf>
    <xf numFmtId="0" fontId="6" fillId="0" borderId="0" xfId="1" applyBorder="1" applyAlignment="1">
      <alignment horizontal="center" vertical="center"/>
    </xf>
    <xf numFmtId="3" fontId="6" fillId="25" borderId="0" xfId="1" applyNumberFormat="1" applyFill="1" applyBorder="1" applyAlignment="1">
      <alignment horizontal="center" vertical="center"/>
    </xf>
    <xf numFmtId="0" fontId="6" fillId="4" borderId="159" xfId="1" applyFill="1" applyBorder="1" applyAlignment="1">
      <alignment vertical="center"/>
    </xf>
    <xf numFmtId="0" fontId="6" fillId="4" borderId="160" xfId="1" applyFill="1" applyBorder="1" applyAlignment="1">
      <alignment horizontal="center" vertical="center"/>
    </xf>
    <xf numFmtId="2" fontId="39" fillId="4" borderId="159" xfId="1" applyNumberFormat="1" applyFont="1" applyFill="1" applyBorder="1" applyAlignment="1">
      <alignment horizontal="center" vertical="center"/>
    </xf>
    <xf numFmtId="0" fontId="6" fillId="4" borderId="161" xfId="1" applyFill="1" applyBorder="1" applyAlignment="1">
      <alignment vertical="center"/>
    </xf>
    <xf numFmtId="0" fontId="6" fillId="4" borderId="162" xfId="1" applyFill="1" applyBorder="1" applyAlignment="1">
      <alignment horizontal="center" vertical="center"/>
    </xf>
    <xf numFmtId="2" fontId="39" fillId="4" borderId="161" xfId="1" applyNumberFormat="1" applyFont="1" applyFill="1" applyBorder="1" applyAlignment="1">
      <alignment horizontal="center" vertical="center"/>
    </xf>
    <xf numFmtId="0" fontId="10" fillId="4" borderId="145" xfId="1" applyFont="1" applyFill="1" applyBorder="1" applyAlignment="1">
      <alignment horizontal="center" vertical="center"/>
    </xf>
    <xf numFmtId="3" fontId="10" fillId="25" borderId="0" xfId="1" applyNumberFormat="1" applyFont="1" applyFill="1" applyBorder="1" applyAlignment="1">
      <alignment horizontal="center" vertical="center"/>
    </xf>
    <xf numFmtId="0" fontId="6" fillId="0" borderId="1" xfId="0" applyFont="1" applyBorder="1"/>
    <xf numFmtId="0" fontId="6" fillId="0" borderId="7" xfId="0" applyFont="1" applyBorder="1" applyAlignment="1">
      <alignment wrapText="1"/>
    </xf>
    <xf numFmtId="0" fontId="6" fillId="7" borderId="135" xfId="1" applyFill="1" applyBorder="1" applyAlignment="1">
      <alignment horizontal="center" vertical="center"/>
    </xf>
    <xf numFmtId="0" fontId="6" fillId="26" borderId="0" xfId="1" applyFill="1" applyBorder="1" applyAlignment="1">
      <alignment horizontal="center" vertical="center"/>
    </xf>
    <xf numFmtId="0" fontId="6" fillId="7" borderId="133" xfId="1" applyFill="1" applyBorder="1" applyAlignment="1">
      <alignment horizontal="center" vertical="center"/>
    </xf>
    <xf numFmtId="0" fontId="6" fillId="7" borderId="134" xfId="1" applyFill="1" applyBorder="1" applyAlignment="1">
      <alignment horizontal="center" vertical="center"/>
    </xf>
    <xf numFmtId="0" fontId="6" fillId="8" borderId="0" xfId="1" applyFill="1" applyBorder="1" applyAlignment="1">
      <alignment horizontal="center" vertical="center"/>
    </xf>
    <xf numFmtId="0" fontId="6" fillId="28" borderId="134" xfId="1" applyFill="1" applyBorder="1" applyAlignment="1">
      <alignment horizontal="center" vertical="center"/>
    </xf>
    <xf numFmtId="1" fontId="6" fillId="25" borderId="0" xfId="1" applyNumberFormat="1" applyFill="1" applyBorder="1" applyAlignment="1">
      <alignment horizontal="center" vertical="center"/>
    </xf>
    <xf numFmtId="0" fontId="6" fillId="7" borderId="30" xfId="1" applyFill="1" applyBorder="1" applyAlignment="1">
      <alignment horizontal="center" vertical="center"/>
    </xf>
    <xf numFmtId="1" fontId="6" fillId="0" borderId="0" xfId="1" applyNumberFormat="1" applyFill="1" applyBorder="1" applyAlignment="1">
      <alignment horizontal="center" vertical="center"/>
    </xf>
    <xf numFmtId="0" fontId="6" fillId="20" borderId="0" xfId="1" applyFill="1" applyBorder="1" applyAlignment="1">
      <alignment vertical="center"/>
    </xf>
    <xf numFmtId="0" fontId="6" fillId="20" borderId="0" xfId="1" applyFill="1" applyBorder="1" applyAlignment="1">
      <alignment horizontal="center" vertical="center"/>
    </xf>
    <xf numFmtId="0" fontId="6" fillId="15" borderId="0" xfId="1" applyFill="1" applyBorder="1" applyAlignment="1">
      <alignment vertical="center"/>
    </xf>
    <xf numFmtId="0" fontId="6" fillId="15" borderId="0" xfId="1" applyFill="1" applyBorder="1" applyAlignment="1">
      <alignment horizontal="center" vertical="center"/>
    </xf>
    <xf numFmtId="0" fontId="6" fillId="7" borderId="0" xfId="1" applyFill="1" applyAlignment="1">
      <alignment vertical="center"/>
    </xf>
    <xf numFmtId="9" fontId="6" fillId="7" borderId="40" xfId="1" applyNumberFormat="1" applyFill="1" applyBorder="1" applyAlignment="1">
      <alignment vertical="center"/>
    </xf>
    <xf numFmtId="9" fontId="6" fillId="7" borderId="40" xfId="4" applyFont="1" applyFill="1" applyBorder="1" applyAlignment="1">
      <alignment vertical="center"/>
    </xf>
    <xf numFmtId="3" fontId="6" fillId="4" borderId="0" xfId="1" applyNumberFormat="1" applyFill="1" applyBorder="1" applyAlignment="1">
      <alignment horizontal="center" vertical="center"/>
    </xf>
    <xf numFmtId="3" fontId="10" fillId="4" borderId="10" xfId="1" applyNumberFormat="1" applyFont="1" applyFill="1" applyBorder="1" applyAlignment="1">
      <alignment horizontal="center" vertical="center"/>
    </xf>
    <xf numFmtId="2" fontId="51" fillId="4" borderId="142" xfId="1" applyNumberFormat="1" applyFont="1" applyFill="1" applyBorder="1" applyAlignment="1">
      <alignment horizontal="center" vertical="center"/>
    </xf>
    <xf numFmtId="3" fontId="52" fillId="4" borderId="143" xfId="1" applyNumberFormat="1" applyFont="1" applyFill="1" applyBorder="1" applyAlignment="1">
      <alignment horizontal="center" vertical="center"/>
    </xf>
    <xf numFmtId="0" fontId="52" fillId="4" borderId="143" xfId="1" applyFont="1" applyFill="1" applyBorder="1" applyAlignment="1">
      <alignment horizontal="center" vertical="center"/>
    </xf>
    <xf numFmtId="2" fontId="51" fillId="4" borderId="159" xfId="1" applyNumberFormat="1" applyFont="1" applyFill="1" applyBorder="1" applyAlignment="1">
      <alignment horizontal="center" vertical="center"/>
    </xf>
    <xf numFmtId="0" fontId="52" fillId="4" borderId="160" xfId="1" applyFont="1" applyFill="1" applyBorder="1" applyAlignment="1">
      <alignment horizontal="center" vertical="center"/>
    </xf>
    <xf numFmtId="2" fontId="51" fillId="4" borderId="161" xfId="1" applyNumberFormat="1" applyFont="1" applyFill="1" applyBorder="1" applyAlignment="1">
      <alignment horizontal="center" vertical="center"/>
    </xf>
    <xf numFmtId="0" fontId="52" fillId="4" borderId="162" xfId="1" applyFont="1" applyFill="1" applyBorder="1" applyAlignment="1">
      <alignment horizontal="center" vertical="center"/>
    </xf>
    <xf numFmtId="0" fontId="53" fillId="4" borderId="142" xfId="1" applyFont="1" applyFill="1" applyBorder="1" applyAlignment="1">
      <alignment horizontal="center" vertical="center"/>
    </xf>
    <xf numFmtId="0" fontId="53" fillId="4" borderId="143" xfId="1" applyFont="1" applyFill="1" applyBorder="1" applyAlignment="1">
      <alignment horizontal="center" vertical="center"/>
    </xf>
    <xf numFmtId="0" fontId="53" fillId="4" borderId="0" xfId="1" applyFont="1" applyFill="1" applyBorder="1" applyAlignment="1">
      <alignment horizontal="center" vertical="center"/>
    </xf>
    <xf numFmtId="0" fontId="31" fillId="4" borderId="142" xfId="1" applyFont="1" applyFill="1" applyBorder="1" applyAlignment="1">
      <alignment horizontal="center" vertical="center"/>
    </xf>
    <xf numFmtId="0" fontId="31" fillId="4" borderId="143" xfId="1" applyFont="1" applyFill="1" applyBorder="1" applyAlignment="1">
      <alignment horizontal="center" vertical="center"/>
    </xf>
    <xf numFmtId="3" fontId="31" fillId="4" borderId="143" xfId="1" applyNumberFormat="1" applyFont="1" applyFill="1" applyBorder="1" applyAlignment="1">
      <alignment horizontal="center" vertical="center"/>
    </xf>
    <xf numFmtId="0" fontId="31" fillId="4" borderId="160" xfId="1" applyFont="1" applyFill="1" applyBorder="1" applyAlignment="1">
      <alignment horizontal="center" vertical="center"/>
    </xf>
    <xf numFmtId="0" fontId="31" fillId="4" borderId="162" xfId="1" applyFont="1" applyFill="1" applyBorder="1" applyAlignment="1">
      <alignment horizontal="center" vertical="center"/>
    </xf>
    <xf numFmtId="0" fontId="6" fillId="0" borderId="14" xfId="1" applyBorder="1" applyAlignment="1" applyProtection="1">
      <alignment vertical="center" wrapText="1"/>
    </xf>
    <xf numFmtId="0" fontId="6" fillId="0" borderId="9" xfId="1" applyBorder="1" applyAlignment="1" applyProtection="1">
      <alignment vertical="center" wrapText="1"/>
    </xf>
    <xf numFmtId="0" fontId="6" fillId="0" borderId="17" xfId="1" applyBorder="1" applyAlignment="1" applyProtection="1">
      <alignment vertical="center" wrapText="1"/>
    </xf>
    <xf numFmtId="167" fontId="6" fillId="9" borderId="14" xfId="1" applyNumberFormat="1" applyFont="1" applyFill="1" applyBorder="1" applyAlignment="1" applyProtection="1">
      <alignment horizontal="center" vertical="center" wrapText="1"/>
    </xf>
    <xf numFmtId="165" fontId="31" fillId="10" borderId="48" xfId="1" applyNumberFormat="1" applyFont="1" applyFill="1" applyBorder="1" applyAlignment="1" applyProtection="1">
      <alignment horizontal="center" vertical="center" wrapText="1"/>
    </xf>
    <xf numFmtId="165" fontId="31" fillId="10" borderId="9" xfId="1" applyNumberFormat="1" applyFont="1" applyFill="1" applyBorder="1" applyAlignment="1" applyProtection="1">
      <alignment horizontal="center" vertical="center" wrapText="1"/>
    </xf>
    <xf numFmtId="165" fontId="6" fillId="0" borderId="49" xfId="1" applyNumberFormat="1" applyFont="1" applyFill="1" applyBorder="1" applyAlignment="1" applyProtection="1">
      <alignment horizontal="center" vertical="center" wrapText="1"/>
    </xf>
    <xf numFmtId="0" fontId="16" fillId="22" borderId="0" xfId="1" applyFont="1" applyFill="1" applyBorder="1" applyAlignment="1">
      <alignment vertical="center"/>
    </xf>
    <xf numFmtId="0" fontId="6" fillId="22" borderId="0" xfId="1" applyFont="1" applyFill="1" applyBorder="1" applyAlignment="1">
      <alignment vertical="center"/>
    </xf>
    <xf numFmtId="0" fontId="6" fillId="22" borderId="0" xfId="1" applyFill="1" applyAlignment="1">
      <alignment horizontal="right" vertical="center"/>
    </xf>
    <xf numFmtId="3" fontId="6" fillId="22" borderId="0" xfId="1" applyNumberFormat="1" applyFont="1" applyFill="1" applyBorder="1" applyAlignment="1">
      <alignment horizontal="center" vertical="center"/>
    </xf>
    <xf numFmtId="0" fontId="16" fillId="32" borderId="0" xfId="1" applyFont="1" applyFill="1" applyBorder="1" applyAlignment="1">
      <alignment vertical="center"/>
    </xf>
    <xf numFmtId="3" fontId="6" fillId="32" borderId="0" xfId="1" applyNumberFormat="1" applyFont="1" applyFill="1" applyBorder="1" applyAlignment="1">
      <alignment horizontal="center" vertical="center"/>
    </xf>
    <xf numFmtId="0" fontId="6" fillId="32" borderId="0" xfId="1" applyFill="1" applyBorder="1" applyAlignment="1">
      <alignment horizontal="center" vertical="center"/>
    </xf>
    <xf numFmtId="0" fontId="6" fillId="32" borderId="27" xfId="1" applyFill="1" applyBorder="1" applyAlignment="1">
      <alignment vertical="center"/>
    </xf>
    <xf numFmtId="0" fontId="15" fillId="32" borderId="0" xfId="1" applyFont="1" applyFill="1" applyBorder="1" applyAlignment="1">
      <alignment vertical="center"/>
    </xf>
    <xf numFmtId="0" fontId="56" fillId="22" borderId="0" xfId="1" applyFont="1" applyFill="1" applyBorder="1" applyAlignment="1">
      <alignment horizontal="center" vertical="center"/>
    </xf>
    <xf numFmtId="168" fontId="15" fillId="32" borderId="0" xfId="1" applyNumberFormat="1" applyFont="1" applyFill="1" applyBorder="1" applyAlignment="1">
      <alignment horizontal="center" vertical="center"/>
    </xf>
    <xf numFmtId="168" fontId="15" fillId="26" borderId="0" xfId="1" applyNumberFormat="1" applyFont="1" applyFill="1" applyBorder="1" applyAlignment="1">
      <alignment horizontal="center" vertical="center"/>
    </xf>
    <xf numFmtId="0" fontId="6" fillId="6" borderId="13" xfId="1" applyFill="1" applyBorder="1" applyAlignment="1" applyProtection="1">
      <alignment vertical="center" wrapText="1"/>
    </xf>
    <xf numFmtId="0" fontId="6" fillId="6" borderId="71" xfId="1" applyFill="1" applyBorder="1" applyAlignment="1" applyProtection="1">
      <alignment vertical="center" wrapText="1"/>
    </xf>
    <xf numFmtId="3" fontId="6" fillId="0" borderId="22" xfId="1" applyNumberFormat="1" applyFont="1" applyFill="1" applyBorder="1" applyAlignment="1" applyProtection="1">
      <alignment horizontal="center" vertical="center" wrapText="1"/>
      <protection locked="0"/>
    </xf>
    <xf numFmtId="0" fontId="8" fillId="33" borderId="39" xfId="1" applyFont="1" applyFill="1" applyBorder="1" applyAlignment="1" applyProtection="1">
      <alignment vertical="center" wrapText="1"/>
    </xf>
    <xf numFmtId="0" fontId="6" fillId="33" borderId="39" xfId="1" quotePrefix="1" applyFont="1" applyFill="1" applyBorder="1" applyAlignment="1" applyProtection="1">
      <alignment horizontal="center" vertical="center" wrapText="1"/>
    </xf>
    <xf numFmtId="0" fontId="6" fillId="33" borderId="39" xfId="1" applyFont="1" applyFill="1" applyBorder="1" applyAlignment="1" applyProtection="1">
      <alignment horizontal="center" vertical="center" wrapText="1"/>
    </xf>
    <xf numFmtId="3" fontId="6" fillId="33" borderId="39" xfId="1" applyNumberFormat="1" applyFont="1" applyFill="1" applyBorder="1" applyAlignment="1" applyProtection="1">
      <alignment horizontal="center" vertical="center" wrapText="1"/>
    </xf>
    <xf numFmtId="3" fontId="6" fillId="33" borderId="39" xfId="1" applyNumberFormat="1" applyFont="1" applyFill="1" applyBorder="1" applyAlignment="1" applyProtection="1">
      <alignment horizontal="center" vertical="center" wrapText="1"/>
      <protection locked="0"/>
    </xf>
    <xf numFmtId="0" fontId="6" fillId="33" borderId="42" xfId="1" applyFill="1" applyBorder="1" applyAlignment="1" applyProtection="1">
      <alignment vertical="center" wrapText="1"/>
    </xf>
    <xf numFmtId="0" fontId="6" fillId="10" borderId="14" xfId="1" applyFont="1" applyFill="1" applyBorder="1" applyAlignment="1" applyProtection="1">
      <alignment horizontal="center" vertical="center" wrapText="1"/>
    </xf>
    <xf numFmtId="0" fontId="6" fillId="0" borderId="0" xfId="1" applyFont="1" applyAlignment="1" applyProtection="1">
      <alignment horizontal="center" vertical="center" wrapText="1"/>
    </xf>
    <xf numFmtId="0" fontId="6" fillId="0" borderId="107" xfId="1" applyFont="1" applyBorder="1" applyAlignment="1" applyProtection="1">
      <alignment vertical="center" wrapText="1"/>
    </xf>
    <xf numFmtId="0" fontId="6" fillId="0" borderId="17" xfId="1" applyFont="1" applyBorder="1" applyAlignment="1" applyProtection="1">
      <alignment vertical="center" wrapText="1"/>
    </xf>
    <xf numFmtId="0" fontId="6" fillId="0" borderId="0" xfId="1" applyFont="1" applyFill="1" applyAlignment="1" applyProtection="1">
      <alignment horizontal="center" vertical="center" wrapText="1"/>
    </xf>
    <xf numFmtId="0" fontId="6" fillId="17" borderId="20" xfId="1" quotePrefix="1" applyFont="1" applyFill="1" applyBorder="1" applyAlignment="1" applyProtection="1">
      <alignment horizontal="center" vertical="center" wrapText="1"/>
    </xf>
    <xf numFmtId="0" fontId="6" fillId="17" borderId="17" xfId="1" quotePrefix="1" applyFont="1" applyFill="1" applyBorder="1" applyAlignment="1" applyProtection="1">
      <alignment horizontal="center" vertical="center" wrapText="1"/>
    </xf>
    <xf numFmtId="3" fontId="6" fillId="17" borderId="20" xfId="1" quotePrefix="1" applyNumberFormat="1" applyFont="1" applyFill="1" applyBorder="1" applyAlignment="1" applyProtection="1">
      <alignment horizontal="center" vertical="center" wrapText="1"/>
    </xf>
    <xf numFmtId="3" fontId="6" fillId="17" borderId="1" xfId="1" quotePrefix="1" applyNumberFormat="1" applyFont="1" applyFill="1" applyBorder="1" applyAlignment="1" applyProtection="1">
      <alignment horizontal="center" vertical="center" wrapText="1"/>
    </xf>
    <xf numFmtId="0" fontId="6" fillId="17" borderId="110" xfId="1" quotePrefix="1" applyFont="1" applyFill="1" applyBorder="1" applyAlignment="1" applyProtection="1">
      <alignment horizontal="center" vertical="center" wrapText="1"/>
    </xf>
    <xf numFmtId="0" fontId="31" fillId="26" borderId="9" xfId="1" applyFont="1" applyFill="1" applyBorder="1" applyAlignment="1" applyProtection="1">
      <alignment horizontal="center" vertical="center" wrapText="1"/>
    </xf>
    <xf numFmtId="3" fontId="6" fillId="26" borderId="0" xfId="1" applyNumberFormat="1" applyFill="1" applyBorder="1" applyAlignment="1">
      <alignment horizontal="center" vertical="center"/>
    </xf>
    <xf numFmtId="0" fontId="6" fillId="26" borderId="0" xfId="1" applyFill="1" applyBorder="1" applyAlignment="1">
      <alignment vertical="center"/>
    </xf>
    <xf numFmtId="3" fontId="6" fillId="11" borderId="0" xfId="1" applyNumberFormat="1" applyFill="1" applyBorder="1" applyAlignment="1">
      <alignment horizontal="center" vertical="center"/>
    </xf>
    <xf numFmtId="0" fontId="6" fillId="11" borderId="0" xfId="1" applyFill="1" applyBorder="1" applyAlignment="1">
      <alignment vertical="center"/>
    </xf>
    <xf numFmtId="3" fontId="6" fillId="33" borderId="0" xfId="1" applyNumberFormat="1" applyFill="1" applyBorder="1" applyAlignment="1">
      <alignment horizontal="center" vertical="center"/>
    </xf>
    <xf numFmtId="0" fontId="6" fillId="33" borderId="0" xfId="1" applyFill="1" applyBorder="1" applyAlignment="1">
      <alignment vertical="center"/>
    </xf>
    <xf numFmtId="3" fontId="15" fillId="8" borderId="55" xfId="1" applyNumberFormat="1" applyFont="1" applyFill="1" applyBorder="1" applyAlignment="1" applyProtection="1">
      <alignment horizontal="center" vertical="center" wrapText="1"/>
    </xf>
    <xf numFmtId="3" fontId="15" fillId="0" borderId="82" xfId="1" applyNumberFormat="1" applyFont="1" applyFill="1" applyBorder="1" applyAlignment="1" applyProtection="1">
      <alignment horizontal="center" vertical="center" wrapText="1"/>
    </xf>
    <xf numFmtId="3" fontId="15" fillId="0" borderId="83" xfId="1" applyNumberFormat="1" applyFont="1" applyFill="1" applyBorder="1" applyAlignment="1" applyProtection="1">
      <alignment horizontal="center" vertical="center" wrapText="1"/>
    </xf>
    <xf numFmtId="3" fontId="15" fillId="0" borderId="84" xfId="1" applyNumberFormat="1" applyFont="1" applyFill="1" applyBorder="1" applyAlignment="1" applyProtection="1">
      <alignment horizontal="center" vertical="center" wrapText="1"/>
    </xf>
    <xf numFmtId="2" fontId="39" fillId="4" borderId="0" xfId="1" applyNumberFormat="1" applyFont="1" applyFill="1" applyBorder="1" applyAlignment="1">
      <alignment horizontal="center" vertical="center"/>
    </xf>
    <xf numFmtId="0" fontId="6" fillId="29" borderId="0" xfId="1" applyFill="1" applyBorder="1" applyAlignment="1">
      <alignment vertical="center"/>
    </xf>
    <xf numFmtId="0" fontId="6" fillId="29" borderId="0" xfId="1" applyFill="1" applyAlignment="1">
      <alignment vertical="center"/>
    </xf>
    <xf numFmtId="0" fontId="6" fillId="29" borderId="0" xfId="1" applyFill="1" applyBorder="1" applyAlignment="1">
      <alignment horizontal="center" vertical="center"/>
    </xf>
    <xf numFmtId="3" fontId="6" fillId="0" borderId="0" xfId="1" applyNumberFormat="1" applyFill="1" applyBorder="1" applyAlignment="1">
      <alignment horizontal="center" vertical="center"/>
    </xf>
    <xf numFmtId="3" fontId="38" fillId="7" borderId="163" xfId="1" applyNumberFormat="1" applyFont="1" applyFill="1" applyBorder="1" applyAlignment="1">
      <alignment horizontal="center" vertical="center"/>
    </xf>
    <xf numFmtId="0" fontId="10" fillId="25" borderId="0" xfId="1" applyFont="1" applyFill="1" applyBorder="1" applyAlignment="1">
      <alignment horizontal="center" vertical="center"/>
    </xf>
    <xf numFmtId="3" fontId="6" fillId="28" borderId="0" xfId="1" applyNumberFormat="1" applyFill="1" applyBorder="1" applyAlignment="1">
      <alignment vertical="center"/>
    </xf>
    <xf numFmtId="0" fontId="6" fillId="4" borderId="164" xfId="1" applyFill="1" applyBorder="1" applyAlignment="1">
      <alignment horizontal="center" vertical="center"/>
    </xf>
    <xf numFmtId="3" fontId="6" fillId="25" borderId="0" xfId="1" applyNumberFormat="1" applyFill="1" applyBorder="1" applyAlignment="1">
      <alignment vertical="center"/>
    </xf>
    <xf numFmtId="3" fontId="6" fillId="29" borderId="0" xfId="1" applyNumberFormat="1" applyFill="1" applyBorder="1" applyAlignment="1">
      <alignment vertical="center"/>
    </xf>
    <xf numFmtId="0" fontId="6" fillId="28" borderId="0" xfId="1" applyFill="1" applyBorder="1" applyAlignment="1">
      <alignment horizontal="left" vertical="center"/>
    </xf>
    <xf numFmtId="0" fontId="6" fillId="29" borderId="0" xfId="1" applyFill="1" applyBorder="1" applyAlignment="1">
      <alignment horizontal="left" vertical="center"/>
    </xf>
    <xf numFmtId="0" fontId="6" fillId="4" borderId="10" xfId="1" applyFill="1" applyBorder="1" applyAlignment="1">
      <alignment vertical="center"/>
    </xf>
    <xf numFmtId="3" fontId="6" fillId="4" borderId="10" xfId="1" applyNumberFormat="1" applyFill="1" applyBorder="1" applyAlignment="1">
      <alignment horizontal="center" vertical="center"/>
    </xf>
    <xf numFmtId="2" fontId="39" fillId="4" borderId="10" xfId="1" applyNumberFormat="1" applyFont="1" applyFill="1" applyBorder="1" applyAlignment="1">
      <alignment horizontal="center" vertical="center"/>
    </xf>
    <xf numFmtId="0" fontId="6" fillId="4" borderId="35" xfId="1" applyFill="1" applyBorder="1" applyAlignment="1">
      <alignment vertical="center"/>
    </xf>
    <xf numFmtId="0" fontId="10" fillId="4" borderId="34" xfId="1" applyFont="1" applyFill="1" applyBorder="1" applyAlignment="1">
      <alignment vertical="center"/>
    </xf>
    <xf numFmtId="0" fontId="53" fillId="7" borderId="157" xfId="1" applyFont="1" applyFill="1" applyBorder="1" applyAlignment="1">
      <alignment horizontal="center" vertical="center"/>
    </xf>
    <xf numFmtId="3" fontId="31" fillId="7" borderId="165" xfId="1" applyNumberFormat="1" applyFont="1" applyFill="1" applyBorder="1" applyAlignment="1">
      <alignment horizontal="center" vertical="center"/>
    </xf>
    <xf numFmtId="0" fontId="31" fillId="7" borderId="156" xfId="1" applyFont="1" applyFill="1" applyBorder="1" applyAlignment="1">
      <alignment horizontal="center" vertical="center"/>
    </xf>
    <xf numFmtId="3" fontId="6" fillId="7" borderId="166" xfId="1" applyNumberFormat="1" applyFill="1" applyBorder="1" applyAlignment="1">
      <alignment horizontal="center" vertical="center"/>
    </xf>
    <xf numFmtId="3" fontId="53" fillId="7" borderId="58" xfId="1" applyNumberFormat="1" applyFont="1" applyFill="1" applyBorder="1" applyAlignment="1">
      <alignment vertical="center"/>
    </xf>
    <xf numFmtId="0" fontId="6" fillId="0" borderId="40" xfId="1" applyBorder="1" applyAlignment="1">
      <alignment vertical="center"/>
    </xf>
    <xf numFmtId="3" fontId="6" fillId="7" borderId="167" xfId="1" applyNumberFormat="1" applyFill="1" applyBorder="1" applyAlignment="1">
      <alignment horizontal="center" vertical="center"/>
    </xf>
    <xf numFmtId="2" fontId="8" fillId="4" borderId="142" xfId="1" applyNumberFormat="1" applyFont="1" applyFill="1" applyBorder="1" applyAlignment="1">
      <alignment horizontal="center" vertical="center"/>
    </xf>
    <xf numFmtId="2" fontId="58" fillId="4" borderId="142" xfId="1" applyNumberFormat="1" applyFont="1" applyFill="1" applyBorder="1" applyAlignment="1">
      <alignment horizontal="center" vertical="center"/>
    </xf>
    <xf numFmtId="3" fontId="53" fillId="4" borderId="143" xfId="1" applyNumberFormat="1" applyFont="1" applyFill="1" applyBorder="1" applyAlignment="1">
      <alignment horizontal="center" vertical="center"/>
    </xf>
    <xf numFmtId="2" fontId="58" fillId="4" borderId="159" xfId="1" applyNumberFormat="1" applyFont="1" applyFill="1" applyBorder="1" applyAlignment="1">
      <alignment horizontal="center" vertical="center"/>
    </xf>
    <xf numFmtId="0" fontId="53" fillId="4" borderId="160" xfId="1" applyFont="1" applyFill="1" applyBorder="1" applyAlignment="1">
      <alignment horizontal="center" vertical="center"/>
    </xf>
    <xf numFmtId="2" fontId="58" fillId="4" borderId="161" xfId="1" applyNumberFormat="1" applyFont="1" applyFill="1" applyBorder="1" applyAlignment="1">
      <alignment horizontal="center" vertical="center"/>
    </xf>
    <xf numFmtId="0" fontId="53" fillId="4" borderId="162" xfId="1" applyFont="1" applyFill="1" applyBorder="1" applyAlignment="1">
      <alignment horizontal="center" vertical="center"/>
    </xf>
    <xf numFmtId="0" fontId="10" fillId="35" borderId="1" xfId="1" applyFont="1" applyFill="1" applyBorder="1" applyAlignment="1" applyProtection="1">
      <alignment vertical="center" wrapText="1"/>
    </xf>
    <xf numFmtId="2" fontId="6" fillId="0" borderId="28" xfId="1" applyNumberFormat="1" applyFont="1" applyFill="1" applyBorder="1" applyAlignment="1" applyProtection="1">
      <alignment horizontal="center" vertical="center" wrapText="1"/>
    </xf>
    <xf numFmtId="2" fontId="6" fillId="0" borderId="22" xfId="1" applyNumberFormat="1" applyFont="1" applyFill="1" applyBorder="1" applyAlignment="1" applyProtection="1">
      <alignment horizontal="center" vertical="center" wrapText="1"/>
    </xf>
    <xf numFmtId="2" fontId="6" fillId="0" borderId="33" xfId="1" applyNumberFormat="1" applyFont="1" applyFill="1" applyBorder="1" applyAlignment="1" applyProtection="1">
      <alignment horizontal="center" vertical="center" wrapText="1"/>
    </xf>
    <xf numFmtId="0" fontId="6" fillId="36" borderId="28" xfId="1" applyFont="1" applyFill="1" applyBorder="1" applyAlignment="1" applyProtection="1">
      <alignment vertical="center" wrapText="1"/>
    </xf>
    <xf numFmtId="0" fontId="8" fillId="36" borderId="22" xfId="1" applyFont="1" applyFill="1" applyBorder="1" applyAlignment="1" applyProtection="1">
      <alignment vertical="center" wrapText="1"/>
    </xf>
    <xf numFmtId="0" fontId="6" fillId="36" borderId="22" xfId="1" quotePrefix="1" applyFont="1" applyFill="1" applyBorder="1" applyAlignment="1" applyProtection="1">
      <alignment horizontal="center" vertical="center" wrapText="1"/>
    </xf>
    <xf numFmtId="0" fontId="6" fillId="36" borderId="16" xfId="1" quotePrefix="1" applyFont="1" applyFill="1" applyBorder="1" applyAlignment="1" applyProtection="1">
      <alignment horizontal="center" vertical="center" wrapText="1"/>
    </xf>
    <xf numFmtId="0" fontId="6" fillId="36" borderId="33" xfId="1" applyFont="1" applyFill="1" applyBorder="1" applyAlignment="1" applyProtection="1">
      <alignment horizontal="center" vertical="center" wrapText="1"/>
    </xf>
    <xf numFmtId="164" fontId="6" fillId="36" borderId="0" xfId="1" applyNumberFormat="1" applyFont="1" applyFill="1" applyBorder="1" applyAlignment="1" applyProtection="1">
      <alignment horizontal="center" vertical="center" wrapText="1"/>
    </xf>
    <xf numFmtId="2" fontId="6" fillId="36" borderId="28" xfId="1" applyNumberFormat="1" applyFont="1" applyFill="1" applyBorder="1" applyAlignment="1" applyProtection="1">
      <alignment horizontal="center" vertical="center" wrapText="1"/>
    </xf>
    <xf numFmtId="2" fontId="6" fillId="36" borderId="22" xfId="1" applyNumberFormat="1" applyFont="1" applyFill="1" applyBorder="1" applyAlignment="1" applyProtection="1">
      <alignment horizontal="center" vertical="center" wrapText="1"/>
    </xf>
    <xf numFmtId="2" fontId="6" fillId="36" borderId="33" xfId="1" applyNumberFormat="1" applyFont="1" applyFill="1" applyBorder="1" applyAlignment="1" applyProtection="1">
      <alignment horizontal="center" vertical="center" wrapText="1"/>
    </xf>
    <xf numFmtId="0" fontId="6" fillId="36" borderId="66" xfId="1" applyFill="1" applyBorder="1" applyAlignment="1" applyProtection="1">
      <alignment vertical="center" wrapText="1"/>
    </xf>
    <xf numFmtId="0" fontId="6" fillId="22" borderId="1" xfId="1" applyFont="1" applyFill="1" applyBorder="1" applyAlignment="1" applyProtection="1">
      <alignment horizontal="center" vertical="center" wrapText="1"/>
    </xf>
    <xf numFmtId="0" fontId="8" fillId="22" borderId="17" xfId="1" applyFont="1" applyFill="1" applyBorder="1" applyAlignment="1" applyProtection="1">
      <alignment horizontal="center" vertical="center" wrapText="1"/>
    </xf>
    <xf numFmtId="0" fontId="6" fillId="25" borderId="168" xfId="1" applyFill="1" applyBorder="1" applyAlignment="1">
      <alignment vertical="center"/>
    </xf>
    <xf numFmtId="0" fontId="6" fillId="28" borderId="168" xfId="1" applyFill="1" applyBorder="1" applyAlignment="1">
      <alignment vertical="center"/>
    </xf>
    <xf numFmtId="0" fontId="6" fillId="24" borderId="168" xfId="1" applyFill="1" applyBorder="1" applyAlignment="1">
      <alignment vertical="center"/>
    </xf>
    <xf numFmtId="0" fontId="13" fillId="0" borderId="113" xfId="1" applyFont="1" applyFill="1" applyBorder="1" applyAlignment="1" applyProtection="1">
      <alignment vertical="center"/>
    </xf>
    <xf numFmtId="0" fontId="8" fillId="0" borderId="75" xfId="1" applyFont="1" applyFill="1" applyBorder="1" applyAlignment="1" applyProtection="1">
      <alignment vertical="center" wrapText="1"/>
    </xf>
    <xf numFmtId="0" fontId="6" fillId="0" borderId="75" xfId="1" quotePrefix="1" applyFont="1" applyFill="1" applyBorder="1" applyAlignment="1" applyProtection="1">
      <alignment horizontal="center" vertical="center" wrapText="1"/>
    </xf>
    <xf numFmtId="0" fontId="6" fillId="0" borderId="114" xfId="1" applyFill="1" applyBorder="1" applyAlignment="1" applyProtection="1">
      <alignment vertical="center" wrapText="1"/>
    </xf>
    <xf numFmtId="0" fontId="59" fillId="33" borderId="38" xfId="1" applyFont="1" applyFill="1" applyBorder="1" applyAlignment="1" applyProtection="1">
      <alignment vertical="center"/>
    </xf>
    <xf numFmtId="0" fontId="25" fillId="10" borderId="69" xfId="1" applyFont="1" applyFill="1" applyBorder="1" applyAlignment="1" applyProtection="1">
      <alignment horizontal="left" vertical="center"/>
    </xf>
    <xf numFmtId="0" fontId="10" fillId="6" borderId="19" xfId="1" applyFont="1" applyFill="1" applyBorder="1" applyAlignment="1" applyProtection="1">
      <alignment horizontal="center" vertical="center" wrapText="1"/>
    </xf>
    <xf numFmtId="0" fontId="25" fillId="10" borderId="14" xfId="1" applyFont="1" applyFill="1" applyBorder="1" applyAlignment="1" applyProtection="1">
      <alignment horizontal="right" vertical="center"/>
    </xf>
    <xf numFmtId="0" fontId="15" fillId="0" borderId="1" xfId="1" quotePrefix="1" applyFont="1" applyFill="1" applyBorder="1" applyAlignment="1" applyProtection="1">
      <alignment horizontal="center" vertical="center" wrapText="1"/>
    </xf>
    <xf numFmtId="0" fontId="15" fillId="17" borderId="17" xfId="1" quotePrefix="1" applyFont="1" applyFill="1" applyBorder="1" applyAlignment="1" applyProtection="1">
      <alignment horizontal="center" vertical="center" wrapText="1"/>
    </xf>
    <xf numFmtId="0" fontId="15" fillId="0" borderId="73" xfId="1" quotePrefix="1" applyFont="1" applyFill="1" applyBorder="1" applyAlignment="1" applyProtection="1">
      <alignment horizontal="center" vertical="center" wrapText="1"/>
    </xf>
    <xf numFmtId="0" fontId="6" fillId="15" borderId="93" xfId="1" applyFont="1" applyFill="1" applyBorder="1" applyAlignment="1" applyProtection="1">
      <alignment horizontal="center" vertical="center" wrapText="1"/>
    </xf>
    <xf numFmtId="0" fontId="10" fillId="0" borderId="129" xfId="1" applyFont="1" applyFill="1" applyBorder="1" applyAlignment="1" applyProtection="1">
      <alignment horizontal="center" vertical="center" wrapText="1"/>
    </xf>
    <xf numFmtId="0" fontId="10" fillId="15" borderId="129" xfId="1" applyFont="1" applyFill="1" applyBorder="1" applyAlignment="1" applyProtection="1">
      <alignment horizontal="center" vertical="center" wrapText="1"/>
    </xf>
    <xf numFmtId="0" fontId="16" fillId="15" borderId="106" xfId="1" applyFont="1" applyFill="1" applyBorder="1" applyAlignment="1" applyProtection="1">
      <alignment vertical="center"/>
    </xf>
    <xf numFmtId="0" fontId="6" fillId="9" borderId="4" xfId="1" applyFont="1" applyFill="1" applyBorder="1" applyAlignment="1" applyProtection="1">
      <alignment vertical="center" wrapText="1"/>
    </xf>
    <xf numFmtId="0" fontId="16" fillId="15" borderId="106" xfId="1" applyFont="1" applyFill="1" applyBorder="1" applyAlignment="1" applyProtection="1">
      <alignment horizontal="left" vertical="center"/>
    </xf>
    <xf numFmtId="0" fontId="15" fillId="0" borderId="83" xfId="1" quotePrefix="1" applyFont="1" applyFill="1" applyBorder="1" applyAlignment="1" applyProtection="1">
      <alignment horizontal="center" vertical="center" wrapText="1"/>
    </xf>
    <xf numFmtId="0" fontId="15" fillId="0" borderId="101" xfId="1" quotePrefix="1" applyFont="1" applyFill="1" applyBorder="1" applyAlignment="1" applyProtection="1">
      <alignment horizontal="center" vertical="center" wrapText="1"/>
    </xf>
    <xf numFmtId="0" fontId="15" fillId="0" borderId="78" xfId="1" quotePrefix="1" applyFont="1" applyFill="1" applyBorder="1" applyAlignment="1" applyProtection="1">
      <alignment horizontal="center" vertical="center" wrapText="1"/>
    </xf>
    <xf numFmtId="0" fontId="6" fillId="0" borderId="0" xfId="1" applyAlignment="1">
      <alignment horizontal="center" vertical="center" wrapText="1"/>
    </xf>
    <xf numFmtId="0" fontId="6" fillId="0" borderId="0" xfId="1" applyAlignment="1">
      <alignment horizontal="left" vertical="center" wrapText="1"/>
    </xf>
    <xf numFmtId="0" fontId="13" fillId="0" borderId="45" xfId="1" applyFont="1" applyBorder="1" applyAlignment="1">
      <alignment horizontal="center" vertical="center" wrapText="1"/>
    </xf>
    <xf numFmtId="0" fontId="13" fillId="0" borderId="46" xfId="1" applyFont="1" applyBorder="1" applyAlignment="1">
      <alignment horizontal="center" vertical="center" wrapText="1"/>
    </xf>
    <xf numFmtId="0" fontId="13" fillId="0" borderId="47" xfId="1" applyFont="1" applyBorder="1" applyAlignment="1">
      <alignment horizontal="center" vertical="center" wrapText="1"/>
    </xf>
    <xf numFmtId="0" fontId="13" fillId="0" borderId="9" xfId="1" applyFont="1" applyBorder="1" applyAlignment="1">
      <alignment horizontal="left" vertical="center" wrapText="1"/>
    </xf>
    <xf numFmtId="0" fontId="6" fillId="0" borderId="9" xfId="1" applyBorder="1" applyAlignment="1">
      <alignment horizontal="center" vertical="center" wrapText="1"/>
    </xf>
    <xf numFmtId="0" fontId="6" fillId="0" borderId="9" xfId="1" applyFont="1" applyBorder="1" applyAlignment="1">
      <alignment horizontal="center" vertical="center" wrapText="1"/>
    </xf>
    <xf numFmtId="0" fontId="6" fillId="0" borderId="1" xfId="1" applyFont="1" applyBorder="1" applyAlignment="1">
      <alignment horizontal="left" vertical="center" wrapText="1" indent="2"/>
    </xf>
    <xf numFmtId="0" fontId="8" fillId="0" borderId="1" xfId="1" applyFont="1" applyBorder="1" applyAlignment="1">
      <alignment horizontal="center" vertical="center"/>
    </xf>
    <xf numFmtId="0" fontId="6" fillId="0" borderId="1" xfId="1" applyFont="1" applyBorder="1" applyAlignment="1">
      <alignment horizontal="center" vertical="center" wrapText="1"/>
    </xf>
    <xf numFmtId="0" fontId="6" fillId="11" borderId="1" xfId="1" applyFill="1" applyBorder="1" applyAlignment="1">
      <alignment horizontal="center" vertical="center" wrapText="1"/>
    </xf>
    <xf numFmtId="0" fontId="6" fillId="0" borderId="1" xfId="1" applyBorder="1" applyAlignment="1">
      <alignment horizontal="center" vertical="center" wrapText="1"/>
    </xf>
    <xf numFmtId="0" fontId="6" fillId="0" borderId="0" xfId="1" applyBorder="1" applyAlignment="1">
      <alignment horizontal="center" vertical="center" wrapText="1"/>
    </xf>
    <xf numFmtId="0" fontId="6" fillId="0" borderId="0" xfId="1" applyFont="1" applyBorder="1" applyAlignment="1">
      <alignment horizontal="center" vertical="center" wrapText="1"/>
    </xf>
    <xf numFmtId="0" fontId="6" fillId="0" borderId="1" xfId="1" applyFont="1" applyBorder="1" applyAlignment="1">
      <alignment horizontal="center" vertical="center"/>
    </xf>
    <xf numFmtId="0" fontId="6" fillId="0" borderId="1" xfId="1" quotePrefix="1" applyFont="1" applyBorder="1" applyAlignment="1">
      <alignment horizontal="center" vertical="center" wrapText="1"/>
    </xf>
    <xf numFmtId="0" fontId="6" fillId="0" borderId="1" xfId="1" applyBorder="1" applyAlignment="1">
      <alignment horizontal="left" vertical="center" wrapText="1"/>
    </xf>
    <xf numFmtId="0" fontId="6" fillId="0" borderId="36" xfId="1" applyBorder="1" applyAlignment="1">
      <alignment horizontal="center" vertical="center" wrapText="1"/>
    </xf>
    <xf numFmtId="0" fontId="13" fillId="0" borderId="1" xfId="1" applyFont="1" applyBorder="1" applyAlignment="1">
      <alignment horizontal="left" vertical="center" wrapText="1"/>
    </xf>
    <xf numFmtId="0" fontId="6" fillId="0" borderId="11" xfId="1" applyBorder="1" applyAlignment="1">
      <alignment horizontal="center" vertical="center" wrapText="1"/>
    </xf>
    <xf numFmtId="0" fontId="8" fillId="0" borderId="20" xfId="1" applyFont="1" applyBorder="1" applyAlignment="1">
      <alignment horizontal="center" vertical="center"/>
    </xf>
    <xf numFmtId="0" fontId="6" fillId="0" borderId="20" xfId="1" applyFont="1" applyBorder="1" applyAlignment="1">
      <alignment horizontal="center" vertical="center" wrapText="1"/>
    </xf>
    <xf numFmtId="0" fontId="6" fillId="0" borderId="1" xfId="1" applyFont="1" applyBorder="1" applyAlignment="1">
      <alignment horizontal="justify" vertical="center"/>
    </xf>
    <xf numFmtId="0" fontId="14" fillId="0" borderId="1" xfId="1" applyFont="1" applyBorder="1" applyAlignment="1">
      <alignment horizontal="left" vertical="center" indent="1"/>
    </xf>
    <xf numFmtId="0" fontId="9" fillId="0" borderId="1" xfId="1" applyFont="1" applyBorder="1" applyAlignment="1">
      <alignment horizontal="center" vertical="center"/>
    </xf>
    <xf numFmtId="0" fontId="6" fillId="0" borderId="0" xfId="1" applyAlignment="1">
      <alignment vertical="center" wrapText="1"/>
    </xf>
    <xf numFmtId="0" fontId="10" fillId="0" borderId="1" xfId="1" applyFont="1" applyBorder="1" applyAlignment="1">
      <alignment horizontal="center" vertical="center" wrapText="1"/>
    </xf>
    <xf numFmtId="0" fontId="6" fillId="0" borderId="1" xfId="1" applyFont="1" applyBorder="1" applyAlignment="1">
      <alignment horizontal="left" vertical="center" wrapText="1"/>
    </xf>
    <xf numFmtId="165" fontId="6" fillId="0" borderId="1" xfId="1" applyNumberFormat="1" applyBorder="1" applyAlignment="1">
      <alignment horizontal="center" vertical="center" wrapText="1"/>
    </xf>
    <xf numFmtId="2" fontId="6" fillId="0" borderId="1" xfId="1" applyNumberFormat="1" applyBorder="1" applyAlignment="1">
      <alignment horizontal="center" vertical="center" wrapText="1"/>
    </xf>
    <xf numFmtId="0" fontId="11" fillId="0" borderId="1" xfId="1" applyFont="1" applyBorder="1" applyAlignment="1">
      <alignment horizontal="center" vertical="center"/>
    </xf>
    <xf numFmtId="3" fontId="6" fillId="0" borderId="1" xfId="1" applyNumberFormat="1" applyBorder="1" applyAlignment="1">
      <alignment horizontal="center" vertical="center" wrapText="1"/>
    </xf>
    <xf numFmtId="0" fontId="6" fillId="0" borderId="1" xfId="1" applyFont="1" applyBorder="1" applyAlignment="1">
      <alignment vertical="center"/>
    </xf>
    <xf numFmtId="3" fontId="6" fillId="0" borderId="1" xfId="1" applyNumberFormat="1" applyFont="1" applyBorder="1" applyAlignment="1">
      <alignment horizontal="center" vertical="center" wrapText="1"/>
    </xf>
    <xf numFmtId="0" fontId="6" fillId="0" borderId="1" xfId="1" applyFont="1" applyFill="1" applyBorder="1" applyAlignment="1">
      <alignment horizontal="center" vertical="center" wrapText="1"/>
    </xf>
    <xf numFmtId="165" fontId="6" fillId="0" borderId="1" xfId="1" applyNumberFormat="1" applyFill="1" applyBorder="1" applyAlignment="1">
      <alignment horizontal="center" vertical="center" wrapText="1"/>
    </xf>
    <xf numFmtId="0" fontId="8" fillId="6" borderId="1" xfId="1" applyFont="1" applyFill="1" applyBorder="1" applyAlignment="1">
      <alignment horizontal="center" vertical="center"/>
    </xf>
    <xf numFmtId="0" fontId="6" fillId="6" borderId="1" xfId="1" applyFont="1" applyFill="1" applyBorder="1" applyAlignment="1">
      <alignment horizontal="center" vertical="center" wrapText="1"/>
    </xf>
    <xf numFmtId="0" fontId="6" fillId="0" borderId="1" xfId="1" applyFont="1" applyFill="1" applyBorder="1" applyAlignment="1">
      <alignment horizontal="left" vertical="center" wrapText="1" indent="2"/>
    </xf>
    <xf numFmtId="0" fontId="8" fillId="0" borderId="1" xfId="1" applyFont="1" applyFill="1" applyBorder="1" applyAlignment="1">
      <alignment horizontal="center" vertical="center"/>
    </xf>
    <xf numFmtId="0" fontId="6" fillId="0" borderId="1" xfId="1" applyFill="1" applyBorder="1" applyAlignment="1">
      <alignment horizontal="center" vertical="center" wrapText="1"/>
    </xf>
    <xf numFmtId="0" fontId="6" fillId="0" borderId="1" xfId="1" quotePrefix="1" applyFont="1" applyFill="1" applyBorder="1" applyAlignment="1">
      <alignment horizontal="center" vertical="center" wrapText="1"/>
    </xf>
    <xf numFmtId="0" fontId="6" fillId="0" borderId="1" xfId="1" applyFont="1" applyBorder="1" applyAlignment="1">
      <alignment horizontal="left" vertical="center" wrapText="1" indent="1"/>
    </xf>
    <xf numFmtId="0" fontId="13" fillId="7" borderId="169" xfId="1" applyFont="1" applyFill="1" applyBorder="1" applyAlignment="1">
      <alignment horizontal="center" vertical="center" wrapText="1"/>
    </xf>
    <xf numFmtId="0" fontId="13" fillId="7" borderId="10" xfId="1" applyFont="1" applyFill="1" applyBorder="1" applyAlignment="1">
      <alignment horizontal="center" vertical="center" wrapText="1"/>
    </xf>
    <xf numFmtId="0" fontId="13" fillId="7" borderId="67" xfId="1" applyFont="1" applyFill="1" applyBorder="1" applyAlignment="1">
      <alignment horizontal="center" vertical="center" wrapText="1"/>
    </xf>
    <xf numFmtId="0" fontId="13" fillId="7" borderId="10" xfId="1" applyFont="1" applyFill="1" applyBorder="1" applyAlignment="1">
      <alignment horizontal="center" vertical="center"/>
    </xf>
    <xf numFmtId="0" fontId="13" fillId="7" borderId="169" xfId="1" applyFont="1" applyFill="1" applyBorder="1" applyAlignment="1">
      <alignment horizontal="center" vertical="center"/>
    </xf>
    <xf numFmtId="0" fontId="13" fillId="7" borderId="67" xfId="1" applyFont="1" applyFill="1" applyBorder="1" applyAlignment="1">
      <alignment horizontal="center" vertical="center"/>
    </xf>
    <xf numFmtId="0" fontId="6" fillId="7" borderId="169" xfId="1" applyFill="1" applyBorder="1" applyAlignment="1">
      <alignment horizontal="center" vertical="center" wrapText="1"/>
    </xf>
    <xf numFmtId="0" fontId="6" fillId="7" borderId="10" xfId="1" applyFill="1" applyBorder="1" applyAlignment="1">
      <alignment horizontal="center" vertical="center" wrapText="1"/>
    </xf>
    <xf numFmtId="0" fontId="6" fillId="7" borderId="67" xfId="1" applyFill="1" applyBorder="1" applyAlignment="1">
      <alignment horizontal="center" vertical="center" wrapText="1"/>
    </xf>
    <xf numFmtId="0" fontId="6" fillId="7" borderId="10" xfId="1" applyFill="1" applyBorder="1" applyAlignment="1">
      <alignment horizontal="center" vertical="center"/>
    </xf>
    <xf numFmtId="0" fontId="6" fillId="6" borderId="20" xfId="1" applyFont="1" applyFill="1" applyBorder="1" applyAlignment="1">
      <alignment horizontal="center" vertical="center" wrapText="1"/>
    </xf>
    <xf numFmtId="0" fontId="10" fillId="9" borderId="62" xfId="1" applyFont="1" applyFill="1" applyBorder="1" applyAlignment="1" applyProtection="1">
      <alignment horizontal="center" vertical="center" wrapText="1"/>
    </xf>
    <xf numFmtId="0" fontId="10" fillId="9" borderId="29" xfId="1" applyFont="1" applyFill="1" applyBorder="1" applyAlignment="1" applyProtection="1">
      <alignment horizontal="center" vertical="center" wrapText="1"/>
    </xf>
    <xf numFmtId="0" fontId="10" fillId="10" borderId="2" xfId="1" applyFont="1" applyFill="1" applyBorder="1" applyAlignment="1" applyProtection="1">
      <alignment horizontal="center" vertical="center" wrapText="1"/>
    </xf>
    <xf numFmtId="0" fontId="10" fillId="10" borderId="3" xfId="1" applyFont="1" applyFill="1" applyBorder="1" applyAlignment="1" applyProtection="1">
      <alignment horizontal="center" vertical="center" wrapText="1"/>
    </xf>
    <xf numFmtId="0" fontId="10" fillId="10" borderId="4" xfId="1" applyFont="1" applyFill="1" applyBorder="1" applyAlignment="1" applyProtection="1">
      <alignment horizontal="center" vertical="center" wrapText="1"/>
    </xf>
    <xf numFmtId="0" fontId="10" fillId="10" borderId="1" xfId="1" applyFont="1" applyFill="1" applyBorder="1" applyAlignment="1" applyProtection="1">
      <alignment horizontal="center" vertical="center" wrapText="1"/>
    </xf>
    <xf numFmtId="0" fontId="41" fillId="6" borderId="36" xfId="1" applyFont="1" applyFill="1" applyBorder="1" applyAlignment="1" applyProtection="1">
      <alignment horizontal="center" vertical="center" wrapText="1"/>
    </xf>
    <xf numFmtId="0" fontId="6" fillId="37" borderId="0" xfId="1" applyFill="1" applyAlignment="1" applyProtection="1">
      <alignment vertical="center" wrapText="1"/>
    </xf>
    <xf numFmtId="3" fontId="6" fillId="6" borderId="11" xfId="1" applyNumberFormat="1" applyFill="1" applyBorder="1" applyAlignment="1">
      <alignment horizontal="center" vertical="center" wrapText="1"/>
    </xf>
    <xf numFmtId="3" fontId="6" fillId="6" borderId="178" xfId="1" applyNumberFormat="1" applyFill="1" applyBorder="1" applyAlignment="1">
      <alignment horizontal="center" vertical="center" wrapText="1"/>
    </xf>
    <xf numFmtId="3" fontId="6" fillId="6" borderId="179" xfId="1" applyNumberFormat="1" applyFill="1" applyBorder="1" applyAlignment="1">
      <alignment horizontal="center" vertical="center" wrapText="1"/>
    </xf>
    <xf numFmtId="3" fontId="6" fillId="6" borderId="180" xfId="1" applyNumberFormat="1" applyFill="1" applyBorder="1" applyAlignment="1">
      <alignment horizontal="center" vertical="center" wrapText="1"/>
    </xf>
    <xf numFmtId="0" fontId="6" fillId="0" borderId="3" xfId="1" applyBorder="1" applyAlignment="1">
      <alignment horizontal="center" vertical="center" wrapText="1"/>
    </xf>
    <xf numFmtId="0" fontId="6" fillId="0" borderId="22" xfId="1" applyBorder="1" applyAlignment="1">
      <alignment horizontal="center" vertical="center" wrapText="1"/>
    </xf>
    <xf numFmtId="3" fontId="6" fillId="11" borderId="1" xfId="1" applyNumberFormat="1" applyFill="1" applyBorder="1" applyAlignment="1">
      <alignment horizontal="center" vertical="center" wrapText="1"/>
    </xf>
    <xf numFmtId="0" fontId="39" fillId="0" borderId="169" xfId="1" applyFont="1" applyBorder="1" applyAlignment="1">
      <alignment horizontal="center" vertical="center" wrapText="1"/>
    </xf>
    <xf numFmtId="0" fontId="55" fillId="0" borderId="9" xfId="1" applyFont="1" applyBorder="1" applyAlignment="1">
      <alignment horizontal="center" vertical="center" wrapText="1"/>
    </xf>
    <xf numFmtId="0" fontId="6" fillId="6" borderId="1" xfId="1" applyFont="1" applyFill="1" applyBorder="1" applyAlignment="1">
      <alignment horizontal="left" vertical="center"/>
    </xf>
    <xf numFmtId="0" fontId="18" fillId="0" borderId="1" xfId="1" applyFont="1" applyBorder="1" applyAlignment="1">
      <alignment horizontal="center" vertical="center"/>
    </xf>
    <xf numFmtId="0" fontId="6" fillId="9" borderId="76" xfId="1" applyFont="1" applyFill="1" applyBorder="1" applyAlignment="1" applyProtection="1">
      <alignment vertical="center" wrapText="1"/>
    </xf>
    <xf numFmtId="0" fontId="10" fillId="0" borderId="1" xfId="1" applyFont="1" applyBorder="1" applyAlignment="1">
      <alignment horizontal="left" vertical="center" wrapText="1" indent="1"/>
    </xf>
    <xf numFmtId="0" fontId="14" fillId="0" borderId="1" xfId="1" applyFont="1" applyBorder="1" applyAlignment="1">
      <alignment horizontal="center" vertical="center"/>
    </xf>
    <xf numFmtId="0" fontId="10" fillId="0" borderId="1" xfId="1" applyFont="1" applyBorder="1" applyAlignment="1">
      <alignment horizontal="center" vertical="center"/>
    </xf>
    <xf numFmtId="0" fontId="6" fillId="0" borderId="76" xfId="1" applyFont="1" applyFill="1" applyBorder="1" applyAlignment="1" applyProtection="1">
      <alignment vertical="center" wrapText="1"/>
    </xf>
    <xf numFmtId="0" fontId="6" fillId="9" borderId="13" xfId="1" applyFill="1" applyBorder="1" applyAlignment="1" applyProtection="1">
      <alignment vertical="center" wrapText="1"/>
    </xf>
    <xf numFmtId="0" fontId="6" fillId="9" borderId="50" xfId="1" applyFill="1" applyBorder="1" applyAlignment="1" applyProtection="1">
      <alignment horizontal="center" vertical="center" wrapText="1"/>
    </xf>
    <xf numFmtId="0" fontId="6" fillId="9" borderId="13" xfId="1" applyFill="1" applyBorder="1" applyAlignment="1" applyProtection="1">
      <alignment horizontal="center" vertical="center" wrapText="1"/>
    </xf>
    <xf numFmtId="0" fontId="6" fillId="9" borderId="51" xfId="1" applyFill="1" applyBorder="1" applyAlignment="1" applyProtection="1">
      <alignment horizontal="center" vertical="center" wrapText="1"/>
    </xf>
    <xf numFmtId="0" fontId="6" fillId="9" borderId="13" xfId="1" applyFont="1" applyFill="1" applyBorder="1" applyAlignment="1" applyProtection="1">
      <alignment vertical="center" wrapText="1"/>
    </xf>
    <xf numFmtId="0" fontId="6" fillId="0" borderId="1" xfId="1" applyBorder="1" applyAlignment="1">
      <alignment horizontal="left" vertical="center" wrapText="1" indent="1"/>
    </xf>
    <xf numFmtId="0" fontId="6" fillId="23" borderId="1" xfId="1" applyFill="1" applyBorder="1" applyAlignment="1">
      <alignment horizontal="center" vertical="center" wrapText="1"/>
    </xf>
    <xf numFmtId="0" fontId="0" fillId="7" borderId="20" xfId="0" applyFill="1" applyBorder="1" applyAlignment="1">
      <alignment horizontal="left" vertical="center"/>
    </xf>
    <xf numFmtId="167" fontId="6" fillId="0" borderId="1" xfId="1" applyNumberFormat="1" applyBorder="1" applyAlignment="1">
      <alignment horizontal="center" vertical="center" wrapText="1"/>
    </xf>
    <xf numFmtId="4" fontId="6" fillId="0" borderId="1" xfId="1" applyNumberFormat="1" applyBorder="1" applyAlignment="1">
      <alignment horizontal="center" vertical="center" wrapText="1"/>
    </xf>
    <xf numFmtId="0" fontId="6" fillId="6" borderId="1" xfId="1" applyFont="1" applyFill="1" applyBorder="1" applyAlignment="1">
      <alignment horizontal="left" vertical="center" wrapText="1"/>
    </xf>
    <xf numFmtId="0" fontId="0" fillId="7" borderId="189" xfId="0" applyFill="1" applyBorder="1" applyAlignment="1">
      <alignment horizontal="left" vertical="center"/>
    </xf>
    <xf numFmtId="0" fontId="6" fillId="7" borderId="187" xfId="0" applyFont="1" applyFill="1" applyBorder="1" applyAlignment="1">
      <alignment horizontal="left" vertical="center"/>
    </xf>
    <xf numFmtId="3" fontId="15" fillId="0" borderId="1" xfId="1" applyNumberFormat="1" applyFont="1" applyBorder="1" applyAlignment="1">
      <alignment horizontal="center" vertical="center" wrapText="1"/>
    </xf>
    <xf numFmtId="0" fontId="61" fillId="7" borderId="190" xfId="0" applyFont="1" applyFill="1" applyBorder="1" applyAlignment="1">
      <alignment horizontal="center" vertical="center"/>
    </xf>
    <xf numFmtId="0" fontId="0" fillId="7" borderId="191" xfId="0" applyFill="1" applyBorder="1" applyAlignment="1">
      <alignment horizontal="left" vertical="center"/>
    </xf>
    <xf numFmtId="0" fontId="10" fillId="0" borderId="1" xfId="1" applyFont="1" applyBorder="1" applyAlignment="1">
      <alignment horizontal="left" vertical="center" wrapText="1"/>
    </xf>
    <xf numFmtId="0" fontId="16" fillId="0" borderId="1" xfId="1" applyFont="1" applyBorder="1" applyAlignment="1">
      <alignment horizontal="left" vertical="center" indent="2"/>
    </xf>
    <xf numFmtId="0" fontId="6" fillId="0" borderId="1" xfId="1" applyFont="1" applyBorder="1" applyAlignment="1">
      <alignment horizontal="left" vertical="center"/>
    </xf>
    <xf numFmtId="4" fontId="65" fillId="6" borderId="69" xfId="0" applyNumberFormat="1" applyFont="1" applyFill="1" applyBorder="1" applyAlignment="1">
      <alignment horizontal="center" vertical="center"/>
    </xf>
    <xf numFmtId="4" fontId="65" fillId="6" borderId="70" xfId="0" applyNumberFormat="1" applyFont="1" applyFill="1" applyBorder="1" applyAlignment="1">
      <alignment horizontal="center" vertical="center"/>
    </xf>
    <xf numFmtId="2" fontId="6" fillId="6" borderId="1" xfId="1" applyNumberFormat="1" applyFill="1" applyBorder="1" applyAlignment="1">
      <alignment horizontal="center" vertical="center" wrapText="1"/>
    </xf>
    <xf numFmtId="0" fontId="6" fillId="6" borderId="1" xfId="1" applyFill="1" applyBorder="1" applyAlignment="1">
      <alignment horizontal="center" vertical="center" wrapText="1"/>
    </xf>
    <xf numFmtId="4" fontId="66" fillId="6" borderId="14" xfId="0" applyNumberFormat="1" applyFont="1" applyFill="1" applyBorder="1" applyAlignment="1">
      <alignment horizontal="center" vertical="center"/>
    </xf>
    <xf numFmtId="4" fontId="66" fillId="6" borderId="19" xfId="0" applyNumberFormat="1" applyFont="1" applyFill="1" applyBorder="1" applyAlignment="1">
      <alignment horizontal="center" vertical="center"/>
    </xf>
    <xf numFmtId="0" fontId="8" fillId="35" borderId="1" xfId="1" applyFont="1" applyFill="1" applyBorder="1" applyAlignment="1" applyProtection="1">
      <alignment vertical="center" wrapText="1"/>
    </xf>
    <xf numFmtId="0" fontId="6" fillId="35" borderId="1" xfId="1" applyFont="1" applyFill="1" applyBorder="1" applyAlignment="1" applyProtection="1">
      <alignment horizontal="center" vertical="center" wrapText="1"/>
    </xf>
    <xf numFmtId="0" fontId="8" fillId="35" borderId="20" xfId="1" applyFont="1" applyFill="1" applyBorder="1" applyAlignment="1" applyProtection="1">
      <alignment horizontal="center" vertical="center" wrapText="1"/>
    </xf>
    <xf numFmtId="2" fontId="6" fillId="35" borderId="13" xfId="1" applyNumberFormat="1" applyFont="1" applyFill="1" applyBorder="1" applyAlignment="1" applyProtection="1">
      <alignment horizontal="center" vertical="center" wrapText="1"/>
    </xf>
    <xf numFmtId="0" fontId="6" fillId="35" borderId="1" xfId="1" applyFill="1" applyBorder="1" applyAlignment="1" applyProtection="1">
      <alignment vertical="center" wrapText="1"/>
    </xf>
    <xf numFmtId="0" fontId="24" fillId="35" borderId="13" xfId="1" applyFont="1" applyFill="1" applyBorder="1" applyAlignment="1" applyProtection="1">
      <alignment horizontal="center" vertical="center" wrapText="1"/>
    </xf>
    <xf numFmtId="0" fontId="6" fillId="35" borderId="20" xfId="1" applyFill="1" applyBorder="1" applyAlignment="1" applyProtection="1">
      <alignment horizontal="center" vertical="center" wrapText="1"/>
    </xf>
    <xf numFmtId="0" fontId="6" fillId="0" borderId="36" xfId="1" applyFont="1" applyBorder="1" applyAlignment="1">
      <alignment horizontal="center" vertical="center" wrapText="1"/>
    </xf>
    <xf numFmtId="0" fontId="6" fillId="11" borderId="36" xfId="1" applyFill="1" applyBorder="1" applyAlignment="1">
      <alignment horizontal="center" vertical="center" wrapText="1"/>
    </xf>
    <xf numFmtId="0" fontId="14" fillId="0" borderId="1" xfId="1" applyFont="1" applyBorder="1" applyAlignment="1">
      <alignment horizontal="left" vertical="center" wrapText="1"/>
    </xf>
    <xf numFmtId="2" fontId="6" fillId="11" borderId="36" xfId="1" applyNumberFormat="1" applyFill="1" applyBorder="1" applyAlignment="1">
      <alignment horizontal="center" vertical="center" wrapText="1"/>
    </xf>
    <xf numFmtId="2" fontId="15" fillId="11" borderId="36" xfId="1" applyNumberFormat="1" applyFont="1" applyFill="1" applyBorder="1" applyAlignment="1">
      <alignment horizontal="center" vertical="center" wrapText="1"/>
    </xf>
    <xf numFmtId="0" fontId="6" fillId="0" borderId="70" xfId="1" applyBorder="1" applyAlignment="1">
      <alignment horizontal="center" vertical="center" wrapText="1"/>
    </xf>
    <xf numFmtId="0" fontId="6" fillId="38" borderId="36" xfId="1" applyFill="1" applyBorder="1" applyAlignment="1">
      <alignment horizontal="center" vertical="center" wrapText="1"/>
    </xf>
    <xf numFmtId="2" fontId="31" fillId="0" borderId="1" xfId="1" applyNumberFormat="1" applyFont="1" applyBorder="1" applyAlignment="1">
      <alignment horizontal="center" vertical="center" wrapText="1"/>
    </xf>
    <xf numFmtId="2" fontId="53" fillId="0" borderId="1" xfId="1" applyNumberFormat="1" applyFont="1" applyBorder="1" applyAlignment="1">
      <alignment horizontal="center" vertical="center" wrapText="1"/>
    </xf>
    <xf numFmtId="3" fontId="31" fillId="0" borderId="1" xfId="1" applyNumberFormat="1" applyFont="1" applyBorder="1" applyAlignment="1">
      <alignment horizontal="center" vertical="center" wrapText="1"/>
    </xf>
    <xf numFmtId="3" fontId="53" fillId="0" borderId="1" xfId="1" applyNumberFormat="1" applyFont="1" applyBorder="1" applyAlignment="1">
      <alignment horizontal="center" vertical="center" wrapText="1"/>
    </xf>
    <xf numFmtId="0" fontId="68" fillId="7" borderId="188" xfId="0" applyFont="1" applyFill="1" applyBorder="1" applyAlignment="1">
      <alignment horizontal="center" vertical="center"/>
    </xf>
    <xf numFmtId="0" fontId="68" fillId="7" borderId="127" xfId="0" applyFont="1" applyFill="1" applyBorder="1" applyAlignment="1">
      <alignment horizontal="center" vertical="center"/>
    </xf>
    <xf numFmtId="0" fontId="0" fillId="7" borderId="69" xfId="0" applyFill="1" applyBorder="1" applyAlignment="1">
      <alignment horizontal="center" vertical="center"/>
    </xf>
    <xf numFmtId="0" fontId="0" fillId="7" borderId="127" xfId="0" applyFill="1" applyBorder="1" applyAlignment="1">
      <alignment horizontal="center" vertical="center"/>
    </xf>
    <xf numFmtId="0" fontId="0" fillId="7" borderId="21" xfId="0" applyFill="1" applyBorder="1" applyAlignment="1">
      <alignment vertical="center"/>
    </xf>
    <xf numFmtId="0" fontId="0" fillId="7" borderId="17" xfId="0" applyFill="1" applyBorder="1" applyAlignment="1">
      <alignment vertical="center"/>
    </xf>
    <xf numFmtId="0" fontId="8" fillId="0" borderId="69" xfId="1" applyFont="1" applyBorder="1" applyAlignment="1">
      <alignment horizontal="center" vertical="center"/>
    </xf>
    <xf numFmtId="0" fontId="70" fillId="7" borderId="21" xfId="0" applyFont="1" applyFill="1" applyBorder="1" applyAlignment="1">
      <alignment vertical="center"/>
    </xf>
    <xf numFmtId="0" fontId="70" fillId="7" borderId="17" xfId="0" applyFont="1" applyFill="1" applyBorder="1" applyAlignment="1">
      <alignment horizontal="left" vertical="center"/>
    </xf>
    <xf numFmtId="0" fontId="6" fillId="7" borderId="69" xfId="0" applyFont="1" applyFill="1" applyBorder="1" applyAlignment="1">
      <alignment horizontal="center" vertical="center"/>
    </xf>
    <xf numFmtId="0" fontId="6" fillId="7" borderId="14" xfId="0" applyFont="1" applyFill="1" applyBorder="1" applyAlignment="1">
      <alignment horizontal="center" vertical="center"/>
    </xf>
    <xf numFmtId="0" fontId="17" fillId="7" borderId="69" xfId="0" applyFont="1" applyFill="1" applyBorder="1" applyAlignment="1">
      <alignment horizontal="center" vertical="center"/>
    </xf>
    <xf numFmtId="0" fontId="17" fillId="7" borderId="127" xfId="0" applyFont="1" applyFill="1" applyBorder="1" applyAlignment="1">
      <alignment horizontal="center" vertical="center"/>
    </xf>
    <xf numFmtId="0" fontId="71" fillId="7" borderId="21" xfId="0" applyFont="1" applyFill="1" applyBorder="1" applyAlignment="1">
      <alignment horizontal="left" vertical="center"/>
    </xf>
    <xf numFmtId="0" fontId="71" fillId="7" borderId="187" xfId="0" applyFont="1" applyFill="1" applyBorder="1" applyAlignment="1">
      <alignment horizontal="center" vertical="center"/>
    </xf>
    <xf numFmtId="0" fontId="71" fillId="7" borderId="16" xfId="0" applyFont="1" applyFill="1" applyBorder="1" applyAlignment="1">
      <alignment horizontal="left" vertical="center"/>
    </xf>
    <xf numFmtId="0" fontId="71" fillId="7" borderId="189" xfId="0" applyFont="1" applyFill="1" applyBorder="1" applyAlignment="1">
      <alignment horizontal="center" vertical="center"/>
    </xf>
    <xf numFmtId="0" fontId="71" fillId="7" borderId="193" xfId="0" applyFont="1" applyFill="1" applyBorder="1" applyAlignment="1">
      <alignment horizontal="left" vertical="center"/>
    </xf>
    <xf numFmtId="0" fontId="73" fillId="7" borderId="192" xfId="0" applyFont="1" applyFill="1" applyBorder="1" applyAlignment="1">
      <alignment horizontal="left" vertical="center"/>
    </xf>
    <xf numFmtId="0" fontId="0" fillId="7" borderId="192" xfId="0" applyFont="1" applyFill="1" applyBorder="1" applyAlignment="1">
      <alignment horizontal="center" vertical="center"/>
    </xf>
    <xf numFmtId="3" fontId="43" fillId="0" borderId="1" xfId="1" applyNumberFormat="1" applyFont="1" applyBorder="1" applyAlignment="1">
      <alignment horizontal="center" vertical="center" wrapText="1"/>
    </xf>
    <xf numFmtId="3" fontId="41" fillId="0" borderId="1" xfId="1" applyNumberFormat="1" applyFont="1" applyBorder="1" applyAlignment="1">
      <alignment horizontal="center" vertical="center" wrapText="1"/>
    </xf>
    <xf numFmtId="3" fontId="74" fillId="0" borderId="1" xfId="1" applyNumberFormat="1" applyFont="1" applyBorder="1" applyAlignment="1">
      <alignment horizontal="center" vertical="center" wrapText="1"/>
    </xf>
    <xf numFmtId="3" fontId="46" fillId="0" borderId="1" xfId="1" applyNumberFormat="1" applyFont="1" applyBorder="1" applyAlignment="1">
      <alignment horizontal="center" vertical="center" wrapText="1"/>
    </xf>
    <xf numFmtId="2" fontId="10" fillId="0" borderId="1" xfId="1" applyNumberFormat="1" applyFont="1" applyBorder="1" applyAlignment="1">
      <alignment horizontal="center" vertical="center" wrapText="1"/>
    </xf>
    <xf numFmtId="0" fontId="0" fillId="7" borderId="135" xfId="0" applyFill="1" applyBorder="1" applyAlignment="1">
      <alignment horizontal="center" vertical="center"/>
    </xf>
    <xf numFmtId="0" fontId="0" fillId="7" borderId="55" xfId="0" applyFill="1" applyBorder="1" applyAlignment="1">
      <alignment horizontal="center" vertical="center"/>
    </xf>
    <xf numFmtId="0" fontId="75" fillId="39" borderId="21" xfId="0" applyFont="1" applyFill="1" applyBorder="1" applyAlignment="1">
      <alignment horizontal="left" vertical="center"/>
    </xf>
    <xf numFmtId="0" fontId="76" fillId="39" borderId="69" xfId="0" applyFont="1" applyFill="1" applyBorder="1" applyAlignment="1">
      <alignment horizontal="center" vertical="center"/>
    </xf>
    <xf numFmtId="0" fontId="76" fillId="39" borderId="21" xfId="0" applyFont="1" applyFill="1" applyBorder="1" applyAlignment="1">
      <alignment horizontal="left" vertical="center"/>
    </xf>
    <xf numFmtId="0" fontId="76" fillId="39" borderId="17" xfId="0" applyFont="1" applyFill="1" applyBorder="1" applyAlignment="1">
      <alignment horizontal="center" vertical="center"/>
    </xf>
    <xf numFmtId="0" fontId="76" fillId="39" borderId="14" xfId="0" applyFont="1" applyFill="1" applyBorder="1" applyAlignment="1">
      <alignment horizontal="center" vertical="center"/>
    </xf>
    <xf numFmtId="0" fontId="76" fillId="39" borderId="17" xfId="0" applyFont="1" applyFill="1" applyBorder="1" applyAlignment="1">
      <alignment horizontal="left" vertical="center"/>
    </xf>
    <xf numFmtId="0" fontId="76" fillId="39" borderId="127" xfId="0" applyFont="1" applyFill="1" applyBorder="1" applyAlignment="1">
      <alignment horizontal="center" vertical="center"/>
    </xf>
    <xf numFmtId="0" fontId="76" fillId="0" borderId="14" xfId="0" applyFont="1" applyFill="1" applyBorder="1" applyAlignment="1">
      <alignment horizontal="center" vertical="center"/>
    </xf>
    <xf numFmtId="165" fontId="6" fillId="6" borderId="1" xfId="1" applyNumberFormat="1" applyFill="1" applyBorder="1" applyAlignment="1">
      <alignment horizontal="center" vertical="center" wrapText="1"/>
    </xf>
    <xf numFmtId="0" fontId="26" fillId="0" borderId="1" xfId="1" applyFont="1" applyBorder="1" applyAlignment="1">
      <alignment horizontal="center" vertical="center" wrapText="1"/>
    </xf>
    <xf numFmtId="0" fontId="78" fillId="0" borderId="17" xfId="0" applyFont="1" applyFill="1" applyBorder="1" applyAlignment="1">
      <alignment horizontal="left" vertical="center"/>
    </xf>
    <xf numFmtId="0" fontId="10" fillId="7" borderId="1" xfId="0" applyFont="1" applyFill="1" applyBorder="1" applyAlignment="1">
      <alignment horizontal="left" vertical="center"/>
    </xf>
    <xf numFmtId="0" fontId="71" fillId="7" borderId="1" xfId="0" applyFont="1" applyFill="1" applyBorder="1" applyAlignment="1">
      <alignment horizontal="center" vertical="center"/>
    </xf>
    <xf numFmtId="0" fontId="76" fillId="0" borderId="1" xfId="0" applyFont="1" applyFill="1" applyBorder="1" applyAlignment="1">
      <alignment horizontal="left" vertical="center"/>
    </xf>
    <xf numFmtId="0" fontId="76" fillId="0" borderId="1" xfId="0" applyFont="1" applyFill="1" applyBorder="1" applyAlignment="1">
      <alignment horizontal="center" vertical="center"/>
    </xf>
    <xf numFmtId="0" fontId="79" fillId="0" borderId="32" xfId="0" applyFont="1" applyFill="1" applyBorder="1" applyAlignment="1">
      <alignment horizontal="left" vertical="center"/>
    </xf>
    <xf numFmtId="0" fontId="6" fillId="6" borderId="4" xfId="1" applyFont="1" applyFill="1" applyBorder="1" applyAlignment="1">
      <alignment vertical="center"/>
    </xf>
    <xf numFmtId="3" fontId="6" fillId="6" borderId="1" xfId="1" applyNumberFormat="1" applyFill="1" applyBorder="1" applyAlignment="1">
      <alignment horizontal="center" vertical="center" wrapText="1"/>
    </xf>
    <xf numFmtId="0" fontId="6" fillId="6" borderId="7" xfId="1" applyFill="1" applyBorder="1" applyAlignment="1">
      <alignment horizontal="center" vertical="center" wrapText="1"/>
    </xf>
    <xf numFmtId="14" fontId="6" fillId="0" borderId="4" xfId="0" applyNumberFormat="1" applyFont="1" applyBorder="1" applyAlignment="1">
      <alignment horizontal="center"/>
    </xf>
    <xf numFmtId="0" fontId="61" fillId="7" borderId="1" xfId="0" applyFont="1" applyFill="1" applyBorder="1" applyAlignment="1">
      <alignment horizontal="center" vertical="center"/>
    </xf>
    <xf numFmtId="0" fontId="62" fillId="7" borderId="1" xfId="0" applyFont="1" applyFill="1" applyBorder="1" applyAlignment="1">
      <alignment horizontal="left" vertical="center"/>
    </xf>
    <xf numFmtId="0" fontId="63" fillId="7" borderId="1" xfId="0" applyFont="1" applyFill="1" applyBorder="1" applyAlignment="1">
      <alignment horizontal="center" vertical="center"/>
    </xf>
    <xf numFmtId="0" fontId="6" fillId="0" borderId="11" xfId="1" applyBorder="1" applyAlignment="1" applyProtection="1">
      <alignment horizontal="center" vertical="center"/>
    </xf>
    <xf numFmtId="0" fontId="8" fillId="0" borderId="1" xfId="1" applyFont="1" applyFill="1" applyBorder="1" applyAlignment="1" applyProtection="1">
      <alignment horizontal="center" vertical="center" wrapText="1"/>
    </xf>
    <xf numFmtId="0" fontId="6" fillId="0" borderId="20" xfId="1" applyBorder="1" applyAlignment="1" applyProtection="1">
      <alignment vertical="center"/>
    </xf>
    <xf numFmtId="0" fontId="8" fillId="0" borderId="20" xfId="1" applyFont="1" applyFill="1" applyBorder="1" applyAlignment="1" applyProtection="1">
      <alignment horizontal="center" vertical="center" wrapText="1"/>
    </xf>
    <xf numFmtId="0" fontId="6" fillId="0" borderId="13" xfId="1" applyBorder="1" applyAlignment="1" applyProtection="1">
      <alignment horizontal="center" vertical="center" wrapText="1"/>
    </xf>
    <xf numFmtId="0" fontId="6" fillId="0" borderId="13" xfId="1" applyBorder="1" applyAlignment="1" applyProtection="1">
      <alignment vertical="center"/>
    </xf>
    <xf numFmtId="0" fontId="32" fillId="0" borderId="51" xfId="1" applyFont="1" applyFill="1" applyBorder="1" applyAlignment="1" applyProtection="1">
      <alignment horizontal="center" vertical="center" wrapText="1"/>
    </xf>
    <xf numFmtId="2" fontId="6" fillId="36" borderId="13" xfId="1" applyNumberFormat="1" applyFont="1" applyFill="1" applyBorder="1" applyAlignment="1" applyProtection="1">
      <alignment horizontal="center" vertical="center" wrapText="1"/>
    </xf>
    <xf numFmtId="0" fontId="6" fillId="0" borderId="11" xfId="1" applyFill="1" applyBorder="1" applyAlignment="1">
      <alignment horizontal="center" vertical="center" wrapText="1"/>
    </xf>
    <xf numFmtId="0" fontId="0" fillId="7" borderId="195" xfId="0" applyFill="1" applyBorder="1" applyAlignment="1">
      <alignment horizontal="center" vertical="center"/>
    </xf>
    <xf numFmtId="0" fontId="0" fillId="7" borderId="195" xfId="0" applyFont="1" applyFill="1" applyBorder="1" applyAlignment="1">
      <alignment horizontal="center" vertical="center"/>
    </xf>
    <xf numFmtId="0" fontId="22" fillId="0" borderId="13" xfId="1" applyFont="1" applyFill="1" applyBorder="1" applyAlignment="1" applyProtection="1">
      <alignment horizontal="center" vertical="center" wrapText="1"/>
    </xf>
    <xf numFmtId="0" fontId="6" fillId="0" borderId="40" xfId="1" applyFill="1" applyBorder="1" applyAlignment="1" applyProtection="1">
      <alignment horizontal="center" vertical="center" wrapText="1"/>
    </xf>
    <xf numFmtId="0" fontId="10" fillId="0" borderId="40" xfId="1" applyFont="1" applyFill="1" applyBorder="1" applyAlignment="1" applyProtection="1">
      <alignment horizontal="center" vertical="center" wrapText="1"/>
    </xf>
    <xf numFmtId="0" fontId="22" fillId="0" borderId="40" xfId="1" applyFont="1" applyFill="1" applyBorder="1" applyAlignment="1" applyProtection="1">
      <alignment horizontal="center" vertical="center" wrapText="1"/>
    </xf>
    <xf numFmtId="2" fontId="6" fillId="0" borderId="40" xfId="1" applyNumberFormat="1" applyFont="1" applyFill="1" applyBorder="1" applyAlignment="1" applyProtection="1">
      <alignment horizontal="center" vertical="center" wrapText="1"/>
    </xf>
    <xf numFmtId="0" fontId="6" fillId="0" borderId="40" xfId="1" applyFill="1" applyBorder="1" applyAlignment="1" applyProtection="1">
      <alignment vertical="center"/>
    </xf>
    <xf numFmtId="0" fontId="24" fillId="0" borderId="40" xfId="1" applyFont="1" applyFill="1" applyBorder="1" applyAlignment="1" applyProtection="1">
      <alignment horizontal="center" vertical="center" wrapText="1"/>
    </xf>
    <xf numFmtId="0" fontId="32" fillId="0" borderId="40" xfId="1" applyFont="1" applyFill="1" applyBorder="1" applyAlignment="1" applyProtection="1">
      <alignment horizontal="center" vertical="center" wrapText="1"/>
    </xf>
    <xf numFmtId="0" fontId="8" fillId="7" borderId="187" xfId="1" applyFont="1" applyFill="1" applyBorder="1" applyAlignment="1" applyProtection="1">
      <alignment vertical="center" wrapText="1"/>
    </xf>
    <xf numFmtId="0" fontId="8" fillId="7" borderId="188" xfId="1" applyFont="1" applyFill="1" applyBorder="1" applyAlignment="1" applyProtection="1">
      <alignment vertical="center" wrapText="1"/>
    </xf>
    <xf numFmtId="0" fontId="8" fillId="7" borderId="188" xfId="1" applyFont="1" applyFill="1" applyBorder="1" applyAlignment="1" applyProtection="1">
      <alignment horizontal="center" vertical="center" wrapText="1"/>
    </xf>
    <xf numFmtId="0" fontId="8" fillId="7" borderId="197" xfId="1" applyFont="1" applyFill="1" applyBorder="1" applyAlignment="1" applyProtection="1">
      <alignment horizontal="center" vertical="center" wrapText="1"/>
    </xf>
    <xf numFmtId="0" fontId="32" fillId="7" borderId="198" xfId="1" applyFont="1" applyFill="1" applyBorder="1" applyAlignment="1" applyProtection="1">
      <alignment horizontal="center" vertical="center" wrapText="1"/>
    </xf>
    <xf numFmtId="0" fontId="8" fillId="7" borderId="125" xfId="1" applyFont="1" applyFill="1" applyBorder="1" applyAlignment="1" applyProtection="1">
      <alignment vertical="center" wrapText="1"/>
    </xf>
    <xf numFmtId="0" fontId="6" fillId="7" borderId="127" xfId="1" applyFill="1" applyBorder="1" applyAlignment="1" applyProtection="1">
      <alignment vertical="center" wrapText="1"/>
    </xf>
    <xf numFmtId="0" fontId="6" fillId="7" borderId="127" xfId="1" applyFill="1" applyBorder="1" applyAlignment="1" applyProtection="1">
      <alignment horizontal="center" vertical="center" wrapText="1"/>
    </xf>
    <xf numFmtId="0" fontId="6" fillId="7" borderId="199" xfId="1" applyFill="1" applyBorder="1" applyAlignment="1" applyProtection="1">
      <alignment horizontal="center" vertical="center" wrapText="1"/>
    </xf>
    <xf numFmtId="164" fontId="32" fillId="7" borderId="122" xfId="1" applyNumberFormat="1" applyFont="1" applyFill="1" applyBorder="1" applyAlignment="1" applyProtection="1">
      <alignment horizontal="center" vertical="center" wrapText="1"/>
    </xf>
    <xf numFmtId="0" fontId="6" fillId="36" borderId="36" xfId="1" applyFill="1" applyBorder="1" applyAlignment="1">
      <alignment horizontal="center" vertical="center" wrapText="1"/>
    </xf>
    <xf numFmtId="0" fontId="6" fillId="11" borderId="0" xfId="1" applyFill="1" applyAlignment="1">
      <alignment horizontal="center" vertical="center" wrapText="1"/>
    </xf>
    <xf numFmtId="3" fontId="6" fillId="10" borderId="1" xfId="1" applyNumberFormat="1" applyFill="1" applyBorder="1" applyAlignment="1">
      <alignment horizontal="center" vertical="center" wrapText="1"/>
    </xf>
    <xf numFmtId="0" fontId="8" fillId="0" borderId="9" xfId="1" applyFont="1" applyBorder="1" applyAlignment="1">
      <alignment horizontal="center" vertical="center"/>
    </xf>
    <xf numFmtId="3" fontId="6" fillId="0" borderId="9" xfId="1" applyNumberFormat="1" applyBorder="1" applyAlignment="1">
      <alignment horizontal="center" vertical="center" wrapText="1"/>
    </xf>
    <xf numFmtId="0" fontId="6" fillId="0" borderId="9" xfId="1" applyBorder="1"/>
    <xf numFmtId="3" fontId="6" fillId="0" borderId="83" xfId="1" applyNumberFormat="1" applyBorder="1" applyAlignment="1">
      <alignment horizontal="center" vertical="center" wrapText="1"/>
    </xf>
    <xf numFmtId="0" fontId="6" fillId="0" borderId="83" xfId="1" applyBorder="1"/>
    <xf numFmtId="0" fontId="8" fillId="0" borderId="200" xfId="1" applyFont="1" applyFill="1" applyBorder="1" applyAlignment="1">
      <alignment horizontal="center" vertical="center"/>
    </xf>
    <xf numFmtId="0" fontId="6" fillId="0" borderId="200" xfId="1" applyFill="1" applyBorder="1" applyAlignment="1">
      <alignment horizontal="center" vertical="center" wrapText="1"/>
    </xf>
    <xf numFmtId="3" fontId="6" fillId="0" borderId="200" xfId="1" applyNumberFormat="1" applyBorder="1" applyAlignment="1">
      <alignment horizontal="center" vertical="center" wrapText="1"/>
    </xf>
    <xf numFmtId="0" fontId="6" fillId="0" borderId="200" xfId="1" applyBorder="1"/>
    <xf numFmtId="0" fontId="6" fillId="0" borderId="200" xfId="1" applyBorder="1" applyAlignment="1">
      <alignment horizontal="center" vertical="center" wrapText="1"/>
    </xf>
    <xf numFmtId="0" fontId="61" fillId="7" borderId="19" xfId="0" applyFont="1" applyFill="1" applyBorder="1" applyAlignment="1">
      <alignment horizontal="center" vertical="center"/>
    </xf>
    <xf numFmtId="0" fontId="6" fillId="0" borderId="204" xfId="1" applyFont="1" applyFill="1" applyBorder="1" applyAlignment="1">
      <alignment horizontal="left" vertical="center"/>
    </xf>
    <xf numFmtId="0" fontId="8" fillId="0" borderId="205" xfId="1" applyFont="1" applyBorder="1" applyAlignment="1">
      <alignment horizontal="center" vertical="center"/>
    </xf>
    <xf numFmtId="0" fontId="6" fillId="0" borderId="205" xfId="1" applyBorder="1" applyAlignment="1">
      <alignment horizontal="center" vertical="center" wrapText="1"/>
    </xf>
    <xf numFmtId="3" fontId="6" fillId="0" borderId="205" xfId="1" applyNumberFormat="1" applyBorder="1" applyAlignment="1">
      <alignment horizontal="center" vertical="center" wrapText="1"/>
    </xf>
    <xf numFmtId="0" fontId="6" fillId="0" borderId="205" xfId="1" applyBorder="1"/>
    <xf numFmtId="3" fontId="6" fillId="0" borderId="206" xfId="1" applyNumberFormat="1" applyBorder="1" applyAlignment="1">
      <alignment horizontal="center" vertical="center" wrapText="1"/>
    </xf>
    <xf numFmtId="0" fontId="6" fillId="0" borderId="206" xfId="1" applyBorder="1"/>
    <xf numFmtId="0" fontId="8" fillId="0" borderId="200" xfId="1" applyFont="1" applyBorder="1" applyAlignment="1">
      <alignment horizontal="center" vertical="center"/>
    </xf>
    <xf numFmtId="0" fontId="61" fillId="7" borderId="207" xfId="0" applyFont="1" applyFill="1" applyBorder="1" applyAlignment="1">
      <alignment horizontal="center" vertical="center"/>
    </xf>
    <xf numFmtId="0" fontId="8" fillId="0" borderId="208" xfId="1" applyFont="1" applyBorder="1" applyAlignment="1">
      <alignment horizontal="center" vertical="center"/>
    </xf>
    <xf numFmtId="0" fontId="6" fillId="0" borderId="208" xfId="1" applyBorder="1" applyAlignment="1">
      <alignment horizontal="center" vertical="center" wrapText="1"/>
    </xf>
    <xf numFmtId="0" fontId="61" fillId="7" borderId="209" xfId="0" applyFont="1" applyFill="1" applyBorder="1" applyAlignment="1">
      <alignment horizontal="center" vertical="center"/>
    </xf>
    <xf numFmtId="3" fontId="6" fillId="0" borderId="208" xfId="1" applyNumberFormat="1" applyBorder="1" applyAlignment="1">
      <alignment horizontal="center" vertical="center" wrapText="1"/>
    </xf>
    <xf numFmtId="0" fontId="6" fillId="0" borderId="208" xfId="1" applyBorder="1"/>
    <xf numFmtId="0" fontId="6" fillId="6" borderId="210" xfId="1" applyFont="1" applyFill="1" applyBorder="1" applyAlignment="1">
      <alignment horizontal="left" vertical="center"/>
    </xf>
    <xf numFmtId="0" fontId="6" fillId="7" borderId="204" xfId="0" applyFont="1" applyFill="1" applyBorder="1" applyAlignment="1">
      <alignment horizontal="left" vertical="center"/>
    </xf>
    <xf numFmtId="0" fontId="6" fillId="7" borderId="212" xfId="0" applyFont="1" applyFill="1" applyBorder="1" applyAlignment="1">
      <alignment horizontal="left" vertical="center"/>
    </xf>
    <xf numFmtId="0" fontId="61" fillId="7" borderId="64" xfId="0" applyFont="1" applyFill="1" applyBorder="1" applyAlignment="1">
      <alignment horizontal="center" vertical="center"/>
    </xf>
    <xf numFmtId="0" fontId="0" fillId="0" borderId="0" xfId="0" applyAlignment="1">
      <alignment vertical="center"/>
    </xf>
    <xf numFmtId="0" fontId="10" fillId="6" borderId="20" xfId="0" applyFont="1" applyFill="1" applyBorder="1" applyAlignment="1">
      <alignment vertical="center"/>
    </xf>
    <xf numFmtId="0" fontId="0" fillId="6" borderId="15" xfId="0" applyFill="1" applyBorder="1" applyAlignment="1">
      <alignment vertical="center"/>
    </xf>
    <xf numFmtId="0" fontId="0" fillId="6" borderId="11" xfId="0" applyFill="1" applyBorder="1" applyAlignment="1">
      <alignment vertical="center"/>
    </xf>
    <xf numFmtId="0" fontId="10" fillId="6" borderId="69" xfId="0" applyFont="1" applyFill="1" applyBorder="1" applyAlignment="1">
      <alignment horizontal="center" vertical="center"/>
    </xf>
    <xf numFmtId="0" fontId="10" fillId="6" borderId="14" xfId="0" applyFont="1" applyFill="1" applyBorder="1" applyAlignment="1">
      <alignment horizontal="center" vertical="center"/>
    </xf>
    <xf numFmtId="0" fontId="26" fillId="6" borderId="1" xfId="8" applyFont="1" applyFill="1" applyBorder="1" applyAlignment="1">
      <alignment vertical="center"/>
    </xf>
    <xf numFmtId="0" fontId="10" fillId="0" borderId="1" xfId="8" applyFont="1" applyFill="1" applyBorder="1" applyAlignment="1">
      <alignment vertical="center"/>
    </xf>
    <xf numFmtId="0" fontId="13" fillId="19" borderId="1" xfId="8" applyFont="1" applyFill="1" applyBorder="1" applyAlignment="1">
      <alignment vertical="center" wrapText="1"/>
    </xf>
    <xf numFmtId="0" fontId="6" fillId="0" borderId="0" xfId="8" applyFont="1" applyAlignment="1">
      <alignment vertical="center"/>
    </xf>
    <xf numFmtId="0" fontId="26" fillId="6" borderId="36" xfId="8" applyFont="1" applyFill="1" applyBorder="1" applyAlignment="1">
      <alignment vertical="center"/>
    </xf>
    <xf numFmtId="0" fontId="11" fillId="0" borderId="22" xfId="8" applyFont="1" applyBorder="1" applyAlignment="1">
      <alignment horizontal="left" vertical="center" wrapText="1" indent="4"/>
    </xf>
    <xf numFmtId="0" fontId="10" fillId="0" borderId="22" xfId="8" applyFont="1" applyBorder="1" applyAlignment="1">
      <alignment vertical="center"/>
    </xf>
    <xf numFmtId="0" fontId="11" fillId="0" borderId="9" xfId="8" applyFont="1" applyBorder="1" applyAlignment="1">
      <alignment horizontal="left" vertical="center" wrapText="1" indent="4"/>
    </xf>
    <xf numFmtId="0" fontId="11" fillId="0" borderId="0" xfId="8" applyFont="1" applyAlignment="1">
      <alignment horizontal="left" vertical="center" wrapText="1" indent="4"/>
    </xf>
    <xf numFmtId="0" fontId="6" fillId="6" borderId="0" xfId="8" applyFill="1" applyAlignment="1">
      <alignment vertical="center"/>
    </xf>
    <xf numFmtId="0" fontId="6" fillId="0" borderId="0" xfId="8" applyFont="1" applyAlignment="1">
      <alignment vertical="center" wrapText="1"/>
    </xf>
    <xf numFmtId="0" fontId="6" fillId="9" borderId="0" xfId="8" applyFont="1" applyFill="1" applyAlignment="1">
      <alignment vertical="center" wrapText="1"/>
    </xf>
    <xf numFmtId="0" fontId="26" fillId="6" borderId="0" xfId="8" applyFont="1" applyFill="1" applyAlignment="1">
      <alignment vertical="center" wrapText="1"/>
    </xf>
    <xf numFmtId="0" fontId="6" fillId="0" borderId="0" xfId="8" applyAlignment="1">
      <alignment vertical="center"/>
    </xf>
    <xf numFmtId="0" fontId="10" fillId="0" borderId="61" xfId="1" applyFont="1" applyFill="1" applyBorder="1" applyAlignment="1" applyProtection="1">
      <alignment vertical="center" wrapText="1"/>
    </xf>
    <xf numFmtId="0" fontId="20" fillId="0" borderId="41" xfId="1" applyFont="1" applyBorder="1" applyAlignment="1" applyProtection="1">
      <alignment vertical="center" wrapText="1"/>
    </xf>
    <xf numFmtId="0" fontId="20" fillId="0" borderId="41" xfId="1" applyFont="1" applyFill="1" applyBorder="1" applyAlignment="1" applyProtection="1">
      <alignment vertical="center" wrapText="1"/>
    </xf>
    <xf numFmtId="0" fontId="6" fillId="35" borderId="41" xfId="1" applyFill="1" applyBorder="1" applyAlignment="1" applyProtection="1">
      <alignment vertical="center" wrapText="1"/>
    </xf>
    <xf numFmtId="0" fontId="6" fillId="0" borderId="41" xfId="1" applyBorder="1" applyAlignment="1" applyProtection="1">
      <alignment vertical="center" wrapText="1"/>
    </xf>
    <xf numFmtId="0" fontId="6" fillId="0" borderId="41" xfId="1" applyFill="1" applyBorder="1" applyAlignment="1" applyProtection="1">
      <alignment vertical="center" wrapText="1"/>
    </xf>
    <xf numFmtId="0" fontId="6" fillId="0" borderId="42" xfId="1" applyFill="1" applyBorder="1" applyAlignment="1" applyProtection="1">
      <alignment vertical="center" wrapText="1"/>
    </xf>
    <xf numFmtId="0" fontId="10" fillId="0" borderId="214" xfId="1" applyFont="1" applyFill="1" applyBorder="1" applyAlignment="1" applyProtection="1">
      <alignment horizontal="center" vertical="center" wrapText="1"/>
    </xf>
    <xf numFmtId="0" fontId="10" fillId="0" borderId="215" xfId="1" applyFont="1" applyFill="1" applyBorder="1" applyAlignment="1" applyProtection="1">
      <alignment horizontal="center" vertical="center" wrapText="1"/>
    </xf>
    <xf numFmtId="0" fontId="22" fillId="6" borderId="216" xfId="1" applyFont="1" applyFill="1" applyBorder="1" applyAlignment="1" applyProtection="1">
      <alignment horizontal="center" vertical="center" wrapText="1"/>
    </xf>
    <xf numFmtId="0" fontId="22" fillId="6" borderId="217" xfId="1" applyFont="1" applyFill="1" applyBorder="1" applyAlignment="1" applyProtection="1">
      <alignment horizontal="center" vertical="center" wrapText="1"/>
    </xf>
    <xf numFmtId="0" fontId="44" fillId="37" borderId="216" xfId="1" applyFont="1" applyFill="1" applyBorder="1" applyAlignment="1" applyProtection="1">
      <alignment horizontal="center" vertical="center" wrapText="1"/>
    </xf>
    <xf numFmtId="0" fontId="8" fillId="0" borderId="217" xfId="1" applyFont="1" applyBorder="1" applyAlignment="1" applyProtection="1">
      <alignment horizontal="center" vertical="center" wrapText="1"/>
    </xf>
    <xf numFmtId="2" fontId="67" fillId="37" borderId="216" xfId="3" applyNumberFormat="1" applyFont="1" applyFill="1" applyBorder="1" applyAlignment="1" applyProtection="1">
      <alignment horizontal="center" vertical="center" wrapText="1"/>
      <protection locked="0"/>
    </xf>
    <xf numFmtId="2" fontId="48" fillId="30" borderId="217" xfId="2" applyNumberFormat="1" applyBorder="1" applyAlignment="1" applyProtection="1">
      <alignment horizontal="center" vertical="center" wrapText="1"/>
      <protection locked="0"/>
    </xf>
    <xf numFmtId="2" fontId="24" fillId="10" borderId="217" xfId="1" applyNumberFormat="1" applyFont="1" applyFill="1" applyBorder="1" applyAlignment="1" applyProtection="1">
      <alignment horizontal="center" vertical="center" wrapText="1"/>
      <protection locked="0"/>
    </xf>
    <xf numFmtId="2" fontId="49" fillId="31" borderId="217" xfId="3" applyNumberFormat="1" applyBorder="1" applyAlignment="1" applyProtection="1">
      <alignment horizontal="center" vertical="center" wrapText="1"/>
      <protection locked="0"/>
    </xf>
    <xf numFmtId="2" fontId="49" fillId="35" borderId="216" xfId="3" applyNumberFormat="1" applyFill="1" applyBorder="1" applyAlignment="1" applyProtection="1">
      <alignment horizontal="center" vertical="center" wrapText="1"/>
      <protection locked="0"/>
    </xf>
    <xf numFmtId="2" fontId="24" fillId="35" borderId="217" xfId="1" applyNumberFormat="1" applyFont="1" applyFill="1" applyBorder="1" applyAlignment="1" applyProtection="1">
      <alignment horizontal="center" vertical="center" wrapText="1"/>
      <protection locked="0"/>
    </xf>
    <xf numFmtId="0" fontId="6" fillId="0" borderId="216" xfId="1" applyBorder="1" applyAlignment="1" applyProtection="1">
      <alignment vertical="center"/>
    </xf>
    <xf numFmtId="0" fontId="6" fillId="0" borderId="217" xfId="1" applyBorder="1" applyAlignment="1" applyProtection="1">
      <alignment vertical="center"/>
    </xf>
    <xf numFmtId="0" fontId="8" fillId="0" borderId="216" xfId="1" applyFont="1" applyBorder="1" applyAlignment="1" applyProtection="1">
      <alignment horizontal="center" vertical="center" wrapText="1"/>
    </xf>
    <xf numFmtId="2" fontId="57" fillId="34" borderId="217" xfId="5" applyNumberFormat="1" applyBorder="1" applyAlignment="1" applyProtection="1">
      <alignment horizontal="center" vertical="center" wrapText="1"/>
      <protection locked="0"/>
    </xf>
    <xf numFmtId="2" fontId="67" fillId="6" borderId="216" xfId="3" applyNumberFormat="1" applyFont="1" applyFill="1" applyBorder="1" applyAlignment="1" applyProtection="1">
      <alignment horizontal="center" vertical="center" wrapText="1"/>
      <protection locked="0"/>
    </xf>
    <xf numFmtId="2" fontId="57" fillId="35" borderId="217" xfId="5" applyNumberFormat="1" applyFill="1" applyBorder="1" applyAlignment="1" applyProtection="1">
      <alignment horizontal="center" vertical="center" wrapText="1"/>
      <protection locked="0"/>
    </xf>
    <xf numFmtId="0" fontId="24" fillId="0" borderId="216" xfId="1" applyFont="1" applyBorder="1" applyAlignment="1" applyProtection="1">
      <alignment horizontal="center" vertical="center" wrapText="1"/>
    </xf>
    <xf numFmtId="0" fontId="24" fillId="0" borderId="217" xfId="1" applyFont="1" applyBorder="1" applyAlignment="1" applyProtection="1">
      <alignment horizontal="center" vertical="center" wrapText="1"/>
    </xf>
    <xf numFmtId="2" fontId="81" fillId="0" borderId="217" xfId="2" applyNumberFormat="1" applyFont="1" applyFill="1" applyBorder="1" applyAlignment="1" applyProtection="1">
      <alignment horizontal="center" vertical="center" wrapText="1"/>
      <protection locked="0"/>
    </xf>
    <xf numFmtId="2" fontId="6" fillId="0" borderId="217" xfId="1" applyNumberFormat="1" applyFont="1" applyFill="1" applyBorder="1" applyAlignment="1" applyProtection="1">
      <alignment horizontal="center" vertical="center" wrapText="1"/>
      <protection locked="0"/>
    </xf>
    <xf numFmtId="2" fontId="81" fillId="0" borderId="217" xfId="3" applyNumberFormat="1" applyFont="1" applyFill="1" applyBorder="1" applyAlignment="1" applyProtection="1">
      <alignment horizontal="center" vertical="center" wrapText="1"/>
      <protection locked="0"/>
    </xf>
    <xf numFmtId="2" fontId="48" fillId="35" borderId="216" xfId="2" applyNumberFormat="1" applyFill="1" applyBorder="1" applyAlignment="1" applyProtection="1">
      <alignment horizontal="center" vertical="center" wrapText="1"/>
      <protection locked="0"/>
    </xf>
    <xf numFmtId="0" fontId="24" fillId="6" borderId="216" xfId="1" applyFont="1" applyFill="1" applyBorder="1" applyAlignment="1" applyProtection="1">
      <alignment horizontal="center" vertical="center" wrapText="1"/>
    </xf>
    <xf numFmtId="0" fontId="57" fillId="34" borderId="217" xfId="5" applyBorder="1" applyAlignment="1" applyProtection="1">
      <alignment horizontal="center" vertical="center" wrapText="1"/>
    </xf>
    <xf numFmtId="0" fontId="43" fillId="37" borderId="216" xfId="1" applyFont="1" applyFill="1" applyBorder="1" applyAlignment="1" applyProtection="1">
      <alignment horizontal="center" vertical="center" wrapText="1"/>
    </xf>
    <xf numFmtId="0" fontId="24" fillId="35" borderId="216" xfId="1" applyFont="1" applyFill="1" applyBorder="1" applyAlignment="1" applyProtection="1">
      <alignment horizontal="center" vertical="center" wrapText="1"/>
    </xf>
    <xf numFmtId="0" fontId="24" fillId="35" borderId="217" xfId="1" applyFont="1" applyFill="1" applyBorder="1" applyAlignment="1" applyProtection="1">
      <alignment horizontal="center" vertical="center" wrapText="1"/>
    </xf>
    <xf numFmtId="0" fontId="8" fillId="0" borderId="216" xfId="1" applyFont="1" applyFill="1" applyBorder="1" applyAlignment="1" applyProtection="1">
      <alignment horizontal="center" vertical="center" wrapText="1"/>
    </xf>
    <xf numFmtId="0" fontId="8" fillId="0" borderId="217" xfId="1" applyFont="1" applyFill="1" applyBorder="1" applyAlignment="1" applyProtection="1">
      <alignment horizontal="center" vertical="center" wrapText="1"/>
    </xf>
    <xf numFmtId="0" fontId="8" fillId="0" borderId="218" xfId="1" applyFont="1" applyFill="1" applyBorder="1" applyAlignment="1" applyProtection="1">
      <alignment horizontal="center" vertical="center" wrapText="1"/>
    </xf>
    <xf numFmtId="0" fontId="8" fillId="0" borderId="219" xfId="1" applyFont="1" applyFill="1" applyBorder="1" applyAlignment="1" applyProtection="1">
      <alignment horizontal="center" vertical="center" wrapText="1"/>
    </xf>
    <xf numFmtId="0" fontId="0" fillId="7" borderId="59" xfId="0" applyFill="1" applyBorder="1" applyAlignment="1">
      <alignment horizontal="left" vertical="center"/>
    </xf>
    <xf numFmtId="0" fontId="8" fillId="0" borderId="3" xfId="1" applyFont="1" applyBorder="1" applyAlignment="1">
      <alignment horizontal="center" vertical="center"/>
    </xf>
    <xf numFmtId="0" fontId="61" fillId="7" borderId="171" xfId="0" applyFont="1" applyFill="1" applyBorder="1" applyAlignment="1">
      <alignment horizontal="center" vertical="center"/>
    </xf>
    <xf numFmtId="3" fontId="6" fillId="0" borderId="3" xfId="1" applyNumberFormat="1" applyBorder="1" applyAlignment="1">
      <alignment horizontal="center" vertical="center" wrapText="1"/>
    </xf>
    <xf numFmtId="0" fontId="6" fillId="0" borderId="3" xfId="1" applyBorder="1"/>
    <xf numFmtId="4" fontId="6" fillId="6" borderId="1" xfId="1" applyNumberFormat="1" applyFill="1" applyBorder="1" applyAlignment="1">
      <alignment horizontal="center" vertical="center" wrapText="1"/>
    </xf>
    <xf numFmtId="0" fontId="6" fillId="0" borderId="36" xfId="1" applyFont="1" applyBorder="1" applyAlignment="1">
      <alignment horizontal="left" vertical="center" wrapText="1"/>
    </xf>
    <xf numFmtId="0" fontId="6" fillId="0" borderId="36" xfId="1" applyFont="1" applyBorder="1" applyAlignment="1">
      <alignment horizontal="center" vertical="center"/>
    </xf>
    <xf numFmtId="0" fontId="10" fillId="0" borderId="1" xfId="1" applyFont="1" applyFill="1" applyBorder="1" applyAlignment="1">
      <alignment horizontal="left" vertical="center" wrapText="1"/>
    </xf>
    <xf numFmtId="0" fontId="6" fillId="0" borderId="11" xfId="1" quotePrefix="1" applyBorder="1" applyAlignment="1">
      <alignment horizontal="center" vertical="center" wrapText="1"/>
    </xf>
    <xf numFmtId="2" fontId="6" fillId="0" borderId="1" xfId="1" applyNumberFormat="1" applyFont="1" applyBorder="1" applyAlignment="1">
      <alignment horizontal="center" vertical="center" wrapText="1"/>
    </xf>
    <xf numFmtId="0" fontId="6" fillId="0" borderId="1" xfId="1" applyFont="1" applyFill="1" applyBorder="1" applyAlignment="1">
      <alignment horizontal="left" vertical="center" wrapText="1"/>
    </xf>
    <xf numFmtId="1" fontId="6" fillId="0" borderId="1" xfId="1" applyNumberFormat="1" applyBorder="1" applyAlignment="1">
      <alignment horizontal="center" vertical="center" wrapText="1"/>
    </xf>
    <xf numFmtId="0" fontId="83" fillId="0" borderId="1" xfId="1" applyFont="1" applyBorder="1" applyAlignment="1">
      <alignment horizontal="left" vertical="center"/>
    </xf>
    <xf numFmtId="0" fontId="83" fillId="0" borderId="1" xfId="1" applyFont="1" applyFill="1" applyBorder="1" applyAlignment="1">
      <alignment horizontal="left" vertical="center" wrapText="1"/>
    </xf>
    <xf numFmtId="0" fontId="14" fillId="0" borderId="1" xfId="1" applyFont="1" applyBorder="1" applyAlignment="1">
      <alignment horizontal="left" vertical="center" wrapText="1" indent="1"/>
    </xf>
    <xf numFmtId="0" fontId="14" fillId="0" borderId="1" xfId="1" applyFont="1" applyFill="1" applyBorder="1" applyAlignment="1">
      <alignment horizontal="left" vertical="center" wrapText="1"/>
    </xf>
    <xf numFmtId="164" fontId="6" fillId="0" borderId="1" xfId="1" applyNumberFormat="1" applyFont="1" applyBorder="1" applyAlignment="1">
      <alignment horizontal="center" vertical="center" wrapText="1"/>
    </xf>
    <xf numFmtId="3" fontId="14" fillId="0" borderId="1" xfId="1" applyNumberFormat="1" applyFont="1" applyBorder="1" applyAlignment="1">
      <alignment horizontal="center" vertical="center" wrapText="1"/>
    </xf>
    <xf numFmtId="0" fontId="14" fillId="0" borderId="0" xfId="1" applyFont="1" applyAlignment="1">
      <alignment horizontal="left" vertical="center" wrapText="1"/>
    </xf>
    <xf numFmtId="0" fontId="6" fillId="0" borderId="0" xfId="1" applyBorder="1" applyAlignment="1"/>
    <xf numFmtId="0" fontId="10" fillId="6" borderId="32" xfId="1" applyFont="1" applyFill="1" applyBorder="1" applyAlignment="1" applyProtection="1">
      <alignment vertical="center" wrapText="1"/>
    </xf>
    <xf numFmtId="0" fontId="6" fillId="6" borderId="24" xfId="1" applyFill="1" applyBorder="1" applyAlignment="1"/>
    <xf numFmtId="0" fontId="30" fillId="6" borderId="40" xfId="1" applyFont="1" applyFill="1" applyBorder="1" applyAlignment="1" applyProtection="1">
      <alignment vertical="center" wrapText="1"/>
    </xf>
    <xf numFmtId="0" fontId="6" fillId="6" borderId="27" xfId="1" applyFill="1" applyBorder="1" applyAlignment="1"/>
    <xf numFmtId="0" fontId="10" fillId="6" borderId="53" xfId="1" applyFont="1" applyFill="1" applyBorder="1" applyAlignment="1" applyProtection="1">
      <alignment vertical="center" wrapText="1"/>
    </xf>
    <xf numFmtId="0" fontId="10" fillId="6" borderId="46" xfId="1" applyFont="1" applyFill="1" applyBorder="1" applyAlignment="1"/>
    <xf numFmtId="0" fontId="10" fillId="6" borderId="47" xfId="1" applyFont="1" applyFill="1" applyBorder="1" applyAlignment="1"/>
    <xf numFmtId="0" fontId="10" fillId="9" borderId="45" xfId="1" applyFont="1" applyFill="1" applyBorder="1" applyAlignment="1"/>
    <xf numFmtId="0" fontId="10" fillId="9" borderId="46" xfId="1" applyFont="1" applyFill="1" applyBorder="1" applyAlignment="1"/>
    <xf numFmtId="0" fontId="6" fillId="0" borderId="0" xfId="1" applyAlignment="1">
      <alignment horizontal="center"/>
    </xf>
    <xf numFmtId="0" fontId="10" fillId="6" borderId="52" xfId="1" applyFont="1" applyFill="1" applyBorder="1" applyAlignment="1">
      <alignment horizontal="center"/>
    </xf>
    <xf numFmtId="0" fontId="6" fillId="7" borderId="0" xfId="1" applyFill="1" applyBorder="1" applyAlignment="1"/>
    <xf numFmtId="0" fontId="6" fillId="0" borderId="0" xfId="1" applyFill="1" applyBorder="1" applyAlignment="1"/>
    <xf numFmtId="0" fontId="6" fillId="37" borderId="23" xfId="1" applyFill="1" applyBorder="1" applyAlignment="1"/>
    <xf numFmtId="0" fontId="6" fillId="37" borderId="24" xfId="1" applyFill="1" applyBorder="1" applyAlignment="1"/>
    <xf numFmtId="0" fontId="10" fillId="37" borderId="53" xfId="1" applyFont="1" applyFill="1" applyBorder="1" applyAlignment="1">
      <alignment horizontal="center"/>
    </xf>
    <xf numFmtId="0" fontId="10" fillId="37" borderId="30" xfId="1" applyFont="1" applyFill="1" applyBorder="1" applyAlignment="1">
      <alignment horizontal="center"/>
    </xf>
    <xf numFmtId="0" fontId="10" fillId="37" borderId="52" xfId="1" applyFont="1" applyFill="1" applyBorder="1" applyAlignment="1">
      <alignment horizontal="center"/>
    </xf>
    <xf numFmtId="0" fontId="6" fillId="10" borderId="220" xfId="1" applyFill="1" applyBorder="1" applyAlignment="1"/>
    <xf numFmtId="0" fontId="6" fillId="10" borderId="221" xfId="1" applyFill="1" applyBorder="1" applyAlignment="1"/>
    <xf numFmtId="0" fontId="6" fillId="10" borderId="43" xfId="1" applyFill="1" applyBorder="1" applyAlignment="1"/>
    <xf numFmtId="0" fontId="6" fillId="10" borderId="207" xfId="1" applyFill="1" applyBorder="1" applyAlignment="1"/>
    <xf numFmtId="0" fontId="6" fillId="10" borderId="222" xfId="1" applyFill="1" applyBorder="1" applyAlignment="1"/>
    <xf numFmtId="0" fontId="6" fillId="10" borderId="223" xfId="1" applyFill="1" applyBorder="1" applyAlignment="1"/>
    <xf numFmtId="0" fontId="84" fillId="37" borderId="32" xfId="1" applyFont="1" applyFill="1" applyBorder="1" applyAlignment="1"/>
    <xf numFmtId="0" fontId="6" fillId="10" borderId="28" xfId="1" applyFill="1" applyBorder="1" applyAlignment="1"/>
    <xf numFmtId="0" fontId="6" fillId="0" borderId="66" xfId="1" applyBorder="1" applyAlignment="1"/>
    <xf numFmtId="0" fontId="6" fillId="10" borderId="66" xfId="1" applyFill="1" applyBorder="1" applyAlignment="1"/>
    <xf numFmtId="0" fontId="6" fillId="10" borderId="201" xfId="1" applyFill="1" applyBorder="1" applyAlignment="1"/>
    <xf numFmtId="0" fontId="6" fillId="10" borderId="202" xfId="1" applyFill="1" applyBorder="1" applyAlignment="1"/>
    <xf numFmtId="0" fontId="6" fillId="10" borderId="203" xfId="1" applyFill="1" applyBorder="1" applyAlignment="1"/>
    <xf numFmtId="0" fontId="6" fillId="10" borderId="65" xfId="1" applyFill="1" applyBorder="1" applyAlignment="1"/>
    <xf numFmtId="0" fontId="6" fillId="10" borderId="224" xfId="1" applyFill="1" applyBorder="1" applyAlignment="1"/>
    <xf numFmtId="0" fontId="6" fillId="10" borderId="205" xfId="1" applyFill="1" applyBorder="1" applyAlignment="1"/>
    <xf numFmtId="0" fontId="6" fillId="10" borderId="31" xfId="1" applyFill="1" applyBorder="1" applyAlignment="1"/>
    <xf numFmtId="0" fontId="6" fillId="10" borderId="68" xfId="1" applyFill="1" applyBorder="1" applyAlignment="1"/>
    <xf numFmtId="0" fontId="6" fillId="10" borderId="36" xfId="1" applyFill="1" applyBorder="1" applyAlignment="1" applyProtection="1">
      <alignment vertical="center"/>
    </xf>
    <xf numFmtId="0" fontId="6" fillId="10" borderId="22" xfId="1" applyFill="1" applyBorder="1" applyAlignment="1" applyProtection="1">
      <alignment vertical="center"/>
    </xf>
    <xf numFmtId="0" fontId="6" fillId="10" borderId="9" xfId="1" applyFill="1" applyBorder="1" applyAlignment="1" applyProtection="1">
      <alignment vertical="center"/>
    </xf>
    <xf numFmtId="0" fontId="40" fillId="10" borderId="1" xfId="1" applyFont="1" applyFill="1" applyBorder="1" applyAlignment="1" applyProtection="1">
      <alignment vertical="center" wrapText="1"/>
    </xf>
    <xf numFmtId="0" fontId="6" fillId="6" borderId="32" xfId="1" applyFill="1" applyBorder="1" applyAlignment="1" applyProtection="1">
      <alignment vertical="center"/>
    </xf>
    <xf numFmtId="0" fontId="6" fillId="6" borderId="23" xfId="1" applyFill="1" applyBorder="1" applyAlignment="1" applyProtection="1">
      <alignment horizontal="center" vertical="center"/>
    </xf>
    <xf numFmtId="0" fontId="6" fillId="6" borderId="24" xfId="1" applyFill="1" applyBorder="1" applyAlignment="1" applyProtection="1">
      <alignment horizontal="center" vertical="center" wrapText="1"/>
    </xf>
    <xf numFmtId="0" fontId="6" fillId="6" borderId="52" xfId="1" applyFill="1" applyBorder="1" applyAlignment="1" applyProtection="1">
      <alignment horizontal="center" vertical="center" wrapText="1"/>
    </xf>
    <xf numFmtId="0" fontId="6" fillId="0" borderId="0" xfId="1" applyFill="1" applyBorder="1" applyAlignment="1" applyProtection="1">
      <alignment horizontal="center" vertical="center" wrapText="1"/>
    </xf>
    <xf numFmtId="0" fontId="6" fillId="6" borderId="38" xfId="1" applyFont="1" applyFill="1" applyBorder="1" applyAlignment="1" applyProtection="1">
      <alignment horizontal="left" vertical="center"/>
    </xf>
    <xf numFmtId="0" fontId="6" fillId="7" borderId="0" xfId="1" applyFill="1" applyAlignment="1" applyProtection="1">
      <alignment vertical="center" wrapText="1"/>
    </xf>
    <xf numFmtId="0" fontId="6" fillId="7" borderId="32" xfId="1" applyFill="1" applyBorder="1" applyAlignment="1" applyProtection="1">
      <alignment horizontal="left" vertical="center"/>
    </xf>
    <xf numFmtId="0" fontId="6" fillId="7" borderId="23" xfId="1" applyFill="1" applyBorder="1" applyAlignment="1" applyProtection="1">
      <alignment horizontal="center" vertical="center" wrapText="1"/>
    </xf>
    <xf numFmtId="0" fontId="6" fillId="7" borderId="24" xfId="1" applyFill="1" applyBorder="1" applyAlignment="1" applyProtection="1">
      <alignment vertical="center" wrapText="1"/>
    </xf>
    <xf numFmtId="0" fontId="6" fillId="7" borderId="53" xfId="1" applyFill="1" applyBorder="1" applyAlignment="1" applyProtection="1">
      <alignment horizontal="left" vertical="center"/>
    </xf>
    <xf numFmtId="0" fontId="6" fillId="7" borderId="30" xfId="1" applyFill="1" applyBorder="1" applyAlignment="1" applyProtection="1">
      <alignment horizontal="center" vertical="center" wrapText="1"/>
    </xf>
    <xf numFmtId="0" fontId="6" fillId="7" borderId="52" xfId="1" applyFill="1" applyBorder="1" applyAlignment="1" applyProtection="1">
      <alignment vertical="center" wrapText="1"/>
    </xf>
    <xf numFmtId="0" fontId="6" fillId="0" borderId="13" xfId="1" applyFont="1" applyBorder="1" applyAlignment="1" applyProtection="1">
      <alignment horizontal="center" vertical="center" wrapText="1"/>
    </xf>
    <xf numFmtId="0" fontId="48" fillId="30" borderId="216" xfId="2" applyBorder="1" applyAlignment="1" applyProtection="1">
      <alignment horizontal="center" vertical="center" wrapText="1"/>
    </xf>
    <xf numFmtId="0" fontId="48" fillId="30" borderId="217" xfId="2" applyBorder="1" applyAlignment="1" applyProtection="1">
      <alignment horizontal="center" vertical="center" wrapText="1"/>
    </xf>
    <xf numFmtId="0" fontId="49" fillId="31" borderId="217" xfId="3" applyBorder="1" applyAlignment="1" applyProtection="1">
      <alignment horizontal="center" vertical="center" wrapText="1"/>
    </xf>
    <xf numFmtId="0" fontId="6" fillId="6" borderId="32" xfId="1" applyFill="1" applyBorder="1" applyAlignment="1" applyProtection="1">
      <alignment horizontal="left" vertical="center"/>
    </xf>
    <xf numFmtId="0" fontId="0" fillId="6" borderId="24" xfId="0" applyFill="1" applyBorder="1" applyAlignment="1">
      <alignment horizontal="center" vertical="center" wrapText="1"/>
    </xf>
    <xf numFmtId="0" fontId="22" fillId="6" borderId="226" xfId="1" applyFont="1" applyFill="1" applyBorder="1" applyAlignment="1" applyProtection="1">
      <alignment horizontal="center" vertical="center" wrapText="1"/>
    </xf>
    <xf numFmtId="0" fontId="22" fillId="6" borderId="227" xfId="1" applyFont="1" applyFill="1" applyBorder="1" applyAlignment="1" applyProtection="1">
      <alignment horizontal="center" vertical="center" wrapText="1"/>
    </xf>
    <xf numFmtId="0" fontId="20" fillId="0" borderId="225" xfId="1" applyFont="1" applyBorder="1" applyAlignment="1" applyProtection="1">
      <alignment vertical="center" wrapText="1"/>
    </xf>
    <xf numFmtId="0" fontId="6" fillId="0" borderId="214" xfId="1" applyBorder="1"/>
    <xf numFmtId="0" fontId="6" fillId="0" borderId="215" xfId="1" applyBorder="1"/>
    <xf numFmtId="0" fontId="20" fillId="0" borderId="228" xfId="1" applyFont="1" applyBorder="1" applyAlignment="1" applyProtection="1">
      <alignment vertical="center" wrapText="1"/>
    </xf>
    <xf numFmtId="0" fontId="20" fillId="0" borderId="229" xfId="1" applyFont="1" applyFill="1" applyBorder="1" applyAlignment="1" applyProtection="1">
      <alignment vertical="center" wrapText="1"/>
    </xf>
    <xf numFmtId="0" fontId="0" fillId="0" borderId="217" xfId="0" applyBorder="1" applyAlignment="1">
      <alignment horizontal="center" vertical="center" wrapText="1"/>
    </xf>
    <xf numFmtId="0" fontId="0" fillId="0" borderId="229" xfId="0" applyBorder="1" applyAlignment="1">
      <alignment horizontal="center" vertical="center" wrapText="1"/>
    </xf>
    <xf numFmtId="0" fontId="0" fillId="0" borderId="219" xfId="0" applyBorder="1" applyAlignment="1">
      <alignment horizontal="center" vertical="center" wrapText="1"/>
    </xf>
    <xf numFmtId="0" fontId="0" fillId="0" borderId="230" xfId="0" applyBorder="1" applyAlignment="1">
      <alignment horizontal="center" vertical="center" wrapText="1"/>
    </xf>
    <xf numFmtId="0" fontId="0" fillId="0" borderId="227" xfId="0" applyBorder="1" applyAlignment="1">
      <alignment horizontal="center" vertical="center" wrapText="1"/>
    </xf>
    <xf numFmtId="0" fontId="0" fillId="0" borderId="231" xfId="0" applyBorder="1" applyAlignment="1">
      <alignment horizontal="center" vertical="center" wrapText="1"/>
    </xf>
    <xf numFmtId="0" fontId="0" fillId="20" borderId="216" xfId="0" applyFill="1" applyBorder="1" applyAlignment="1">
      <alignment horizontal="center" vertical="center" wrapText="1"/>
    </xf>
    <xf numFmtId="0" fontId="0" fillId="20" borderId="217" xfId="0" applyFill="1" applyBorder="1" applyAlignment="1">
      <alignment horizontal="center" vertical="center" wrapText="1"/>
    </xf>
    <xf numFmtId="0" fontId="6" fillId="0" borderId="217" xfId="1" applyBorder="1" applyAlignment="1">
      <alignment horizontal="center" vertical="center"/>
    </xf>
    <xf numFmtId="0" fontId="6" fillId="0" borderId="37" xfId="0" applyFont="1" applyBorder="1" applyAlignment="1">
      <alignment horizontal="left" vertical="center" wrapText="1"/>
    </xf>
    <xf numFmtId="0" fontId="6" fillId="0" borderId="38" xfId="0" applyFont="1" applyBorder="1" applyAlignment="1">
      <alignment horizontal="left" vertical="center" wrapText="1"/>
    </xf>
    <xf numFmtId="0" fontId="0" fillId="6" borderId="65" xfId="0" applyFill="1" applyBorder="1" applyAlignment="1">
      <alignment horizontal="center" vertical="center" wrapText="1"/>
    </xf>
    <xf numFmtId="0" fontId="6" fillId="0" borderId="59" xfId="0" applyFont="1" applyBorder="1" applyAlignment="1">
      <alignment horizontal="center" vertical="center" wrapText="1"/>
    </xf>
    <xf numFmtId="0" fontId="8" fillId="0" borderId="20" xfId="1" applyFont="1" applyBorder="1" applyAlignment="1" applyProtection="1">
      <alignment vertical="center" wrapText="1"/>
    </xf>
    <xf numFmtId="0" fontId="8" fillId="0" borderId="15" xfId="1" applyFont="1" applyBorder="1" applyAlignment="1" applyProtection="1">
      <alignment horizontal="center" vertical="center" wrapText="1"/>
    </xf>
    <xf numFmtId="0" fontId="6" fillId="0" borderId="0" xfId="1" applyFill="1" applyBorder="1" applyAlignment="1" applyProtection="1">
      <alignment vertical="center" wrapText="1"/>
    </xf>
    <xf numFmtId="0" fontId="6" fillId="0" borderId="0" xfId="1" applyFill="1" applyBorder="1" applyAlignment="1" applyProtection="1">
      <alignment horizontal="left" vertical="center"/>
    </xf>
    <xf numFmtId="0" fontId="6" fillId="0" borderId="0" xfId="1" applyFill="1" applyBorder="1" applyAlignment="1" applyProtection="1">
      <alignment vertical="center"/>
    </xf>
    <xf numFmtId="0" fontId="10" fillId="0" borderId="9" xfId="1" applyFont="1" applyFill="1" applyBorder="1" applyAlignment="1" applyProtection="1">
      <alignment vertical="center" wrapText="1"/>
    </xf>
    <xf numFmtId="0" fontId="10" fillId="0" borderId="9" xfId="1" applyFont="1" applyFill="1" applyBorder="1" applyAlignment="1" applyProtection="1">
      <alignment horizontal="center" vertical="center" wrapText="1"/>
    </xf>
    <xf numFmtId="0" fontId="10" fillId="0" borderId="17" xfId="1" applyFont="1" applyFill="1" applyBorder="1" applyAlignment="1" applyProtection="1">
      <alignment horizontal="center" vertical="center" wrapText="1"/>
    </xf>
    <xf numFmtId="0" fontId="10" fillId="36" borderId="12" xfId="1" applyFont="1" applyFill="1" applyBorder="1" applyAlignment="1" applyProtection="1">
      <alignment horizontal="center" vertical="center" wrapText="1"/>
    </xf>
    <xf numFmtId="0" fontId="10" fillId="0" borderId="34" xfId="1" applyFont="1" applyFill="1" applyBorder="1" applyAlignment="1" applyProtection="1">
      <alignment vertical="center"/>
    </xf>
    <xf numFmtId="0" fontId="6" fillId="0" borderId="10" xfId="1" applyFont="1" applyFill="1" applyBorder="1" applyAlignment="1" applyProtection="1">
      <alignment horizontal="left" vertical="center"/>
    </xf>
    <xf numFmtId="0" fontId="6" fillId="0" borderId="10" xfId="1" applyFill="1" applyBorder="1" applyAlignment="1" applyProtection="1">
      <alignment horizontal="center" vertical="center"/>
    </xf>
    <xf numFmtId="0" fontId="31" fillId="0" borderId="10" xfId="1" applyFont="1" applyFill="1" applyBorder="1" applyAlignment="1" applyProtection="1">
      <alignment horizontal="center" vertical="center" wrapText="1"/>
    </xf>
    <xf numFmtId="0" fontId="6" fillId="0" borderId="35" xfId="1" applyFill="1" applyBorder="1" applyAlignment="1" applyProtection="1">
      <alignment horizontal="center" vertical="center" wrapText="1"/>
    </xf>
    <xf numFmtId="0" fontId="10" fillId="0" borderId="50" xfId="1" applyFont="1" applyFill="1" applyBorder="1" applyAlignment="1" applyProtection="1">
      <alignment horizontal="center" vertical="center" wrapText="1"/>
    </xf>
    <xf numFmtId="0" fontId="6" fillId="0" borderId="13" xfId="1" applyFill="1" applyBorder="1" applyAlignment="1" applyProtection="1">
      <alignment horizontal="center" vertical="center" wrapText="1"/>
    </xf>
    <xf numFmtId="2" fontId="6" fillId="0" borderId="13" xfId="1" applyNumberFormat="1" applyFont="1" applyFill="1" applyBorder="1" applyAlignment="1" applyProtection="1">
      <alignment horizontal="center" vertical="center" wrapText="1"/>
    </xf>
    <xf numFmtId="0" fontId="6" fillId="0" borderId="13" xfId="1" applyFill="1" applyBorder="1" applyAlignment="1" applyProtection="1">
      <alignment vertical="center"/>
    </xf>
    <xf numFmtId="0" fontId="24" fillId="0" borderId="13" xfId="1" applyFont="1" applyFill="1" applyBorder="1" applyAlignment="1" applyProtection="1">
      <alignment horizontal="center" vertical="center" wrapText="1"/>
    </xf>
    <xf numFmtId="0" fontId="32" fillId="0" borderId="13" xfId="1" applyFont="1" applyFill="1" applyBorder="1" applyAlignment="1" applyProtection="1">
      <alignment horizontal="center" vertical="center" wrapText="1"/>
    </xf>
    <xf numFmtId="0" fontId="48" fillId="30" borderId="216" xfId="2" applyBorder="1" applyAlignment="1">
      <alignment horizontal="center" vertical="center"/>
    </xf>
    <xf numFmtId="0" fontId="49" fillId="31" borderId="216" xfId="3" applyBorder="1" applyAlignment="1">
      <alignment horizontal="center" vertical="center" wrapText="1"/>
    </xf>
    <xf numFmtId="0" fontId="49" fillId="31" borderId="226" xfId="3" applyBorder="1" applyAlignment="1">
      <alignment horizontal="center" vertical="center" wrapText="1"/>
    </xf>
    <xf numFmtId="0" fontId="49" fillId="31" borderId="218" xfId="3" applyBorder="1" applyAlignment="1">
      <alignment horizontal="center" vertical="center" wrapText="1"/>
    </xf>
    <xf numFmtId="0" fontId="48" fillId="30" borderId="217" xfId="2" applyBorder="1" applyAlignment="1">
      <alignment horizontal="center" vertical="center"/>
    </xf>
    <xf numFmtId="0" fontId="48" fillId="30" borderId="217" xfId="2" applyBorder="1" applyAlignment="1">
      <alignment horizontal="center" vertical="center" wrapText="1"/>
    </xf>
    <xf numFmtId="0" fontId="48" fillId="30" borderId="227" xfId="2" applyBorder="1" applyAlignment="1">
      <alignment horizontal="center" vertical="center" wrapText="1"/>
    </xf>
    <xf numFmtId="0" fontId="48" fillId="30" borderId="219" xfId="2" applyBorder="1" applyAlignment="1">
      <alignment horizontal="center" vertical="center" wrapText="1"/>
    </xf>
    <xf numFmtId="0" fontId="10" fillId="6" borderId="65" xfId="0" applyFont="1" applyFill="1" applyBorder="1" applyAlignment="1">
      <alignment horizontal="center" vertical="center" wrapText="1"/>
    </xf>
    <xf numFmtId="0" fontId="7" fillId="9" borderId="50" xfId="0" applyFont="1" applyFill="1" applyBorder="1" applyAlignment="1">
      <alignment horizontal="center" vertical="center" wrapText="1"/>
    </xf>
    <xf numFmtId="0" fontId="0" fillId="9" borderId="13" xfId="0" applyFill="1" applyBorder="1" applyAlignment="1">
      <alignment horizontal="center" vertical="center" wrapText="1"/>
    </xf>
    <xf numFmtId="0" fontId="0" fillId="9" borderId="51" xfId="0" applyFill="1" applyBorder="1" applyAlignment="1">
      <alignment horizontal="center" vertical="center" wrapText="1"/>
    </xf>
    <xf numFmtId="0" fontId="0" fillId="9" borderId="50" xfId="0" applyFill="1" applyBorder="1" applyAlignment="1">
      <alignment horizontal="center" vertical="center" wrapText="1"/>
    </xf>
    <xf numFmtId="0" fontId="6" fillId="0" borderId="38" xfId="0" applyFont="1" applyFill="1" applyBorder="1" applyAlignment="1">
      <alignment horizontal="center" vertical="center" wrapText="1"/>
    </xf>
    <xf numFmtId="0" fontId="7" fillId="9" borderId="51" xfId="0" applyFont="1" applyFill="1" applyBorder="1" applyAlignment="1">
      <alignment horizontal="center" vertical="center" wrapText="1"/>
    </xf>
    <xf numFmtId="0" fontId="48" fillId="30" borderId="218" xfId="2" applyBorder="1" applyAlignment="1">
      <alignment horizontal="center" vertical="center"/>
    </xf>
    <xf numFmtId="0" fontId="6" fillId="0" borderId="219" xfId="1" applyBorder="1" applyAlignment="1">
      <alignment horizontal="center" vertical="center"/>
    </xf>
    <xf numFmtId="0" fontId="48" fillId="30" borderId="219" xfId="2" applyBorder="1" applyAlignment="1">
      <alignment horizontal="center" vertical="center"/>
    </xf>
    <xf numFmtId="0" fontId="20" fillId="0" borderId="229" xfId="1" applyFont="1" applyBorder="1" applyAlignment="1" applyProtection="1">
      <alignment vertical="center" wrapText="1"/>
    </xf>
    <xf numFmtId="0" fontId="20" fillId="0" borderId="42" xfId="1" applyFont="1" applyFill="1" applyBorder="1" applyAlignment="1" applyProtection="1">
      <alignment vertical="center" wrapText="1"/>
    </xf>
    <xf numFmtId="0" fontId="40" fillId="10" borderId="7" xfId="1" applyFont="1" applyFill="1" applyBorder="1" applyAlignment="1" applyProtection="1">
      <alignment vertical="center" wrapText="1"/>
    </xf>
    <xf numFmtId="0" fontId="6" fillId="10" borderId="29" xfId="1" applyFill="1" applyBorder="1" applyAlignment="1" applyProtection="1">
      <alignment vertical="center"/>
    </xf>
    <xf numFmtId="0" fontId="6" fillId="10" borderId="33" xfId="1" applyFill="1" applyBorder="1" applyAlignment="1" applyProtection="1">
      <alignment vertical="center"/>
    </xf>
    <xf numFmtId="0" fontId="6" fillId="10" borderId="49" xfId="1" applyFill="1" applyBorder="1" applyAlignment="1" applyProtection="1">
      <alignment vertical="center"/>
    </xf>
    <xf numFmtId="0" fontId="6" fillId="10" borderId="31" xfId="1" applyFill="1" applyBorder="1" applyAlignment="1" applyProtection="1">
      <alignment vertical="center"/>
    </xf>
    <xf numFmtId="0" fontId="13" fillId="7" borderId="32" xfId="0" applyFont="1" applyFill="1" applyBorder="1" applyAlignment="1">
      <alignment vertical="center"/>
    </xf>
    <xf numFmtId="0" fontId="0" fillId="7" borderId="23" xfId="0" applyFill="1" applyBorder="1" applyAlignment="1">
      <alignment horizontal="center" vertical="center" wrapText="1"/>
    </xf>
    <xf numFmtId="0" fontId="0" fillId="7" borderId="24" xfId="0" applyFill="1" applyBorder="1" applyAlignment="1">
      <alignment horizontal="center" vertical="center" wrapText="1"/>
    </xf>
    <xf numFmtId="0" fontId="0" fillId="7" borderId="0" xfId="0" applyFill="1" applyBorder="1" applyAlignment="1">
      <alignment horizontal="center" vertical="center" wrapText="1"/>
    </xf>
    <xf numFmtId="0" fontId="0" fillId="7" borderId="27" xfId="0" applyFill="1" applyBorder="1" applyAlignment="1">
      <alignment horizontal="center" vertical="center" wrapText="1"/>
    </xf>
    <xf numFmtId="0" fontId="10" fillId="7" borderId="214" xfId="1" applyFont="1" applyFill="1" applyBorder="1" applyAlignment="1" applyProtection="1">
      <alignment horizontal="center" vertical="center" wrapText="1"/>
    </xf>
    <xf numFmtId="0" fontId="10" fillId="7" borderId="215" xfId="1" applyFont="1" applyFill="1" applyBorder="1" applyAlignment="1" applyProtection="1">
      <alignment horizontal="center" vertical="center" wrapText="1"/>
    </xf>
    <xf numFmtId="0" fontId="10" fillId="7" borderId="61" xfId="1" applyFont="1" applyFill="1" applyBorder="1" applyAlignment="1" applyProtection="1">
      <alignment vertical="center" wrapText="1"/>
    </xf>
    <xf numFmtId="0" fontId="0" fillId="7" borderId="40" xfId="0" applyFill="1" applyBorder="1" applyAlignment="1">
      <alignment horizontal="left" vertical="center" wrapText="1"/>
    </xf>
    <xf numFmtId="0" fontId="0" fillId="7" borderId="30" xfId="0" applyFill="1" applyBorder="1" applyAlignment="1">
      <alignment horizontal="center" vertical="center" wrapText="1"/>
    </xf>
    <xf numFmtId="0" fontId="0" fillId="7" borderId="52" xfId="0" applyFill="1" applyBorder="1" applyAlignment="1">
      <alignment horizontal="center" vertical="center" wrapText="1"/>
    </xf>
    <xf numFmtId="0" fontId="20" fillId="7" borderId="225" xfId="1" applyFont="1" applyFill="1" applyBorder="1" applyAlignment="1" applyProtection="1">
      <alignment vertical="center" wrapText="1"/>
    </xf>
    <xf numFmtId="0" fontId="20" fillId="7" borderId="0" xfId="1" applyFont="1" applyFill="1" applyBorder="1" applyAlignment="1" applyProtection="1">
      <alignment vertical="center" wrapText="1"/>
    </xf>
    <xf numFmtId="0" fontId="6" fillId="7" borderId="40" xfId="0" applyFont="1" applyFill="1" applyBorder="1" applyAlignment="1">
      <alignment horizontal="left" vertical="center" wrapText="1"/>
    </xf>
    <xf numFmtId="0" fontId="6" fillId="7" borderId="40" xfId="0" applyFont="1" applyFill="1" applyBorder="1" applyAlignment="1">
      <alignment horizontal="center" vertical="center" wrapText="1"/>
    </xf>
    <xf numFmtId="0" fontId="6" fillId="7" borderId="53" xfId="0" applyFont="1" applyFill="1" applyBorder="1" applyAlignment="1">
      <alignment horizontal="left" vertical="center" wrapText="1"/>
    </xf>
    <xf numFmtId="0" fontId="0" fillId="7" borderId="0" xfId="0" applyFill="1" applyAlignment="1">
      <alignment horizontal="center" vertical="center" wrapText="1"/>
    </xf>
    <xf numFmtId="0" fontId="0" fillId="7" borderId="0" xfId="0" applyFill="1" applyAlignment="1">
      <alignment horizontal="left" vertical="center" wrapText="1"/>
    </xf>
    <xf numFmtId="0" fontId="6" fillId="7" borderId="0" xfId="0" applyFont="1" applyFill="1" applyBorder="1" applyAlignment="1">
      <alignment horizontal="center" vertical="center" wrapText="1"/>
    </xf>
    <xf numFmtId="0" fontId="7" fillId="7" borderId="0" xfId="0" applyFont="1" applyFill="1" applyBorder="1" applyAlignment="1">
      <alignment horizontal="center" vertical="center" wrapText="1"/>
    </xf>
    <xf numFmtId="0" fontId="6" fillId="0" borderId="1" xfId="1" applyBorder="1" applyAlignment="1">
      <alignment horizontal="left" vertical="center" wrapText="1" indent="2"/>
    </xf>
    <xf numFmtId="0" fontId="17" fillId="0" borderId="1" xfId="1" applyFont="1" applyBorder="1" applyAlignment="1">
      <alignment horizontal="left" vertical="center" wrapText="1" indent="2"/>
    </xf>
    <xf numFmtId="0" fontId="0" fillId="7" borderId="153" xfId="0" applyFill="1" applyBorder="1" applyAlignment="1">
      <alignment horizontal="left" vertical="center"/>
    </xf>
    <xf numFmtId="0" fontId="6" fillId="7" borderId="2" xfId="0" applyFont="1" applyFill="1" applyBorder="1" applyAlignment="1">
      <alignment horizontal="center" vertical="center" wrapText="1"/>
    </xf>
    <xf numFmtId="0" fontId="7" fillId="9" borderId="62" xfId="0" applyFont="1" applyFill="1" applyBorder="1" applyAlignment="1">
      <alignment horizontal="center" vertical="center" wrapText="1"/>
    </xf>
    <xf numFmtId="0" fontId="6" fillId="7" borderId="5" xfId="0" applyFont="1" applyFill="1" applyBorder="1" applyAlignment="1">
      <alignment horizontal="center" vertical="center" wrapText="1"/>
    </xf>
    <xf numFmtId="0" fontId="48" fillId="30" borderId="214" xfId="2" applyBorder="1" applyAlignment="1">
      <alignment horizontal="center" vertical="center" wrapText="1"/>
    </xf>
    <xf numFmtId="0" fontId="6" fillId="6" borderId="215" xfId="1" applyFill="1" applyBorder="1" applyAlignment="1">
      <alignment horizontal="center" vertical="center" wrapText="1"/>
    </xf>
    <xf numFmtId="0" fontId="48" fillId="30" borderId="215" xfId="2" applyBorder="1" applyAlignment="1">
      <alignment horizontal="center" vertical="center" wrapText="1"/>
    </xf>
    <xf numFmtId="0" fontId="20" fillId="7" borderId="228" xfId="1" applyFont="1" applyFill="1" applyBorder="1" applyAlignment="1" applyProtection="1">
      <alignment vertical="center" wrapText="1"/>
    </xf>
    <xf numFmtId="0" fontId="48" fillId="30" borderId="218" xfId="2" applyBorder="1" applyAlignment="1">
      <alignment horizontal="center" vertical="center" wrapText="1"/>
    </xf>
    <xf numFmtId="0" fontId="6" fillId="6" borderId="219" xfId="1" applyFill="1" applyBorder="1" applyAlignment="1">
      <alignment horizontal="center" vertical="center" wrapText="1"/>
    </xf>
    <xf numFmtId="0" fontId="20" fillId="7" borderId="230" xfId="1" applyFont="1" applyFill="1" applyBorder="1" applyAlignment="1" applyProtection="1">
      <alignment vertical="center" wrapText="1"/>
    </xf>
    <xf numFmtId="0" fontId="6" fillId="7" borderId="4" xfId="0" applyFont="1" applyFill="1" applyBorder="1" applyAlignment="1">
      <alignment horizontal="center" vertical="center" wrapText="1"/>
    </xf>
    <xf numFmtId="0" fontId="7" fillId="9" borderId="7" xfId="0" applyFont="1" applyFill="1" applyBorder="1" applyAlignment="1">
      <alignment horizontal="center" vertical="center" wrapText="1"/>
    </xf>
    <xf numFmtId="0" fontId="7" fillId="9" borderId="8" xfId="0" applyFont="1" applyFill="1" applyBorder="1" applyAlignment="1">
      <alignment horizontal="center" vertical="center" wrapText="1"/>
    </xf>
    <xf numFmtId="0" fontId="10" fillId="7" borderId="45" xfId="0" applyFont="1" applyFill="1" applyBorder="1" applyAlignment="1">
      <alignment horizontal="center" vertical="center" wrapText="1"/>
    </xf>
    <xf numFmtId="0" fontId="0" fillId="6" borderId="47" xfId="0" applyFill="1" applyBorder="1" applyAlignment="1">
      <alignment horizontal="center" vertical="center" wrapText="1"/>
    </xf>
    <xf numFmtId="0" fontId="48" fillId="30" borderId="216" xfId="2" applyBorder="1" applyAlignment="1">
      <alignment horizontal="center" vertical="center" wrapText="1"/>
    </xf>
    <xf numFmtId="0" fontId="6" fillId="6" borderId="217" xfId="1" applyFill="1" applyBorder="1" applyAlignment="1">
      <alignment horizontal="center" vertical="center" wrapText="1"/>
    </xf>
    <xf numFmtId="0" fontId="20" fillId="7" borderId="229" xfId="1" applyFont="1" applyFill="1" applyBorder="1" applyAlignment="1" applyProtection="1">
      <alignment vertical="center" wrapText="1"/>
    </xf>
    <xf numFmtId="0" fontId="6" fillId="7" borderId="194" xfId="0" applyFont="1" applyFill="1" applyBorder="1" applyAlignment="1">
      <alignment horizontal="center" vertical="center"/>
    </xf>
    <xf numFmtId="0" fontId="48" fillId="30" borderId="227" xfId="2" applyBorder="1" applyAlignment="1" applyProtection="1">
      <alignment horizontal="center" vertical="center" wrapText="1"/>
    </xf>
    <xf numFmtId="0" fontId="85" fillId="0" borderId="1" xfId="1" applyFont="1" applyBorder="1" applyAlignment="1">
      <alignment horizontal="center" vertical="center"/>
    </xf>
    <xf numFmtId="0" fontId="76" fillId="37" borderId="1" xfId="0" applyFont="1" applyFill="1" applyBorder="1" applyAlignment="1">
      <alignment horizontal="left" vertical="center"/>
    </xf>
    <xf numFmtId="0" fontId="76" fillId="37" borderId="1" xfId="0" applyFont="1" applyFill="1" applyBorder="1" applyAlignment="1">
      <alignment horizontal="center" vertical="center"/>
    </xf>
    <xf numFmtId="0" fontId="6" fillId="37" borderId="1" xfId="1" applyFill="1" applyBorder="1" applyAlignment="1">
      <alignment horizontal="center" vertical="center" wrapText="1"/>
    </xf>
    <xf numFmtId="0" fontId="6" fillId="37" borderId="1" xfId="1" applyFont="1" applyFill="1" applyBorder="1" applyAlignment="1">
      <alignment horizontal="center" vertical="center" wrapText="1"/>
    </xf>
    <xf numFmtId="3" fontId="31" fillId="37" borderId="1" xfId="1" applyNumberFormat="1" applyFont="1" applyFill="1" applyBorder="1" applyAlignment="1">
      <alignment horizontal="center" vertical="center" wrapText="1"/>
    </xf>
    <xf numFmtId="3" fontId="41" fillId="37" borderId="1" xfId="1" applyNumberFormat="1" applyFont="1" applyFill="1" applyBorder="1" applyAlignment="1">
      <alignment horizontal="center" vertical="center" wrapText="1"/>
    </xf>
    <xf numFmtId="3" fontId="53" fillId="37" borderId="1" xfId="1" applyNumberFormat="1" applyFont="1" applyFill="1" applyBorder="1" applyAlignment="1">
      <alignment horizontal="center" vertical="center" wrapText="1"/>
    </xf>
    <xf numFmtId="3" fontId="74" fillId="37" borderId="1" xfId="1" applyNumberFormat="1" applyFont="1" applyFill="1" applyBorder="1" applyAlignment="1">
      <alignment horizontal="center" vertical="center" wrapText="1"/>
    </xf>
    <xf numFmtId="3" fontId="43" fillId="37" borderId="1" xfId="1" applyNumberFormat="1" applyFont="1" applyFill="1" applyBorder="1" applyAlignment="1">
      <alignment horizontal="center" vertical="center" wrapText="1"/>
    </xf>
    <xf numFmtId="3" fontId="46" fillId="37" borderId="1" xfId="1" applyNumberFormat="1" applyFont="1" applyFill="1" applyBorder="1" applyAlignment="1">
      <alignment horizontal="center" vertical="center" wrapText="1"/>
    </xf>
    <xf numFmtId="2" fontId="10" fillId="37" borderId="1" xfId="1" applyNumberFormat="1" applyFont="1" applyFill="1" applyBorder="1" applyAlignment="1">
      <alignment horizontal="center" vertical="center" wrapText="1"/>
    </xf>
    <xf numFmtId="4" fontId="8" fillId="0" borderId="1" xfId="1" applyNumberFormat="1" applyFont="1" applyBorder="1" applyAlignment="1">
      <alignment horizontal="center" vertical="center" wrapText="1"/>
    </xf>
    <xf numFmtId="0" fontId="6" fillId="7" borderId="53" xfId="0" applyFont="1" applyFill="1" applyBorder="1" applyAlignment="1">
      <alignment horizontal="center" vertical="center" wrapText="1"/>
    </xf>
    <xf numFmtId="0" fontId="6" fillId="6" borderId="53" xfId="1" applyFont="1" applyFill="1" applyBorder="1" applyAlignment="1" applyProtection="1">
      <alignment horizontal="left" vertical="center"/>
    </xf>
    <xf numFmtId="0" fontId="6" fillId="10" borderId="65" xfId="1" applyFill="1" applyBorder="1" applyAlignment="1" applyProtection="1">
      <alignment vertical="center"/>
    </xf>
    <xf numFmtId="0" fontId="6" fillId="10" borderId="68" xfId="1" applyFill="1" applyBorder="1" applyAlignment="1" applyProtection="1">
      <alignment vertical="center"/>
    </xf>
    <xf numFmtId="0" fontId="6" fillId="7" borderId="0" xfId="1" applyFill="1" applyBorder="1" applyAlignment="1" applyProtection="1">
      <alignment horizontal="left" vertical="center"/>
    </xf>
    <xf numFmtId="0" fontId="6" fillId="7" borderId="0" xfId="1" applyFill="1" applyBorder="1" applyAlignment="1" applyProtection="1">
      <alignment horizontal="center" vertical="center" wrapText="1"/>
    </xf>
    <xf numFmtId="0" fontId="6" fillId="7" borderId="40" xfId="1" applyFill="1" applyBorder="1" applyAlignment="1" applyProtection="1">
      <alignment horizontal="left" vertical="center"/>
    </xf>
    <xf numFmtId="0" fontId="6" fillId="7" borderId="27" xfId="1" applyFill="1" applyBorder="1" applyAlignment="1" applyProtection="1">
      <alignment vertical="center" wrapText="1"/>
    </xf>
    <xf numFmtId="0" fontId="0" fillId="7" borderId="40" xfId="0" applyFill="1" applyBorder="1" applyAlignment="1">
      <alignment horizontal="center" vertical="center" wrapText="1"/>
    </xf>
    <xf numFmtId="0" fontId="20" fillId="7" borderId="27" xfId="1" applyFont="1" applyFill="1" applyBorder="1" applyAlignment="1" applyProtection="1">
      <alignment vertical="center" wrapText="1"/>
    </xf>
    <xf numFmtId="0" fontId="0" fillId="7" borderId="53" xfId="0" applyFill="1" applyBorder="1" applyAlignment="1">
      <alignment horizontal="center" vertical="center" wrapText="1"/>
    </xf>
    <xf numFmtId="0" fontId="31" fillId="7" borderId="40" xfId="1" applyFont="1" applyFill="1" applyBorder="1" applyAlignment="1">
      <alignment horizontal="left" vertical="center"/>
    </xf>
    <xf numFmtId="0" fontId="6" fillId="0" borderId="36" xfId="1" applyFill="1" applyBorder="1" applyAlignment="1">
      <alignment horizontal="center" vertical="center" wrapText="1"/>
    </xf>
    <xf numFmtId="2" fontId="15" fillId="0" borderId="36" xfId="1" applyNumberFormat="1" applyFont="1" applyFill="1" applyBorder="1" applyAlignment="1">
      <alignment horizontal="center" vertical="center" wrapText="1"/>
    </xf>
    <xf numFmtId="2" fontId="15" fillId="0" borderId="70" xfId="1" applyNumberFormat="1" applyFont="1" applyFill="1" applyBorder="1" applyAlignment="1">
      <alignment horizontal="center" vertical="center" wrapText="1"/>
    </xf>
    <xf numFmtId="4" fontId="6" fillId="0" borderId="1" xfId="1" applyNumberFormat="1" applyFill="1" applyBorder="1" applyAlignment="1">
      <alignment horizontal="center" vertical="center" wrapText="1"/>
    </xf>
    <xf numFmtId="0" fontId="6" fillId="0" borderId="21" xfId="1" applyFont="1" applyFill="1" applyBorder="1" applyAlignment="1">
      <alignment horizontal="left" vertical="center" wrapText="1"/>
    </xf>
    <xf numFmtId="0" fontId="8" fillId="0" borderId="36" xfId="1" applyFont="1" applyFill="1" applyBorder="1" applyAlignment="1">
      <alignment horizontal="center" vertical="center"/>
    </xf>
    <xf numFmtId="0" fontId="6" fillId="10" borderId="69" xfId="1" applyFill="1" applyBorder="1" applyAlignment="1" applyProtection="1">
      <alignment horizontal="center" vertical="center" wrapText="1"/>
    </xf>
    <xf numFmtId="0" fontId="6" fillId="10" borderId="69" xfId="1" applyFont="1" applyFill="1" applyBorder="1" applyAlignment="1" applyProtection="1">
      <alignment horizontal="center" vertical="center" wrapText="1"/>
    </xf>
    <xf numFmtId="0" fontId="6" fillId="10" borderId="17" xfId="1" applyFill="1" applyBorder="1" applyAlignment="1" applyProtection="1">
      <alignment vertical="center"/>
    </xf>
    <xf numFmtId="0" fontId="6" fillId="10" borderId="14" xfId="1" applyFill="1" applyBorder="1" applyAlignment="1" applyProtection="1">
      <alignment horizontal="center" vertical="center"/>
    </xf>
    <xf numFmtId="0" fontId="31" fillId="0" borderId="0" xfId="1" applyFont="1" applyAlignment="1" applyProtection="1">
      <alignment vertical="center" wrapText="1"/>
    </xf>
    <xf numFmtId="0" fontId="6" fillId="10" borderId="21" xfId="1" applyFill="1" applyBorder="1" applyAlignment="1" applyProtection="1">
      <alignment vertical="center"/>
    </xf>
    <xf numFmtId="0" fontId="6" fillId="15" borderId="21" xfId="1" applyFill="1" applyBorder="1" applyAlignment="1" applyProtection="1">
      <alignment vertical="center"/>
    </xf>
    <xf numFmtId="0" fontId="6" fillId="15" borderId="69" xfId="1" applyFill="1" applyBorder="1" applyAlignment="1" applyProtection="1">
      <alignment vertical="center" wrapText="1"/>
    </xf>
    <xf numFmtId="0" fontId="6" fillId="15" borderId="70" xfId="1" applyFill="1" applyBorder="1" applyAlignment="1" applyProtection="1">
      <alignment vertical="center" wrapText="1"/>
    </xf>
    <xf numFmtId="0" fontId="6" fillId="15" borderId="16" xfId="1" applyFill="1" applyBorder="1" applyAlignment="1" applyProtection="1">
      <alignment vertical="center"/>
    </xf>
    <xf numFmtId="0" fontId="6" fillId="15" borderId="18" xfId="1" applyFill="1" applyBorder="1" applyAlignment="1" applyProtection="1">
      <alignment vertical="center" wrapText="1"/>
    </xf>
    <xf numFmtId="0" fontId="6" fillId="15" borderId="17" xfId="1" applyFill="1" applyBorder="1" applyAlignment="1" applyProtection="1">
      <alignment vertical="center"/>
    </xf>
    <xf numFmtId="0" fontId="6" fillId="15" borderId="19" xfId="1" applyFill="1" applyBorder="1" applyAlignment="1" applyProtection="1">
      <alignment vertical="center" wrapText="1"/>
    </xf>
    <xf numFmtId="0" fontId="10" fillId="15" borderId="1" xfId="1" applyFont="1" applyFill="1" applyBorder="1" applyAlignment="1" applyProtection="1">
      <alignment horizontal="center" vertical="center" wrapText="1"/>
    </xf>
    <xf numFmtId="0" fontId="13" fillId="36" borderId="30" xfId="1" applyFont="1" applyFill="1" applyBorder="1" applyAlignment="1">
      <alignment horizontal="left" vertical="center" indent="2"/>
    </xf>
    <xf numFmtId="0" fontId="13" fillId="36" borderId="30" xfId="1" applyFont="1" applyFill="1" applyBorder="1" applyAlignment="1">
      <alignment horizontal="center" vertical="center" wrapText="1"/>
    </xf>
    <xf numFmtId="0" fontId="13" fillId="36" borderId="30" xfId="1" applyFont="1" applyFill="1" applyBorder="1" applyAlignment="1">
      <alignment horizontal="left" vertical="center"/>
    </xf>
    <xf numFmtId="0" fontId="39" fillId="36" borderId="30" xfId="1" applyFont="1" applyFill="1" applyBorder="1" applyAlignment="1">
      <alignment horizontal="center" vertical="center" wrapText="1"/>
    </xf>
    <xf numFmtId="0" fontId="13" fillId="36" borderId="30" xfId="1" applyFont="1" applyFill="1" applyBorder="1" applyAlignment="1">
      <alignment horizontal="center" vertical="center"/>
    </xf>
    <xf numFmtId="0" fontId="6" fillId="7" borderId="0" xfId="1" applyFill="1" applyBorder="1" applyAlignment="1" applyProtection="1">
      <alignment vertical="center" wrapText="1"/>
    </xf>
    <xf numFmtId="0" fontId="6" fillId="0" borderId="0" xfId="1" applyFont="1" applyFill="1" applyBorder="1" applyAlignment="1" applyProtection="1">
      <alignment horizontal="left" vertical="center"/>
    </xf>
    <xf numFmtId="0" fontId="6" fillId="0" borderId="0" xfId="1" applyFill="1" applyBorder="1" applyAlignment="1" applyProtection="1">
      <alignment horizontal="center" vertical="center"/>
    </xf>
    <xf numFmtId="0" fontId="31" fillId="0" borderId="0" xfId="1" applyFont="1" applyFill="1" applyBorder="1" applyAlignment="1" applyProtection="1">
      <alignment horizontal="center" vertical="center" wrapText="1"/>
    </xf>
    <xf numFmtId="0" fontId="31" fillId="0" borderId="0" xfId="1" applyFont="1" applyFill="1" applyBorder="1" applyAlignment="1" applyProtection="1">
      <alignment horizontal="left" vertical="center" wrapText="1"/>
    </xf>
    <xf numFmtId="0" fontId="6" fillId="0" borderId="2" xfId="1" applyFill="1" applyBorder="1" applyAlignment="1" applyProtection="1">
      <alignment vertical="center" wrapText="1"/>
    </xf>
    <xf numFmtId="0" fontId="6" fillId="0" borderId="62" xfId="1" applyFill="1" applyBorder="1" applyAlignment="1" applyProtection="1">
      <alignment horizontal="center" vertical="center"/>
    </xf>
    <xf numFmtId="0" fontId="6" fillId="0" borderId="4" xfId="1" applyFill="1" applyBorder="1" applyAlignment="1" applyProtection="1">
      <alignment vertical="center" wrapText="1"/>
    </xf>
    <xf numFmtId="0" fontId="6" fillId="0" borderId="7" xfId="1" applyFill="1" applyBorder="1" applyAlignment="1" applyProtection="1">
      <alignment horizontal="center" vertical="center"/>
    </xf>
    <xf numFmtId="0" fontId="6" fillId="0" borderId="5" xfId="1" applyFill="1" applyBorder="1" applyAlignment="1" applyProtection="1">
      <alignment vertical="center" wrapText="1"/>
    </xf>
    <xf numFmtId="0" fontId="6" fillId="0" borderId="8" xfId="1" applyFill="1" applyBorder="1" applyAlignment="1" applyProtection="1">
      <alignment horizontal="center" vertical="center"/>
    </xf>
    <xf numFmtId="0" fontId="6" fillId="0" borderId="3" xfId="1" applyFont="1" applyFill="1" applyBorder="1" applyAlignment="1" applyProtection="1">
      <alignment horizontal="center" vertical="center"/>
    </xf>
    <xf numFmtId="0" fontId="6" fillId="0" borderId="1" xfId="1" applyFont="1" applyFill="1" applyBorder="1" applyAlignment="1" applyProtection="1">
      <alignment horizontal="center" vertical="center"/>
    </xf>
    <xf numFmtId="0" fontId="6" fillId="0" borderId="6" xfId="1" applyFont="1" applyFill="1" applyBorder="1" applyAlignment="1" applyProtection="1">
      <alignment horizontal="center" vertical="center"/>
    </xf>
    <xf numFmtId="0" fontId="6" fillId="6" borderId="39" xfId="1" applyFill="1" applyBorder="1" applyAlignment="1" applyProtection="1">
      <alignment horizontal="center" vertical="center"/>
    </xf>
    <xf numFmtId="0" fontId="31" fillId="6" borderId="39" xfId="1" applyFont="1" applyFill="1" applyBorder="1" applyAlignment="1" applyProtection="1">
      <alignment horizontal="center" vertical="center" wrapText="1"/>
    </xf>
    <xf numFmtId="0" fontId="0" fillId="7" borderId="36" xfId="0" applyFill="1" applyBorder="1"/>
    <xf numFmtId="0" fontId="6" fillId="7" borderId="9" xfId="1" applyFill="1" applyBorder="1" applyAlignment="1">
      <alignment horizontal="center" vertical="center" wrapText="1"/>
    </xf>
    <xf numFmtId="0" fontId="6" fillId="7" borderId="36" xfId="1" applyFont="1" applyFill="1" applyBorder="1" applyAlignment="1">
      <alignment horizontal="left" vertical="center" wrapText="1"/>
    </xf>
    <xf numFmtId="0" fontId="6" fillId="7" borderId="9" xfId="1" applyFont="1" applyFill="1" applyBorder="1" applyAlignment="1">
      <alignment horizontal="left" vertical="center" wrapText="1"/>
    </xf>
    <xf numFmtId="0" fontId="31" fillId="0" borderId="1" xfId="1" applyFont="1" applyBorder="1" applyAlignment="1">
      <alignment horizontal="center" vertical="center" wrapText="1"/>
    </xf>
    <xf numFmtId="0" fontId="8" fillId="6" borderId="232" xfId="1" applyFont="1" applyFill="1" applyBorder="1" applyAlignment="1">
      <alignment horizontal="center" vertical="center"/>
    </xf>
    <xf numFmtId="0" fontId="6" fillId="6" borderId="232" xfId="1" applyFill="1" applyBorder="1" applyAlignment="1">
      <alignment horizontal="center" vertical="center" wrapText="1"/>
    </xf>
    <xf numFmtId="0" fontId="8" fillId="6" borderId="233" xfId="1" applyFont="1" applyFill="1" applyBorder="1" applyAlignment="1">
      <alignment horizontal="center" vertical="center"/>
    </xf>
    <xf numFmtId="0" fontId="6" fillId="0" borderId="22" xfId="1" applyFont="1" applyBorder="1" applyAlignment="1">
      <alignment horizontal="center" vertical="center" wrapText="1"/>
    </xf>
    <xf numFmtId="0" fontId="0" fillId="7" borderId="234" xfId="0" applyFill="1" applyBorder="1" applyAlignment="1">
      <alignment horizontal="left" vertical="center"/>
    </xf>
    <xf numFmtId="0" fontId="8" fillId="0" borderId="235" xfId="1" applyFont="1" applyBorder="1" applyAlignment="1">
      <alignment horizontal="center" vertical="center"/>
    </xf>
    <xf numFmtId="0" fontId="6" fillId="0" borderId="235" xfId="1" applyBorder="1" applyAlignment="1">
      <alignment horizontal="center" vertical="center" wrapText="1"/>
    </xf>
    <xf numFmtId="0" fontId="61" fillId="7" borderId="236" xfId="0" applyFont="1" applyFill="1" applyBorder="1" applyAlignment="1">
      <alignment horizontal="center" vertical="center"/>
    </xf>
    <xf numFmtId="3" fontId="6" fillId="0" borderId="235" xfId="1" applyNumberFormat="1" applyBorder="1" applyAlignment="1">
      <alignment horizontal="center" vertical="center" wrapText="1"/>
    </xf>
    <xf numFmtId="0" fontId="6" fillId="0" borderId="235" xfId="1" applyBorder="1"/>
    <xf numFmtId="0" fontId="6" fillId="0" borderId="130" xfId="1" applyFont="1" applyFill="1" applyBorder="1" applyAlignment="1">
      <alignment horizontal="left" vertical="center"/>
    </xf>
    <xf numFmtId="0" fontId="8" fillId="0" borderId="238" xfId="1" applyFont="1" applyFill="1" applyBorder="1" applyAlignment="1">
      <alignment horizontal="center" vertical="center"/>
    </xf>
    <xf numFmtId="0" fontId="6" fillId="0" borderId="238" xfId="1" applyFill="1" applyBorder="1" applyAlignment="1">
      <alignment horizontal="center" vertical="center" wrapText="1"/>
    </xf>
    <xf numFmtId="3" fontId="6" fillId="0" borderId="238" xfId="1" applyNumberFormat="1" applyBorder="1" applyAlignment="1">
      <alignment horizontal="center" vertical="center" wrapText="1"/>
    </xf>
    <xf numFmtId="0" fontId="6" fillId="0" borderId="238" xfId="1" applyBorder="1"/>
    <xf numFmtId="0" fontId="6" fillId="0" borderId="95" xfId="1" applyFont="1" applyBorder="1" applyAlignment="1">
      <alignment horizontal="left" vertical="center" wrapText="1"/>
    </xf>
    <xf numFmtId="0" fontId="8" fillId="0" borderId="96" xfId="1" applyFont="1" applyBorder="1" applyAlignment="1">
      <alignment horizontal="center" vertical="center"/>
    </xf>
    <xf numFmtId="0" fontId="6" fillId="0" borderId="96" xfId="1" applyBorder="1" applyAlignment="1">
      <alignment horizontal="center" vertical="center" wrapText="1"/>
    </xf>
    <xf numFmtId="3" fontId="6" fillId="0" borderId="96" xfId="1" applyNumberFormat="1" applyBorder="1" applyAlignment="1">
      <alignment horizontal="center" vertical="center" wrapText="1"/>
    </xf>
    <xf numFmtId="0" fontId="6" fillId="0" borderId="96" xfId="1" applyBorder="1"/>
    <xf numFmtId="3" fontId="8" fillId="0" borderId="235" xfId="1" applyNumberFormat="1" applyFont="1" applyBorder="1" applyAlignment="1">
      <alignment horizontal="center" vertical="center" wrapText="1"/>
    </xf>
    <xf numFmtId="0" fontId="8" fillId="7" borderId="54" xfId="0" applyFont="1" applyFill="1" applyBorder="1" applyAlignment="1">
      <alignment horizontal="left" vertical="center"/>
    </xf>
    <xf numFmtId="0" fontId="8" fillId="0" borderId="83" xfId="1" applyFont="1" applyBorder="1" applyAlignment="1">
      <alignment horizontal="center" vertical="center"/>
    </xf>
    <xf numFmtId="0" fontId="8" fillId="0" borderId="83" xfId="1" applyFont="1" applyBorder="1" applyAlignment="1">
      <alignment horizontal="center" vertical="center" wrapText="1"/>
    </xf>
    <xf numFmtId="0" fontId="6" fillId="6" borderId="240" xfId="1" applyFont="1" applyFill="1" applyBorder="1" applyAlignment="1">
      <alignment horizontal="left" vertical="center"/>
    </xf>
    <xf numFmtId="0" fontId="8" fillId="6" borderId="241" xfId="1" applyFont="1" applyFill="1" applyBorder="1" applyAlignment="1">
      <alignment horizontal="center" vertical="center"/>
    </xf>
    <xf numFmtId="0" fontId="6" fillId="6" borderId="241" xfId="1" applyFill="1" applyBorder="1" applyAlignment="1">
      <alignment horizontal="center" vertical="center" wrapText="1"/>
    </xf>
    <xf numFmtId="0" fontId="8" fillId="6" borderId="242" xfId="1" applyFont="1" applyFill="1" applyBorder="1" applyAlignment="1">
      <alignment horizontal="center" vertical="center"/>
    </xf>
    <xf numFmtId="0" fontId="0" fillId="7" borderId="53" xfId="0" applyFill="1" applyBorder="1" applyAlignment="1">
      <alignment horizontal="left" vertical="center"/>
    </xf>
    <xf numFmtId="0" fontId="6" fillId="7" borderId="36" xfId="1" applyFill="1" applyBorder="1" applyAlignment="1">
      <alignment horizontal="left" vertical="center" wrapText="1"/>
    </xf>
    <xf numFmtId="0" fontId="6" fillId="7" borderId="9" xfId="1" applyFill="1" applyBorder="1" applyAlignment="1">
      <alignment horizontal="left" vertical="center" wrapText="1"/>
    </xf>
    <xf numFmtId="0" fontId="6" fillId="0" borderId="11" xfId="1" applyBorder="1" applyAlignment="1">
      <alignment horizontal="left" vertical="center" wrapText="1"/>
    </xf>
    <xf numFmtId="0" fontId="14" fillId="0" borderId="11" xfId="1" applyFont="1" applyBorder="1" applyAlignment="1">
      <alignment horizontal="left" vertical="center" wrapText="1"/>
    </xf>
    <xf numFmtId="2" fontId="31" fillId="6" borderId="1" xfId="1" applyNumberFormat="1" applyFont="1" applyFill="1" applyBorder="1" applyAlignment="1">
      <alignment horizontal="center" vertical="center" wrapText="1"/>
    </xf>
    <xf numFmtId="2" fontId="53" fillId="6" borderId="1" xfId="1" applyNumberFormat="1" applyFont="1" applyFill="1" applyBorder="1" applyAlignment="1">
      <alignment horizontal="center" vertical="center" wrapText="1"/>
    </xf>
    <xf numFmtId="0" fontId="70" fillId="7" borderId="1" xfId="0" applyFont="1" applyFill="1" applyBorder="1" applyAlignment="1">
      <alignment vertical="center"/>
    </xf>
    <xf numFmtId="0" fontId="0" fillId="7" borderId="1" xfId="0" applyFont="1" applyFill="1" applyBorder="1" applyAlignment="1">
      <alignment horizontal="center" vertical="center"/>
    </xf>
    <xf numFmtId="0" fontId="70" fillId="7" borderId="1" xfId="0" applyFont="1" applyFill="1" applyBorder="1" applyAlignment="1">
      <alignment horizontal="left" vertical="center"/>
    </xf>
    <xf numFmtId="0" fontId="0" fillId="7" borderId="1" xfId="0" applyFill="1" applyBorder="1" applyAlignment="1">
      <alignment horizontal="left" vertical="center"/>
    </xf>
    <xf numFmtId="0" fontId="31" fillId="0" borderId="1" xfId="1" applyFont="1" applyBorder="1" applyAlignment="1">
      <alignment horizontal="left" vertical="center" wrapText="1"/>
    </xf>
    <xf numFmtId="0" fontId="6" fillId="7" borderId="36" xfId="1" applyFill="1" applyBorder="1" applyAlignment="1">
      <alignment horizontal="center" vertical="center" wrapText="1"/>
    </xf>
    <xf numFmtId="0" fontId="0" fillId="7" borderId="22" xfId="0" applyFill="1" applyBorder="1"/>
    <xf numFmtId="0" fontId="6" fillId="7" borderId="22" xfId="1" applyFill="1" applyBorder="1" applyAlignment="1">
      <alignment horizontal="left" vertical="center" wrapText="1"/>
    </xf>
    <xf numFmtId="0" fontId="59" fillId="33" borderId="34" xfId="1" applyFont="1" applyFill="1" applyBorder="1" applyAlignment="1" applyProtection="1">
      <alignment vertical="center"/>
    </xf>
    <xf numFmtId="0" fontId="8" fillId="33" borderId="10" xfId="1" applyFont="1" applyFill="1" applyBorder="1" applyAlignment="1" applyProtection="1">
      <alignment vertical="center" wrapText="1"/>
    </xf>
    <xf numFmtId="0" fontId="6" fillId="33" borderId="10" xfId="1" quotePrefix="1" applyFont="1" applyFill="1" applyBorder="1" applyAlignment="1" applyProtection="1">
      <alignment horizontal="center" vertical="center" wrapText="1"/>
    </xf>
    <xf numFmtId="0" fontId="6" fillId="33" borderId="10" xfId="1" applyFont="1" applyFill="1" applyBorder="1" applyAlignment="1" applyProtection="1">
      <alignment horizontal="center" vertical="center" wrapText="1"/>
    </xf>
    <xf numFmtId="3" fontId="6" fillId="33" borderId="10" xfId="1" applyNumberFormat="1" applyFont="1" applyFill="1" applyBorder="1" applyAlignment="1" applyProtection="1">
      <alignment horizontal="center" vertical="center" wrapText="1"/>
    </xf>
    <xf numFmtId="3" fontId="6" fillId="33" borderId="10" xfId="1" applyNumberFormat="1" applyFont="1" applyFill="1" applyBorder="1" applyAlignment="1" applyProtection="1">
      <alignment horizontal="center" vertical="center" wrapText="1"/>
      <protection locked="0"/>
    </xf>
    <xf numFmtId="0" fontId="6" fillId="33" borderId="35" xfId="1" applyFill="1" applyBorder="1" applyAlignment="1" applyProtection="1">
      <alignment vertical="center" wrapText="1"/>
    </xf>
    <xf numFmtId="0" fontId="6" fillId="9" borderId="72" xfId="1" applyFont="1" applyFill="1" applyBorder="1" applyAlignment="1" applyProtection="1">
      <alignment vertical="center" wrapText="1"/>
    </xf>
    <xf numFmtId="3" fontId="6" fillId="0" borderId="77" xfId="1" applyNumberFormat="1" applyFont="1" applyFill="1" applyBorder="1" applyAlignment="1" applyProtection="1">
      <alignment horizontal="center" vertical="center" wrapText="1"/>
      <protection locked="0"/>
    </xf>
    <xf numFmtId="3" fontId="6" fillId="0" borderId="78" xfId="1" applyNumberFormat="1" applyFont="1" applyFill="1" applyBorder="1" applyAlignment="1" applyProtection="1">
      <alignment horizontal="center" vertical="center" wrapText="1"/>
      <protection locked="0"/>
    </xf>
    <xf numFmtId="0" fontId="8" fillId="0" borderId="0" xfId="1" applyFont="1" applyFill="1" applyBorder="1" applyAlignment="1" applyProtection="1">
      <alignment vertical="center" wrapText="1"/>
    </xf>
    <xf numFmtId="0" fontId="6" fillId="0" borderId="0" xfId="1" quotePrefix="1" applyFont="1" applyFill="1" applyBorder="1" applyAlignment="1" applyProtection="1">
      <alignment horizontal="center" vertical="center" wrapText="1"/>
    </xf>
    <xf numFmtId="3" fontId="6" fillId="0" borderId="0" xfId="1" applyNumberFormat="1" applyFont="1" applyFill="1" applyBorder="1" applyAlignment="1" applyProtection="1">
      <alignment horizontal="center" vertical="center" wrapText="1"/>
      <protection locked="0"/>
    </xf>
    <xf numFmtId="3" fontId="6" fillId="0" borderId="0" xfId="1" applyNumberFormat="1" applyFont="1" applyFill="1" applyBorder="1" applyAlignment="1" applyProtection="1">
      <alignment horizontal="center" vertical="center" wrapText="1"/>
    </xf>
    <xf numFmtId="0" fontId="8" fillId="6" borderId="10" xfId="1" applyFont="1" applyFill="1" applyBorder="1" applyAlignment="1" applyProtection="1">
      <alignment vertical="center" wrapText="1"/>
    </xf>
    <xf numFmtId="0" fontId="6" fillId="6" borderId="10" xfId="1" quotePrefix="1" applyFont="1" applyFill="1" applyBorder="1" applyAlignment="1" applyProtection="1">
      <alignment horizontal="center" vertical="center" wrapText="1"/>
    </xf>
    <xf numFmtId="0" fontId="6" fillId="6" borderId="10" xfId="1" applyFont="1" applyFill="1" applyBorder="1" applyAlignment="1" applyProtection="1">
      <alignment horizontal="center" vertical="center" wrapText="1"/>
    </xf>
    <xf numFmtId="3" fontId="6" fillId="6" borderId="10" xfId="1" applyNumberFormat="1" applyFont="1" applyFill="1" applyBorder="1" applyAlignment="1" applyProtection="1">
      <alignment horizontal="center" vertical="center" wrapText="1"/>
    </xf>
    <xf numFmtId="3" fontId="6" fillId="6" borderId="10" xfId="1" applyNumberFormat="1" applyFont="1" applyFill="1" applyBorder="1" applyAlignment="1" applyProtection="1">
      <alignment horizontal="center" vertical="center" wrapText="1"/>
      <protection locked="0"/>
    </xf>
    <xf numFmtId="0" fontId="86" fillId="6" borderId="34" xfId="1" applyFont="1" applyFill="1" applyBorder="1" applyAlignment="1" applyProtection="1">
      <alignment vertical="center"/>
    </xf>
    <xf numFmtId="0" fontId="6" fillId="9" borderId="48" xfId="1" applyFont="1" applyFill="1" applyBorder="1" applyAlignment="1" applyProtection="1">
      <alignment vertical="center" wrapText="1"/>
    </xf>
    <xf numFmtId="0" fontId="59" fillId="7" borderId="40" xfId="1" applyFont="1" applyFill="1" applyBorder="1" applyAlignment="1" applyProtection="1">
      <alignment vertical="center"/>
    </xf>
    <xf numFmtId="0" fontId="8" fillId="7" borderId="0" xfId="1" applyFont="1" applyFill="1" applyBorder="1" applyAlignment="1" applyProtection="1">
      <alignment vertical="center" wrapText="1"/>
    </xf>
    <xf numFmtId="0" fontId="6" fillId="7" borderId="0" xfId="1" quotePrefix="1" applyFont="1" applyFill="1" applyBorder="1" applyAlignment="1" applyProtection="1">
      <alignment horizontal="center" vertical="center" wrapText="1"/>
    </xf>
    <xf numFmtId="0" fontId="6" fillId="7" borderId="0" xfId="1" applyFont="1" applyFill="1" applyBorder="1" applyAlignment="1" applyProtection="1">
      <alignment horizontal="center" vertical="center" wrapText="1"/>
    </xf>
    <xf numFmtId="3" fontId="6" fillId="7" borderId="0" xfId="1" applyNumberFormat="1" applyFont="1" applyFill="1" applyBorder="1" applyAlignment="1" applyProtection="1">
      <alignment horizontal="center" vertical="center" wrapText="1"/>
    </xf>
    <xf numFmtId="3" fontId="6" fillId="7" borderId="0" xfId="1" applyNumberFormat="1" applyFont="1" applyFill="1" applyBorder="1" applyAlignment="1" applyProtection="1">
      <alignment horizontal="center" vertical="center" wrapText="1"/>
      <protection locked="0"/>
    </xf>
    <xf numFmtId="0" fontId="59" fillId="37" borderId="34" xfId="1" applyFont="1" applyFill="1" applyBorder="1" applyAlignment="1" applyProtection="1">
      <alignment vertical="center"/>
    </xf>
    <xf numFmtId="0" fontId="8" fillId="37" borderId="10" xfId="1" applyFont="1" applyFill="1" applyBorder="1" applyAlignment="1" applyProtection="1">
      <alignment vertical="center" wrapText="1"/>
    </xf>
    <xf numFmtId="0" fontId="6" fillId="37" borderId="10" xfId="1" quotePrefix="1" applyFont="1" applyFill="1" applyBorder="1" applyAlignment="1" applyProtection="1">
      <alignment horizontal="center" vertical="center" wrapText="1"/>
    </xf>
    <xf numFmtId="0" fontId="6" fillId="37" borderId="10" xfId="1" applyFont="1" applyFill="1" applyBorder="1" applyAlignment="1" applyProtection="1">
      <alignment horizontal="center" vertical="center" wrapText="1"/>
    </xf>
    <xf numFmtId="3" fontId="6" fillId="37" borderId="10" xfId="1" applyNumberFormat="1" applyFont="1" applyFill="1" applyBorder="1" applyAlignment="1" applyProtection="1">
      <alignment horizontal="center" vertical="center" wrapText="1"/>
    </xf>
    <xf numFmtId="3" fontId="6" fillId="37" borderId="10" xfId="1" applyNumberFormat="1" applyFont="1" applyFill="1" applyBorder="1" applyAlignment="1" applyProtection="1">
      <alignment horizontal="center" vertical="center" wrapText="1"/>
      <protection locked="0"/>
    </xf>
    <xf numFmtId="0" fontId="6" fillId="37" borderId="35" xfId="1" applyFill="1" applyBorder="1" applyAlignment="1" applyProtection="1">
      <alignment vertical="center" wrapText="1"/>
    </xf>
    <xf numFmtId="0" fontId="6" fillId="7" borderId="69" xfId="1" applyFont="1" applyFill="1" applyBorder="1" applyAlignment="1" applyProtection="1">
      <alignment vertical="center"/>
    </xf>
    <xf numFmtId="0" fontId="10" fillId="7" borderId="22" xfId="1" applyFont="1" applyFill="1" applyBorder="1" applyAlignment="1" applyProtection="1">
      <alignment vertical="center" wrapText="1"/>
    </xf>
    <xf numFmtId="0" fontId="6" fillId="7" borderId="9" xfId="1" applyFill="1" applyBorder="1" applyAlignment="1" applyProtection="1">
      <alignment vertical="center" wrapText="1"/>
    </xf>
    <xf numFmtId="0" fontId="24" fillId="6" borderId="15" xfId="1" applyFont="1" applyFill="1" applyBorder="1" applyAlignment="1" applyProtection="1">
      <alignment horizontal="center" vertical="center" wrapText="1"/>
    </xf>
    <xf numFmtId="0" fontId="6" fillId="6" borderId="11" xfId="1" applyFill="1" applyBorder="1" applyAlignment="1" applyProtection="1">
      <alignment horizontal="center" vertical="center" wrapText="1"/>
    </xf>
    <xf numFmtId="0" fontId="6" fillId="6" borderId="15" xfId="1" applyFont="1" applyFill="1" applyBorder="1" applyAlignment="1" applyProtection="1">
      <alignment vertical="center"/>
    </xf>
    <xf numFmtId="0" fontId="6" fillId="7" borderId="0" xfId="1" applyFill="1" applyAlignment="1" applyProtection="1">
      <alignment horizontal="center" vertical="center" wrapText="1"/>
    </xf>
    <xf numFmtId="0" fontId="6" fillId="7" borderId="0" xfId="1" applyFont="1" applyFill="1" applyAlignment="1" applyProtection="1">
      <alignment horizontal="center" vertical="center" wrapText="1"/>
    </xf>
    <xf numFmtId="0" fontId="22" fillId="7" borderId="0" xfId="1" applyFont="1" applyFill="1" applyAlignment="1" applyProtection="1">
      <alignment horizontal="center" vertical="center" wrapText="1"/>
    </xf>
    <xf numFmtId="0" fontId="6" fillId="7" borderId="0" xfId="1" applyFill="1" applyBorder="1" applyAlignment="1" applyProtection="1">
      <alignment horizontal="left" vertical="center" wrapText="1"/>
    </xf>
    <xf numFmtId="3" fontId="6" fillId="7" borderId="0" xfId="1" applyNumberFormat="1" applyFill="1" applyAlignment="1" applyProtection="1">
      <alignment vertical="center" wrapText="1"/>
    </xf>
    <xf numFmtId="0" fontId="10" fillId="7" borderId="21" xfId="1" applyFont="1" applyFill="1" applyBorder="1" applyAlignment="1" applyProtection="1">
      <alignment vertical="center" wrapText="1"/>
    </xf>
    <xf numFmtId="0" fontId="10" fillId="7" borderId="16" xfId="1" applyFont="1" applyFill="1" applyBorder="1" applyAlignment="1" applyProtection="1">
      <alignment vertical="center" wrapText="1"/>
    </xf>
    <xf numFmtId="0" fontId="20" fillId="10" borderId="14" xfId="1" applyFont="1" applyFill="1" applyBorder="1" applyAlignment="1" applyProtection="1">
      <alignment vertical="center"/>
    </xf>
    <xf numFmtId="0" fontId="20" fillId="10" borderId="14" xfId="1" applyFont="1" applyFill="1" applyBorder="1" applyAlignment="1" applyProtection="1">
      <alignment horizontal="center" vertical="center" wrapText="1"/>
    </xf>
    <xf numFmtId="0" fontId="10" fillId="37" borderId="32" xfId="1" applyFont="1" applyFill="1" applyBorder="1" applyAlignment="1" applyProtection="1">
      <alignment vertical="center" wrapText="1"/>
    </xf>
    <xf numFmtId="0" fontId="22" fillId="37" borderId="23" xfId="1" applyFont="1" applyFill="1" applyBorder="1" applyAlignment="1" applyProtection="1">
      <alignment horizontal="left" vertical="center"/>
    </xf>
    <xf numFmtId="0" fontId="22" fillId="37" borderId="23" xfId="1" applyFont="1" applyFill="1" applyBorder="1" applyAlignment="1" applyProtection="1">
      <alignment horizontal="center" vertical="center"/>
    </xf>
    <xf numFmtId="0" fontId="22" fillId="37" borderId="24" xfId="1" applyFont="1" applyFill="1" applyBorder="1" applyAlignment="1" applyProtection="1">
      <alignment horizontal="center" vertical="center" wrapText="1"/>
    </xf>
    <xf numFmtId="0" fontId="10" fillId="37" borderId="53" xfId="1" applyFont="1" applyFill="1" applyBorder="1" applyAlignment="1" applyProtection="1">
      <alignment vertical="center" wrapText="1"/>
    </xf>
    <xf numFmtId="0" fontId="22" fillId="37" borderId="30" xfId="1" applyFont="1" applyFill="1" applyBorder="1" applyAlignment="1" applyProtection="1">
      <alignment horizontal="center" vertical="center"/>
    </xf>
    <xf numFmtId="0" fontId="22" fillId="37" borderId="52" xfId="1" applyFont="1" applyFill="1" applyBorder="1" applyAlignment="1" applyProtection="1">
      <alignment horizontal="center" vertical="center" wrapText="1"/>
    </xf>
    <xf numFmtId="0" fontId="31" fillId="7" borderId="53" xfId="1" applyFont="1" applyFill="1" applyBorder="1" applyAlignment="1" applyProtection="1">
      <alignment horizontal="left" vertical="center"/>
    </xf>
    <xf numFmtId="0" fontId="31" fillId="15" borderId="59" xfId="0" applyFont="1" applyFill="1" applyBorder="1" applyAlignment="1">
      <alignment horizontal="center" vertical="center" wrapText="1"/>
    </xf>
    <xf numFmtId="0" fontId="31" fillId="15" borderId="60" xfId="0" applyFont="1" applyFill="1" applyBorder="1" applyAlignment="1">
      <alignment horizontal="center" vertical="center"/>
    </xf>
    <xf numFmtId="0" fontId="31" fillId="15" borderId="61" xfId="0" applyFont="1" applyFill="1" applyBorder="1" applyAlignment="1">
      <alignment horizontal="center" vertical="center" wrapText="1"/>
    </xf>
    <xf numFmtId="0" fontId="0" fillId="15" borderId="25" xfId="0" applyFill="1" applyBorder="1" applyAlignment="1">
      <alignment horizontal="center" vertical="center" wrapText="1"/>
    </xf>
    <xf numFmtId="0" fontId="0" fillId="15" borderId="69" xfId="0" applyFill="1" applyBorder="1" applyAlignment="1">
      <alignment horizontal="center" vertical="center" wrapText="1"/>
    </xf>
    <xf numFmtId="0" fontId="0" fillId="15" borderId="225" xfId="0" applyFill="1" applyBorder="1" applyAlignment="1">
      <alignment horizontal="center" vertical="center" wrapText="1"/>
    </xf>
    <xf numFmtId="0" fontId="6" fillId="15" borderId="26" xfId="0" applyFont="1" applyFill="1" applyBorder="1" applyAlignment="1">
      <alignment horizontal="center" vertical="center" wrapText="1"/>
    </xf>
    <xf numFmtId="0" fontId="0" fillId="15" borderId="0" xfId="0" applyFill="1" applyBorder="1" applyAlignment="1">
      <alignment horizontal="center" vertical="center" wrapText="1"/>
    </xf>
    <xf numFmtId="0" fontId="0" fillId="15" borderId="27" xfId="0" applyFill="1" applyBorder="1" applyAlignment="1">
      <alignment horizontal="center" vertical="center" wrapText="1"/>
    </xf>
    <xf numFmtId="0" fontId="6" fillId="15" borderId="28" xfId="0" applyFont="1" applyFill="1" applyBorder="1" applyAlignment="1">
      <alignment horizontal="center" vertical="center" wrapText="1"/>
    </xf>
    <xf numFmtId="0" fontId="6" fillId="15" borderId="224" xfId="0" applyFont="1" applyFill="1" applyBorder="1" applyAlignment="1">
      <alignment horizontal="center" vertical="center" wrapText="1"/>
    </xf>
    <xf numFmtId="0" fontId="0" fillId="15" borderId="30" xfId="0" applyFill="1" applyBorder="1" applyAlignment="1">
      <alignment horizontal="center" vertical="center" wrapText="1"/>
    </xf>
    <xf numFmtId="0" fontId="0" fillId="15" borderId="52" xfId="0" applyFill="1" applyBorder="1" applyAlignment="1">
      <alignment horizontal="center" vertical="center" wrapText="1"/>
    </xf>
    <xf numFmtId="0" fontId="31" fillId="0" borderId="20" xfId="1" applyFont="1" applyBorder="1" applyAlignment="1">
      <alignment horizontal="center" vertical="center" wrapText="1"/>
    </xf>
    <xf numFmtId="0" fontId="6" fillId="11" borderId="9" xfId="1" applyFill="1" applyBorder="1" applyAlignment="1">
      <alignment horizontal="center" vertical="center" wrapText="1"/>
    </xf>
    <xf numFmtId="0" fontId="31" fillId="15" borderId="243" xfId="1" applyFont="1" applyFill="1" applyBorder="1" applyAlignment="1">
      <alignment horizontal="center" vertical="center" wrapText="1"/>
    </xf>
    <xf numFmtId="0" fontId="6" fillId="7" borderId="0" xfId="1" applyFill="1" applyBorder="1" applyAlignment="1" applyProtection="1">
      <alignment horizontal="center" vertical="center"/>
    </xf>
    <xf numFmtId="0" fontId="31" fillId="7" borderId="0" xfId="1" applyFont="1" applyFill="1" applyBorder="1" applyAlignment="1" applyProtection="1">
      <alignment horizontal="center" vertical="center" wrapText="1"/>
    </xf>
    <xf numFmtId="0" fontId="6" fillId="7" borderId="0" xfId="1" applyFill="1" applyAlignment="1" applyProtection="1">
      <alignment horizontal="center" vertical="center"/>
    </xf>
    <xf numFmtId="0" fontId="31" fillId="7" borderId="0" xfId="1" applyFont="1" applyFill="1" applyAlignment="1" applyProtection="1">
      <alignment vertical="center"/>
    </xf>
    <xf numFmtId="0" fontId="31" fillId="7" borderId="0" xfId="1" applyFont="1" applyFill="1" applyBorder="1" applyAlignment="1" applyProtection="1">
      <alignment horizontal="left" vertical="center"/>
    </xf>
    <xf numFmtId="0" fontId="6" fillId="37" borderId="1" xfId="1" quotePrefix="1" applyFill="1" applyBorder="1" applyAlignment="1">
      <alignment horizontal="center" vertical="center" wrapText="1"/>
    </xf>
    <xf numFmtId="0" fontId="87" fillId="7" borderId="188" xfId="0" applyFont="1" applyFill="1" applyBorder="1" applyAlignment="1">
      <alignment horizontal="center" vertical="center"/>
    </xf>
    <xf numFmtId="0" fontId="87" fillId="7" borderId="127" xfId="0" applyFont="1" applyFill="1" applyBorder="1" applyAlignment="1">
      <alignment horizontal="center" vertical="center"/>
    </xf>
    <xf numFmtId="0" fontId="8" fillId="0" borderId="238" xfId="1" applyFont="1" applyBorder="1" applyAlignment="1">
      <alignment horizontal="center" vertical="center"/>
    </xf>
    <xf numFmtId="0" fontId="31" fillId="0" borderId="84" xfId="1" applyFont="1" applyBorder="1" applyAlignment="1">
      <alignment horizontal="left" vertical="center" wrapText="1"/>
    </xf>
    <xf numFmtId="0" fontId="31" fillId="0" borderId="44" xfId="1" applyFont="1" applyBorder="1" applyAlignment="1">
      <alignment horizontal="left" vertical="center" wrapText="1"/>
    </xf>
    <xf numFmtId="0" fontId="31" fillId="0" borderId="239" xfId="1" applyFont="1" applyBorder="1" applyAlignment="1">
      <alignment horizontal="left" vertical="center" wrapText="1"/>
    </xf>
    <xf numFmtId="0" fontId="6" fillId="0" borderId="36" xfId="1" applyBorder="1" applyAlignment="1">
      <alignment horizontal="left" vertical="center" wrapText="1"/>
    </xf>
    <xf numFmtId="0" fontId="6" fillId="0" borderId="97" xfId="1" applyBorder="1" applyAlignment="1">
      <alignment horizontal="left" vertical="center" wrapText="1"/>
    </xf>
    <xf numFmtId="0" fontId="6" fillId="0" borderId="237" xfId="1" applyFont="1" applyBorder="1" applyAlignment="1">
      <alignment horizontal="left" vertical="center" wrapText="1"/>
    </xf>
    <xf numFmtId="0" fontId="6" fillId="0" borderId="211" xfId="1" applyFont="1" applyBorder="1" applyAlignment="1">
      <alignment horizontal="left" vertical="center" wrapText="1"/>
    </xf>
    <xf numFmtId="0" fontId="6" fillId="0" borderId="44" xfId="1" applyBorder="1" applyAlignment="1">
      <alignment horizontal="left" vertical="center" wrapText="1"/>
    </xf>
    <xf numFmtId="0" fontId="31" fillId="0" borderId="213" xfId="1" applyFont="1" applyBorder="1" applyAlignment="1">
      <alignment horizontal="left" vertical="center" wrapText="1"/>
    </xf>
    <xf numFmtId="0" fontId="6" fillId="0" borderId="237" xfId="1" applyBorder="1" applyAlignment="1">
      <alignment horizontal="left" vertical="center" wrapText="1"/>
    </xf>
    <xf numFmtId="0" fontId="6" fillId="0" borderId="62" xfId="1" applyBorder="1" applyAlignment="1">
      <alignment horizontal="left" vertical="center" wrapText="1"/>
    </xf>
    <xf numFmtId="0" fontId="6" fillId="0" borderId="49" xfId="1" applyBorder="1" applyAlignment="1">
      <alignment horizontal="left" vertical="center" wrapText="1"/>
    </xf>
    <xf numFmtId="0" fontId="6" fillId="0" borderId="31" xfId="1" applyBorder="1" applyAlignment="1">
      <alignment horizontal="left" vertical="center" wrapText="1"/>
    </xf>
    <xf numFmtId="0" fontId="6" fillId="6" borderId="1" xfId="1" applyFill="1" applyBorder="1" applyAlignment="1">
      <alignment horizontal="left" vertical="center" wrapText="1"/>
    </xf>
    <xf numFmtId="0" fontId="31" fillId="6" borderId="1" xfId="1" applyFont="1" applyFill="1" applyBorder="1" applyAlignment="1">
      <alignment horizontal="left" vertical="center" wrapText="1"/>
    </xf>
    <xf numFmtId="0" fontId="0" fillId="15" borderId="1" xfId="0" applyFill="1" applyBorder="1" applyAlignment="1">
      <alignment horizontal="left" vertical="center"/>
    </xf>
    <xf numFmtId="0" fontId="6" fillId="15" borderId="1" xfId="0" applyFont="1" applyFill="1" applyBorder="1" applyAlignment="1">
      <alignment horizontal="left" vertical="center"/>
    </xf>
    <xf numFmtId="0" fontId="76" fillId="37" borderId="1" xfId="0" applyFont="1" applyFill="1" applyBorder="1" applyAlignment="1">
      <alignment horizontal="left" vertical="center" wrapText="1"/>
    </xf>
    <xf numFmtId="3" fontId="6" fillId="37" borderId="1" xfId="1" applyNumberFormat="1" applyFill="1" applyBorder="1" applyAlignment="1">
      <alignment horizontal="center" vertical="center" wrapText="1"/>
    </xf>
    <xf numFmtId="3" fontId="6" fillId="37" borderId="1" xfId="1" applyNumberFormat="1" applyFont="1" applyFill="1" applyBorder="1" applyAlignment="1">
      <alignment horizontal="center" vertical="center" wrapText="1"/>
    </xf>
    <xf numFmtId="0" fontId="10" fillId="7" borderId="196" xfId="0" applyFont="1" applyFill="1" applyBorder="1" applyAlignment="1">
      <alignment horizontal="center" vertical="center"/>
    </xf>
    <xf numFmtId="0" fontId="10" fillId="15" borderId="1" xfId="1" applyFont="1" applyFill="1" applyBorder="1" applyAlignment="1">
      <alignment horizontal="center" vertical="center" wrapText="1"/>
    </xf>
    <xf numFmtId="0" fontId="83" fillId="0" borderId="1" xfId="1" applyFont="1" applyBorder="1" applyAlignment="1">
      <alignment horizontal="center" vertical="center"/>
    </xf>
    <xf numFmtId="0" fontId="13" fillId="15" borderId="1" xfId="1" applyFont="1" applyFill="1" applyBorder="1" applyAlignment="1">
      <alignment horizontal="center" vertical="center" wrapText="1"/>
    </xf>
    <xf numFmtId="0" fontId="10" fillId="7" borderId="0" xfId="1" applyFont="1" applyFill="1" applyBorder="1" applyAlignment="1">
      <alignment horizontal="left" vertical="center"/>
    </xf>
    <xf numFmtId="0" fontId="10" fillId="39" borderId="54" xfId="1" applyFont="1" applyFill="1" applyBorder="1" applyAlignment="1">
      <alignment vertical="center"/>
    </xf>
    <xf numFmtId="0" fontId="10" fillId="39" borderId="55" xfId="1" applyFont="1" applyFill="1" applyBorder="1" applyAlignment="1">
      <alignment horizontal="center" vertical="center"/>
    </xf>
    <xf numFmtId="0" fontId="6" fillId="39" borderId="56" xfId="1" applyFill="1" applyBorder="1" applyAlignment="1">
      <alignment vertical="center"/>
    </xf>
    <xf numFmtId="0" fontId="10" fillId="39" borderId="40" xfId="1" applyFont="1" applyFill="1" applyBorder="1" applyAlignment="1">
      <alignment horizontal="right" vertical="center"/>
    </xf>
    <xf numFmtId="3" fontId="10" fillId="39" borderId="0" xfId="1" applyNumberFormat="1" applyFont="1" applyFill="1" applyBorder="1" applyAlignment="1">
      <alignment horizontal="center" vertical="center"/>
    </xf>
    <xf numFmtId="0" fontId="10" fillId="39" borderId="27" xfId="1" applyFont="1" applyFill="1" applyBorder="1" applyAlignment="1">
      <alignment vertical="center"/>
    </xf>
    <xf numFmtId="0" fontId="10" fillId="39" borderId="40" xfId="1" applyFont="1" applyFill="1" applyBorder="1" applyAlignment="1">
      <alignment vertical="center"/>
    </xf>
    <xf numFmtId="0" fontId="6" fillId="39" borderId="0" xfId="1" applyFill="1" applyBorder="1" applyAlignment="1">
      <alignment vertical="center"/>
    </xf>
    <xf numFmtId="0" fontId="6" fillId="39" borderId="27" xfId="1" applyFill="1" applyBorder="1" applyAlignment="1">
      <alignment vertical="center"/>
    </xf>
    <xf numFmtId="3" fontId="10" fillId="6" borderId="0" xfId="1" applyNumberFormat="1" applyFont="1" applyFill="1" applyBorder="1" applyAlignment="1">
      <alignment horizontal="center" vertical="center"/>
    </xf>
    <xf numFmtId="0" fontId="10" fillId="6" borderId="0" xfId="1" applyFont="1" applyFill="1" applyBorder="1" applyAlignment="1">
      <alignment horizontal="center" vertical="center"/>
    </xf>
    <xf numFmtId="0" fontId="6" fillId="6" borderId="0" xfId="1" applyFill="1" applyBorder="1" applyAlignment="1">
      <alignment horizontal="center" vertical="center"/>
    </xf>
    <xf numFmtId="0" fontId="8" fillId="7" borderId="0" xfId="1" applyFont="1" applyFill="1" applyBorder="1" applyAlignment="1">
      <alignment vertical="center"/>
    </xf>
    <xf numFmtId="3" fontId="90" fillId="11" borderId="1" xfId="1" applyNumberFormat="1" applyFont="1" applyFill="1" applyBorder="1" applyAlignment="1">
      <alignment horizontal="center" vertical="center" wrapText="1"/>
    </xf>
    <xf numFmtId="0" fontId="6" fillId="6" borderId="1" xfId="1" applyFill="1" applyBorder="1" applyAlignment="1">
      <alignment horizontal="center" vertical="center"/>
    </xf>
    <xf numFmtId="2" fontId="16" fillId="6" borderId="1" xfId="1" applyNumberFormat="1" applyFont="1" applyFill="1" applyBorder="1" applyAlignment="1">
      <alignment horizontal="left" vertical="center"/>
    </xf>
    <xf numFmtId="2" fontId="91" fillId="6" borderId="1" xfId="1" applyNumberFormat="1" applyFont="1" applyFill="1" applyBorder="1" applyAlignment="1">
      <alignment horizontal="left" vertical="center"/>
    </xf>
    <xf numFmtId="165" fontId="91" fillId="6" borderId="1" xfId="1" applyNumberFormat="1" applyFont="1" applyFill="1" applyBorder="1" applyAlignment="1">
      <alignment horizontal="left" vertical="center"/>
    </xf>
    <xf numFmtId="0" fontId="8" fillId="7" borderId="1" xfId="1" applyFont="1" applyFill="1" applyBorder="1" applyAlignment="1">
      <alignment horizontal="center" vertical="center"/>
    </xf>
    <xf numFmtId="0" fontId="6" fillId="7" borderId="1" xfId="1" applyFont="1" applyFill="1" applyBorder="1" applyAlignment="1">
      <alignment horizontal="center" vertical="center" wrapText="1"/>
    </xf>
    <xf numFmtId="2" fontId="6" fillId="7" borderId="1" xfId="1" applyNumberFormat="1" applyFill="1" applyBorder="1" applyAlignment="1">
      <alignment horizontal="center" vertical="center" wrapText="1"/>
    </xf>
    <xf numFmtId="0" fontId="6" fillId="7" borderId="1" xfId="1" applyFill="1" applyBorder="1" applyAlignment="1">
      <alignment horizontal="center" vertical="center" wrapText="1"/>
    </xf>
    <xf numFmtId="0" fontId="6" fillId="7" borderId="1" xfId="1" applyFill="1" applyBorder="1" applyAlignment="1">
      <alignment horizontal="left" vertical="center" wrapText="1"/>
    </xf>
    <xf numFmtId="0" fontId="16" fillId="7" borderId="20" xfId="1" applyFont="1" applyFill="1" applyBorder="1" applyAlignment="1">
      <alignment horizontal="left" vertical="center" indent="2"/>
    </xf>
    <xf numFmtId="0" fontId="8" fillId="7" borderId="15" xfId="1" applyFont="1" applyFill="1" applyBorder="1" applyAlignment="1">
      <alignment horizontal="center" vertical="center"/>
    </xf>
    <xf numFmtId="0" fontId="6" fillId="7" borderId="15" xfId="1" applyFont="1" applyFill="1" applyBorder="1" applyAlignment="1">
      <alignment horizontal="center" vertical="center" wrapText="1"/>
    </xf>
    <xf numFmtId="2" fontId="6" fillId="7" borderId="15" xfId="1" applyNumberFormat="1" applyFill="1" applyBorder="1" applyAlignment="1">
      <alignment horizontal="center" vertical="center" wrapText="1"/>
    </xf>
    <xf numFmtId="0" fontId="6" fillId="7" borderId="15" xfId="1" applyFill="1" applyBorder="1" applyAlignment="1">
      <alignment horizontal="center" vertical="center" wrapText="1"/>
    </xf>
    <xf numFmtId="0" fontId="6" fillId="7" borderId="11" xfId="1" applyFill="1" applyBorder="1" applyAlignment="1">
      <alignment horizontal="left" vertical="center" wrapText="1"/>
    </xf>
    <xf numFmtId="0" fontId="83" fillId="7" borderId="1" xfId="1" applyFont="1" applyFill="1" applyBorder="1" applyAlignment="1">
      <alignment horizontal="left" vertical="center" indent="2"/>
    </xf>
    <xf numFmtId="2" fontId="6" fillId="7" borderId="11" xfId="1" applyNumberFormat="1" applyFill="1" applyBorder="1" applyAlignment="1">
      <alignment horizontal="center" vertical="center" wrapText="1"/>
    </xf>
    <xf numFmtId="0" fontId="61" fillId="7" borderId="60" xfId="0" applyFont="1" applyFill="1" applyBorder="1" applyAlignment="1">
      <alignment horizontal="center" vertical="center"/>
    </xf>
    <xf numFmtId="0" fontId="16" fillId="7" borderId="105" xfId="1" applyFont="1" applyFill="1" applyBorder="1" applyAlignment="1">
      <alignment horizontal="left" vertical="center" indent="1"/>
    </xf>
    <xf numFmtId="0" fontId="8" fillId="7" borderId="60" xfId="1" applyFont="1" applyFill="1" applyBorder="1" applyAlignment="1">
      <alignment horizontal="center" vertical="center"/>
    </xf>
    <xf numFmtId="0" fontId="6" fillId="7" borderId="60" xfId="1" applyFill="1" applyBorder="1" applyAlignment="1">
      <alignment horizontal="center" vertical="center" wrapText="1"/>
    </xf>
    <xf numFmtId="3" fontId="6" fillId="7" borderId="60" xfId="1" applyNumberFormat="1" applyFill="1" applyBorder="1" applyAlignment="1">
      <alignment horizontal="center" vertical="center" wrapText="1"/>
    </xf>
    <xf numFmtId="0" fontId="6" fillId="7" borderId="60" xfId="1" applyFont="1" applyFill="1" applyBorder="1" applyAlignment="1">
      <alignment horizontal="center" vertical="center" wrapText="1"/>
    </xf>
    <xf numFmtId="0" fontId="6" fillId="7" borderId="60" xfId="1" applyFill="1" applyBorder="1"/>
    <xf numFmtId="0" fontId="6" fillId="7" borderId="171" xfId="1" applyFill="1" applyBorder="1" applyAlignment="1">
      <alignment horizontal="left" vertical="center" wrapText="1"/>
    </xf>
    <xf numFmtId="0" fontId="6" fillId="7" borderId="46" xfId="1" applyFill="1" applyBorder="1" applyAlignment="1">
      <alignment horizontal="center" vertical="center" wrapText="1"/>
    </xf>
    <xf numFmtId="0" fontId="16" fillId="7" borderId="34" xfId="1" applyFont="1" applyFill="1" applyBorder="1" applyAlignment="1">
      <alignment horizontal="left" vertical="center" indent="1"/>
    </xf>
    <xf numFmtId="0" fontId="6" fillId="7" borderId="35" xfId="1" applyFill="1" applyBorder="1" applyAlignment="1">
      <alignment horizontal="left" vertical="center" wrapText="1"/>
    </xf>
    <xf numFmtId="0" fontId="6" fillId="7" borderId="83" xfId="1" applyFont="1" applyFill="1" applyBorder="1" applyAlignment="1">
      <alignment horizontal="center" vertical="center" wrapText="1"/>
    </xf>
    <xf numFmtId="0" fontId="6" fillId="7" borderId="200" xfId="1" applyFont="1" applyFill="1" applyBorder="1" applyAlignment="1">
      <alignment horizontal="center" vertical="center" wrapText="1"/>
    </xf>
    <xf numFmtId="0" fontId="6" fillId="7" borderId="238" xfId="1" applyFont="1" applyFill="1" applyBorder="1" applyAlignment="1">
      <alignment horizontal="center" vertical="center" wrapText="1"/>
    </xf>
    <xf numFmtId="0" fontId="6" fillId="7" borderId="96" xfId="1" quotePrefix="1" applyFont="1" applyFill="1" applyBorder="1" applyAlignment="1">
      <alignment horizontal="center" vertical="center" wrapText="1"/>
    </xf>
    <xf numFmtId="0" fontId="8" fillId="7" borderId="235" xfId="1" applyFont="1" applyFill="1" applyBorder="1" applyAlignment="1">
      <alignment horizontal="center" vertical="center" wrapText="1"/>
    </xf>
    <xf numFmtId="0" fontId="6" fillId="7" borderId="206" xfId="1" applyFont="1" applyFill="1" applyBorder="1" applyAlignment="1">
      <alignment horizontal="center" vertical="center" wrapText="1"/>
    </xf>
    <xf numFmtId="0" fontId="6" fillId="7" borderId="208" xfId="1" applyFont="1" applyFill="1" applyBorder="1" applyAlignment="1">
      <alignment horizontal="center" vertical="center" wrapText="1"/>
    </xf>
    <xf numFmtId="0" fontId="6" fillId="7" borderId="235" xfId="1" quotePrefix="1" applyFont="1" applyFill="1" applyBorder="1" applyAlignment="1">
      <alignment horizontal="center" vertical="center" wrapText="1"/>
    </xf>
    <xf numFmtId="0" fontId="6" fillId="7" borderId="3" xfId="1" applyFont="1" applyFill="1" applyBorder="1" applyAlignment="1">
      <alignment horizontal="center" vertical="center" wrapText="1"/>
    </xf>
    <xf numFmtId="0" fontId="6" fillId="7" borderId="9" xfId="1" applyFont="1" applyFill="1" applyBorder="1" applyAlignment="1">
      <alignment horizontal="center" vertical="center" wrapText="1"/>
    </xf>
    <xf numFmtId="0" fontId="6" fillId="7" borderId="205" xfId="1" applyFont="1" applyFill="1" applyBorder="1" applyAlignment="1">
      <alignment horizontal="center" vertical="center" wrapText="1"/>
    </xf>
    <xf numFmtId="0" fontId="6" fillId="7" borderId="1" xfId="1" quotePrefix="1" applyFont="1" applyFill="1" applyBorder="1" applyAlignment="1">
      <alignment horizontal="center" vertical="center" wrapText="1"/>
    </xf>
    <xf numFmtId="0" fontId="6" fillId="7" borderId="1" xfId="1" quotePrefix="1" applyFill="1" applyBorder="1" applyAlignment="1">
      <alignment horizontal="center" vertical="center" wrapText="1"/>
    </xf>
    <xf numFmtId="0" fontId="0" fillId="7" borderId="0" xfId="0" applyFill="1" applyAlignment="1">
      <alignment vertical="center"/>
    </xf>
    <xf numFmtId="0" fontId="6" fillId="7" borderId="0" xfId="0" applyFont="1" applyFill="1" applyAlignment="1">
      <alignment vertical="center"/>
    </xf>
    <xf numFmtId="0" fontId="10" fillId="7" borderId="21" xfId="0" applyFont="1" applyFill="1" applyBorder="1" applyAlignment="1">
      <alignment horizontal="center" vertical="center"/>
    </xf>
    <xf numFmtId="0" fontId="10" fillId="7" borderId="17" xfId="0" applyFont="1" applyFill="1" applyBorder="1" applyAlignment="1">
      <alignment horizontal="center" vertical="center"/>
    </xf>
    <xf numFmtId="0" fontId="6" fillId="7" borderId="69" xfId="0" applyFont="1" applyFill="1" applyBorder="1" applyAlignment="1">
      <alignment vertical="center"/>
    </xf>
    <xf numFmtId="0" fontId="0" fillId="7" borderId="69" xfId="0" applyFill="1" applyBorder="1" applyAlignment="1">
      <alignment vertical="center"/>
    </xf>
    <xf numFmtId="0" fontId="0" fillId="7" borderId="70" xfId="0" applyFill="1" applyBorder="1" applyAlignment="1">
      <alignment vertical="center"/>
    </xf>
    <xf numFmtId="0" fontId="6" fillId="7" borderId="14" xfId="0" applyFont="1" applyFill="1" applyBorder="1" applyAlignment="1">
      <alignment vertical="center"/>
    </xf>
    <xf numFmtId="0" fontId="0" fillId="7" borderId="14" xfId="0" applyFill="1" applyBorder="1" applyAlignment="1">
      <alignment vertical="center"/>
    </xf>
    <xf numFmtId="0" fontId="0" fillId="7" borderId="19" xfId="0" applyFill="1" applyBorder="1" applyAlignment="1">
      <alignment vertical="center"/>
    </xf>
    <xf numFmtId="0" fontId="6" fillId="7" borderId="0" xfId="0" applyFont="1" applyFill="1" applyAlignment="1">
      <alignment horizontal="center" vertical="center"/>
    </xf>
    <xf numFmtId="0" fontId="0" fillId="7" borderId="0" xfId="0" applyFill="1" applyAlignment="1">
      <alignment horizontal="center" vertical="center"/>
    </xf>
    <xf numFmtId="165" fontId="6" fillId="7" borderId="0" xfId="0" applyNumberFormat="1" applyFont="1" applyFill="1" applyAlignment="1">
      <alignment horizontal="center" vertical="center"/>
    </xf>
    <xf numFmtId="165" fontId="6" fillId="7" borderId="0" xfId="0" applyNumberFormat="1" applyFont="1" applyFill="1" applyAlignment="1">
      <alignment vertical="center"/>
    </xf>
    <xf numFmtId="2" fontId="6" fillId="7" borderId="0" xfId="0" applyNumberFormat="1" applyFont="1" applyFill="1" applyAlignment="1">
      <alignment horizontal="center" vertical="center"/>
    </xf>
    <xf numFmtId="0" fontId="6" fillId="7" borderId="0" xfId="1" applyFill="1" applyAlignment="1">
      <alignment horizontal="center" vertical="center" wrapText="1"/>
    </xf>
    <xf numFmtId="0" fontId="6" fillId="7" borderId="45" xfId="1" applyFill="1" applyBorder="1" applyAlignment="1">
      <alignment horizontal="center" vertical="center" wrapText="1"/>
    </xf>
    <xf numFmtId="0" fontId="13" fillId="7" borderId="46" xfId="1" applyFont="1" applyFill="1" applyBorder="1" applyAlignment="1">
      <alignment horizontal="center" vertical="center" wrapText="1"/>
    </xf>
    <xf numFmtId="0" fontId="6" fillId="7" borderId="47" xfId="1" applyFill="1" applyBorder="1" applyAlignment="1">
      <alignment horizontal="center" vertical="center" wrapText="1"/>
    </xf>
    <xf numFmtId="0" fontId="6" fillId="7" borderId="59" xfId="1" applyFill="1" applyBorder="1" applyAlignment="1">
      <alignment horizontal="center" vertical="center" wrapText="1"/>
    </xf>
    <xf numFmtId="0" fontId="6" fillId="7" borderId="172" xfId="1" applyFill="1" applyBorder="1" applyAlignment="1">
      <alignment horizontal="center" vertical="center" wrapText="1"/>
    </xf>
    <xf numFmtId="0" fontId="6" fillId="7" borderId="173" xfId="1" applyFill="1" applyBorder="1" applyAlignment="1">
      <alignment horizontal="center" vertical="center" wrapText="1"/>
    </xf>
    <xf numFmtId="0" fontId="6" fillId="7" borderId="174" xfId="1" applyFill="1" applyBorder="1" applyAlignment="1">
      <alignment horizontal="center" vertical="center" wrapText="1"/>
    </xf>
    <xf numFmtId="0" fontId="10" fillId="7" borderId="171" xfId="1" applyFont="1" applyFill="1" applyBorder="1" applyAlignment="1">
      <alignment horizontal="center" vertical="center" wrapText="1"/>
    </xf>
    <xf numFmtId="0" fontId="6" fillId="7" borderId="3" xfId="1" applyFill="1" applyBorder="1" applyAlignment="1">
      <alignment horizontal="center" vertical="center" wrapText="1"/>
    </xf>
    <xf numFmtId="0" fontId="6" fillId="7" borderId="62" xfId="1" applyFill="1" applyBorder="1" applyAlignment="1">
      <alignment horizontal="center" vertical="center" wrapText="1"/>
    </xf>
    <xf numFmtId="0" fontId="14" fillId="7" borderId="153" xfId="1" applyFont="1" applyFill="1" applyBorder="1" applyAlignment="1">
      <alignment horizontal="left" vertical="center" wrapText="1"/>
    </xf>
    <xf numFmtId="0" fontId="6" fillId="7" borderId="14" xfId="1" applyFill="1" applyBorder="1" applyAlignment="1">
      <alignment horizontal="center" vertical="center" wrapText="1"/>
    </xf>
    <xf numFmtId="0" fontId="6" fillId="7" borderId="175" xfId="1" applyFill="1" applyBorder="1" applyAlignment="1">
      <alignment horizontal="center" vertical="center" wrapText="1"/>
    </xf>
    <xf numFmtId="0" fontId="6" fillId="7" borderId="176" xfId="1" applyFill="1" applyBorder="1" applyAlignment="1">
      <alignment horizontal="center" vertical="center" wrapText="1"/>
    </xf>
    <xf numFmtId="0" fontId="6" fillId="7" borderId="177" xfId="1" applyFill="1" applyBorder="1" applyAlignment="1">
      <alignment horizontal="center" vertical="center" wrapText="1"/>
    </xf>
    <xf numFmtId="0" fontId="6" fillId="7" borderId="19" xfId="1" applyFill="1" applyBorder="1" applyAlignment="1">
      <alignment horizontal="center" vertical="center" wrapText="1"/>
    </xf>
    <xf numFmtId="0" fontId="6" fillId="7" borderId="49" xfId="1" applyFill="1" applyBorder="1" applyAlignment="1">
      <alignment horizontal="center" vertical="center" wrapText="1"/>
    </xf>
    <xf numFmtId="0" fontId="14" fillId="7" borderId="4" xfId="1" applyFont="1" applyFill="1" applyBorder="1" applyAlignment="1">
      <alignment horizontal="left" vertical="center" wrapText="1" indent="1"/>
    </xf>
    <xf numFmtId="0" fontId="14" fillId="7" borderId="1" xfId="1" applyFont="1" applyFill="1" applyBorder="1" applyAlignment="1">
      <alignment horizontal="center" vertical="center"/>
    </xf>
    <xf numFmtId="0" fontId="6" fillId="7" borderId="20" xfId="1" applyFont="1" applyFill="1" applyBorder="1" applyAlignment="1">
      <alignment horizontal="center" vertical="center" wrapText="1"/>
    </xf>
    <xf numFmtId="3" fontId="6" fillId="7" borderId="178" xfId="1" applyNumberFormat="1" applyFill="1" applyBorder="1" applyAlignment="1">
      <alignment horizontal="center" vertical="center" wrapText="1"/>
    </xf>
    <xf numFmtId="3" fontId="6" fillId="7" borderId="179" xfId="1" applyNumberFormat="1" applyFill="1" applyBorder="1" applyAlignment="1">
      <alignment horizontal="center" vertical="center" wrapText="1"/>
    </xf>
    <xf numFmtId="3" fontId="6" fillId="7" borderId="180" xfId="1" applyNumberFormat="1" applyFill="1" applyBorder="1" applyAlignment="1">
      <alignment horizontal="center" vertical="center" wrapText="1"/>
    </xf>
    <xf numFmtId="3" fontId="6" fillId="7" borderId="11" xfId="1" applyNumberFormat="1" applyFill="1" applyBorder="1" applyAlignment="1">
      <alignment horizontal="center" vertical="center" wrapText="1"/>
    </xf>
    <xf numFmtId="3" fontId="6" fillId="7" borderId="1" xfId="1" applyNumberFormat="1" applyFont="1" applyFill="1" applyBorder="1" applyAlignment="1">
      <alignment horizontal="center" vertical="center" wrapText="1"/>
    </xf>
    <xf numFmtId="0" fontId="6" fillId="7" borderId="7" xfId="1" applyFont="1" applyFill="1" applyBorder="1" applyAlignment="1">
      <alignment horizontal="center" vertical="center" wrapText="1"/>
    </xf>
    <xf numFmtId="0" fontId="6" fillId="7" borderId="4" xfId="1" applyFill="1" applyBorder="1" applyAlignment="1">
      <alignment horizontal="left" vertical="center" wrapText="1" indent="1"/>
    </xf>
    <xf numFmtId="3" fontId="55" fillId="7" borderId="178" xfId="1" applyNumberFormat="1" applyFont="1" applyFill="1" applyBorder="1" applyAlignment="1">
      <alignment horizontal="center" vertical="center" wrapText="1"/>
    </xf>
    <xf numFmtId="3" fontId="55" fillId="7" borderId="179" xfId="1" applyNumberFormat="1" applyFont="1" applyFill="1" applyBorder="1" applyAlignment="1">
      <alignment horizontal="center" vertical="center" wrapText="1"/>
    </xf>
    <xf numFmtId="3" fontId="55" fillId="7" borderId="180" xfId="1" applyNumberFormat="1" applyFont="1" applyFill="1" applyBorder="1" applyAlignment="1">
      <alignment horizontal="center" vertical="center" wrapText="1"/>
    </xf>
    <xf numFmtId="3" fontId="41" fillId="7" borderId="11" xfId="1" applyNumberFormat="1" applyFont="1" applyFill="1" applyBorder="1" applyAlignment="1">
      <alignment horizontal="center" vertical="center" wrapText="1"/>
    </xf>
    <xf numFmtId="3" fontId="54" fillId="7" borderId="178" xfId="1" applyNumberFormat="1" applyFont="1" applyFill="1" applyBorder="1" applyAlignment="1">
      <alignment horizontal="center" vertical="center" wrapText="1"/>
    </xf>
    <xf numFmtId="3" fontId="54" fillId="7" borderId="179" xfId="1" applyNumberFormat="1" applyFont="1" applyFill="1" applyBorder="1" applyAlignment="1">
      <alignment horizontal="center" vertical="center" wrapText="1"/>
    </xf>
    <xf numFmtId="3" fontId="54" fillId="7" borderId="180" xfId="1" applyNumberFormat="1" applyFont="1" applyFill="1" applyBorder="1" applyAlignment="1">
      <alignment horizontal="center" vertical="center" wrapText="1"/>
    </xf>
    <xf numFmtId="3" fontId="74" fillId="7" borderId="11" xfId="1" applyNumberFormat="1" applyFont="1" applyFill="1" applyBorder="1" applyAlignment="1">
      <alignment horizontal="center" vertical="center" wrapText="1"/>
    </xf>
    <xf numFmtId="3" fontId="80" fillId="7" borderId="178" xfId="1" applyNumberFormat="1" applyFont="1" applyFill="1" applyBorder="1" applyAlignment="1">
      <alignment horizontal="center" vertical="center" wrapText="1"/>
    </xf>
    <xf numFmtId="3" fontId="80" fillId="7" borderId="179" xfId="1" applyNumberFormat="1" applyFont="1" applyFill="1" applyBorder="1" applyAlignment="1">
      <alignment horizontal="center" vertical="center" wrapText="1"/>
    </xf>
    <xf numFmtId="3" fontId="80" fillId="7" borderId="180" xfId="1" applyNumberFormat="1" applyFont="1" applyFill="1" applyBorder="1" applyAlignment="1">
      <alignment horizontal="center" vertical="center" wrapText="1"/>
    </xf>
    <xf numFmtId="3" fontId="46" fillId="7" borderId="11" xfId="1" applyNumberFormat="1" applyFont="1" applyFill="1" applyBorder="1" applyAlignment="1">
      <alignment horizontal="center" vertical="center" wrapText="1"/>
    </xf>
    <xf numFmtId="169" fontId="10" fillId="7" borderId="11" xfId="1" applyNumberFormat="1" applyFont="1" applyFill="1" applyBorder="1" applyAlignment="1">
      <alignment horizontal="center" vertical="center" wrapText="1"/>
    </xf>
    <xf numFmtId="0" fontId="23" fillId="7" borderId="1" xfId="1" applyFont="1" applyFill="1" applyBorder="1" applyAlignment="1">
      <alignment horizontal="center" vertical="center"/>
    </xf>
    <xf numFmtId="3" fontId="10" fillId="7" borderId="11" xfId="1" applyNumberFormat="1" applyFont="1" applyFill="1" applyBorder="1" applyAlignment="1">
      <alignment horizontal="center" vertical="center" wrapText="1"/>
    </xf>
    <xf numFmtId="0" fontId="31" fillId="7" borderId="7" xfId="1" applyFont="1" applyFill="1" applyBorder="1" applyAlignment="1">
      <alignment horizontal="left" vertical="center" wrapText="1"/>
    </xf>
    <xf numFmtId="0" fontId="31" fillId="7" borderId="7" xfId="1" applyFont="1" applyFill="1" applyBorder="1" applyAlignment="1">
      <alignment horizontal="center" vertical="center" wrapText="1"/>
    </xf>
    <xf numFmtId="0" fontId="6" fillId="7" borderId="4" xfId="1" applyFont="1" applyFill="1" applyBorder="1" applyAlignment="1">
      <alignment vertical="center" wrapText="1"/>
    </xf>
    <xf numFmtId="0" fontId="14" fillId="7" borderId="40" xfId="1" applyFont="1" applyFill="1" applyBorder="1" applyAlignment="1">
      <alignment horizontal="left" vertical="center"/>
    </xf>
    <xf numFmtId="0" fontId="6" fillId="7" borderId="0" xfId="1" applyFill="1" applyBorder="1" applyAlignment="1">
      <alignment horizontal="center" vertical="center" wrapText="1"/>
    </xf>
    <xf numFmtId="0" fontId="6" fillId="7" borderId="181" xfId="1" applyFill="1" applyBorder="1" applyAlignment="1">
      <alignment horizontal="center" vertical="center" wrapText="1"/>
    </xf>
    <xf numFmtId="0" fontId="6" fillId="7" borderId="182" xfId="1" applyFill="1" applyBorder="1" applyAlignment="1">
      <alignment horizontal="center" vertical="center" wrapText="1"/>
    </xf>
    <xf numFmtId="0" fontId="6" fillId="7" borderId="183" xfId="1" applyFill="1" applyBorder="1" applyAlignment="1">
      <alignment horizontal="center" vertical="center" wrapText="1"/>
    </xf>
    <xf numFmtId="0" fontId="6" fillId="7" borderId="18" xfId="1" applyFill="1" applyBorder="1" applyAlignment="1">
      <alignment horizontal="center" vertical="center" wrapText="1"/>
    </xf>
    <xf numFmtId="0" fontId="6" fillId="7" borderId="22" xfId="1" applyFill="1" applyBorder="1" applyAlignment="1">
      <alignment horizontal="center" vertical="center" wrapText="1"/>
    </xf>
    <xf numFmtId="0" fontId="10" fillId="7" borderId="33" xfId="1" applyFont="1" applyFill="1" applyBorder="1" applyAlignment="1">
      <alignment horizontal="center" vertical="center" wrapText="1"/>
    </xf>
    <xf numFmtId="3" fontId="6" fillId="7" borderId="1" xfId="1" applyNumberFormat="1" applyFill="1" applyBorder="1" applyAlignment="1">
      <alignment horizontal="center" vertical="center" wrapText="1"/>
    </xf>
    <xf numFmtId="0" fontId="6" fillId="7" borderId="7" xfId="1" applyFill="1" applyBorder="1" applyAlignment="1">
      <alignment horizontal="center" vertical="center" wrapText="1"/>
    </xf>
    <xf numFmtId="0" fontId="6" fillId="7" borderId="5" xfId="1" applyFont="1" applyFill="1" applyBorder="1" applyAlignment="1">
      <alignment vertical="center" wrapText="1"/>
    </xf>
    <xf numFmtId="0" fontId="6" fillId="7" borderId="6" xfId="1" applyFont="1" applyFill="1" applyBorder="1" applyAlignment="1">
      <alignment horizontal="center" vertical="center" wrapText="1"/>
    </xf>
    <xf numFmtId="0" fontId="6" fillId="7" borderId="112" xfId="1" applyFont="1" applyFill="1" applyBorder="1" applyAlignment="1">
      <alignment horizontal="center" vertical="center" wrapText="1"/>
    </xf>
    <xf numFmtId="3" fontId="6" fillId="7" borderId="184" xfId="1" applyNumberFormat="1" applyFill="1" applyBorder="1" applyAlignment="1">
      <alignment horizontal="center" vertical="center" wrapText="1"/>
    </xf>
    <xf numFmtId="3" fontId="6" fillId="7" borderId="185" xfId="1" applyNumberFormat="1" applyFill="1" applyBorder="1" applyAlignment="1">
      <alignment horizontal="center" vertical="center" wrapText="1"/>
    </xf>
    <xf numFmtId="3" fontId="6" fillId="7" borderId="186" xfId="1" applyNumberFormat="1" applyFill="1" applyBorder="1" applyAlignment="1">
      <alignment horizontal="center" vertical="center" wrapText="1"/>
    </xf>
    <xf numFmtId="3" fontId="6" fillId="7" borderId="170" xfId="1" applyNumberFormat="1" applyFill="1" applyBorder="1" applyAlignment="1">
      <alignment horizontal="center" vertical="center" wrapText="1"/>
    </xf>
    <xf numFmtId="3" fontId="6" fillId="7" borderId="6" xfId="1" applyNumberFormat="1" applyFill="1" applyBorder="1" applyAlignment="1">
      <alignment horizontal="center" vertical="center" wrapText="1"/>
    </xf>
    <xf numFmtId="0" fontId="6" fillId="7" borderId="8" xfId="1" applyFill="1" applyBorder="1" applyAlignment="1">
      <alignment horizontal="center" vertical="center" wrapText="1"/>
    </xf>
    <xf numFmtId="0" fontId="83" fillId="0" borderId="21" xfId="1" applyFont="1" applyBorder="1" applyAlignment="1">
      <alignment horizontal="left" vertical="center"/>
    </xf>
    <xf numFmtId="0" fontId="6" fillId="7" borderId="0" xfId="1" applyFill="1" applyAlignment="1">
      <alignment horizontal="center" vertical="center"/>
    </xf>
    <xf numFmtId="1" fontId="6" fillId="7" borderId="0" xfId="1" applyNumberFormat="1" applyFill="1" applyBorder="1" applyAlignment="1">
      <alignment vertical="center"/>
    </xf>
    <xf numFmtId="0" fontId="6" fillId="7" borderId="14" xfId="1" applyFill="1" applyBorder="1" applyAlignment="1">
      <alignment vertical="center"/>
    </xf>
    <xf numFmtId="0" fontId="6" fillId="7" borderId="14" xfId="1" applyFill="1" applyBorder="1" applyAlignment="1">
      <alignment horizontal="center" vertical="center"/>
    </xf>
    <xf numFmtId="0" fontId="6" fillId="7" borderId="168" xfId="1" applyFill="1" applyBorder="1" applyAlignment="1">
      <alignment vertical="center"/>
    </xf>
    <xf numFmtId="0" fontId="6" fillId="7" borderId="168" xfId="1" applyFill="1" applyBorder="1" applyAlignment="1">
      <alignment horizontal="center" vertical="center"/>
    </xf>
    <xf numFmtId="0" fontId="6" fillId="7" borderId="0" xfId="1" applyFont="1" applyFill="1" applyBorder="1" applyAlignment="1">
      <alignment vertical="center"/>
    </xf>
    <xf numFmtId="0" fontId="16" fillId="7" borderId="0" xfId="1" applyFont="1" applyFill="1" applyAlignment="1">
      <alignment vertical="center"/>
    </xf>
    <xf numFmtId="0" fontId="16" fillId="7" borderId="0" xfId="1" applyFont="1" applyFill="1" applyBorder="1" applyAlignment="1">
      <alignment vertical="center"/>
    </xf>
    <xf numFmtId="0" fontId="6" fillId="7" borderId="36" xfId="1" applyFill="1" applyBorder="1" applyAlignment="1">
      <alignment horizontal="center" vertical="center"/>
    </xf>
    <xf numFmtId="0" fontId="6" fillId="7" borderId="22" xfId="1" applyFill="1" applyBorder="1" applyAlignment="1">
      <alignment horizontal="center" vertical="center"/>
    </xf>
    <xf numFmtId="3" fontId="6" fillId="7" borderId="36" xfId="1" applyNumberFormat="1" applyFill="1" applyBorder="1" applyAlignment="1">
      <alignment horizontal="center" vertical="center"/>
    </xf>
    <xf numFmtId="2" fontId="6" fillId="7" borderId="9" xfId="1" applyNumberFormat="1" applyFill="1" applyBorder="1" applyAlignment="1">
      <alignment horizontal="center" vertical="center"/>
    </xf>
    <xf numFmtId="0" fontId="6" fillId="7" borderId="9" xfId="1" applyFill="1" applyBorder="1" applyAlignment="1">
      <alignment horizontal="center" vertical="center"/>
    </xf>
    <xf numFmtId="0" fontId="41" fillId="10" borderId="22" xfId="1" quotePrefix="1" applyFont="1" applyFill="1" applyBorder="1" applyAlignment="1" applyProtection="1">
      <alignment vertical="center" wrapText="1"/>
    </xf>
    <xf numFmtId="0" fontId="31" fillId="7" borderId="0" xfId="1" applyFont="1" applyFill="1" applyAlignment="1">
      <alignment vertical="center"/>
    </xf>
    <xf numFmtId="0" fontId="13" fillId="0" borderId="0" xfId="0" applyFont="1" applyAlignment="1">
      <alignment wrapText="1"/>
    </xf>
    <xf numFmtId="0" fontId="6" fillId="0" borderId="0" xfId="0" applyFont="1" applyAlignment="1">
      <alignment horizontal="left" wrapText="1" indent="1"/>
    </xf>
    <xf numFmtId="0" fontId="18" fillId="0" borderId="33" xfId="1" applyFont="1" applyBorder="1" applyAlignment="1">
      <alignment horizontal="center" vertical="center" wrapText="1"/>
    </xf>
    <xf numFmtId="0" fontId="18" fillId="0" borderId="22" xfId="1" applyFont="1" applyBorder="1" applyAlignment="1">
      <alignment horizontal="center" vertical="center" wrapText="1"/>
    </xf>
    <xf numFmtId="0" fontId="18" fillId="0" borderId="28" xfId="1" applyFont="1" applyBorder="1" applyAlignment="1">
      <alignment horizontal="center" vertical="center" wrapText="1"/>
    </xf>
    <xf numFmtId="0" fontId="10" fillId="0" borderId="47" xfId="1" applyFont="1" applyBorder="1" applyAlignment="1">
      <alignment horizontal="center" vertical="center" wrapText="1"/>
    </xf>
    <xf numFmtId="0" fontId="10" fillId="0" borderId="46" xfId="1" applyFont="1" applyBorder="1" applyAlignment="1">
      <alignment horizontal="center" vertical="center" wrapText="1"/>
    </xf>
    <xf numFmtId="0" fontId="10" fillId="0" borderId="45" xfId="1" applyFont="1" applyBorder="1" applyAlignment="1">
      <alignment horizontal="center" vertical="center" wrapText="1"/>
    </xf>
    <xf numFmtId="0" fontId="6" fillId="0" borderId="0" xfId="0" applyFont="1" applyAlignment="1">
      <alignment horizontal="left" wrapText="1" indent="2"/>
    </xf>
    <xf numFmtId="0" fontId="31" fillId="0" borderId="0" xfId="0" applyFont="1" applyAlignment="1">
      <alignment horizontal="left" wrapText="1" indent="1"/>
    </xf>
    <xf numFmtId="0" fontId="6" fillId="10" borderId="21" xfId="1" applyFont="1" applyFill="1" applyBorder="1" applyAlignment="1" applyProtection="1">
      <alignment horizontal="left" vertical="center"/>
    </xf>
    <xf numFmtId="0" fontId="6" fillId="10" borderId="17" xfId="1" applyFont="1" applyFill="1" applyBorder="1" applyAlignment="1" applyProtection="1">
      <alignment horizontal="left" vertical="center"/>
    </xf>
    <xf numFmtId="0" fontId="6" fillId="0" borderId="71" xfId="1" applyFill="1" applyBorder="1" applyAlignment="1" applyProtection="1">
      <alignment horizontal="center" vertical="center" wrapText="1"/>
    </xf>
    <xf numFmtId="0" fontId="6" fillId="0" borderId="66" xfId="1" applyFill="1" applyBorder="1" applyAlignment="1" applyProtection="1">
      <alignment horizontal="center" vertical="center" wrapText="1"/>
    </xf>
    <xf numFmtId="0" fontId="6" fillId="0" borderId="12" xfId="1" applyFill="1" applyBorder="1" applyAlignment="1" applyProtection="1">
      <alignment horizontal="center" vertical="center" wrapText="1"/>
    </xf>
    <xf numFmtId="0" fontId="6" fillId="10" borderId="34" xfId="1" applyFont="1" applyFill="1" applyBorder="1" applyAlignment="1">
      <alignment horizontal="center" vertical="center" wrapText="1"/>
    </xf>
    <xf numFmtId="0" fontId="6" fillId="10" borderId="10" xfId="1" applyFill="1" applyBorder="1" applyAlignment="1">
      <alignment horizontal="center" vertical="center" wrapText="1"/>
    </xf>
    <xf numFmtId="0" fontId="6" fillId="10" borderId="35" xfId="1" applyFill="1" applyBorder="1" applyAlignment="1">
      <alignment horizontal="center" vertical="center" wrapText="1"/>
    </xf>
    <xf numFmtId="0" fontId="76" fillId="39" borderId="21" xfId="0" applyFont="1" applyFill="1" applyBorder="1" applyAlignment="1">
      <alignment horizontal="left" vertical="center"/>
    </xf>
    <xf numFmtId="0" fontId="76" fillId="39" borderId="17" xfId="0" applyFont="1" applyFill="1" applyBorder="1" applyAlignment="1">
      <alignment horizontal="left" vertical="center"/>
    </xf>
    <xf numFmtId="0" fontId="6" fillId="10" borderId="10" xfId="1" applyFont="1" applyFill="1" applyBorder="1" applyAlignment="1">
      <alignment horizontal="center" vertical="center" wrapText="1"/>
    </xf>
    <xf numFmtId="0" fontId="6" fillId="10" borderId="35" xfId="1" applyFont="1" applyFill="1" applyBorder="1" applyAlignment="1">
      <alignment horizontal="center" vertical="center" wrapText="1"/>
    </xf>
    <xf numFmtId="0" fontId="0" fillId="7" borderId="21" xfId="0" applyFill="1" applyBorder="1" applyAlignment="1">
      <alignment horizontal="left" vertical="center"/>
    </xf>
    <xf numFmtId="0" fontId="0" fillId="7" borderId="17" xfId="0" applyFill="1" applyBorder="1" applyAlignment="1">
      <alignment horizontal="left" vertical="center"/>
    </xf>
    <xf numFmtId="0" fontId="0" fillId="7" borderId="16" xfId="0" applyFill="1" applyBorder="1" applyAlignment="1">
      <alignment horizontal="left" vertical="center"/>
    </xf>
    <xf numFmtId="0" fontId="0" fillId="7" borderId="110" xfId="0" applyFill="1" applyBorder="1" applyAlignment="1">
      <alignment horizontal="left" vertical="center"/>
    </xf>
    <xf numFmtId="0" fontId="6" fillId="0" borderId="36" xfId="1" applyFont="1" applyFill="1" applyBorder="1" applyAlignment="1">
      <alignment horizontal="left" vertical="center" wrapText="1"/>
    </xf>
    <xf numFmtId="0" fontId="6" fillId="0" borderId="9" xfId="1" applyFont="1" applyFill="1" applyBorder="1" applyAlignment="1">
      <alignment horizontal="left" vertical="center" wrapText="1"/>
    </xf>
    <xf numFmtId="0" fontId="10" fillId="0" borderId="36" xfId="1" applyFont="1" applyFill="1" applyBorder="1" applyAlignment="1">
      <alignment horizontal="left" vertical="center" wrapText="1"/>
    </xf>
    <xf numFmtId="0" fontId="10" fillId="0" borderId="9" xfId="1" applyFont="1" applyFill="1" applyBorder="1" applyAlignment="1">
      <alignment horizontal="left" vertical="center" wrapText="1"/>
    </xf>
    <xf numFmtId="0" fontId="6" fillId="10" borderId="0" xfId="1" applyFont="1" applyFill="1" applyAlignment="1">
      <alignment horizontal="center" vertical="center" wrapText="1"/>
    </xf>
    <xf numFmtId="0" fontId="6" fillId="10" borderId="0" xfId="1" applyFill="1" applyAlignment="1">
      <alignment horizontal="center" vertical="center" wrapText="1"/>
    </xf>
  </cellXfs>
  <cellStyles count="12">
    <cellStyle name="Bad" xfId="5" builtinId="27"/>
    <cellStyle name="Euro" xfId="9"/>
    <cellStyle name="Good" xfId="2" builtinId="26"/>
    <cellStyle name="Neutral" xfId="3" builtinId="28"/>
    <cellStyle name="Normal" xfId="0" builtinId="0"/>
    <cellStyle name="Normal 2" xfId="10"/>
    <cellStyle name="Normal 3" xfId="8"/>
    <cellStyle name="Normale 2" xfId="1"/>
    <cellStyle name="Normale 3" xfId="6"/>
    <cellStyle name="Normale 4" xfId="7"/>
    <cellStyle name="Normale 5" xfId="11"/>
    <cellStyle name="Percent" xfId="4" builtinId="5"/>
  </cellStyles>
  <dxfs count="2">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66FF66"/>
      <color rgb="FFCCFFCC"/>
      <color rgb="FFFFFF66"/>
      <color rgb="FFCCFFFF"/>
      <color rgb="FF66CCFF"/>
      <color rgb="FFFFFFCC"/>
      <color rgb="FFFF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fmatch</a:t>
            </a:r>
          </a:p>
        </c:rich>
      </c:tx>
      <c:overlay val="0"/>
    </c:title>
    <c:autoTitleDeleted val="0"/>
    <c:plotArea>
      <c:layout>
        <c:manualLayout>
          <c:layoutTarget val="inner"/>
          <c:xMode val="edge"/>
          <c:yMode val="edge"/>
          <c:x val="7.8919072615923014E-2"/>
          <c:y val="0.13924795858850977"/>
          <c:w val="0.87297681539807526"/>
          <c:h val="0.74477216389617962"/>
        </c:manualLayout>
      </c:layout>
      <c:scatterChart>
        <c:scatterStyle val="lineMarker"/>
        <c:varyColors val="0"/>
        <c:ser>
          <c:idx val="0"/>
          <c:order val="0"/>
          <c:spPr>
            <a:ln w="12700">
              <a:solidFill>
                <a:schemeClr val="tx1"/>
              </a:solidFill>
            </a:ln>
          </c:spPr>
          <c:xVal>
            <c:numRef>
              <c:f>Fmatch!$E$32:$E$43</c:f>
              <c:numCache>
                <c:formatCode>0.0</c:formatCode>
                <c:ptCount val="12"/>
                <c:pt idx="0">
                  <c:v>0</c:v>
                </c:pt>
                <c:pt idx="1">
                  <c:v>0.1</c:v>
                </c:pt>
                <c:pt idx="2">
                  <c:v>0.2</c:v>
                </c:pt>
                <c:pt idx="3">
                  <c:v>0.4</c:v>
                </c:pt>
                <c:pt idx="4">
                  <c:v>0.6</c:v>
                </c:pt>
                <c:pt idx="5">
                  <c:v>0.8</c:v>
                </c:pt>
                <c:pt idx="6">
                  <c:v>1</c:v>
                </c:pt>
                <c:pt idx="7">
                  <c:v>1.5</c:v>
                </c:pt>
                <c:pt idx="8">
                  <c:v>2</c:v>
                </c:pt>
                <c:pt idx="9">
                  <c:v>3</c:v>
                </c:pt>
                <c:pt idx="10">
                  <c:v>4</c:v>
                </c:pt>
                <c:pt idx="11">
                  <c:v>5</c:v>
                </c:pt>
              </c:numCache>
            </c:numRef>
          </c:xVal>
          <c:yVal>
            <c:numRef>
              <c:f>Fmatch!$F$32:$F$43</c:f>
              <c:numCache>
                <c:formatCode>0.00</c:formatCode>
                <c:ptCount val="12"/>
                <c:pt idx="0">
                  <c:v>1</c:v>
                </c:pt>
                <c:pt idx="1">
                  <c:v>0.90099009900990101</c:v>
                </c:pt>
                <c:pt idx="2">
                  <c:v>0.80769230769230771</c:v>
                </c:pt>
                <c:pt idx="3">
                  <c:v>0.65517241379310343</c:v>
                </c:pt>
                <c:pt idx="4">
                  <c:v>0.55882352941176472</c:v>
                </c:pt>
                <c:pt idx="5">
                  <c:v>0.51219512195121952</c:v>
                </c:pt>
                <c:pt idx="6">
                  <c:v>0.5</c:v>
                </c:pt>
                <c:pt idx="7">
                  <c:v>0.53846153846153844</c:v>
                </c:pt>
                <c:pt idx="8">
                  <c:v>0.6</c:v>
                </c:pt>
                <c:pt idx="9">
                  <c:v>0.70000000000000007</c:v>
                </c:pt>
                <c:pt idx="10">
                  <c:v>0.76470588235294112</c:v>
                </c:pt>
                <c:pt idx="11">
                  <c:v>0.80769230769230771</c:v>
                </c:pt>
              </c:numCache>
            </c:numRef>
          </c:yVal>
          <c:smooth val="1"/>
        </c:ser>
        <c:dLbls>
          <c:showLegendKey val="0"/>
          <c:showVal val="0"/>
          <c:showCatName val="0"/>
          <c:showSerName val="0"/>
          <c:showPercent val="0"/>
          <c:showBubbleSize val="0"/>
        </c:dLbls>
        <c:axId val="109451904"/>
        <c:axId val="114041216"/>
      </c:scatterChart>
      <c:valAx>
        <c:axId val="109451904"/>
        <c:scaling>
          <c:orientation val="minMax"/>
        </c:scaling>
        <c:delete val="0"/>
        <c:axPos val="b"/>
        <c:numFmt formatCode="0.0" sourceLinked="1"/>
        <c:majorTickMark val="out"/>
        <c:minorTickMark val="none"/>
        <c:tickLblPos val="nextTo"/>
        <c:crossAx val="114041216"/>
        <c:crosses val="autoZero"/>
        <c:crossBetween val="midCat"/>
      </c:valAx>
      <c:valAx>
        <c:axId val="114041216"/>
        <c:scaling>
          <c:orientation val="minMax"/>
          <c:max val="1.2"/>
          <c:min val="0"/>
        </c:scaling>
        <c:delete val="0"/>
        <c:axPos val="l"/>
        <c:majorGridlines/>
        <c:numFmt formatCode="0.00" sourceLinked="1"/>
        <c:majorTickMark val="out"/>
        <c:minorTickMark val="none"/>
        <c:tickLblPos val="nextTo"/>
        <c:crossAx val="109451904"/>
        <c:crosses val="autoZero"/>
        <c:crossBetween val="midCat"/>
        <c:majorUnit val="0.2"/>
        <c:minorUnit val="4.0000000000000008E-2"/>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15" fmlaLink="$AC$4" fmlaRange="$BD$3:$BD$13" noThreeD="1" val="0"/>
</file>

<file path=xl/ctrlProps/ctrlProp2.xml><?xml version="1.0" encoding="utf-8"?>
<formControlPr xmlns="http://schemas.microsoft.com/office/spreadsheetml/2009/9/main" objectType="Spin" dx="15" fmlaLink="$BB$12" max="10000" min="1" page="10" val="100"/>
</file>

<file path=xl/ctrlProps/ctrlProp3.xml><?xml version="1.0" encoding="utf-8"?>
<formControlPr xmlns="http://schemas.microsoft.com/office/spreadsheetml/2009/9/main" objectType="Spin" dx="15" fmlaLink="$BB$16" max="10000" min="1" page="10" val="100"/>
</file>

<file path=xl/ctrlProps/ctrlProp4.xml><?xml version="1.0" encoding="utf-8"?>
<formControlPr xmlns="http://schemas.microsoft.com/office/spreadsheetml/2009/9/main" objectType="Spin" dx="15" fmlaLink="$BB$20" max="10000" min="1" page="10" val="100"/>
</file>

<file path=xl/ctrlProps/ctrlProp5.xml><?xml version="1.0" encoding="utf-8"?>
<formControlPr xmlns="http://schemas.microsoft.com/office/spreadsheetml/2009/9/main" objectType="Spin" dx="15" fmlaLink="$BD$16" max="10000" min="1" page="10" val="100"/>
</file>

<file path=xl/ctrlProps/ctrlProp6.xml><?xml version="1.0" encoding="utf-8"?>
<formControlPr xmlns="http://schemas.microsoft.com/office/spreadsheetml/2009/9/main" objectType="Spin" dx="15" fmlaLink="$BD$20" max="10000" min="1" page="10" val="100"/>
</file>

<file path=xl/ctrlProps/ctrlProp7.xml><?xml version="1.0" encoding="utf-8"?>
<formControlPr xmlns="http://schemas.microsoft.com/office/spreadsheetml/2009/9/main" objectType="Spin" dx="15" fmlaLink="$BD$23" max="10000" min="1" page="10" val="100"/>
</file>

<file path=xl/ctrlProps/ctrlProp8.xml><?xml version="1.0" encoding="utf-8"?>
<formControlPr xmlns="http://schemas.microsoft.com/office/spreadsheetml/2009/9/main" objectType="Spin" dx="15" fmlaLink="$BB$31" max="10000" min="1" page="10"/>
</file>

<file path=xl/ctrlProps/ctrlProp9.xml><?xml version="1.0" encoding="utf-8"?>
<formControlPr xmlns="http://schemas.microsoft.com/office/spreadsheetml/2009/9/main" objectType="Spin" dx="15" fmlaLink="$BD$26" max="10000" min="1" page="10" val="100"/>
</file>

<file path=xl/ctrlProps/ctrlProp10.xml><?xml version="1.0" encoding="utf-8"?>
<formControlPr xmlns="http://schemas.microsoft.com/office/spreadsheetml/2009/9/main" objectType="Spin" dx="15" fmlaLink="Base_calc!$N$16" max="10" min="1" page="10"/>
</file>

<file path=xl/ctrlProps/ctrlProp11.xml><?xml version="1.0" encoding="utf-8"?>
<formControlPr xmlns="http://schemas.microsoft.com/office/spreadsheetml/2009/9/main" objectType="Drop" dropStyle="combo" dx="15" fmlaLink="$I$10" fmlaRange="Language!$O$132:$O$135" noThreeD="1" sel="4" val="0"/>
</file>

<file path=xl/ctrlProps/ctrlProp12.xml><?xml version="1.0" encoding="utf-8"?>
<formControlPr xmlns="http://schemas.microsoft.com/office/spreadsheetml/2009/9/main" objectType="Drop" dropStyle="combo" dx="15" fmlaLink="$N$16" fmlaRange="$AI$19:$AI$30" noThreeD="1" val="0"/>
</file>

<file path=xl/ctrlProps/ctrlProp13.xml><?xml version="1.0" encoding="utf-8"?>
<formControlPr xmlns="http://schemas.microsoft.com/office/spreadsheetml/2009/9/main" objectType="Drop" dropStyle="combo" dx="15" fmlaLink="$I$6" fmlaRange="Base_calc!$AM$19:$AM$20" noThreeD="1" sel="2" val="0"/>
</file>

<file path=xl/ctrlProps/ctrlProp14.xml><?xml version="1.0" encoding="utf-8"?>
<formControlPr xmlns="http://schemas.microsoft.com/office/spreadsheetml/2009/9/main" objectType="Drop" dropStyle="combo" dx="15" fmlaLink="'National options'!$C$46" fmlaRange="$O$50:$O$57" noThreeD="1" val="0"/>
</file>

<file path=xl/ctrlProps/ctrlProp15.xml><?xml version="1.0" encoding="utf-8"?>
<formControlPr xmlns="http://schemas.microsoft.com/office/spreadsheetml/2009/9/main" objectType="Drop" dropStyle="combo" dx="15" fmlaLink="$C$7" fmlaRange="$O$11:$O$18" noThreeD="1" val="0"/>
</file>

<file path=xl/ctrlProps/ctrlProp16.xml><?xml version="1.0" encoding="utf-8"?>
<formControlPr xmlns="http://schemas.microsoft.com/office/spreadsheetml/2009/9/main" objectType="Drop" dropStyle="combo" dx="15" fmlaLink="$C$22" fmlaRange="$O$26:$O$33" noThreeD="1" val="0"/>
</file>

<file path=xl/ctrlProps/ctrlProp17.xml><?xml version="1.0" encoding="utf-8"?>
<formControlPr xmlns="http://schemas.microsoft.com/office/spreadsheetml/2009/9/main" objectType="Drop" dropStyle="combo" dx="15" fmlaLink="$R$10" fmlaRange="$R$11:$R$14" noThreeD="1" sel="2" val="0"/>
</file>

<file path=xl/ctrlProps/ctrlProp18.xml><?xml version="1.0" encoding="utf-8"?>
<formControlPr xmlns="http://schemas.microsoft.com/office/spreadsheetml/2009/9/main" objectType="Drop" dropStyle="combo" dx="15" fmlaLink="$S$10" fmlaRange="$S$11:$S$12" noThreeD="1" val="0"/>
</file>

<file path=xl/ctrlProps/ctrlProp19.xml><?xml version="1.0" encoding="utf-8"?>
<formControlPr xmlns="http://schemas.microsoft.com/office/spreadsheetml/2009/9/main" objectType="Drop" dropStyle="combo" dx="15" fmlaLink="$C$38" fmlaRange="$O$37:$O$38" noThreeD="1" sel="2" val="0"/>
</file>

<file path=xl/ctrlProps/ctrlProp20.xml><?xml version="1.0" encoding="utf-8"?>
<formControlPr xmlns="http://schemas.microsoft.com/office/spreadsheetml/2009/9/main" objectType="Drop" dropStyle="combo" dx="15" fmlaLink="ConvFactors!$F$25" fmlaRange="$S$31:$S$38" noThreeD="1" val="0"/>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6.vml.rels><?xml version="1.0" encoding="UTF-8" standalone="yes"?>
<Relationships xmlns="http://schemas.openxmlformats.org/package/2006/relationships"><Relationship Id="rId13" Type="http://schemas.openxmlformats.org/officeDocument/2006/relationships/image" Target="../media/image15.wmf"/><Relationship Id="rId18" Type="http://schemas.openxmlformats.org/officeDocument/2006/relationships/image" Target="../media/image20.wmf"/><Relationship Id="rId26" Type="http://schemas.openxmlformats.org/officeDocument/2006/relationships/image" Target="../media/image28.wmf"/><Relationship Id="rId39" Type="http://schemas.openxmlformats.org/officeDocument/2006/relationships/image" Target="../media/image41.wmf"/><Relationship Id="rId3" Type="http://schemas.openxmlformats.org/officeDocument/2006/relationships/image" Target="../media/image5.emf"/><Relationship Id="rId21" Type="http://schemas.openxmlformats.org/officeDocument/2006/relationships/image" Target="../media/image23.wmf"/><Relationship Id="rId34" Type="http://schemas.openxmlformats.org/officeDocument/2006/relationships/image" Target="../media/image36.emf"/><Relationship Id="rId42" Type="http://schemas.openxmlformats.org/officeDocument/2006/relationships/image" Target="../media/image44.wmf"/><Relationship Id="rId47" Type="http://schemas.openxmlformats.org/officeDocument/2006/relationships/image" Target="../media/image49.wmf"/><Relationship Id="rId7" Type="http://schemas.openxmlformats.org/officeDocument/2006/relationships/image" Target="../media/image9.wmf"/><Relationship Id="rId12" Type="http://schemas.openxmlformats.org/officeDocument/2006/relationships/image" Target="../media/image14.wmf"/><Relationship Id="rId17" Type="http://schemas.openxmlformats.org/officeDocument/2006/relationships/image" Target="../media/image19.wmf"/><Relationship Id="rId25" Type="http://schemas.openxmlformats.org/officeDocument/2006/relationships/image" Target="../media/image27.wmf"/><Relationship Id="rId33" Type="http://schemas.openxmlformats.org/officeDocument/2006/relationships/image" Target="../media/image35.wmf"/><Relationship Id="rId38" Type="http://schemas.openxmlformats.org/officeDocument/2006/relationships/image" Target="../media/image40.emf"/><Relationship Id="rId46" Type="http://schemas.openxmlformats.org/officeDocument/2006/relationships/image" Target="../media/image48.wmf"/><Relationship Id="rId2" Type="http://schemas.openxmlformats.org/officeDocument/2006/relationships/image" Target="../media/image4.wmf"/><Relationship Id="rId16" Type="http://schemas.openxmlformats.org/officeDocument/2006/relationships/image" Target="../media/image18.wmf"/><Relationship Id="rId20" Type="http://schemas.openxmlformats.org/officeDocument/2006/relationships/image" Target="../media/image22.wmf"/><Relationship Id="rId29" Type="http://schemas.openxmlformats.org/officeDocument/2006/relationships/image" Target="../media/image31.wmf"/><Relationship Id="rId41" Type="http://schemas.openxmlformats.org/officeDocument/2006/relationships/image" Target="../media/image43.wmf"/><Relationship Id="rId1" Type="http://schemas.openxmlformats.org/officeDocument/2006/relationships/image" Target="../media/image3.emf"/><Relationship Id="rId6" Type="http://schemas.openxmlformats.org/officeDocument/2006/relationships/image" Target="../media/image8.wmf"/><Relationship Id="rId11" Type="http://schemas.openxmlformats.org/officeDocument/2006/relationships/image" Target="../media/image13.wmf"/><Relationship Id="rId24" Type="http://schemas.openxmlformats.org/officeDocument/2006/relationships/image" Target="../media/image26.wmf"/><Relationship Id="rId32" Type="http://schemas.openxmlformats.org/officeDocument/2006/relationships/image" Target="../media/image34.wmf"/><Relationship Id="rId37" Type="http://schemas.openxmlformats.org/officeDocument/2006/relationships/image" Target="../media/image39.wmf"/><Relationship Id="rId40" Type="http://schemas.openxmlformats.org/officeDocument/2006/relationships/image" Target="../media/image42.wmf"/><Relationship Id="rId45" Type="http://schemas.openxmlformats.org/officeDocument/2006/relationships/image" Target="../media/image47.emf"/><Relationship Id="rId5" Type="http://schemas.openxmlformats.org/officeDocument/2006/relationships/image" Target="../media/image7.wmf"/><Relationship Id="rId15" Type="http://schemas.openxmlformats.org/officeDocument/2006/relationships/image" Target="../media/image17.wmf"/><Relationship Id="rId23" Type="http://schemas.openxmlformats.org/officeDocument/2006/relationships/image" Target="../media/image25.wmf"/><Relationship Id="rId28" Type="http://schemas.openxmlformats.org/officeDocument/2006/relationships/image" Target="../media/image30.wmf"/><Relationship Id="rId36" Type="http://schemas.openxmlformats.org/officeDocument/2006/relationships/image" Target="../media/image38.wmf"/><Relationship Id="rId49" Type="http://schemas.openxmlformats.org/officeDocument/2006/relationships/image" Target="../media/image51.wmf"/><Relationship Id="rId10" Type="http://schemas.openxmlformats.org/officeDocument/2006/relationships/image" Target="../media/image12.wmf"/><Relationship Id="rId19" Type="http://schemas.openxmlformats.org/officeDocument/2006/relationships/image" Target="../media/image21.emf"/><Relationship Id="rId31" Type="http://schemas.openxmlformats.org/officeDocument/2006/relationships/image" Target="../media/image33.wmf"/><Relationship Id="rId44" Type="http://schemas.openxmlformats.org/officeDocument/2006/relationships/image" Target="../media/image46.wmf"/><Relationship Id="rId4" Type="http://schemas.openxmlformats.org/officeDocument/2006/relationships/image" Target="../media/image6.emf"/><Relationship Id="rId9" Type="http://schemas.openxmlformats.org/officeDocument/2006/relationships/image" Target="../media/image11.wmf"/><Relationship Id="rId14" Type="http://schemas.openxmlformats.org/officeDocument/2006/relationships/image" Target="../media/image16.wmf"/><Relationship Id="rId22" Type="http://schemas.openxmlformats.org/officeDocument/2006/relationships/image" Target="../media/image24.wmf"/><Relationship Id="rId27" Type="http://schemas.openxmlformats.org/officeDocument/2006/relationships/image" Target="../media/image29.wmf"/><Relationship Id="rId30" Type="http://schemas.openxmlformats.org/officeDocument/2006/relationships/image" Target="../media/image32.wmf"/><Relationship Id="rId35" Type="http://schemas.openxmlformats.org/officeDocument/2006/relationships/image" Target="../media/image37.emf"/><Relationship Id="rId43" Type="http://schemas.openxmlformats.org/officeDocument/2006/relationships/image" Target="../media/image45.wmf"/><Relationship Id="rId48" Type="http://schemas.openxmlformats.org/officeDocument/2006/relationships/image" Target="../media/image50.wmf"/><Relationship Id="rId8" Type="http://schemas.openxmlformats.org/officeDocument/2006/relationships/image" Target="../media/image10.w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52.emf"/></Relationships>
</file>

<file path=xl/drawings/drawing1.xml><?xml version="1.0" encoding="utf-8"?>
<xdr:wsDr xmlns:xdr="http://schemas.openxmlformats.org/drawingml/2006/spreadsheetDrawing" xmlns:a="http://schemas.openxmlformats.org/drawingml/2006/main">
  <xdr:twoCellAnchor>
    <xdr:from>
      <xdr:col>3</xdr:col>
      <xdr:colOff>161925</xdr:colOff>
      <xdr:row>5</xdr:row>
      <xdr:rowOff>57150</xdr:rowOff>
    </xdr:from>
    <xdr:to>
      <xdr:col>7</xdr:col>
      <xdr:colOff>752475</xdr:colOff>
      <xdr:row>13</xdr:row>
      <xdr:rowOff>76200</xdr:rowOff>
    </xdr:to>
    <xdr:sp macro="" textlink="">
      <xdr:nvSpPr>
        <xdr:cNvPr id="2" name="Rettangolo con singolo angolo ritagliato 1"/>
        <xdr:cNvSpPr/>
      </xdr:nvSpPr>
      <xdr:spPr bwMode="auto">
        <a:xfrm>
          <a:off x="2476500" y="1076325"/>
          <a:ext cx="5686425" cy="1314450"/>
        </a:xfrm>
        <a:prstGeom prst="snip1Rect">
          <a:avLst>
            <a:gd name="adj" fmla="val 12543"/>
          </a:avLst>
        </a:prstGeom>
        <a:solidFill>
          <a:srgbClr val="FFFF00"/>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3200" b="1" cap="none" spc="100">
              <a:ln w="18000">
                <a:solidFill>
                  <a:schemeClr val="accent1">
                    <a:satMod val="200000"/>
                    <a:tint val="72000"/>
                  </a:schemeClr>
                </a:solidFill>
                <a:prstDash val="solid"/>
              </a:ln>
              <a:solidFill>
                <a:schemeClr val="accent1">
                  <a:satMod val="280000"/>
                  <a:tint val="100000"/>
                  <a:alpha val="5700"/>
                </a:schemeClr>
              </a:solidFill>
              <a:effectLst>
                <a:outerShdw blurRad="25000" dist="20000" dir="16020000" algn="tl">
                  <a:schemeClr val="accent1">
                    <a:satMod val="200000"/>
                    <a:shade val="1000"/>
                    <a:alpha val="60000"/>
                  </a:schemeClr>
                </a:outerShdw>
              </a:effectLst>
            </a:rPr>
            <a:t>INCOMPLETE </a:t>
          </a:r>
        </a:p>
        <a:p>
          <a:pPr algn="ctr"/>
          <a:r>
            <a:rPr lang="it-IT" sz="3200" b="1" cap="none" spc="100">
              <a:ln w="18000">
                <a:solidFill>
                  <a:schemeClr val="accent1">
                    <a:satMod val="200000"/>
                    <a:tint val="72000"/>
                  </a:schemeClr>
                </a:solidFill>
                <a:prstDash val="solid"/>
              </a:ln>
              <a:solidFill>
                <a:schemeClr val="accent1">
                  <a:satMod val="280000"/>
                  <a:tint val="100000"/>
                  <a:alpha val="5700"/>
                </a:schemeClr>
              </a:solidFill>
              <a:effectLst>
                <a:outerShdw blurRad="25000" dist="20000" dir="16020000" algn="tl">
                  <a:schemeClr val="accent1">
                    <a:satMod val="200000"/>
                    <a:shade val="1000"/>
                    <a:alpha val="60000"/>
                  </a:schemeClr>
                </a:outerShdw>
              </a:effectLst>
            </a:rPr>
            <a:t>WILL BE UPDATED LATER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44</xdr:col>
      <xdr:colOff>234040</xdr:colOff>
      <xdr:row>31</xdr:row>
      <xdr:rowOff>102051</xdr:rowOff>
    </xdr:from>
    <xdr:to>
      <xdr:col>46</xdr:col>
      <xdr:colOff>258535</xdr:colOff>
      <xdr:row>32</xdr:row>
      <xdr:rowOff>149676</xdr:rowOff>
    </xdr:to>
    <xdr:sp macro="" textlink="">
      <xdr:nvSpPr>
        <xdr:cNvPr id="6" name="AutoShape 19"/>
        <xdr:cNvSpPr>
          <a:spLocks noChangeArrowheads="1"/>
        </xdr:cNvSpPr>
      </xdr:nvSpPr>
      <xdr:spPr bwMode="auto">
        <a:xfrm>
          <a:off x="13827576" y="6456587"/>
          <a:ext cx="1289959" cy="251732"/>
        </a:xfrm>
        <a:prstGeom prst="rightArrow">
          <a:avLst>
            <a:gd name="adj1" fmla="val 50000"/>
            <a:gd name="adj2" fmla="val 65625"/>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46</xdr:col>
      <xdr:colOff>209551</xdr:colOff>
      <xdr:row>4</xdr:row>
      <xdr:rowOff>176892</xdr:rowOff>
    </xdr:from>
    <xdr:to>
      <xdr:col>47</xdr:col>
      <xdr:colOff>258540</xdr:colOff>
      <xdr:row>8</xdr:row>
      <xdr:rowOff>95251</xdr:rowOff>
    </xdr:to>
    <xdr:sp macro="" textlink="">
      <xdr:nvSpPr>
        <xdr:cNvPr id="22" name="AutoShape 39"/>
        <xdr:cNvSpPr>
          <a:spLocks noChangeArrowheads="1"/>
        </xdr:cNvSpPr>
      </xdr:nvSpPr>
      <xdr:spPr bwMode="auto">
        <a:xfrm rot="-5400000">
          <a:off x="21018956" y="1098095"/>
          <a:ext cx="721180" cy="511631"/>
        </a:xfrm>
        <a:prstGeom prst="rightArrow">
          <a:avLst>
            <a:gd name="adj1" fmla="val 50000"/>
            <a:gd name="adj2" fmla="val 28125"/>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41</xdr:col>
      <xdr:colOff>258535</xdr:colOff>
      <xdr:row>8</xdr:row>
      <xdr:rowOff>76200</xdr:rowOff>
    </xdr:from>
    <xdr:to>
      <xdr:col>47</xdr:col>
      <xdr:colOff>379639</xdr:colOff>
      <xdr:row>43</xdr:row>
      <xdr:rowOff>136071</xdr:rowOff>
    </xdr:to>
    <xdr:sp macro="" textlink="">
      <xdr:nvSpPr>
        <xdr:cNvPr id="26" name="Rectangle 43"/>
        <xdr:cNvSpPr>
          <a:spLocks noChangeArrowheads="1"/>
        </xdr:cNvSpPr>
      </xdr:nvSpPr>
      <xdr:spPr bwMode="auto">
        <a:xfrm>
          <a:off x="18995571" y="1695450"/>
          <a:ext cx="2760889" cy="7203621"/>
        </a:xfrm>
        <a:prstGeom prst="rect">
          <a:avLst/>
        </a:prstGeom>
        <a:no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48</xdr:col>
      <xdr:colOff>38100</xdr:colOff>
      <xdr:row>8</xdr:row>
      <xdr:rowOff>28574</xdr:rowOff>
    </xdr:from>
    <xdr:to>
      <xdr:col>50</xdr:col>
      <xdr:colOff>619125</xdr:colOff>
      <xdr:row>44</xdr:row>
      <xdr:rowOff>2721</xdr:rowOff>
    </xdr:to>
    <xdr:sp macro="" textlink="">
      <xdr:nvSpPr>
        <xdr:cNvPr id="27" name="Rectangle 44"/>
        <xdr:cNvSpPr>
          <a:spLocks noChangeArrowheads="1"/>
        </xdr:cNvSpPr>
      </xdr:nvSpPr>
      <xdr:spPr bwMode="auto">
        <a:xfrm>
          <a:off x="21726525" y="1676399"/>
          <a:ext cx="2143125" cy="7517947"/>
        </a:xfrm>
        <a:prstGeom prst="rect">
          <a:avLst/>
        </a:prstGeom>
        <a:no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xdr:col>
      <xdr:colOff>326570</xdr:colOff>
      <xdr:row>12</xdr:row>
      <xdr:rowOff>1</xdr:rowOff>
    </xdr:from>
    <xdr:to>
      <xdr:col>1</xdr:col>
      <xdr:colOff>612322</xdr:colOff>
      <xdr:row>32</xdr:row>
      <xdr:rowOff>40822</xdr:rowOff>
    </xdr:to>
    <xdr:sp macro="" textlink="">
      <xdr:nvSpPr>
        <xdr:cNvPr id="32" name="AutoShape 53"/>
        <xdr:cNvSpPr>
          <a:spLocks/>
        </xdr:cNvSpPr>
      </xdr:nvSpPr>
      <xdr:spPr bwMode="auto">
        <a:xfrm>
          <a:off x="625927" y="2449287"/>
          <a:ext cx="285752" cy="4122964"/>
        </a:xfrm>
        <a:prstGeom prst="leftBrace">
          <a:avLst>
            <a:gd name="adj1" fmla="val 91346"/>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xdr:col>
      <xdr:colOff>299357</xdr:colOff>
      <xdr:row>44</xdr:row>
      <xdr:rowOff>190500</xdr:rowOff>
    </xdr:from>
    <xdr:to>
      <xdr:col>1</xdr:col>
      <xdr:colOff>680357</xdr:colOff>
      <xdr:row>52</xdr:row>
      <xdr:rowOff>163286</xdr:rowOff>
    </xdr:to>
    <xdr:sp macro="" textlink="">
      <xdr:nvSpPr>
        <xdr:cNvPr id="33" name="AutoShape 55"/>
        <xdr:cNvSpPr>
          <a:spLocks/>
        </xdr:cNvSpPr>
      </xdr:nvSpPr>
      <xdr:spPr bwMode="auto">
        <a:xfrm>
          <a:off x="598714" y="8586107"/>
          <a:ext cx="381000" cy="1197429"/>
        </a:xfrm>
        <a:prstGeom prst="leftBrace">
          <a:avLst>
            <a:gd name="adj1" fmla="val 80093"/>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xdr:col>
      <xdr:colOff>197304</xdr:colOff>
      <xdr:row>44</xdr:row>
      <xdr:rowOff>136070</xdr:rowOff>
    </xdr:from>
    <xdr:to>
      <xdr:col>1</xdr:col>
      <xdr:colOff>197304</xdr:colOff>
      <xdr:row>46</xdr:row>
      <xdr:rowOff>68034</xdr:rowOff>
    </xdr:to>
    <xdr:sp macro="" textlink="">
      <xdr:nvSpPr>
        <xdr:cNvPr id="34" name="Line 58"/>
        <xdr:cNvSpPr>
          <a:spLocks noChangeShapeType="1"/>
        </xdr:cNvSpPr>
      </xdr:nvSpPr>
      <xdr:spPr bwMode="auto">
        <a:xfrm flipV="1">
          <a:off x="496661" y="8531677"/>
          <a:ext cx="0" cy="34017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178254</xdr:colOff>
      <xdr:row>29</xdr:row>
      <xdr:rowOff>59872</xdr:rowOff>
    </xdr:from>
    <xdr:to>
      <xdr:col>1</xdr:col>
      <xdr:colOff>178254</xdr:colOff>
      <xdr:row>33</xdr:row>
      <xdr:rowOff>107496</xdr:rowOff>
    </xdr:to>
    <xdr:sp macro="" textlink="">
      <xdr:nvSpPr>
        <xdr:cNvPr id="35" name="Line 59"/>
        <xdr:cNvSpPr>
          <a:spLocks noChangeShapeType="1"/>
        </xdr:cNvSpPr>
      </xdr:nvSpPr>
      <xdr:spPr bwMode="auto">
        <a:xfrm>
          <a:off x="477611" y="6006193"/>
          <a:ext cx="0" cy="86405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35381</xdr:colOff>
      <xdr:row>25</xdr:row>
      <xdr:rowOff>108858</xdr:rowOff>
    </xdr:from>
    <xdr:to>
      <xdr:col>1</xdr:col>
      <xdr:colOff>394609</xdr:colOff>
      <xdr:row>27</xdr:row>
      <xdr:rowOff>175533</xdr:rowOff>
    </xdr:to>
    <xdr:sp macro="" textlink="">
      <xdr:nvSpPr>
        <xdr:cNvPr id="36" name="Text Box 60"/>
        <xdr:cNvSpPr txBox="1">
          <a:spLocks noChangeArrowheads="1"/>
        </xdr:cNvSpPr>
      </xdr:nvSpPr>
      <xdr:spPr bwMode="auto">
        <a:xfrm>
          <a:off x="334738" y="5238751"/>
          <a:ext cx="359228" cy="47488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54864" tIns="41148" rIns="0" bIns="0" anchor="t" upright="1"/>
        <a:lstStyle/>
        <a:p>
          <a:pPr algn="l" rtl="0">
            <a:defRPr sz="1000"/>
          </a:pPr>
          <a:r>
            <a:rPr lang="it-IT" sz="2400" b="0" i="0" u="none" strike="noStrike" baseline="0">
              <a:solidFill>
                <a:srgbClr val="000000"/>
              </a:solidFill>
              <a:latin typeface="Arial"/>
              <a:cs typeface="Arial"/>
            </a:rPr>
            <a:t>+</a:t>
          </a:r>
          <a:endParaRPr lang="it-IT"/>
        </a:p>
      </xdr:txBody>
    </xdr:sp>
    <xdr:clientData/>
  </xdr:twoCellAnchor>
  <xdr:twoCellAnchor>
    <xdr:from>
      <xdr:col>1</xdr:col>
      <xdr:colOff>21772</xdr:colOff>
      <xdr:row>50</xdr:row>
      <xdr:rowOff>48985</xdr:rowOff>
    </xdr:from>
    <xdr:to>
      <xdr:col>1</xdr:col>
      <xdr:colOff>381001</xdr:colOff>
      <xdr:row>52</xdr:row>
      <xdr:rowOff>96610</xdr:rowOff>
    </xdr:to>
    <xdr:sp macro="" textlink="">
      <xdr:nvSpPr>
        <xdr:cNvPr id="37" name="Text Box 61"/>
        <xdr:cNvSpPr txBox="1">
          <a:spLocks noChangeArrowheads="1"/>
        </xdr:cNvSpPr>
      </xdr:nvSpPr>
      <xdr:spPr bwMode="auto">
        <a:xfrm>
          <a:off x="321129" y="9261021"/>
          <a:ext cx="359229" cy="45583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54864" tIns="41148" rIns="0" bIns="0" anchor="t" upright="1"/>
        <a:lstStyle/>
        <a:p>
          <a:pPr algn="l" rtl="0">
            <a:defRPr sz="1000"/>
          </a:pPr>
          <a:r>
            <a:rPr lang="it-IT" sz="2400" b="0" i="0" u="none" strike="noStrike" baseline="0">
              <a:solidFill>
                <a:srgbClr val="000000"/>
              </a:solidFill>
              <a:latin typeface="Arial"/>
              <a:cs typeface="Arial"/>
            </a:rPr>
            <a:t>-</a:t>
          </a:r>
          <a:endParaRPr lang="it-IT"/>
        </a:p>
      </xdr:txBody>
    </xdr:sp>
    <xdr:clientData/>
  </xdr:twoCellAnchor>
  <mc:AlternateContent xmlns:mc="http://schemas.openxmlformats.org/markup-compatibility/2006">
    <mc:Choice xmlns:a14="http://schemas.microsoft.com/office/drawing/2010/main" Requires="a14">
      <xdr:twoCellAnchor editAs="oneCell">
        <xdr:from>
          <xdr:col>26</xdr:col>
          <xdr:colOff>219075</xdr:colOff>
          <xdr:row>3</xdr:row>
          <xdr:rowOff>28575</xdr:rowOff>
        </xdr:from>
        <xdr:to>
          <xdr:col>28</xdr:col>
          <xdr:colOff>114300</xdr:colOff>
          <xdr:row>4</xdr:row>
          <xdr:rowOff>19050</xdr:rowOff>
        </xdr:to>
        <xdr:sp macro="" textlink="">
          <xdr:nvSpPr>
            <xdr:cNvPr id="22529" name="Drop Down 1" hidden="1">
              <a:extLst>
                <a:ext uri="{63B3BB69-23CF-44E3-9099-C40C66FF867C}">
                  <a14:compatExt spid="_x0000_s22529"/>
                </a:ext>
              </a:extLst>
            </xdr:cNvPr>
            <xdr:cNvSpPr/>
          </xdr:nvSpPr>
          <xdr:spPr>
            <a:xfrm>
              <a:off x="0" y="0"/>
              <a:ext cx="0" cy="0"/>
            </a:xfrm>
            <a:prstGeom prst="rect">
              <a:avLst/>
            </a:prstGeom>
          </xdr:spPr>
        </xdr:sp>
        <xdr:clientData/>
      </xdr:twoCellAnchor>
    </mc:Choice>
    <mc:Fallback/>
  </mc:AlternateContent>
  <xdr:twoCellAnchor>
    <xdr:from>
      <xdr:col>44</xdr:col>
      <xdr:colOff>567417</xdr:colOff>
      <xdr:row>29</xdr:row>
      <xdr:rowOff>12247</xdr:rowOff>
    </xdr:from>
    <xdr:to>
      <xdr:col>45</xdr:col>
      <xdr:colOff>491217</xdr:colOff>
      <xdr:row>29</xdr:row>
      <xdr:rowOff>197304</xdr:rowOff>
    </xdr:to>
    <xdr:sp macro="" textlink="">
      <xdr:nvSpPr>
        <xdr:cNvPr id="48" name="AutoShape 36"/>
        <xdr:cNvSpPr>
          <a:spLocks noChangeArrowheads="1"/>
        </xdr:cNvSpPr>
      </xdr:nvSpPr>
      <xdr:spPr bwMode="auto">
        <a:xfrm>
          <a:off x="14160953" y="5754461"/>
          <a:ext cx="590550" cy="185057"/>
        </a:xfrm>
        <a:prstGeom prst="rightArrow">
          <a:avLst>
            <a:gd name="adj1" fmla="val 50000"/>
            <a:gd name="adj2" fmla="val 43750"/>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44</xdr:col>
      <xdr:colOff>583746</xdr:colOff>
      <xdr:row>26</xdr:row>
      <xdr:rowOff>191861</xdr:rowOff>
    </xdr:from>
    <xdr:to>
      <xdr:col>45</xdr:col>
      <xdr:colOff>507546</xdr:colOff>
      <xdr:row>27</xdr:row>
      <xdr:rowOff>172811</xdr:rowOff>
    </xdr:to>
    <xdr:sp macro="" textlink="">
      <xdr:nvSpPr>
        <xdr:cNvPr id="49" name="AutoShape 36"/>
        <xdr:cNvSpPr>
          <a:spLocks noChangeArrowheads="1"/>
        </xdr:cNvSpPr>
      </xdr:nvSpPr>
      <xdr:spPr bwMode="auto">
        <a:xfrm>
          <a:off x="14177282" y="5321754"/>
          <a:ext cx="590550" cy="185057"/>
        </a:xfrm>
        <a:prstGeom prst="rightArrow">
          <a:avLst>
            <a:gd name="adj1" fmla="val 50000"/>
            <a:gd name="adj2" fmla="val 43750"/>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44</xdr:col>
      <xdr:colOff>559253</xdr:colOff>
      <xdr:row>25</xdr:row>
      <xdr:rowOff>4082</xdr:rowOff>
    </xdr:from>
    <xdr:to>
      <xdr:col>45</xdr:col>
      <xdr:colOff>483053</xdr:colOff>
      <xdr:row>25</xdr:row>
      <xdr:rowOff>189139</xdr:rowOff>
    </xdr:to>
    <xdr:sp macro="" textlink="">
      <xdr:nvSpPr>
        <xdr:cNvPr id="50" name="AutoShape 36"/>
        <xdr:cNvSpPr>
          <a:spLocks noChangeArrowheads="1"/>
        </xdr:cNvSpPr>
      </xdr:nvSpPr>
      <xdr:spPr bwMode="auto">
        <a:xfrm>
          <a:off x="14152789" y="4929868"/>
          <a:ext cx="590550" cy="185057"/>
        </a:xfrm>
        <a:prstGeom prst="rightArrow">
          <a:avLst>
            <a:gd name="adj1" fmla="val 50000"/>
            <a:gd name="adj2" fmla="val 43750"/>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33</xdr:col>
      <xdr:colOff>166007</xdr:colOff>
      <xdr:row>8</xdr:row>
      <xdr:rowOff>81643</xdr:rowOff>
    </xdr:from>
    <xdr:to>
      <xdr:col>41</xdr:col>
      <xdr:colOff>136072</xdr:colOff>
      <xdr:row>43</xdr:row>
      <xdr:rowOff>108857</xdr:rowOff>
    </xdr:to>
    <xdr:sp macro="" textlink="">
      <xdr:nvSpPr>
        <xdr:cNvPr id="24" name="Rectangle 43"/>
        <xdr:cNvSpPr>
          <a:spLocks noChangeArrowheads="1"/>
        </xdr:cNvSpPr>
      </xdr:nvSpPr>
      <xdr:spPr bwMode="auto">
        <a:xfrm>
          <a:off x="12303578" y="1741714"/>
          <a:ext cx="3262994" cy="6558643"/>
        </a:xfrm>
        <a:prstGeom prst="rect">
          <a:avLst/>
        </a:prstGeom>
        <a:no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34</xdr:col>
      <xdr:colOff>117901</xdr:colOff>
      <xdr:row>12</xdr:row>
      <xdr:rowOff>14968</xdr:rowOff>
    </xdr:from>
    <xdr:to>
      <xdr:col>36</xdr:col>
      <xdr:colOff>192981</xdr:colOff>
      <xdr:row>12</xdr:row>
      <xdr:rowOff>200025</xdr:rowOff>
    </xdr:to>
    <xdr:sp macro="" textlink="">
      <xdr:nvSpPr>
        <xdr:cNvPr id="39" name="AutoShape 36"/>
        <xdr:cNvSpPr>
          <a:spLocks noChangeArrowheads="1"/>
        </xdr:cNvSpPr>
      </xdr:nvSpPr>
      <xdr:spPr bwMode="auto">
        <a:xfrm>
          <a:off x="11749607" y="2525086"/>
          <a:ext cx="590550" cy="185057"/>
        </a:xfrm>
        <a:prstGeom prst="rightArrow">
          <a:avLst>
            <a:gd name="adj1" fmla="val 50000"/>
            <a:gd name="adj2" fmla="val 43750"/>
          </a:avLst>
        </a:prstGeom>
        <a:solidFill>
          <a:schemeClr val="accent6">
            <a:lumMod val="40000"/>
            <a:lumOff val="60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34</xdr:col>
      <xdr:colOff>134229</xdr:colOff>
      <xdr:row>16</xdr:row>
      <xdr:rowOff>17689</xdr:rowOff>
    </xdr:from>
    <xdr:to>
      <xdr:col>36</xdr:col>
      <xdr:colOff>209309</xdr:colOff>
      <xdr:row>16</xdr:row>
      <xdr:rowOff>202746</xdr:rowOff>
    </xdr:to>
    <xdr:sp macro="" textlink="">
      <xdr:nvSpPr>
        <xdr:cNvPr id="41" name="AutoShape 36"/>
        <xdr:cNvSpPr>
          <a:spLocks noChangeArrowheads="1"/>
        </xdr:cNvSpPr>
      </xdr:nvSpPr>
      <xdr:spPr bwMode="auto">
        <a:xfrm>
          <a:off x="11765935" y="3379454"/>
          <a:ext cx="590550" cy="185057"/>
        </a:xfrm>
        <a:prstGeom prst="rightArrow">
          <a:avLst>
            <a:gd name="adj1" fmla="val 50000"/>
            <a:gd name="adj2" fmla="val 43750"/>
          </a:avLst>
        </a:prstGeom>
        <a:solidFill>
          <a:schemeClr val="accent6">
            <a:lumMod val="40000"/>
            <a:lumOff val="60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39</xdr:col>
      <xdr:colOff>204107</xdr:colOff>
      <xdr:row>15</xdr:row>
      <xdr:rowOff>6804</xdr:rowOff>
    </xdr:from>
    <xdr:to>
      <xdr:col>41</xdr:col>
      <xdr:colOff>131989</xdr:colOff>
      <xdr:row>15</xdr:row>
      <xdr:rowOff>176893</xdr:rowOff>
    </xdr:to>
    <xdr:sp macro="" textlink="">
      <xdr:nvSpPr>
        <xdr:cNvPr id="42" name="AutoShape 36"/>
        <xdr:cNvSpPr>
          <a:spLocks noChangeArrowheads="1"/>
        </xdr:cNvSpPr>
      </xdr:nvSpPr>
      <xdr:spPr bwMode="auto">
        <a:xfrm>
          <a:off x="19240500" y="3068411"/>
          <a:ext cx="363310" cy="170089"/>
        </a:xfrm>
        <a:prstGeom prst="rightArrow">
          <a:avLst>
            <a:gd name="adj1" fmla="val 50000"/>
            <a:gd name="adj2" fmla="val 43750"/>
          </a:avLst>
        </a:prstGeom>
        <a:solidFill>
          <a:schemeClr val="accent6">
            <a:lumMod val="40000"/>
            <a:lumOff val="60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38</xdr:col>
      <xdr:colOff>292554</xdr:colOff>
      <xdr:row>10</xdr:row>
      <xdr:rowOff>200025</xdr:rowOff>
    </xdr:from>
    <xdr:to>
      <xdr:col>40</xdr:col>
      <xdr:colOff>175532</xdr:colOff>
      <xdr:row>11</xdr:row>
      <xdr:rowOff>180975</xdr:rowOff>
    </xdr:to>
    <xdr:sp macro="" textlink="">
      <xdr:nvSpPr>
        <xdr:cNvPr id="43" name="AutoShape 36"/>
        <xdr:cNvSpPr>
          <a:spLocks noChangeArrowheads="1"/>
        </xdr:cNvSpPr>
      </xdr:nvSpPr>
      <xdr:spPr bwMode="auto">
        <a:xfrm>
          <a:off x="13858875" y="2268311"/>
          <a:ext cx="590550" cy="185057"/>
        </a:xfrm>
        <a:prstGeom prst="rightArrow">
          <a:avLst>
            <a:gd name="adj1" fmla="val 50000"/>
            <a:gd name="adj2" fmla="val 43750"/>
          </a:avLst>
        </a:prstGeom>
        <a:solidFill>
          <a:schemeClr val="accent6">
            <a:lumMod val="40000"/>
            <a:lumOff val="60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34</xdr:col>
      <xdr:colOff>96129</xdr:colOff>
      <xdr:row>20</xdr:row>
      <xdr:rowOff>6804</xdr:rowOff>
    </xdr:from>
    <xdr:to>
      <xdr:col>36</xdr:col>
      <xdr:colOff>171209</xdr:colOff>
      <xdr:row>20</xdr:row>
      <xdr:rowOff>191861</xdr:rowOff>
    </xdr:to>
    <xdr:sp macro="" textlink="">
      <xdr:nvSpPr>
        <xdr:cNvPr id="44" name="AutoShape 36"/>
        <xdr:cNvSpPr>
          <a:spLocks noChangeArrowheads="1"/>
        </xdr:cNvSpPr>
      </xdr:nvSpPr>
      <xdr:spPr bwMode="auto">
        <a:xfrm>
          <a:off x="11727835" y="4220216"/>
          <a:ext cx="590550" cy="185057"/>
        </a:xfrm>
        <a:prstGeom prst="rightArrow">
          <a:avLst>
            <a:gd name="adj1" fmla="val 50000"/>
            <a:gd name="adj2" fmla="val 43750"/>
          </a:avLst>
        </a:prstGeom>
        <a:solidFill>
          <a:schemeClr val="accent6">
            <a:lumMod val="40000"/>
            <a:lumOff val="60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34</xdr:col>
      <xdr:colOff>75639</xdr:colOff>
      <xdr:row>25</xdr:row>
      <xdr:rowOff>9525</xdr:rowOff>
    </xdr:from>
    <xdr:to>
      <xdr:col>36</xdr:col>
      <xdr:colOff>150719</xdr:colOff>
      <xdr:row>25</xdr:row>
      <xdr:rowOff>194582</xdr:rowOff>
    </xdr:to>
    <xdr:sp macro="" textlink="">
      <xdr:nvSpPr>
        <xdr:cNvPr id="45" name="AutoShape 36"/>
        <xdr:cNvSpPr>
          <a:spLocks noChangeArrowheads="1"/>
        </xdr:cNvSpPr>
      </xdr:nvSpPr>
      <xdr:spPr bwMode="auto">
        <a:xfrm>
          <a:off x="14004551" y="5298701"/>
          <a:ext cx="590550" cy="185057"/>
        </a:xfrm>
        <a:prstGeom prst="rightArrow">
          <a:avLst>
            <a:gd name="adj1" fmla="val 50000"/>
            <a:gd name="adj2" fmla="val 43750"/>
          </a:avLst>
        </a:prstGeom>
        <a:solidFill>
          <a:schemeClr val="accent6">
            <a:lumMod val="40000"/>
            <a:lumOff val="60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mc:AlternateContent xmlns:mc="http://schemas.openxmlformats.org/markup-compatibility/2006">
    <mc:Choice xmlns:a14="http://schemas.microsoft.com/office/drawing/2010/main" Requires="a14">
      <xdr:twoCellAnchor>
        <xdr:from>
          <xdr:col>50</xdr:col>
          <xdr:colOff>323850</xdr:colOff>
          <xdr:row>11</xdr:row>
          <xdr:rowOff>57150</xdr:rowOff>
        </xdr:from>
        <xdr:to>
          <xdr:col>50</xdr:col>
          <xdr:colOff>581025</xdr:colOff>
          <xdr:row>12</xdr:row>
          <xdr:rowOff>95250</xdr:rowOff>
        </xdr:to>
        <xdr:sp macro="" textlink="">
          <xdr:nvSpPr>
            <xdr:cNvPr id="22530" name="Spinner 2" hidden="1">
              <a:extLst>
                <a:ext uri="{63B3BB69-23CF-44E3-9099-C40C66FF867C}">
                  <a14:compatExt spid="_x0000_s22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50</xdr:col>
          <xdr:colOff>333375</xdr:colOff>
          <xdr:row>14</xdr:row>
          <xdr:rowOff>180975</xdr:rowOff>
        </xdr:from>
        <xdr:to>
          <xdr:col>50</xdr:col>
          <xdr:colOff>590550</xdr:colOff>
          <xdr:row>16</xdr:row>
          <xdr:rowOff>9525</xdr:rowOff>
        </xdr:to>
        <xdr:sp macro="" textlink="">
          <xdr:nvSpPr>
            <xdr:cNvPr id="22531" name="Spinner 3" hidden="1">
              <a:extLst>
                <a:ext uri="{63B3BB69-23CF-44E3-9099-C40C66FF867C}">
                  <a14:compatExt spid="_x0000_s225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50</xdr:col>
          <xdr:colOff>333375</xdr:colOff>
          <xdr:row>19</xdr:row>
          <xdr:rowOff>19050</xdr:rowOff>
        </xdr:from>
        <xdr:to>
          <xdr:col>50</xdr:col>
          <xdr:colOff>590550</xdr:colOff>
          <xdr:row>20</xdr:row>
          <xdr:rowOff>57150</xdr:rowOff>
        </xdr:to>
        <xdr:sp macro="" textlink="">
          <xdr:nvSpPr>
            <xdr:cNvPr id="22532" name="Spinner 4" hidden="1">
              <a:extLst>
                <a:ext uri="{63B3BB69-23CF-44E3-9099-C40C66FF867C}">
                  <a14:compatExt spid="_x0000_s225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123825</xdr:colOff>
          <xdr:row>10</xdr:row>
          <xdr:rowOff>180975</xdr:rowOff>
        </xdr:from>
        <xdr:to>
          <xdr:col>26</xdr:col>
          <xdr:colOff>381000</xdr:colOff>
          <xdr:row>12</xdr:row>
          <xdr:rowOff>9525</xdr:rowOff>
        </xdr:to>
        <xdr:sp macro="" textlink="">
          <xdr:nvSpPr>
            <xdr:cNvPr id="22543" name="Spinner 15" hidden="1">
              <a:extLst>
                <a:ext uri="{63B3BB69-23CF-44E3-9099-C40C66FF867C}">
                  <a14:compatExt spid="_x0000_s225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133350</xdr:colOff>
          <xdr:row>23</xdr:row>
          <xdr:rowOff>190500</xdr:rowOff>
        </xdr:from>
        <xdr:to>
          <xdr:col>26</xdr:col>
          <xdr:colOff>390525</xdr:colOff>
          <xdr:row>25</xdr:row>
          <xdr:rowOff>19050</xdr:rowOff>
        </xdr:to>
        <xdr:sp macro="" textlink="">
          <xdr:nvSpPr>
            <xdr:cNvPr id="22544" name="Spinner 16" hidden="1">
              <a:extLst>
                <a:ext uri="{63B3BB69-23CF-44E3-9099-C40C66FF867C}">
                  <a14:compatExt spid="_x0000_s225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95250</xdr:colOff>
          <xdr:row>19</xdr:row>
          <xdr:rowOff>0</xdr:rowOff>
        </xdr:from>
        <xdr:to>
          <xdr:col>26</xdr:col>
          <xdr:colOff>352425</xdr:colOff>
          <xdr:row>20</xdr:row>
          <xdr:rowOff>38100</xdr:rowOff>
        </xdr:to>
        <xdr:sp macro="" textlink="">
          <xdr:nvSpPr>
            <xdr:cNvPr id="22546" name="Spinner 18" hidden="1">
              <a:extLst>
                <a:ext uri="{63B3BB69-23CF-44E3-9099-C40C66FF867C}">
                  <a14:compatExt spid="_x0000_s225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50</xdr:col>
          <xdr:colOff>342900</xdr:colOff>
          <xdr:row>31</xdr:row>
          <xdr:rowOff>171450</xdr:rowOff>
        </xdr:from>
        <xdr:to>
          <xdr:col>50</xdr:col>
          <xdr:colOff>600075</xdr:colOff>
          <xdr:row>33</xdr:row>
          <xdr:rowOff>0</xdr:rowOff>
        </xdr:to>
        <xdr:sp macro="" textlink="">
          <xdr:nvSpPr>
            <xdr:cNvPr id="22547" name="Spinner 19" hidden="1">
              <a:extLst>
                <a:ext uri="{63B3BB69-23CF-44E3-9099-C40C66FF867C}">
                  <a14:compatExt spid="_x0000_s225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104775</xdr:colOff>
          <xdr:row>32</xdr:row>
          <xdr:rowOff>180975</xdr:rowOff>
        </xdr:from>
        <xdr:to>
          <xdr:col>26</xdr:col>
          <xdr:colOff>361950</xdr:colOff>
          <xdr:row>34</xdr:row>
          <xdr:rowOff>9525</xdr:rowOff>
        </xdr:to>
        <xdr:sp macro="" textlink="">
          <xdr:nvSpPr>
            <xdr:cNvPr id="22549" name="Spinner 21" hidden="1">
              <a:extLst>
                <a:ext uri="{63B3BB69-23CF-44E3-9099-C40C66FF867C}">
                  <a14:compatExt spid="_x0000_s225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219075</xdr:colOff>
          <xdr:row>5</xdr:row>
          <xdr:rowOff>142875</xdr:rowOff>
        </xdr:from>
        <xdr:to>
          <xdr:col>1</xdr:col>
          <xdr:colOff>476250</xdr:colOff>
          <xdr:row>7</xdr:row>
          <xdr:rowOff>19050</xdr:rowOff>
        </xdr:to>
        <xdr:sp macro="" textlink="">
          <xdr:nvSpPr>
            <xdr:cNvPr id="22552" name="Spinner 24" hidden="1">
              <a:extLst>
                <a:ext uri="{63B3BB69-23CF-44E3-9099-C40C66FF867C}">
                  <a14:compatExt spid="_x0000_s22552"/>
                </a:ext>
              </a:extLst>
            </xdr:cNvPr>
            <xdr:cNvSpPr/>
          </xdr:nvSpPr>
          <xdr:spPr>
            <a:xfrm>
              <a:off x="0" y="0"/>
              <a:ext cx="0" cy="0"/>
            </a:xfrm>
            <a:prstGeom prst="rect">
              <a:avLst/>
            </a:prstGeom>
          </xdr:spPr>
        </xdr:sp>
        <xdr:clientData/>
      </xdr:twoCellAnchor>
    </mc:Choice>
    <mc:Fallback/>
  </mc:AlternateContent>
  <xdr:twoCellAnchor>
    <xdr:from>
      <xdr:col>44</xdr:col>
      <xdr:colOff>560053</xdr:colOff>
      <xdr:row>23</xdr:row>
      <xdr:rowOff>10486</xdr:rowOff>
    </xdr:from>
    <xdr:to>
      <xdr:col>45</xdr:col>
      <xdr:colOff>483853</xdr:colOff>
      <xdr:row>23</xdr:row>
      <xdr:rowOff>195543</xdr:rowOff>
    </xdr:to>
    <xdr:sp macro="" textlink="">
      <xdr:nvSpPr>
        <xdr:cNvPr id="47" name="AutoShape 36"/>
        <xdr:cNvSpPr>
          <a:spLocks noChangeArrowheads="1"/>
        </xdr:cNvSpPr>
      </xdr:nvSpPr>
      <xdr:spPr bwMode="auto">
        <a:xfrm>
          <a:off x="16113818" y="4862633"/>
          <a:ext cx="551329" cy="185057"/>
        </a:xfrm>
        <a:prstGeom prst="rightArrow">
          <a:avLst>
            <a:gd name="adj1" fmla="val 50000"/>
            <a:gd name="adj2" fmla="val 43750"/>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42</xdr:col>
      <xdr:colOff>112059</xdr:colOff>
      <xdr:row>21</xdr:row>
      <xdr:rowOff>39221</xdr:rowOff>
    </xdr:from>
    <xdr:to>
      <xdr:col>42</xdr:col>
      <xdr:colOff>336177</xdr:colOff>
      <xdr:row>30</xdr:row>
      <xdr:rowOff>187298</xdr:rowOff>
    </xdr:to>
    <xdr:sp macro="" textlink="">
      <xdr:nvSpPr>
        <xdr:cNvPr id="2" name="Freccia bidirezionale verticale 1"/>
        <xdr:cNvSpPr/>
      </xdr:nvSpPr>
      <xdr:spPr bwMode="auto">
        <a:xfrm>
          <a:off x="19148452" y="4311864"/>
          <a:ext cx="224118" cy="1985041"/>
        </a:xfrm>
        <a:prstGeom prst="upDownArrow">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xtLst/>
      </xdr:spPr>
      <xdr:txBody>
        <a:bodyPr vertOverflow="clip" horzOverflow="clip" wrap="square" lIns="18288" tIns="0" rIns="0" bIns="0" rtlCol="0" anchor="t" upright="1"/>
        <a:lstStyle/>
        <a:p>
          <a:pPr algn="l"/>
          <a:endParaRPr lang="it-IT" sz="1100"/>
        </a:p>
      </xdr:txBody>
    </xdr:sp>
    <xdr:clientData/>
  </xdr:twoCellAnchor>
  <xdr:twoCellAnchor>
    <xdr:from>
      <xdr:col>36</xdr:col>
      <xdr:colOff>508667</xdr:colOff>
      <xdr:row>28</xdr:row>
      <xdr:rowOff>208830</xdr:rowOff>
    </xdr:from>
    <xdr:to>
      <xdr:col>37</xdr:col>
      <xdr:colOff>146717</xdr:colOff>
      <xdr:row>29</xdr:row>
      <xdr:rowOff>180975</xdr:rowOff>
    </xdr:to>
    <xdr:sp macro="" textlink="">
      <xdr:nvSpPr>
        <xdr:cNvPr id="52" name="AutoShape 36"/>
        <xdr:cNvSpPr>
          <a:spLocks noChangeArrowheads="1"/>
        </xdr:cNvSpPr>
      </xdr:nvSpPr>
      <xdr:spPr bwMode="auto">
        <a:xfrm>
          <a:off x="12655843" y="6125536"/>
          <a:ext cx="590550" cy="185057"/>
        </a:xfrm>
        <a:prstGeom prst="rightArrow">
          <a:avLst>
            <a:gd name="adj1" fmla="val 50000"/>
            <a:gd name="adj2" fmla="val 43750"/>
          </a:avLst>
        </a:prstGeom>
        <a:solidFill>
          <a:schemeClr val="accent1">
            <a:lumMod val="20000"/>
            <a:lumOff val="80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11</xdr:col>
      <xdr:colOff>40341</xdr:colOff>
      <xdr:row>51</xdr:row>
      <xdr:rowOff>40181</xdr:rowOff>
    </xdr:from>
    <xdr:to>
      <xdr:col>18</xdr:col>
      <xdr:colOff>353785</xdr:colOff>
      <xdr:row>52</xdr:row>
      <xdr:rowOff>163286</xdr:rowOff>
    </xdr:to>
    <xdr:sp macro="" textlink="">
      <xdr:nvSpPr>
        <xdr:cNvPr id="56" name="AutoShape 19"/>
        <xdr:cNvSpPr>
          <a:spLocks noChangeArrowheads="1"/>
        </xdr:cNvSpPr>
      </xdr:nvSpPr>
      <xdr:spPr bwMode="auto">
        <a:xfrm flipH="1">
          <a:off x="6394877" y="10436038"/>
          <a:ext cx="1742194" cy="327212"/>
        </a:xfrm>
        <a:prstGeom prst="rightArrow">
          <a:avLst>
            <a:gd name="adj1" fmla="val 50000"/>
            <a:gd name="adj2" fmla="val 65625"/>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anchor="ctr"/>
        <a:lstStyle/>
        <a:p>
          <a:pPr algn="ctr"/>
          <a:r>
            <a:rPr lang="it-IT"/>
            <a:t>Exported</a:t>
          </a:r>
        </a:p>
      </xdr:txBody>
    </xdr:sp>
    <xdr:clientData/>
  </xdr:twoCellAnchor>
  <xdr:twoCellAnchor>
    <xdr:from>
      <xdr:col>18</xdr:col>
      <xdr:colOff>112057</xdr:colOff>
      <xdr:row>43</xdr:row>
      <xdr:rowOff>81642</xdr:rowOff>
    </xdr:from>
    <xdr:to>
      <xdr:col>18</xdr:col>
      <xdr:colOff>542684</xdr:colOff>
      <xdr:row>46</xdr:row>
      <xdr:rowOff>54428</xdr:rowOff>
    </xdr:to>
    <xdr:sp macro="" textlink="">
      <xdr:nvSpPr>
        <xdr:cNvPr id="3" name="Freccia circolare a destra 2"/>
        <xdr:cNvSpPr/>
      </xdr:nvSpPr>
      <xdr:spPr bwMode="auto">
        <a:xfrm flipV="1">
          <a:off x="7895343" y="8844642"/>
          <a:ext cx="430627" cy="585107"/>
        </a:xfrm>
        <a:prstGeom prst="curvedRightArrow">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xtLst/>
      </xdr:spPr>
      <xdr:txBody>
        <a:bodyPr anchor="ctr"/>
        <a:lstStyle/>
        <a:p>
          <a:pPr marL="0" indent="0" algn="l"/>
          <a:endParaRPr lang="it-IT" sz="1100">
            <a:latin typeface="+mn-lt"/>
            <a:ea typeface="+mn-ea"/>
            <a:cs typeface="+mn-cs"/>
          </a:endParaRPr>
        </a:p>
      </xdr:txBody>
    </xdr:sp>
    <xdr:clientData/>
  </xdr:twoCellAnchor>
  <xdr:twoCellAnchor>
    <xdr:from>
      <xdr:col>13</xdr:col>
      <xdr:colOff>112057</xdr:colOff>
      <xdr:row>49</xdr:row>
      <xdr:rowOff>37781</xdr:rowOff>
    </xdr:from>
    <xdr:to>
      <xdr:col>18</xdr:col>
      <xdr:colOff>557892</xdr:colOff>
      <xdr:row>50</xdr:row>
      <xdr:rowOff>108858</xdr:rowOff>
    </xdr:to>
    <xdr:sp macro="" textlink="">
      <xdr:nvSpPr>
        <xdr:cNvPr id="58" name="AutoShape 19"/>
        <xdr:cNvSpPr>
          <a:spLocks noChangeArrowheads="1"/>
        </xdr:cNvSpPr>
      </xdr:nvSpPr>
      <xdr:spPr bwMode="auto">
        <a:xfrm flipH="1">
          <a:off x="6874807" y="10025424"/>
          <a:ext cx="1466371" cy="275184"/>
        </a:xfrm>
        <a:prstGeom prst="rightArrow">
          <a:avLst>
            <a:gd name="adj1" fmla="val 50000"/>
            <a:gd name="adj2" fmla="val 65625"/>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anchor="ctr"/>
        <a:lstStyle/>
        <a:p>
          <a:r>
            <a:rPr lang="it-IT"/>
            <a:t>Temporary exported</a:t>
          </a:r>
        </a:p>
      </xdr:txBody>
    </xdr:sp>
    <xdr:clientData/>
  </xdr:twoCellAnchor>
  <xdr:twoCellAnchor>
    <xdr:from>
      <xdr:col>37</xdr:col>
      <xdr:colOff>145677</xdr:colOff>
      <xdr:row>18</xdr:row>
      <xdr:rowOff>56029</xdr:rowOff>
    </xdr:from>
    <xdr:to>
      <xdr:col>37</xdr:col>
      <xdr:colOff>313765</xdr:colOff>
      <xdr:row>22</xdr:row>
      <xdr:rowOff>123265</xdr:rowOff>
    </xdr:to>
    <xdr:sp macro="" textlink="">
      <xdr:nvSpPr>
        <xdr:cNvPr id="8" name="Freccia in su 7"/>
        <xdr:cNvSpPr/>
      </xdr:nvSpPr>
      <xdr:spPr bwMode="auto">
        <a:xfrm>
          <a:off x="15542559" y="3854823"/>
          <a:ext cx="168088" cy="918883"/>
        </a:xfrm>
        <a:prstGeom prst="upArrow">
          <a:avLst/>
        </a:prstGeom>
        <a:solidFill>
          <a:schemeClr val="accent6">
            <a:lumMod val="40000"/>
            <a:lumOff val="60000"/>
          </a:schemeClr>
        </a:solidFill>
        <a:ln w="9525">
          <a:solidFill>
            <a:srgbClr xmlns:mc="http://schemas.openxmlformats.org/markup-compatibility/2006" xmlns:a14="http://schemas.microsoft.com/office/drawing/2010/main" val="000000" mc:Ignorable="a14" a14:legacySpreadsheetColorIndex="64"/>
          </a:solidFill>
          <a:miter lim="800000"/>
          <a:headEnd/>
          <a:tailEnd/>
        </a:ln>
        <a:extLst/>
      </xdr:spPr>
      <xdr:txBody>
        <a:bodyPr vertOverflow="clip" horzOverflow="clip" wrap="square" lIns="18288" tIns="0" rIns="0" bIns="0" rtlCol="0" anchor="t" upright="1"/>
        <a:lstStyle/>
        <a:p>
          <a:pPr algn="l"/>
          <a:endParaRPr lang="it-IT" sz="1100"/>
        </a:p>
      </xdr:txBody>
    </xdr:sp>
    <xdr:clientData/>
  </xdr:twoCellAnchor>
  <xdr:twoCellAnchor>
    <xdr:from>
      <xdr:col>24</xdr:col>
      <xdr:colOff>0</xdr:colOff>
      <xdr:row>24</xdr:row>
      <xdr:rowOff>0</xdr:rowOff>
    </xdr:from>
    <xdr:to>
      <xdr:col>24</xdr:col>
      <xdr:colOff>212912</xdr:colOff>
      <xdr:row>28</xdr:row>
      <xdr:rowOff>201706</xdr:rowOff>
    </xdr:to>
    <xdr:sp macro="" textlink="">
      <xdr:nvSpPr>
        <xdr:cNvPr id="59" name="Freccia in su 58"/>
        <xdr:cNvSpPr/>
      </xdr:nvSpPr>
      <xdr:spPr bwMode="auto">
        <a:xfrm>
          <a:off x="10836088" y="5076265"/>
          <a:ext cx="212912" cy="1053353"/>
        </a:xfrm>
        <a:prstGeom prst="upArrow">
          <a:avLst/>
        </a:prstGeom>
        <a:solidFill>
          <a:schemeClr val="accent1">
            <a:lumMod val="40000"/>
            <a:lumOff val="60000"/>
          </a:schemeClr>
        </a:solidFill>
        <a:ln w="9525">
          <a:solidFill>
            <a:schemeClr val="tx2">
              <a:lumMod val="75000"/>
            </a:schemeClr>
          </a:solidFill>
          <a:miter lim="800000"/>
          <a:headEnd/>
          <a:tailEnd/>
        </a:ln>
        <a:extLst/>
      </xdr:spPr>
      <xdr:txBody>
        <a:bodyPr vertOverflow="clip" horzOverflow="clip" wrap="square" lIns="18288" tIns="0" rIns="0" bIns="0" rtlCol="0" anchor="t" upright="1"/>
        <a:lstStyle/>
        <a:p>
          <a:pPr algn="l"/>
          <a:endParaRPr lang="it-IT" sz="1100"/>
        </a:p>
      </xdr:txBody>
    </xdr:sp>
    <xdr:clientData/>
  </xdr:twoCellAnchor>
  <xdr:twoCellAnchor>
    <xdr:from>
      <xdr:col>12</xdr:col>
      <xdr:colOff>27214</xdr:colOff>
      <xdr:row>43</xdr:row>
      <xdr:rowOff>40822</xdr:rowOff>
    </xdr:from>
    <xdr:to>
      <xdr:col>13</xdr:col>
      <xdr:colOff>176893</xdr:colOff>
      <xdr:row>46</xdr:row>
      <xdr:rowOff>122464</xdr:rowOff>
    </xdr:to>
    <xdr:sp macro="" textlink="">
      <xdr:nvSpPr>
        <xdr:cNvPr id="9" name="Freccia in su 8"/>
        <xdr:cNvSpPr/>
      </xdr:nvSpPr>
      <xdr:spPr bwMode="auto">
        <a:xfrm>
          <a:off x="6585857" y="8817429"/>
          <a:ext cx="353786" cy="693964"/>
        </a:xfrm>
        <a:prstGeom prst="upArrow">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vert="vert270" wrap="square" lIns="0" tIns="0" rIns="0" bIns="0" rtlCol="0" anchor="ctr" anchorCtr="1" upright="1"/>
        <a:lstStyle/>
        <a:p>
          <a:pPr algn="l"/>
          <a:r>
            <a:rPr lang="it-IT" sz="1100">
              <a:latin typeface="Arial" pitchFamily="34" charset="0"/>
              <a:cs typeface="Arial" pitchFamily="34" charset="0"/>
            </a:rPr>
            <a:t>async.</a:t>
          </a:r>
        </a:p>
      </xdr:txBody>
    </xdr:sp>
    <xdr:clientData/>
  </xdr:twoCellAnchor>
  <xdr:twoCellAnchor>
    <xdr:from>
      <xdr:col>27</xdr:col>
      <xdr:colOff>19050</xdr:colOff>
      <xdr:row>71</xdr:row>
      <xdr:rowOff>85724</xdr:rowOff>
    </xdr:from>
    <xdr:to>
      <xdr:col>39</xdr:col>
      <xdr:colOff>152400</xdr:colOff>
      <xdr:row>88</xdr:row>
      <xdr:rowOff>142874</xdr:rowOff>
    </xdr:to>
    <xdr:sp macro="" textlink="">
      <xdr:nvSpPr>
        <xdr:cNvPr id="46" name="Rettangolo con singolo angolo ritagliato 45"/>
        <xdr:cNvSpPr/>
      </xdr:nvSpPr>
      <xdr:spPr bwMode="auto">
        <a:xfrm>
          <a:off x="12658725" y="14744699"/>
          <a:ext cx="5686425" cy="2809875"/>
        </a:xfrm>
        <a:prstGeom prst="snip1Rect">
          <a:avLst>
            <a:gd name="adj" fmla="val 12543"/>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r>
            <a:rPr lang="it-IT" sz="3200" b="0" cap="none" spc="0">
              <a:ln w="18415" cmpd="sng">
                <a:solidFill>
                  <a:schemeClr val="tx1"/>
                </a:solidFill>
                <a:prstDash val="solid"/>
              </a:ln>
              <a:solidFill>
                <a:schemeClr val="accent6">
                  <a:lumMod val="40000"/>
                  <a:lumOff val="60000"/>
                </a:schemeClr>
              </a:solidFill>
              <a:effectLst>
                <a:outerShdw blurRad="63500" dir="3600000" algn="tl" rotWithShape="0">
                  <a:srgbClr val="000000">
                    <a:alpha val="70000"/>
                  </a:srgbClr>
                </a:outerShdw>
              </a:effectLst>
            </a:rPr>
            <a:t>TO</a:t>
          </a:r>
          <a:r>
            <a:rPr lang="it-IT" sz="3200" b="0" cap="none" spc="0" baseline="0">
              <a:ln w="18415" cmpd="sng">
                <a:solidFill>
                  <a:schemeClr val="tx1"/>
                </a:solidFill>
                <a:prstDash val="solid"/>
              </a:ln>
              <a:solidFill>
                <a:schemeClr val="accent6">
                  <a:lumMod val="40000"/>
                  <a:lumOff val="60000"/>
                </a:schemeClr>
              </a:solidFill>
              <a:effectLst>
                <a:outerShdw blurRad="63500" dir="3600000" algn="tl" rotWithShape="0">
                  <a:srgbClr val="000000">
                    <a:alpha val="70000"/>
                  </a:srgbClr>
                </a:outerShdw>
              </a:effectLst>
            </a:rPr>
            <a:t> BE UPGRADED WITH OTHER OPTIONS AND LINKED TO METHOD OUTPUT</a:t>
          </a:r>
        </a:p>
        <a:p>
          <a:pPr algn="l"/>
          <a:r>
            <a:rPr lang="it-IT" sz="3200" b="0" cap="none" spc="0" baseline="0">
              <a:ln w="18415" cmpd="sng">
                <a:solidFill>
                  <a:schemeClr val="tx1"/>
                </a:solidFill>
                <a:prstDash val="solid"/>
              </a:ln>
              <a:solidFill>
                <a:schemeClr val="accent6">
                  <a:lumMod val="40000"/>
                  <a:lumOff val="60000"/>
                </a:schemeClr>
              </a:solidFill>
              <a:effectLst>
                <a:outerShdw blurRad="63500" dir="3600000" algn="tl" rotWithShape="0">
                  <a:srgbClr val="000000">
                    <a:alpha val="70000"/>
                  </a:srgbClr>
                </a:outerShdw>
              </a:effectLst>
            </a:rPr>
            <a:t>Will be done later</a:t>
          </a:r>
          <a:endParaRPr lang="it-IT" sz="3200" b="0" cap="none" spc="0">
            <a:ln w="18415" cmpd="sng">
              <a:solidFill>
                <a:schemeClr val="tx1"/>
              </a:solidFill>
              <a:prstDash val="solid"/>
            </a:ln>
            <a:solidFill>
              <a:schemeClr val="accent6">
                <a:lumMod val="40000"/>
                <a:lumOff val="60000"/>
              </a:schemeClr>
            </a:solidFill>
            <a:effectLst>
              <a:outerShdw blurRad="63500" dir="3600000" algn="tl" rotWithShape="0">
                <a:srgbClr val="000000">
                  <a:alpha val="70000"/>
                </a:srgbClr>
              </a:outerShdw>
            </a:effectLst>
          </a:endParaRPr>
        </a:p>
      </xdr:txBody>
    </xdr:sp>
    <xdr:clientData/>
  </xdr:twoCellAnchor>
  <xdr:twoCellAnchor>
    <xdr:from>
      <xdr:col>23</xdr:col>
      <xdr:colOff>54428</xdr:colOff>
      <xdr:row>39</xdr:row>
      <xdr:rowOff>27215</xdr:rowOff>
    </xdr:from>
    <xdr:to>
      <xdr:col>23</xdr:col>
      <xdr:colOff>604156</xdr:colOff>
      <xdr:row>41</xdr:row>
      <xdr:rowOff>136071</xdr:rowOff>
    </xdr:to>
    <xdr:sp macro="" textlink="">
      <xdr:nvSpPr>
        <xdr:cNvPr id="54" name="AutoShape 36"/>
        <xdr:cNvSpPr>
          <a:spLocks noChangeArrowheads="1"/>
        </xdr:cNvSpPr>
      </xdr:nvSpPr>
      <xdr:spPr bwMode="auto">
        <a:xfrm flipV="1">
          <a:off x="10831285" y="7973786"/>
          <a:ext cx="549728" cy="517071"/>
        </a:xfrm>
        <a:prstGeom prst="rightArrow">
          <a:avLst>
            <a:gd name="adj1" fmla="val 50000"/>
            <a:gd name="adj2" fmla="val 43750"/>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27</xdr:col>
      <xdr:colOff>421821</xdr:colOff>
      <xdr:row>48</xdr:row>
      <xdr:rowOff>179613</xdr:rowOff>
    </xdr:from>
    <xdr:to>
      <xdr:col>28</xdr:col>
      <xdr:colOff>342899</xdr:colOff>
      <xdr:row>51</xdr:row>
      <xdr:rowOff>84363</xdr:rowOff>
    </xdr:to>
    <xdr:sp macro="" textlink="">
      <xdr:nvSpPr>
        <xdr:cNvPr id="55" name="AutoShape 36"/>
        <xdr:cNvSpPr>
          <a:spLocks noChangeArrowheads="1"/>
        </xdr:cNvSpPr>
      </xdr:nvSpPr>
      <xdr:spPr bwMode="auto">
        <a:xfrm flipH="1" flipV="1">
          <a:off x="13144500" y="9963149"/>
          <a:ext cx="587828" cy="517071"/>
        </a:xfrm>
        <a:prstGeom prst="rightArrow">
          <a:avLst>
            <a:gd name="adj1" fmla="val 50000"/>
            <a:gd name="adj2" fmla="val 43750"/>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40822</xdr:colOff>
      <xdr:row>15</xdr:row>
      <xdr:rowOff>28575</xdr:rowOff>
    </xdr:from>
    <xdr:to>
      <xdr:col>17</xdr:col>
      <xdr:colOff>13607</xdr:colOff>
      <xdr:row>16</xdr:row>
      <xdr:rowOff>9525</xdr:rowOff>
    </xdr:to>
    <xdr:sp macro="" textlink="">
      <xdr:nvSpPr>
        <xdr:cNvPr id="2" name="Freccia a sinistra 1"/>
        <xdr:cNvSpPr/>
      </xdr:nvSpPr>
      <xdr:spPr bwMode="auto">
        <a:xfrm>
          <a:off x="15498536" y="3620861"/>
          <a:ext cx="2054678" cy="375557"/>
        </a:xfrm>
        <a:prstGeom prst="leftArrow">
          <a:avLst/>
        </a:prstGeom>
        <a:solidFill>
          <a:srgbClr val="FFFF00"/>
        </a:solidFill>
        <a:ln w="28575" cap="flat" cmpd="sng" algn="ctr">
          <a:solidFill>
            <a:srgbClr val="C00000"/>
          </a:solidFill>
          <a:prstDash val="solid"/>
          <a:round/>
          <a:headEnd type="none" w="med" len="med"/>
          <a:tailEnd type="none" w="med" len="med"/>
        </a:ln>
        <a:effectLst/>
        <a:extLst/>
      </xdr:spPr>
      <xdr:txBody>
        <a:bodyPr vertOverflow="clip" horzOverflow="clip" wrap="square" lIns="18288" tIns="0" rIns="0" bIns="0" rtlCol="0" anchor="t" upright="1"/>
        <a:lstStyle/>
        <a:p>
          <a:pPr algn="l"/>
          <a:endParaRPr lang="it-IT" sz="1100">
            <a:solidFill>
              <a:srgbClr val="FF0000"/>
            </a:solidFill>
          </a:endParaRPr>
        </a:p>
      </xdr:txBody>
    </xdr:sp>
    <xdr:clientData/>
  </xdr:twoCellAnchor>
  <xdr:twoCellAnchor>
    <xdr:from>
      <xdr:col>27</xdr:col>
      <xdr:colOff>280146</xdr:colOff>
      <xdr:row>2</xdr:row>
      <xdr:rowOff>28575</xdr:rowOff>
    </xdr:from>
    <xdr:to>
      <xdr:col>29</xdr:col>
      <xdr:colOff>364191</xdr:colOff>
      <xdr:row>11</xdr:row>
      <xdr:rowOff>100853</xdr:rowOff>
    </xdr:to>
    <xdr:sp macro="" textlink="">
      <xdr:nvSpPr>
        <xdr:cNvPr id="3" name="Freccia in giù 2"/>
        <xdr:cNvSpPr/>
      </xdr:nvSpPr>
      <xdr:spPr bwMode="auto">
        <a:xfrm>
          <a:off x="16226117" y="342340"/>
          <a:ext cx="1361515" cy="1562660"/>
        </a:xfrm>
        <a:prstGeom prst="downArrow">
          <a:avLst>
            <a:gd name="adj1" fmla="val 58230"/>
            <a:gd name="adj2" fmla="val 50000"/>
          </a:avLst>
        </a:prstGeom>
        <a:solidFill>
          <a:srgbClr val="CCFFCC"/>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lang="it-IT" sz="1100"/>
            <a:t>Insert columns before "last case"</a:t>
          </a:r>
        </a:p>
      </xdr:txBody>
    </xdr:sp>
    <xdr:clientData/>
  </xdr:twoCellAnchor>
  <xdr:twoCellAnchor>
    <xdr:from>
      <xdr:col>12</xdr:col>
      <xdr:colOff>228601</xdr:colOff>
      <xdr:row>2</xdr:row>
      <xdr:rowOff>67235</xdr:rowOff>
    </xdr:from>
    <xdr:to>
      <xdr:col>14</xdr:col>
      <xdr:colOff>600075</xdr:colOff>
      <xdr:row>12</xdr:row>
      <xdr:rowOff>112059</xdr:rowOff>
    </xdr:to>
    <xdr:sp macro="" textlink="">
      <xdr:nvSpPr>
        <xdr:cNvPr id="4" name="Callout con freccia in giù 3"/>
        <xdr:cNvSpPr/>
      </xdr:nvSpPr>
      <xdr:spPr bwMode="auto">
        <a:xfrm>
          <a:off x="12239626" y="391085"/>
          <a:ext cx="1647824" cy="1768849"/>
        </a:xfrm>
        <a:prstGeom prst="downArrowCallout">
          <a:avLst>
            <a:gd name="adj1" fmla="val 13406"/>
            <a:gd name="adj2" fmla="val 14855"/>
            <a:gd name="adj3" fmla="val 20652"/>
            <a:gd name="adj4" fmla="val 68318"/>
          </a:avLst>
        </a:prstGeom>
        <a:solidFill>
          <a:srgbClr val="CCFFCC"/>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lang="it-IT" sz="1100"/>
            <a:t>SELECTED</a:t>
          </a:r>
          <a:r>
            <a:rPr lang="it-IT" sz="1100" baseline="0"/>
            <a:t> DATA SET FROM COLUMNS R TO ...</a:t>
          </a:r>
        </a:p>
        <a:p>
          <a:pPr algn="ctr"/>
          <a:r>
            <a:rPr lang="it-IT" sz="1100" baseline="0"/>
            <a:t>THE BASE VALUE CAN BE INFLUENCED  VIA CONTROLS ON THE DIAGRAM</a:t>
          </a:r>
          <a:endParaRPr lang="it-IT" sz="1100"/>
        </a:p>
      </xdr:txBody>
    </xdr:sp>
    <xdr:clientData/>
  </xdr:twoCellAnchor>
  <xdr:twoCellAnchor>
    <xdr:from>
      <xdr:col>10</xdr:col>
      <xdr:colOff>9525</xdr:colOff>
      <xdr:row>2</xdr:row>
      <xdr:rowOff>85725</xdr:rowOff>
    </xdr:from>
    <xdr:to>
      <xdr:col>12</xdr:col>
      <xdr:colOff>190500</xdr:colOff>
      <xdr:row>12</xdr:row>
      <xdr:rowOff>145676</xdr:rowOff>
    </xdr:to>
    <xdr:sp macro="" textlink="">
      <xdr:nvSpPr>
        <xdr:cNvPr id="5" name="Callout con freccia in giù 4"/>
        <xdr:cNvSpPr/>
      </xdr:nvSpPr>
      <xdr:spPr bwMode="auto">
        <a:xfrm>
          <a:off x="10744200" y="409575"/>
          <a:ext cx="1457325" cy="1783976"/>
        </a:xfrm>
        <a:prstGeom prst="downArrowCallout">
          <a:avLst/>
        </a:prstGeom>
        <a:solidFill>
          <a:schemeClr val="accent6">
            <a:lumMod val="20000"/>
            <a:lumOff val="8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lang="it-IT" sz="1100"/>
            <a:t>DIRECT DATA INPUT.</a:t>
          </a:r>
        </a:p>
        <a:p>
          <a:pPr algn="ctr"/>
          <a:r>
            <a:rPr lang="it-IT" sz="1100"/>
            <a:t>CANNOT BE INFLUENCED BY CONTROLS ON THE DIAGRAM</a:t>
          </a:r>
        </a:p>
      </xdr:txBody>
    </xdr:sp>
    <xdr:clientData/>
  </xdr:twoCellAnchor>
  <mc:AlternateContent xmlns:mc="http://schemas.openxmlformats.org/markup-compatibility/2006">
    <mc:Choice xmlns:a14="http://schemas.microsoft.com/office/drawing/2010/main" Requires="a14">
      <xdr:twoCellAnchor editAs="oneCell">
        <xdr:from>
          <xdr:col>2</xdr:col>
          <xdr:colOff>828675</xdr:colOff>
          <xdr:row>8</xdr:row>
          <xdr:rowOff>76200</xdr:rowOff>
        </xdr:from>
        <xdr:to>
          <xdr:col>3</xdr:col>
          <xdr:colOff>1019175</xdr:colOff>
          <xdr:row>9</xdr:row>
          <xdr:rowOff>133350</xdr:rowOff>
        </xdr:to>
        <xdr:sp macro="" textlink="">
          <xdr:nvSpPr>
            <xdr:cNvPr id="14342" name="Drop Down 6" hidden="1">
              <a:extLst>
                <a:ext uri="{63B3BB69-23CF-44E3-9099-C40C66FF867C}">
                  <a14:compatExt spid="_x0000_s14342"/>
                </a:ext>
              </a:extLst>
            </xdr:cNvPr>
            <xdr:cNvSpPr/>
          </xdr:nvSpPr>
          <xdr:spPr>
            <a:xfrm>
              <a:off x="0" y="0"/>
              <a:ext cx="0" cy="0"/>
            </a:xfrm>
            <a:prstGeom prst="rect">
              <a:avLst/>
            </a:prstGeom>
          </xdr:spPr>
        </xdr:sp>
        <xdr:clientData/>
      </xdr:twoCellAnchor>
    </mc:Choice>
    <mc:Fallback/>
  </mc:AlternateContent>
  <xdr:oneCellAnchor>
    <xdr:from>
      <xdr:col>17</xdr:col>
      <xdr:colOff>476250</xdr:colOff>
      <xdr:row>646</xdr:row>
      <xdr:rowOff>54428</xdr:rowOff>
    </xdr:from>
    <xdr:ext cx="6177643" cy="3879397"/>
    <xdr:pic>
      <xdr:nvPicPr>
        <xdr:cNvPr id="12" name="Immagine 1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757321" y="118014749"/>
          <a:ext cx="6191250" cy="3918858"/>
        </a:xfrm>
        <a:prstGeom prst="rect">
          <a:avLst/>
        </a:prstGeom>
        <a:solidFill>
          <a:schemeClr val="accent6">
            <a:lumMod val="40000"/>
            <a:lumOff val="60000"/>
          </a:schemeClr>
        </a:solidFill>
        <a:ln>
          <a:noFill/>
        </a:ln>
      </xdr:spPr>
    </xdr:pic>
    <xdr:clientData/>
  </xdr:oneCellAnchor>
  <xdr:twoCellAnchor>
    <xdr:from>
      <xdr:col>17</xdr:col>
      <xdr:colOff>28575</xdr:colOff>
      <xdr:row>2</xdr:row>
      <xdr:rowOff>560</xdr:rowOff>
    </xdr:from>
    <xdr:to>
      <xdr:col>24</xdr:col>
      <xdr:colOff>419099</xdr:colOff>
      <xdr:row>12</xdr:row>
      <xdr:rowOff>45384</xdr:rowOff>
    </xdr:to>
    <xdr:sp macro="" textlink="">
      <xdr:nvSpPr>
        <xdr:cNvPr id="10" name="Callout con freccia in giù 9"/>
        <xdr:cNvSpPr/>
      </xdr:nvSpPr>
      <xdr:spPr bwMode="auto">
        <a:xfrm>
          <a:off x="17554575" y="324410"/>
          <a:ext cx="4857749" cy="1768849"/>
        </a:xfrm>
        <a:prstGeom prst="downArrowCallout">
          <a:avLst>
            <a:gd name="adj1" fmla="val 13406"/>
            <a:gd name="adj2" fmla="val 14855"/>
            <a:gd name="adj3" fmla="val 20652"/>
            <a:gd name="adj4" fmla="val 68318"/>
          </a:avLst>
        </a:prstGeom>
        <a:solidFill>
          <a:srgbClr val="CCFFCC"/>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lang="it-IT" sz="1100" b="1"/>
            <a:t>SELECTED</a:t>
          </a:r>
          <a:r>
            <a:rPr lang="it-IT" sz="1100" b="1" baseline="0"/>
            <a:t> DATA SET FROM COLUMNS R TO ...</a:t>
          </a:r>
        </a:p>
        <a:p>
          <a:pPr algn="ctr"/>
          <a:r>
            <a:rPr lang="it-IT" sz="1100" b="1" baseline="0"/>
            <a:t>THE BASE VALUE CAN BE INFLUENCED  VIA CONTROLS ON THE DIAGRAM</a:t>
          </a:r>
        </a:p>
        <a:p>
          <a:pPr algn="ctr"/>
          <a:r>
            <a:rPr lang="it-IT" sz="1100" b="1" baseline="0"/>
            <a:t>Which is selected is controlled by the cell N16</a:t>
          </a:r>
          <a:endParaRPr lang="it-IT" sz="1100" b="1"/>
        </a:p>
      </xdr:txBody>
    </xdr:sp>
    <xdr:clientData/>
  </xdr:twoCellAnchor>
  <xdr:twoCellAnchor>
    <xdr:from>
      <xdr:col>30</xdr:col>
      <xdr:colOff>231322</xdr:colOff>
      <xdr:row>13</xdr:row>
      <xdr:rowOff>81642</xdr:rowOff>
    </xdr:from>
    <xdr:to>
      <xdr:col>32</xdr:col>
      <xdr:colOff>369796</xdr:colOff>
      <xdr:row>15</xdr:row>
      <xdr:rowOff>358028</xdr:rowOff>
    </xdr:to>
    <xdr:sp macro="" textlink="">
      <xdr:nvSpPr>
        <xdr:cNvPr id="13" name="Freccia in giù 12"/>
        <xdr:cNvSpPr/>
      </xdr:nvSpPr>
      <xdr:spPr bwMode="auto">
        <a:xfrm>
          <a:off x="26057679" y="2326821"/>
          <a:ext cx="1363117" cy="1609886"/>
        </a:xfrm>
        <a:prstGeom prst="downArrow">
          <a:avLst>
            <a:gd name="adj1" fmla="val 58230"/>
            <a:gd name="adj2" fmla="val 50000"/>
          </a:avLst>
        </a:prstGeom>
        <a:solidFill>
          <a:srgbClr val="CCFFCC"/>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lang="it-IT" sz="1100"/>
            <a:t>Common suffix for</a:t>
          </a:r>
          <a:r>
            <a:rPr lang="it-IT" sz="1100" baseline="0"/>
            <a:t> time intervals</a:t>
          </a:r>
          <a:endParaRPr lang="it-IT" sz="1100"/>
        </a:p>
      </xdr:txBody>
    </xdr:sp>
    <xdr:clientData/>
  </xdr:twoCellAnchor>
  <xdr:twoCellAnchor>
    <xdr:from>
      <xdr:col>14</xdr:col>
      <xdr:colOff>802820</xdr:colOff>
      <xdr:row>1</xdr:row>
      <xdr:rowOff>95250</xdr:rowOff>
    </xdr:from>
    <xdr:to>
      <xdr:col>16</xdr:col>
      <xdr:colOff>353785</xdr:colOff>
      <xdr:row>11</xdr:row>
      <xdr:rowOff>149678</xdr:rowOff>
    </xdr:to>
    <xdr:sp macro="" textlink="">
      <xdr:nvSpPr>
        <xdr:cNvPr id="14" name="Rettangolo con singolo angolo ritagliato 13"/>
        <xdr:cNvSpPr/>
      </xdr:nvSpPr>
      <xdr:spPr bwMode="auto">
        <a:xfrm>
          <a:off x="14096999" y="258536"/>
          <a:ext cx="3184072" cy="1768928"/>
        </a:xfrm>
        <a:prstGeom prst="snip1Rect">
          <a:avLst>
            <a:gd name="adj" fmla="val 12543"/>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r>
            <a:rPr lang="it-IT" sz="1600" b="0" cap="none" spc="0">
              <a:ln w="18415" cmpd="sng">
                <a:solidFill>
                  <a:schemeClr val="tx1"/>
                </a:solidFill>
                <a:prstDash val="solid"/>
              </a:ln>
              <a:solidFill>
                <a:schemeClr val="accent6">
                  <a:lumMod val="40000"/>
                  <a:lumOff val="60000"/>
                </a:schemeClr>
              </a:solidFill>
              <a:effectLst>
                <a:outerShdw blurRad="63500" dir="3600000" algn="tl" rotWithShape="0">
                  <a:srgbClr val="000000">
                    <a:alpha val="70000"/>
                  </a:srgbClr>
                </a:outerShdw>
              </a:effectLst>
            </a:rPr>
            <a:t>WILL BE KEPT AS AN INTERFACE BETWEEN THE</a:t>
          </a:r>
          <a:r>
            <a:rPr lang="it-IT" sz="1600" b="0" cap="none" spc="0" baseline="0">
              <a:ln w="18415" cmpd="sng">
                <a:solidFill>
                  <a:schemeClr val="tx1"/>
                </a:solidFill>
                <a:prstDash val="solid"/>
              </a:ln>
              <a:solidFill>
                <a:schemeClr val="accent6">
                  <a:lumMod val="40000"/>
                  <a:lumOff val="60000"/>
                </a:schemeClr>
              </a:solidFill>
              <a:effectLst>
                <a:outerShdw blurRad="63500" dir="3600000" algn="tl" rotWithShape="0">
                  <a:srgbClr val="000000">
                    <a:alpha val="70000"/>
                  </a:srgbClr>
                </a:outerShdw>
              </a:effectLst>
            </a:rPr>
            <a:t> DIAGRAM AND THE CALCULATION</a:t>
          </a:r>
        </a:p>
        <a:p>
          <a:pPr algn="l"/>
          <a:endParaRPr lang="it-IT" sz="1600" b="0" cap="none" spc="0" baseline="0">
            <a:ln w="18415" cmpd="sng">
              <a:solidFill>
                <a:schemeClr val="tx1"/>
              </a:solidFill>
              <a:prstDash val="solid"/>
            </a:ln>
            <a:solidFill>
              <a:schemeClr val="accent6">
                <a:lumMod val="40000"/>
                <a:lumOff val="60000"/>
              </a:schemeClr>
            </a:solidFill>
            <a:effectLst>
              <a:outerShdw blurRad="63500" dir="3600000" algn="tl" rotWithShape="0">
                <a:srgbClr val="000000">
                  <a:alpha val="70000"/>
                </a:srgbClr>
              </a:outerShdw>
            </a:effectLst>
          </a:endParaRPr>
        </a:p>
        <a:p>
          <a:pPr algn="l"/>
          <a:r>
            <a:rPr lang="it-IT" sz="1600" b="0" cap="none" spc="0" baseline="0">
              <a:ln w="18415" cmpd="sng">
                <a:solidFill>
                  <a:schemeClr val="tx1"/>
                </a:solidFill>
                <a:prstDash val="solid"/>
              </a:ln>
              <a:solidFill>
                <a:srgbClr val="00B050"/>
              </a:solidFill>
              <a:effectLst>
                <a:outerShdw blurRad="63500" dir="3600000" algn="tl" rotWithShape="0">
                  <a:srgbClr val="000000">
                    <a:alpha val="70000"/>
                  </a:srgbClr>
                </a:outerShdw>
              </a:effectLst>
            </a:rPr>
            <a:t>Already works as input.</a:t>
          </a:r>
        </a:p>
        <a:p>
          <a:pPr algn="l"/>
          <a:r>
            <a:rPr lang="it-IT" sz="1600" b="0" cap="none" spc="0" baseline="0">
              <a:ln w="18415" cmpd="sng">
                <a:solidFill>
                  <a:schemeClr val="tx1"/>
                </a:solidFill>
                <a:prstDash val="solid"/>
              </a:ln>
              <a:solidFill>
                <a:schemeClr val="accent6">
                  <a:lumMod val="40000"/>
                  <a:lumOff val="60000"/>
                </a:schemeClr>
              </a:solidFill>
              <a:effectLst>
                <a:outerShdw blurRad="63500" dir="3600000" algn="tl" rotWithShape="0">
                  <a:srgbClr val="000000">
                    <a:alpha val="70000"/>
                  </a:srgbClr>
                </a:outerShdw>
              </a:effectLst>
            </a:rPr>
            <a:t>To be done as output</a:t>
          </a:r>
        </a:p>
      </xdr:txBody>
    </xdr:sp>
    <xdr:clientData/>
  </xdr:twoCellAnchor>
  <mc:AlternateContent xmlns:mc="http://schemas.openxmlformats.org/markup-compatibility/2006">
    <mc:Choice xmlns:a14="http://schemas.microsoft.com/office/drawing/2010/main" Requires="a14">
      <xdr:twoCellAnchor editAs="oneCell">
        <xdr:from>
          <xdr:col>3</xdr:col>
          <xdr:colOff>361950</xdr:colOff>
          <xdr:row>10</xdr:row>
          <xdr:rowOff>95250</xdr:rowOff>
        </xdr:from>
        <xdr:to>
          <xdr:col>8</xdr:col>
          <xdr:colOff>390525</xdr:colOff>
          <xdr:row>11</xdr:row>
          <xdr:rowOff>133350</xdr:rowOff>
        </xdr:to>
        <xdr:sp macro="" textlink="">
          <xdr:nvSpPr>
            <xdr:cNvPr id="14355" name="Drop Down 19" hidden="1">
              <a:extLst>
                <a:ext uri="{63B3BB69-23CF-44E3-9099-C40C66FF867C}">
                  <a14:compatExt spid="_x0000_s14355"/>
                </a:ext>
              </a:extLst>
            </xdr:cNvPr>
            <xdr:cNvSpPr/>
          </xdr:nvSpPr>
          <xdr:spPr>
            <a:xfrm>
              <a:off x="0" y="0"/>
              <a:ext cx="0" cy="0"/>
            </a:xfrm>
            <a:prstGeom prst="rect">
              <a:avLst/>
            </a:prstGeom>
          </xdr:spPr>
        </xdr:sp>
        <xdr:clientData/>
      </xdr:twoCellAnchor>
    </mc:Choice>
    <mc:Fallback/>
  </mc:AlternateContent>
  <xdr:twoCellAnchor>
    <xdr:from>
      <xdr:col>15</xdr:col>
      <xdr:colOff>163286</xdr:colOff>
      <xdr:row>577</xdr:row>
      <xdr:rowOff>217715</xdr:rowOff>
    </xdr:from>
    <xdr:to>
      <xdr:col>15</xdr:col>
      <xdr:colOff>1387929</xdr:colOff>
      <xdr:row>579</xdr:row>
      <xdr:rowOff>530679</xdr:rowOff>
    </xdr:to>
    <xdr:sp macro="" textlink="">
      <xdr:nvSpPr>
        <xdr:cNvPr id="6" name="Freccia circolare a sinistra 5"/>
        <xdr:cNvSpPr/>
      </xdr:nvSpPr>
      <xdr:spPr bwMode="auto">
        <a:xfrm>
          <a:off x="15621000" y="104081036"/>
          <a:ext cx="1224643" cy="1619250"/>
        </a:xfrm>
        <a:prstGeom prst="curvedLeftArrow">
          <a:avLst/>
        </a:prstGeom>
        <a:solidFill>
          <a:srgbClr val="CCFFCC"/>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t" upright="1"/>
        <a:lstStyle/>
        <a:p>
          <a:pPr algn="l"/>
          <a:endParaRPr lang="it-IT" sz="1100"/>
        </a:p>
      </xdr:txBody>
    </xdr:sp>
    <xdr:clientData/>
  </xdr:twoCellAnchor>
  <mc:AlternateContent xmlns:mc="http://schemas.openxmlformats.org/markup-compatibility/2006">
    <mc:Choice xmlns:a14="http://schemas.microsoft.com/office/drawing/2010/main" Requires="a14">
      <xdr:twoCellAnchor editAs="oneCell">
        <xdr:from>
          <xdr:col>2</xdr:col>
          <xdr:colOff>819150</xdr:colOff>
          <xdr:row>5</xdr:row>
          <xdr:rowOff>38100</xdr:rowOff>
        </xdr:from>
        <xdr:to>
          <xdr:col>3</xdr:col>
          <xdr:colOff>1000125</xdr:colOff>
          <xdr:row>6</xdr:row>
          <xdr:rowOff>123825</xdr:rowOff>
        </xdr:to>
        <xdr:sp macro="" textlink="">
          <xdr:nvSpPr>
            <xdr:cNvPr id="15299" name="Drop Down 963" hidden="1">
              <a:extLst>
                <a:ext uri="{63B3BB69-23CF-44E3-9099-C40C66FF867C}">
                  <a14:compatExt spid="_x0000_s15299"/>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857250</xdr:colOff>
          <xdr:row>45</xdr:row>
          <xdr:rowOff>28575</xdr:rowOff>
        </xdr:from>
        <xdr:to>
          <xdr:col>1</xdr:col>
          <xdr:colOff>2667000</xdr:colOff>
          <xdr:row>45</xdr:row>
          <xdr:rowOff>209550</xdr:rowOff>
        </xdr:to>
        <xdr:sp macro="" textlink="">
          <xdr:nvSpPr>
            <xdr:cNvPr id="11275" name="Drop Down 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857250</xdr:colOff>
          <xdr:row>6</xdr:row>
          <xdr:rowOff>28575</xdr:rowOff>
        </xdr:from>
        <xdr:to>
          <xdr:col>1</xdr:col>
          <xdr:colOff>2667000</xdr:colOff>
          <xdr:row>6</xdr:row>
          <xdr:rowOff>219075</xdr:rowOff>
        </xdr:to>
        <xdr:sp macro="" textlink="">
          <xdr:nvSpPr>
            <xdr:cNvPr id="11277" name="Drop Down 13" hidden="1">
              <a:extLst>
                <a:ext uri="{63B3BB69-23CF-44E3-9099-C40C66FF867C}">
                  <a14:compatExt spid="_x0000_s11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857250</xdr:colOff>
          <xdr:row>21</xdr:row>
          <xdr:rowOff>28575</xdr:rowOff>
        </xdr:from>
        <xdr:to>
          <xdr:col>1</xdr:col>
          <xdr:colOff>2667000</xdr:colOff>
          <xdr:row>21</xdr:row>
          <xdr:rowOff>209550</xdr:rowOff>
        </xdr:to>
        <xdr:sp macro="" textlink="">
          <xdr:nvSpPr>
            <xdr:cNvPr id="11280" name="Drop Down 16" hidden="1">
              <a:extLst>
                <a:ext uri="{63B3BB69-23CF-44E3-9099-C40C66FF867C}">
                  <a14:compatExt spid="_x0000_s11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10</xdr:row>
          <xdr:rowOff>57150</xdr:rowOff>
        </xdr:from>
        <xdr:to>
          <xdr:col>12</xdr:col>
          <xdr:colOff>9525</xdr:colOff>
          <xdr:row>10</xdr:row>
          <xdr:rowOff>228600</xdr:rowOff>
        </xdr:to>
        <xdr:sp macro="" textlink="">
          <xdr:nvSpPr>
            <xdr:cNvPr id="11282" name="Drop Down 18" hidden="1">
              <a:extLst>
                <a:ext uri="{63B3BB69-23CF-44E3-9099-C40C66FF867C}">
                  <a14:compatExt spid="_x0000_s11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11</xdr:row>
          <xdr:rowOff>57150</xdr:rowOff>
        </xdr:from>
        <xdr:to>
          <xdr:col>12</xdr:col>
          <xdr:colOff>9525</xdr:colOff>
          <xdr:row>11</xdr:row>
          <xdr:rowOff>228600</xdr:rowOff>
        </xdr:to>
        <xdr:sp macro="" textlink="">
          <xdr:nvSpPr>
            <xdr:cNvPr id="11283" name="Drop Down 19" hidden="1">
              <a:extLst>
                <a:ext uri="{63B3BB69-23CF-44E3-9099-C40C66FF867C}">
                  <a14:compatExt spid="_x0000_s112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1323975</xdr:colOff>
          <xdr:row>37</xdr:row>
          <xdr:rowOff>28575</xdr:rowOff>
        </xdr:from>
        <xdr:to>
          <xdr:col>1</xdr:col>
          <xdr:colOff>2667000</xdr:colOff>
          <xdr:row>37</xdr:row>
          <xdr:rowOff>257175</xdr:rowOff>
        </xdr:to>
        <xdr:sp macro="" textlink="">
          <xdr:nvSpPr>
            <xdr:cNvPr id="11285" name="Drop Down 21" hidden="1">
              <a:extLst>
                <a:ext uri="{63B3BB69-23CF-44E3-9099-C40C66FF867C}">
                  <a14:compatExt spid="_x0000_s112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36</xdr:row>
          <xdr:rowOff>57150</xdr:rowOff>
        </xdr:from>
        <xdr:to>
          <xdr:col>7</xdr:col>
          <xdr:colOff>428625</xdr:colOff>
          <xdr:row>40</xdr:row>
          <xdr:rowOff>38100</xdr:rowOff>
        </xdr:to>
        <xdr:sp macro="" textlink="">
          <xdr:nvSpPr>
            <xdr:cNvPr id="11286" name="Object 22" hidden="1">
              <a:extLst>
                <a:ext uri="{63B3BB69-23CF-44E3-9099-C40C66FF867C}">
                  <a14:compatExt spid="_x0000_s11286"/>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1095375</xdr:colOff>
          <xdr:row>24</xdr:row>
          <xdr:rowOff>57150</xdr:rowOff>
        </xdr:from>
        <xdr:to>
          <xdr:col>4</xdr:col>
          <xdr:colOff>666750</xdr:colOff>
          <xdr:row>24</xdr:row>
          <xdr:rowOff>257175</xdr:rowOff>
        </xdr:to>
        <xdr:sp macro="" textlink="">
          <xdr:nvSpPr>
            <xdr:cNvPr id="79894" name="Drop Down 22" hidden="1">
              <a:extLst>
                <a:ext uri="{63B3BB69-23CF-44E3-9099-C40C66FF867C}">
                  <a14:compatExt spid="_x0000_s79894"/>
                </a:ext>
              </a:extLst>
            </xdr:cNvPr>
            <xdr:cNvSpPr/>
          </xdr:nvSpPr>
          <xdr:spPr>
            <a:xfrm>
              <a:off x="0" y="0"/>
              <a:ext cx="0" cy="0"/>
            </a:xfrm>
            <a:prstGeom prst="rect">
              <a:avLst/>
            </a:prstGeom>
          </xdr:spPr>
        </xdr:sp>
        <xdr:clientData/>
      </xdr:twoCellAnchor>
    </mc:Choice>
    <mc:Fallback/>
  </mc:AlternateContent>
  <xdr:twoCellAnchor>
    <xdr:from>
      <xdr:col>4</xdr:col>
      <xdr:colOff>285750</xdr:colOff>
      <xdr:row>130</xdr:row>
      <xdr:rowOff>0</xdr:rowOff>
    </xdr:from>
    <xdr:to>
      <xdr:col>6</xdr:col>
      <xdr:colOff>266700</xdr:colOff>
      <xdr:row>138</xdr:row>
      <xdr:rowOff>38100</xdr:rowOff>
    </xdr:to>
    <xdr:sp macro="" textlink="">
      <xdr:nvSpPr>
        <xdr:cNvPr id="3" name="Callout con freccia in su 2"/>
        <xdr:cNvSpPr/>
      </xdr:nvSpPr>
      <xdr:spPr bwMode="auto">
        <a:xfrm>
          <a:off x="5314950" y="21050250"/>
          <a:ext cx="2495550" cy="1333500"/>
        </a:xfrm>
        <a:prstGeom prst="upArrowCallout">
          <a:avLst/>
        </a:prstGeom>
        <a:solidFill>
          <a:srgbClr val="CCFFCC"/>
        </a:solidFill>
        <a:ln w="9525" cap="flat" cmpd="sng" algn="ctr">
          <a:solidFill>
            <a:srgbClr val="0070C0"/>
          </a:solidFill>
          <a:prstDash val="solid"/>
          <a:round/>
          <a:headEnd type="none" w="med" len="med"/>
          <a:tailEnd type="none" w="med" len="med"/>
        </a:ln>
        <a:effectLst/>
        <a:extLst/>
      </xdr:spPr>
      <xdr:txBody>
        <a:bodyPr vertOverflow="clip" horzOverflow="clip" wrap="square" lIns="36000" tIns="36000" rIns="36000" bIns="36000" rtlCol="0" anchor="ctr" anchorCtr="0" upright="1"/>
        <a:lstStyle/>
        <a:p>
          <a:pPr algn="l"/>
          <a:r>
            <a:rPr lang="it-IT" sz="1100">
              <a:solidFill>
                <a:srgbClr val="0070C0"/>
              </a:solidFill>
            </a:rPr>
            <a:t>These are the values used in the calculation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24</xdr:col>
      <xdr:colOff>149678</xdr:colOff>
      <xdr:row>6</xdr:row>
      <xdr:rowOff>221798</xdr:rowOff>
    </xdr:from>
    <xdr:to>
      <xdr:col>31</xdr:col>
      <xdr:colOff>567417</xdr:colOff>
      <xdr:row>17</xdr:row>
      <xdr:rowOff>462644</xdr:rowOff>
    </xdr:to>
    <xdr:sp macro="" textlink="">
      <xdr:nvSpPr>
        <xdr:cNvPr id="2" name="Freccia a sinistra 1"/>
        <xdr:cNvSpPr/>
      </xdr:nvSpPr>
      <xdr:spPr bwMode="auto">
        <a:xfrm>
          <a:off x="18301607" y="2072369"/>
          <a:ext cx="4703989" cy="2526846"/>
        </a:xfrm>
        <a:prstGeom prst="leftArrow">
          <a:avLst>
            <a:gd name="adj1" fmla="val 55770"/>
            <a:gd name="adj2" fmla="val 50000"/>
          </a:avLst>
        </a:prstGeom>
        <a:solidFill>
          <a:schemeClr val="accent3">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lang="it-IT" sz="1400"/>
            <a:t>DATA CHANGING AT EACH TIME INTERVAL</a:t>
          </a:r>
        </a:p>
        <a:p>
          <a:pPr algn="ctr"/>
          <a:r>
            <a:rPr lang="it-IT" sz="1400" b="0" i="0" u="none" strike="noStrike">
              <a:effectLst/>
              <a:latin typeface="+mn-lt"/>
              <a:ea typeface="+mn-ea"/>
              <a:cs typeface="+mn-cs"/>
            </a:rPr>
            <a:t>CONNECTED</a:t>
          </a:r>
          <a:r>
            <a:rPr lang="it-IT" sz="1400" b="0" i="0" u="none" strike="noStrike" baseline="0">
              <a:effectLst/>
              <a:latin typeface="+mn-lt"/>
              <a:ea typeface="+mn-ea"/>
              <a:cs typeface="+mn-cs"/>
            </a:rPr>
            <a:t>  TO "Base_calc" .</a:t>
          </a:r>
        </a:p>
        <a:p>
          <a:pPr algn="ctr"/>
          <a:r>
            <a:rPr lang="it-IT" sz="1400" b="0" i="0" u="none" strike="noStrike" baseline="0">
              <a:effectLst/>
              <a:latin typeface="+mn-lt"/>
              <a:ea typeface="+mn-ea"/>
              <a:cs typeface="+mn-cs"/>
            </a:rPr>
            <a:t>12 time steps are included to demonstrate time dependent weighting factors as well as time relation between production and use of electricity. </a:t>
          </a:r>
          <a:endParaRPr lang="it-IT" sz="14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361950</xdr:colOff>
          <xdr:row>11</xdr:row>
          <xdr:rowOff>66675</xdr:rowOff>
        </xdr:from>
        <xdr:to>
          <xdr:col>19</xdr:col>
          <xdr:colOff>2381250</xdr:colOff>
          <xdr:row>11</xdr:row>
          <xdr:rowOff>361950</xdr:rowOff>
        </xdr:to>
        <xdr:sp macro="" textlink="">
          <xdr:nvSpPr>
            <xdr:cNvPr id="50198" name="Object 22" hidden="1">
              <a:extLst>
                <a:ext uri="{63B3BB69-23CF-44E3-9099-C40C66FF867C}">
                  <a14:compatExt spid="_x0000_s501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704850</xdr:colOff>
          <xdr:row>17</xdr:row>
          <xdr:rowOff>47625</xdr:rowOff>
        </xdr:from>
        <xdr:to>
          <xdr:col>19</xdr:col>
          <xdr:colOff>1800225</xdr:colOff>
          <xdr:row>17</xdr:row>
          <xdr:rowOff>400050</xdr:rowOff>
        </xdr:to>
        <xdr:sp macro="" textlink="">
          <xdr:nvSpPr>
            <xdr:cNvPr id="50199" name="Object 23" hidden="1">
              <a:extLst>
                <a:ext uri="{63B3BB69-23CF-44E3-9099-C40C66FF867C}">
                  <a14:compatExt spid="_x0000_s501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714375</xdr:colOff>
          <xdr:row>23</xdr:row>
          <xdr:rowOff>38100</xdr:rowOff>
        </xdr:from>
        <xdr:to>
          <xdr:col>19</xdr:col>
          <xdr:colOff>1866900</xdr:colOff>
          <xdr:row>23</xdr:row>
          <xdr:rowOff>495300</xdr:rowOff>
        </xdr:to>
        <xdr:sp macro="" textlink="">
          <xdr:nvSpPr>
            <xdr:cNvPr id="50200" name="Object 24" hidden="1">
              <a:extLst>
                <a:ext uri="{63B3BB69-23CF-44E3-9099-C40C66FF867C}">
                  <a14:compatExt spid="_x0000_s502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209550</xdr:colOff>
          <xdr:row>25</xdr:row>
          <xdr:rowOff>76200</xdr:rowOff>
        </xdr:from>
        <xdr:to>
          <xdr:col>19</xdr:col>
          <xdr:colOff>2771775</xdr:colOff>
          <xdr:row>25</xdr:row>
          <xdr:rowOff>314325</xdr:rowOff>
        </xdr:to>
        <xdr:sp macro="" textlink="">
          <xdr:nvSpPr>
            <xdr:cNvPr id="50202" name="Object 26" hidden="1">
              <a:extLst>
                <a:ext uri="{63B3BB69-23CF-44E3-9099-C40C66FF867C}">
                  <a14:compatExt spid="_x0000_s502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771525</xdr:colOff>
          <xdr:row>26</xdr:row>
          <xdr:rowOff>190500</xdr:rowOff>
        </xdr:from>
        <xdr:to>
          <xdr:col>19</xdr:col>
          <xdr:colOff>2381250</xdr:colOff>
          <xdr:row>26</xdr:row>
          <xdr:rowOff>400050</xdr:rowOff>
        </xdr:to>
        <xdr:sp macro="" textlink="">
          <xdr:nvSpPr>
            <xdr:cNvPr id="50203" name="Object 27" hidden="1">
              <a:extLst>
                <a:ext uri="{63B3BB69-23CF-44E3-9099-C40C66FF867C}">
                  <a14:compatExt spid="_x0000_s50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609600</xdr:colOff>
          <xdr:row>27</xdr:row>
          <xdr:rowOff>114300</xdr:rowOff>
        </xdr:from>
        <xdr:to>
          <xdr:col>19</xdr:col>
          <xdr:colOff>2657475</xdr:colOff>
          <xdr:row>27</xdr:row>
          <xdr:rowOff>323850</xdr:rowOff>
        </xdr:to>
        <xdr:sp macro="" textlink="">
          <xdr:nvSpPr>
            <xdr:cNvPr id="50204" name="Object 28" hidden="1">
              <a:extLst>
                <a:ext uri="{63B3BB69-23CF-44E3-9099-C40C66FF867C}">
                  <a14:compatExt spid="_x0000_s50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923925</xdr:colOff>
          <xdr:row>28</xdr:row>
          <xdr:rowOff>142875</xdr:rowOff>
        </xdr:from>
        <xdr:to>
          <xdr:col>19</xdr:col>
          <xdr:colOff>2924175</xdr:colOff>
          <xdr:row>28</xdr:row>
          <xdr:rowOff>352425</xdr:rowOff>
        </xdr:to>
        <xdr:sp macro="" textlink="">
          <xdr:nvSpPr>
            <xdr:cNvPr id="50205" name="Object 29" hidden="1">
              <a:extLst>
                <a:ext uri="{63B3BB69-23CF-44E3-9099-C40C66FF867C}">
                  <a14:compatExt spid="_x0000_s50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1076325</xdr:colOff>
          <xdr:row>29</xdr:row>
          <xdr:rowOff>66675</xdr:rowOff>
        </xdr:from>
        <xdr:to>
          <xdr:col>19</xdr:col>
          <xdr:colOff>2638425</xdr:colOff>
          <xdr:row>29</xdr:row>
          <xdr:rowOff>371475</xdr:rowOff>
        </xdr:to>
        <xdr:sp macro="" textlink="">
          <xdr:nvSpPr>
            <xdr:cNvPr id="50206" name="Object 30" hidden="1">
              <a:extLst>
                <a:ext uri="{63B3BB69-23CF-44E3-9099-C40C66FF867C}">
                  <a14:compatExt spid="_x0000_s50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828675</xdr:colOff>
          <xdr:row>30</xdr:row>
          <xdr:rowOff>85725</xdr:rowOff>
        </xdr:from>
        <xdr:to>
          <xdr:col>19</xdr:col>
          <xdr:colOff>2533650</xdr:colOff>
          <xdr:row>30</xdr:row>
          <xdr:rowOff>295275</xdr:rowOff>
        </xdr:to>
        <xdr:sp macro="" textlink="">
          <xdr:nvSpPr>
            <xdr:cNvPr id="50207" name="Object 31" hidden="1">
              <a:extLst>
                <a:ext uri="{63B3BB69-23CF-44E3-9099-C40C66FF867C}">
                  <a14:compatExt spid="_x0000_s50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971550</xdr:colOff>
          <xdr:row>31</xdr:row>
          <xdr:rowOff>38100</xdr:rowOff>
        </xdr:from>
        <xdr:to>
          <xdr:col>19</xdr:col>
          <xdr:colOff>2390775</xdr:colOff>
          <xdr:row>31</xdr:row>
          <xdr:rowOff>381000</xdr:rowOff>
        </xdr:to>
        <xdr:sp macro="" textlink="">
          <xdr:nvSpPr>
            <xdr:cNvPr id="50208" name="Object 32" hidden="1">
              <a:extLst>
                <a:ext uri="{63B3BB69-23CF-44E3-9099-C40C66FF867C}">
                  <a14:compatExt spid="_x0000_s50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590550</xdr:colOff>
          <xdr:row>32</xdr:row>
          <xdr:rowOff>95250</xdr:rowOff>
        </xdr:from>
        <xdr:to>
          <xdr:col>19</xdr:col>
          <xdr:colOff>2705100</xdr:colOff>
          <xdr:row>32</xdr:row>
          <xdr:rowOff>304800</xdr:rowOff>
        </xdr:to>
        <xdr:sp macro="" textlink="">
          <xdr:nvSpPr>
            <xdr:cNvPr id="50209" name="Object 33" hidden="1">
              <a:extLst>
                <a:ext uri="{63B3BB69-23CF-44E3-9099-C40C66FF867C}">
                  <a14:compatExt spid="_x0000_s50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638175</xdr:colOff>
          <xdr:row>33</xdr:row>
          <xdr:rowOff>9525</xdr:rowOff>
        </xdr:from>
        <xdr:to>
          <xdr:col>19</xdr:col>
          <xdr:colOff>2619375</xdr:colOff>
          <xdr:row>33</xdr:row>
          <xdr:rowOff>428625</xdr:rowOff>
        </xdr:to>
        <xdr:sp macro="" textlink="">
          <xdr:nvSpPr>
            <xdr:cNvPr id="50211" name="Object 35" hidden="1">
              <a:extLst>
                <a:ext uri="{63B3BB69-23CF-44E3-9099-C40C66FF867C}">
                  <a14:compatExt spid="_x0000_s50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619125</xdr:colOff>
          <xdr:row>34</xdr:row>
          <xdr:rowOff>47625</xdr:rowOff>
        </xdr:from>
        <xdr:to>
          <xdr:col>19</xdr:col>
          <xdr:colOff>2324100</xdr:colOff>
          <xdr:row>35</xdr:row>
          <xdr:rowOff>0</xdr:rowOff>
        </xdr:to>
        <xdr:sp macro="" textlink="">
          <xdr:nvSpPr>
            <xdr:cNvPr id="50212" name="Object 36" hidden="1">
              <a:extLst>
                <a:ext uri="{63B3BB69-23CF-44E3-9099-C40C66FF867C}">
                  <a14:compatExt spid="_x0000_s50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533400</xdr:colOff>
          <xdr:row>35</xdr:row>
          <xdr:rowOff>171450</xdr:rowOff>
        </xdr:from>
        <xdr:to>
          <xdr:col>19</xdr:col>
          <xdr:colOff>2409825</xdr:colOff>
          <xdr:row>35</xdr:row>
          <xdr:rowOff>381000</xdr:rowOff>
        </xdr:to>
        <xdr:sp macro="" textlink="">
          <xdr:nvSpPr>
            <xdr:cNvPr id="50214" name="Object 38" hidden="1">
              <a:extLst>
                <a:ext uri="{63B3BB69-23CF-44E3-9099-C40C66FF867C}">
                  <a14:compatExt spid="_x0000_s502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304800</xdr:colOff>
          <xdr:row>36</xdr:row>
          <xdr:rowOff>142875</xdr:rowOff>
        </xdr:from>
        <xdr:to>
          <xdr:col>19</xdr:col>
          <xdr:colOff>2390775</xdr:colOff>
          <xdr:row>36</xdr:row>
          <xdr:rowOff>352425</xdr:rowOff>
        </xdr:to>
        <xdr:sp macro="" textlink="">
          <xdr:nvSpPr>
            <xdr:cNvPr id="50215" name="Object 39" hidden="1">
              <a:extLst>
                <a:ext uri="{63B3BB69-23CF-44E3-9099-C40C66FF867C}">
                  <a14:compatExt spid="_x0000_s502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571500</xdr:colOff>
          <xdr:row>37</xdr:row>
          <xdr:rowOff>114300</xdr:rowOff>
        </xdr:from>
        <xdr:to>
          <xdr:col>19</xdr:col>
          <xdr:colOff>2171700</xdr:colOff>
          <xdr:row>37</xdr:row>
          <xdr:rowOff>323850</xdr:rowOff>
        </xdr:to>
        <xdr:sp macro="" textlink="">
          <xdr:nvSpPr>
            <xdr:cNvPr id="50216" name="Object 40" hidden="1">
              <a:extLst>
                <a:ext uri="{63B3BB69-23CF-44E3-9099-C40C66FF867C}">
                  <a14:compatExt spid="_x0000_s502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409575</xdr:colOff>
          <xdr:row>38</xdr:row>
          <xdr:rowOff>104775</xdr:rowOff>
        </xdr:from>
        <xdr:to>
          <xdr:col>19</xdr:col>
          <xdr:colOff>2143125</xdr:colOff>
          <xdr:row>38</xdr:row>
          <xdr:rowOff>314325</xdr:rowOff>
        </xdr:to>
        <xdr:sp macro="" textlink="">
          <xdr:nvSpPr>
            <xdr:cNvPr id="50217" name="Object 41" hidden="1">
              <a:extLst>
                <a:ext uri="{63B3BB69-23CF-44E3-9099-C40C66FF867C}">
                  <a14:compatExt spid="_x0000_s50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40</xdr:row>
          <xdr:rowOff>66675</xdr:rowOff>
        </xdr:from>
        <xdr:to>
          <xdr:col>19</xdr:col>
          <xdr:colOff>2552700</xdr:colOff>
          <xdr:row>40</xdr:row>
          <xdr:rowOff>314325</xdr:rowOff>
        </xdr:to>
        <xdr:sp macro="" textlink="">
          <xdr:nvSpPr>
            <xdr:cNvPr id="50218" name="Object 42" hidden="1">
              <a:extLst>
                <a:ext uri="{63B3BB69-23CF-44E3-9099-C40C66FF867C}">
                  <a14:compatExt spid="_x0000_s50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200025</xdr:colOff>
          <xdr:row>41</xdr:row>
          <xdr:rowOff>85725</xdr:rowOff>
        </xdr:from>
        <xdr:to>
          <xdr:col>19</xdr:col>
          <xdr:colOff>2790825</xdr:colOff>
          <xdr:row>41</xdr:row>
          <xdr:rowOff>342900</xdr:rowOff>
        </xdr:to>
        <xdr:sp macro="" textlink="">
          <xdr:nvSpPr>
            <xdr:cNvPr id="50219" name="Object 43" hidden="1">
              <a:extLst>
                <a:ext uri="{63B3BB69-23CF-44E3-9099-C40C66FF867C}">
                  <a14:compatExt spid="_x0000_s50219"/>
                </a:ext>
              </a:extLst>
            </xdr:cNvPr>
            <xdr:cNvSpPr/>
          </xdr:nvSpPr>
          <xdr:spPr>
            <a:xfrm>
              <a:off x="0" y="0"/>
              <a:ext cx="0" cy="0"/>
            </a:xfrm>
            <a:prstGeom prst="rect">
              <a:avLst/>
            </a:prstGeom>
          </xdr:spPr>
        </xdr:sp>
        <xdr:clientData/>
      </xdr:twoCellAnchor>
    </mc:Choice>
    <mc:Fallback/>
  </mc:AlternateContent>
  <xdr:twoCellAnchor editAs="oneCell">
    <xdr:from>
      <xdr:col>20</xdr:col>
      <xdr:colOff>89648</xdr:colOff>
      <xdr:row>29</xdr:row>
      <xdr:rowOff>403412</xdr:rowOff>
    </xdr:from>
    <xdr:to>
      <xdr:col>20</xdr:col>
      <xdr:colOff>3595488</xdr:colOff>
      <xdr:row>36</xdr:row>
      <xdr:rowOff>56030</xdr:rowOff>
    </xdr:to>
    <xdr:sp macro="" textlink="">
      <xdr:nvSpPr>
        <xdr:cNvPr id="22" name="Freccia a sinistra 21"/>
        <xdr:cNvSpPr/>
      </xdr:nvSpPr>
      <xdr:spPr>
        <a:xfrm>
          <a:off x="15945972" y="13850471"/>
          <a:ext cx="3505840" cy="2711824"/>
        </a:xfrm>
        <a:prstGeom prst="leftArrow">
          <a:avLst>
            <a:gd name="adj1" fmla="val 83880"/>
            <a:gd name="adj2" fmla="val 24427"/>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it-IT" sz="1400">
              <a:solidFill>
                <a:sysClr val="windowText" lastClr="000000"/>
              </a:solidFill>
            </a:rPr>
            <a:t>First part of the calculation</a:t>
          </a:r>
          <a:r>
            <a:rPr lang="it-IT" sz="1400" baseline="0">
              <a:solidFill>
                <a:sysClr val="windowText" lastClr="000000"/>
              </a:solidFill>
            </a:rPr>
            <a:t> procedure:</a:t>
          </a:r>
          <a:br>
            <a:rPr lang="it-IT" sz="1400" baseline="0">
              <a:solidFill>
                <a:sysClr val="windowText" lastClr="000000"/>
              </a:solidFill>
            </a:rPr>
          </a:br>
          <a:r>
            <a:rPr lang="it-IT" sz="1400" b="1" baseline="0">
              <a:solidFill>
                <a:sysClr val="windowText" lastClr="000000"/>
              </a:solidFill>
            </a:rPr>
            <a:t>Identify all components (delivered, temp exported, redelivered, grid exported) in each calculation interval.</a:t>
          </a:r>
        </a:p>
        <a:p>
          <a:pPr algn="l"/>
          <a:endParaRPr lang="it-IT" sz="1400" baseline="0">
            <a:solidFill>
              <a:sysClr val="windowText" lastClr="000000"/>
            </a:solidFill>
          </a:endParaRPr>
        </a:p>
        <a:p>
          <a:pPr algn="l"/>
          <a:r>
            <a:rPr lang="it-IT" sz="1400" b="1" baseline="0">
              <a:solidFill>
                <a:sysClr val="windowText" lastClr="000000"/>
              </a:solidFill>
            </a:rPr>
            <a:t>This is described in clause 11.2.4</a:t>
          </a:r>
          <a:endParaRPr lang="it-IT" sz="1400" b="1">
            <a:solidFill>
              <a:sysClr val="windowText" lastClr="000000"/>
            </a:solidFill>
          </a:endParaRPr>
        </a:p>
      </xdr:txBody>
    </xdr:sp>
    <xdr:clientData/>
  </xdr:twoCellAnchor>
  <xdr:twoCellAnchor editAs="oneCell">
    <xdr:from>
      <xdr:col>20</xdr:col>
      <xdr:colOff>28816</xdr:colOff>
      <xdr:row>22</xdr:row>
      <xdr:rowOff>20011</xdr:rowOff>
    </xdr:from>
    <xdr:to>
      <xdr:col>20</xdr:col>
      <xdr:colOff>3534656</xdr:colOff>
      <xdr:row>27</xdr:row>
      <xdr:rowOff>221719</xdr:rowOff>
    </xdr:to>
    <xdr:sp macro="" textlink="">
      <xdr:nvSpPr>
        <xdr:cNvPr id="23" name="Freccia a sinistra 22"/>
        <xdr:cNvSpPr/>
      </xdr:nvSpPr>
      <xdr:spPr>
        <a:xfrm>
          <a:off x="16017209" y="9803547"/>
          <a:ext cx="3505840" cy="2719029"/>
        </a:xfrm>
        <a:prstGeom prst="leftArrow">
          <a:avLst>
            <a:gd name="adj1" fmla="val 83880"/>
            <a:gd name="adj2" fmla="val 24427"/>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it-IT" sz="1400" b="0">
              <a:solidFill>
                <a:sysClr val="windowText" lastClr="000000"/>
              </a:solidFill>
            </a:rPr>
            <a:t>A</a:t>
          </a:r>
          <a:r>
            <a:rPr lang="it-IT" sz="1400" b="0" baseline="0">
              <a:solidFill>
                <a:sysClr val="windowText" lastClr="000000"/>
              </a:solidFill>
            </a:rPr>
            <a:t> matching factor can be optionally applied here.</a:t>
          </a:r>
        </a:p>
        <a:p>
          <a:pPr algn="l"/>
          <a:r>
            <a:rPr lang="it-IT" sz="1400" b="0" baseline="0">
              <a:solidFill>
                <a:sysClr val="windowText" lastClr="000000"/>
              </a:solidFill>
            </a:rPr>
            <a:t>This feature takes into account production and use time mismatch with the monthly method.</a:t>
          </a:r>
        </a:p>
        <a:p>
          <a:pPr algn="l"/>
          <a:r>
            <a:rPr lang="it-IT" sz="1400" b="0" baseline="0">
              <a:solidFill>
                <a:sysClr val="windowText" lastClr="000000"/>
              </a:solidFill>
            </a:rPr>
            <a:t>A dummy matching factor function has been defined. It is described  in sheet "Fmatch". k=1 and n=1 is used in this example</a:t>
          </a:r>
          <a:endParaRPr lang="it-IT" sz="14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19</xdr:col>
          <xdr:colOff>314325</xdr:colOff>
          <xdr:row>129</xdr:row>
          <xdr:rowOff>19050</xdr:rowOff>
        </xdr:from>
        <xdr:to>
          <xdr:col>19</xdr:col>
          <xdr:colOff>2409825</xdr:colOff>
          <xdr:row>130</xdr:row>
          <xdr:rowOff>161925</xdr:rowOff>
        </xdr:to>
        <xdr:sp macro="" textlink="">
          <xdr:nvSpPr>
            <xdr:cNvPr id="50222" name="Object 46" hidden="1">
              <a:extLst>
                <a:ext uri="{63B3BB69-23CF-44E3-9099-C40C66FF867C}">
                  <a14:compatExt spid="_x0000_s502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314325</xdr:colOff>
          <xdr:row>208</xdr:row>
          <xdr:rowOff>19050</xdr:rowOff>
        </xdr:from>
        <xdr:to>
          <xdr:col>19</xdr:col>
          <xdr:colOff>2819400</xdr:colOff>
          <xdr:row>209</xdr:row>
          <xdr:rowOff>114300</xdr:rowOff>
        </xdr:to>
        <xdr:sp macro="" textlink="">
          <xdr:nvSpPr>
            <xdr:cNvPr id="50223" name="Object 47" hidden="1">
              <a:extLst>
                <a:ext uri="{63B3BB69-23CF-44E3-9099-C40C66FF867C}">
                  <a14:compatExt spid="_x0000_s502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333375</xdr:colOff>
          <xdr:row>210</xdr:row>
          <xdr:rowOff>9525</xdr:rowOff>
        </xdr:from>
        <xdr:to>
          <xdr:col>19</xdr:col>
          <xdr:colOff>2828925</xdr:colOff>
          <xdr:row>211</xdr:row>
          <xdr:rowOff>142875</xdr:rowOff>
        </xdr:to>
        <xdr:sp macro="" textlink="">
          <xdr:nvSpPr>
            <xdr:cNvPr id="50224" name="Object 48" hidden="1">
              <a:extLst>
                <a:ext uri="{63B3BB69-23CF-44E3-9099-C40C66FF867C}">
                  <a14:compatExt spid="_x0000_s50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485775</xdr:colOff>
          <xdr:row>212</xdr:row>
          <xdr:rowOff>9525</xdr:rowOff>
        </xdr:from>
        <xdr:to>
          <xdr:col>19</xdr:col>
          <xdr:colOff>2724150</xdr:colOff>
          <xdr:row>213</xdr:row>
          <xdr:rowOff>142875</xdr:rowOff>
        </xdr:to>
        <xdr:sp macro="" textlink="">
          <xdr:nvSpPr>
            <xdr:cNvPr id="50225" name="Object 49" hidden="1">
              <a:extLst>
                <a:ext uri="{63B3BB69-23CF-44E3-9099-C40C66FF867C}">
                  <a14:compatExt spid="_x0000_s50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214</xdr:row>
          <xdr:rowOff>38100</xdr:rowOff>
        </xdr:from>
        <xdr:to>
          <xdr:col>20</xdr:col>
          <xdr:colOff>876300</xdr:colOff>
          <xdr:row>215</xdr:row>
          <xdr:rowOff>57150</xdr:rowOff>
        </xdr:to>
        <xdr:sp macro="" textlink="">
          <xdr:nvSpPr>
            <xdr:cNvPr id="50226" name="Object 50" hidden="1">
              <a:extLst>
                <a:ext uri="{63B3BB69-23CF-44E3-9099-C40C66FF867C}">
                  <a14:compatExt spid="_x0000_s50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57150</xdr:colOff>
          <xdr:row>230</xdr:row>
          <xdr:rowOff>76200</xdr:rowOff>
        </xdr:from>
        <xdr:to>
          <xdr:col>20</xdr:col>
          <xdr:colOff>1133475</xdr:colOff>
          <xdr:row>231</xdr:row>
          <xdr:rowOff>180975</xdr:rowOff>
        </xdr:to>
        <xdr:sp macro="" textlink="">
          <xdr:nvSpPr>
            <xdr:cNvPr id="50228" name="Object 52" hidden="1">
              <a:extLst>
                <a:ext uri="{63B3BB69-23CF-44E3-9099-C40C66FF867C}">
                  <a14:compatExt spid="_x0000_s50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47625</xdr:colOff>
          <xdr:row>232</xdr:row>
          <xdr:rowOff>57150</xdr:rowOff>
        </xdr:from>
        <xdr:to>
          <xdr:col>20</xdr:col>
          <xdr:colOff>495300</xdr:colOff>
          <xdr:row>233</xdr:row>
          <xdr:rowOff>161925</xdr:rowOff>
        </xdr:to>
        <xdr:sp macro="" textlink="">
          <xdr:nvSpPr>
            <xdr:cNvPr id="50229" name="Object 53" hidden="1">
              <a:extLst>
                <a:ext uri="{63B3BB69-23CF-44E3-9099-C40C66FF867C}">
                  <a14:compatExt spid="_x0000_s50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66675</xdr:colOff>
          <xdr:row>234</xdr:row>
          <xdr:rowOff>57150</xdr:rowOff>
        </xdr:from>
        <xdr:to>
          <xdr:col>20</xdr:col>
          <xdr:colOff>342900</xdr:colOff>
          <xdr:row>235</xdr:row>
          <xdr:rowOff>171450</xdr:rowOff>
        </xdr:to>
        <xdr:sp macro="" textlink="">
          <xdr:nvSpPr>
            <xdr:cNvPr id="50230" name="Object 54" hidden="1">
              <a:extLst>
                <a:ext uri="{63B3BB69-23CF-44E3-9099-C40C66FF867C}">
                  <a14:compatExt spid="_x0000_s50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236</xdr:row>
          <xdr:rowOff>133350</xdr:rowOff>
        </xdr:from>
        <xdr:to>
          <xdr:col>20</xdr:col>
          <xdr:colOff>742950</xdr:colOff>
          <xdr:row>237</xdr:row>
          <xdr:rowOff>123825</xdr:rowOff>
        </xdr:to>
        <xdr:sp macro="" textlink="">
          <xdr:nvSpPr>
            <xdr:cNvPr id="50231" name="Object 55" hidden="1">
              <a:extLst>
                <a:ext uri="{63B3BB69-23CF-44E3-9099-C40C66FF867C}">
                  <a14:compatExt spid="_x0000_s50231"/>
                </a:ext>
              </a:extLst>
            </xdr:cNvPr>
            <xdr:cNvSpPr/>
          </xdr:nvSpPr>
          <xdr:spPr>
            <a:xfrm>
              <a:off x="0" y="0"/>
              <a:ext cx="0" cy="0"/>
            </a:xfrm>
            <a:prstGeom prst="rect">
              <a:avLst/>
            </a:prstGeom>
          </xdr:spPr>
        </xdr:sp>
        <xdr:clientData/>
      </xdr:twoCellAnchor>
    </mc:Choice>
    <mc:Fallback/>
  </mc:AlternateContent>
  <xdr:twoCellAnchor editAs="oneCell">
    <xdr:from>
      <xdr:col>21</xdr:col>
      <xdr:colOff>168728</xdr:colOff>
      <xdr:row>240</xdr:row>
      <xdr:rowOff>103415</xdr:rowOff>
    </xdr:from>
    <xdr:to>
      <xdr:col>26</xdr:col>
      <xdr:colOff>435429</xdr:colOff>
      <xdr:row>246</xdr:row>
      <xdr:rowOff>266702</xdr:rowOff>
    </xdr:to>
    <xdr:sp macro="" textlink="">
      <xdr:nvSpPr>
        <xdr:cNvPr id="33" name="Freccia a sinistra 32"/>
        <xdr:cNvSpPr/>
      </xdr:nvSpPr>
      <xdr:spPr>
        <a:xfrm>
          <a:off x="19831049" y="68043879"/>
          <a:ext cx="3328309" cy="702130"/>
        </a:xfrm>
        <a:prstGeom prst="leftArrow">
          <a:avLst>
            <a:gd name="adj1" fmla="val 62658"/>
            <a:gd name="adj2" fmla="val 50000"/>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it-IT" sz="1050">
              <a:solidFill>
                <a:sysClr val="windowText" lastClr="000000"/>
              </a:solidFill>
            </a:rPr>
            <a:t>"COST": primary</a:t>
          </a:r>
          <a:r>
            <a:rPr lang="it-IT" sz="1050" baseline="0">
              <a:solidFill>
                <a:sysClr val="windowText" lastClr="000000"/>
              </a:solidFill>
            </a:rPr>
            <a:t> energy </a:t>
          </a:r>
          <a:br>
            <a:rPr lang="it-IT" sz="1050" baseline="0">
              <a:solidFill>
                <a:sysClr val="windowText" lastClr="000000"/>
              </a:solidFill>
            </a:rPr>
          </a:br>
          <a:r>
            <a:rPr lang="it-IT" sz="1050" baseline="0">
              <a:solidFill>
                <a:sysClr val="windowText" lastClr="000000"/>
              </a:solidFill>
            </a:rPr>
            <a:t>to produce THE EXPORTED ENERGY</a:t>
          </a:r>
          <a:endParaRPr lang="it-IT" sz="1050">
            <a:solidFill>
              <a:sysClr val="windowText" lastClr="000000"/>
            </a:solidFill>
          </a:endParaRPr>
        </a:p>
      </xdr:txBody>
    </xdr:sp>
    <xdr:clientData/>
  </xdr:twoCellAnchor>
  <xdr:twoCellAnchor editAs="oneCell">
    <xdr:from>
      <xdr:col>21</xdr:col>
      <xdr:colOff>131989</xdr:colOff>
      <xdr:row>242</xdr:row>
      <xdr:rowOff>232683</xdr:rowOff>
    </xdr:from>
    <xdr:to>
      <xdr:col>26</xdr:col>
      <xdr:colOff>360590</xdr:colOff>
      <xdr:row>246</xdr:row>
      <xdr:rowOff>171452</xdr:rowOff>
    </xdr:to>
    <xdr:sp macro="" textlink="">
      <xdr:nvSpPr>
        <xdr:cNvPr id="34" name="Freccia a sinistra 33"/>
        <xdr:cNvSpPr/>
      </xdr:nvSpPr>
      <xdr:spPr>
        <a:xfrm>
          <a:off x="19794310" y="68880719"/>
          <a:ext cx="3290209" cy="606880"/>
        </a:xfrm>
        <a:prstGeom prst="leftArrow">
          <a:avLst>
            <a:gd name="adj1" fmla="val 70877"/>
            <a:gd name="adj2" fmla="val 50000"/>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it-IT" sz="1050">
              <a:solidFill>
                <a:sysClr val="windowText" lastClr="000000"/>
              </a:solidFill>
            </a:rPr>
            <a:t>"BENEFIT": </a:t>
          </a:r>
          <a:r>
            <a:rPr lang="it-IT" sz="1050" baseline="0">
              <a:solidFill>
                <a:sysClr val="windowText" lastClr="000000"/>
              </a:solidFill>
            </a:rPr>
            <a:t>avoided primary energy of grid generators THANKS TO EXPORTED ENERGY</a:t>
          </a:r>
          <a:endParaRPr lang="it-IT" sz="105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19</xdr:col>
          <xdr:colOff>247650</xdr:colOff>
          <xdr:row>247</xdr:row>
          <xdr:rowOff>85725</xdr:rowOff>
        </xdr:from>
        <xdr:to>
          <xdr:col>19</xdr:col>
          <xdr:colOff>2800350</xdr:colOff>
          <xdr:row>248</xdr:row>
          <xdr:rowOff>114300</xdr:rowOff>
        </xdr:to>
        <xdr:sp macro="" textlink="">
          <xdr:nvSpPr>
            <xdr:cNvPr id="50232" name="Object 56" hidden="1">
              <a:extLst>
                <a:ext uri="{63B3BB69-23CF-44E3-9099-C40C66FF867C}">
                  <a14:compatExt spid="_x0000_s50232"/>
                </a:ext>
              </a:extLst>
            </xdr:cNvPr>
            <xdr:cNvSpPr/>
          </xdr:nvSpPr>
          <xdr:spPr>
            <a:xfrm>
              <a:off x="0" y="0"/>
              <a:ext cx="0" cy="0"/>
            </a:xfrm>
            <a:prstGeom prst="rect">
              <a:avLst/>
            </a:prstGeom>
          </xdr:spPr>
        </xdr:sp>
        <xdr:clientData/>
      </xdr:twoCellAnchor>
    </mc:Choice>
    <mc:Fallback/>
  </mc:AlternateContent>
  <xdr:twoCellAnchor editAs="oneCell">
    <xdr:from>
      <xdr:col>0</xdr:col>
      <xdr:colOff>123265</xdr:colOff>
      <xdr:row>18</xdr:row>
      <xdr:rowOff>190498</xdr:rowOff>
    </xdr:from>
    <xdr:to>
      <xdr:col>4</xdr:col>
      <xdr:colOff>190500</xdr:colOff>
      <xdr:row>20</xdr:row>
      <xdr:rowOff>212910</xdr:rowOff>
    </xdr:to>
    <xdr:sp macro="" textlink="">
      <xdr:nvSpPr>
        <xdr:cNvPr id="50233" name="Text Box 57"/>
        <xdr:cNvSpPr txBox="1">
          <a:spLocks noChangeArrowheads="1"/>
        </xdr:cNvSpPr>
      </xdr:nvSpPr>
      <xdr:spPr bwMode="auto">
        <a:xfrm>
          <a:off x="123265" y="8505263"/>
          <a:ext cx="4863353" cy="896471"/>
        </a:xfrm>
        <a:prstGeom prst="rect">
          <a:avLst/>
        </a:prstGeom>
        <a:solidFill>
          <a:srgbClr val="CCFFCC"/>
        </a:solidFill>
        <a:ln w="9525">
          <a:solidFill>
            <a:srgbClr val="0070C0"/>
          </a:solidFill>
          <a:miter lim="800000"/>
          <a:headEnd/>
          <a:tailEnd/>
        </a:ln>
      </xdr:spPr>
      <xdr:txBody>
        <a:bodyPr vertOverflow="clip" wrap="square" lIns="36000" tIns="36000" rIns="36000" bIns="36000" anchor="ctr" anchorCtr="0" upright="1"/>
        <a:lstStyle/>
        <a:p>
          <a:pPr algn="ctr" rtl="0">
            <a:defRPr sz="1000"/>
          </a:pPr>
          <a:r>
            <a:rPr lang="it-IT" sz="1000" b="1" i="0" u="none" strike="noStrike" baseline="0">
              <a:solidFill>
                <a:srgbClr val="0070C0"/>
              </a:solidFill>
              <a:latin typeface="Arial"/>
              <a:cs typeface="Arial"/>
            </a:rPr>
            <a:t>TO BE DONE</a:t>
          </a:r>
        </a:p>
        <a:p>
          <a:pPr algn="ctr" rtl="0">
            <a:defRPr sz="1000"/>
          </a:pPr>
          <a:r>
            <a:rPr lang="it-IT" sz="1000" b="0" i="0" u="none" strike="noStrike" baseline="0">
              <a:solidFill>
                <a:srgbClr val="0070C0"/>
              </a:solidFill>
              <a:latin typeface="Arial"/>
              <a:cs typeface="Arial"/>
            </a:rPr>
            <a:t>Insert here any check on the eligibility to be covered by on site production.</a:t>
          </a:r>
        </a:p>
        <a:p>
          <a:pPr algn="ctr" rtl="0">
            <a:defRPr sz="1000"/>
          </a:pPr>
          <a:r>
            <a:rPr lang="it-IT" sz="1000" b="0" i="0" u="none" strike="noStrike" baseline="0">
              <a:solidFill>
                <a:srgbClr val="0070C0"/>
              </a:solidFill>
              <a:latin typeface="Arial"/>
              <a:cs typeface="Arial"/>
            </a:rPr>
            <a:t>If any use cannot be covered by the on-site production, then electric energy is delivered and the following procedure is by-passed</a:t>
          </a:r>
        </a:p>
      </xdr:txBody>
    </xdr:sp>
    <xdr:clientData/>
  </xdr:twoCellAnchor>
  <mc:AlternateContent xmlns:mc="http://schemas.openxmlformats.org/markup-compatibility/2006">
    <mc:Choice xmlns:a14="http://schemas.microsoft.com/office/drawing/2010/main" Requires="a14">
      <xdr:twoCellAnchor editAs="oneCell">
        <xdr:from>
          <xdr:col>19</xdr:col>
          <xdr:colOff>523875</xdr:colOff>
          <xdr:row>149</xdr:row>
          <xdr:rowOff>114300</xdr:rowOff>
        </xdr:from>
        <xdr:to>
          <xdr:col>19</xdr:col>
          <xdr:colOff>1695450</xdr:colOff>
          <xdr:row>150</xdr:row>
          <xdr:rowOff>114300</xdr:rowOff>
        </xdr:to>
        <xdr:sp macro="" textlink="">
          <xdr:nvSpPr>
            <xdr:cNvPr id="50240" name="Object 64" hidden="1">
              <a:extLst>
                <a:ext uri="{63B3BB69-23CF-44E3-9099-C40C66FF867C}">
                  <a14:compatExt spid="_x0000_s50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361950</xdr:colOff>
          <xdr:row>147</xdr:row>
          <xdr:rowOff>76200</xdr:rowOff>
        </xdr:from>
        <xdr:to>
          <xdr:col>19</xdr:col>
          <xdr:colOff>2219325</xdr:colOff>
          <xdr:row>148</xdr:row>
          <xdr:rowOff>190500</xdr:rowOff>
        </xdr:to>
        <xdr:sp macro="" textlink="">
          <xdr:nvSpPr>
            <xdr:cNvPr id="50241" name="Object 65" hidden="1">
              <a:extLst>
                <a:ext uri="{63B3BB69-23CF-44E3-9099-C40C66FF867C}">
                  <a14:compatExt spid="_x0000_s50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723900</xdr:colOff>
          <xdr:row>152</xdr:row>
          <xdr:rowOff>114300</xdr:rowOff>
        </xdr:from>
        <xdr:to>
          <xdr:col>19</xdr:col>
          <xdr:colOff>1876425</xdr:colOff>
          <xdr:row>153</xdr:row>
          <xdr:rowOff>247650</xdr:rowOff>
        </xdr:to>
        <xdr:sp macro="" textlink="">
          <xdr:nvSpPr>
            <xdr:cNvPr id="50242" name="Object 66" hidden="1">
              <a:extLst>
                <a:ext uri="{63B3BB69-23CF-44E3-9099-C40C66FF867C}">
                  <a14:compatExt spid="_x0000_s50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56</xdr:row>
          <xdr:rowOff>47625</xdr:rowOff>
        </xdr:from>
        <xdr:to>
          <xdr:col>19</xdr:col>
          <xdr:colOff>2228850</xdr:colOff>
          <xdr:row>56</xdr:row>
          <xdr:rowOff>390525</xdr:rowOff>
        </xdr:to>
        <xdr:sp macro="" textlink="">
          <xdr:nvSpPr>
            <xdr:cNvPr id="50243" name="Object 67" hidden="1">
              <a:extLst>
                <a:ext uri="{63B3BB69-23CF-44E3-9099-C40C66FF867C}">
                  <a14:compatExt spid="_x0000_s50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542925</xdr:colOff>
          <xdr:row>59</xdr:row>
          <xdr:rowOff>104775</xdr:rowOff>
        </xdr:from>
        <xdr:to>
          <xdr:col>19</xdr:col>
          <xdr:colOff>2200275</xdr:colOff>
          <xdr:row>60</xdr:row>
          <xdr:rowOff>142875</xdr:rowOff>
        </xdr:to>
        <xdr:sp macro="" textlink="">
          <xdr:nvSpPr>
            <xdr:cNvPr id="50244" name="Object 68" hidden="1">
              <a:extLst>
                <a:ext uri="{63B3BB69-23CF-44E3-9099-C40C66FF867C}">
                  <a14:compatExt spid="_x0000_s50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116</xdr:row>
          <xdr:rowOff>85725</xdr:rowOff>
        </xdr:from>
        <xdr:to>
          <xdr:col>19</xdr:col>
          <xdr:colOff>2228850</xdr:colOff>
          <xdr:row>116</xdr:row>
          <xdr:rowOff>428625</xdr:rowOff>
        </xdr:to>
        <xdr:sp macro="" textlink="">
          <xdr:nvSpPr>
            <xdr:cNvPr id="50248" name="Object 72" hidden="1">
              <a:extLst>
                <a:ext uri="{63B3BB69-23CF-44E3-9099-C40C66FF867C}">
                  <a14:compatExt spid="_x0000_s50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62</xdr:row>
          <xdr:rowOff>47625</xdr:rowOff>
        </xdr:from>
        <xdr:to>
          <xdr:col>19</xdr:col>
          <xdr:colOff>2228850</xdr:colOff>
          <xdr:row>62</xdr:row>
          <xdr:rowOff>390525</xdr:rowOff>
        </xdr:to>
        <xdr:sp macro="" textlink="">
          <xdr:nvSpPr>
            <xdr:cNvPr id="50249" name="Object 73" hidden="1">
              <a:extLst>
                <a:ext uri="{63B3BB69-23CF-44E3-9099-C40C66FF867C}">
                  <a14:compatExt spid="_x0000_s50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68</xdr:row>
          <xdr:rowOff>47625</xdr:rowOff>
        </xdr:from>
        <xdr:to>
          <xdr:col>19</xdr:col>
          <xdr:colOff>2228850</xdr:colOff>
          <xdr:row>68</xdr:row>
          <xdr:rowOff>390525</xdr:rowOff>
        </xdr:to>
        <xdr:sp macro="" textlink="">
          <xdr:nvSpPr>
            <xdr:cNvPr id="50251" name="Object 75" hidden="1">
              <a:extLst>
                <a:ext uri="{63B3BB69-23CF-44E3-9099-C40C66FF867C}">
                  <a14:compatExt spid="_x0000_s50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74</xdr:row>
          <xdr:rowOff>47625</xdr:rowOff>
        </xdr:from>
        <xdr:to>
          <xdr:col>19</xdr:col>
          <xdr:colOff>2228850</xdr:colOff>
          <xdr:row>74</xdr:row>
          <xdr:rowOff>390525</xdr:rowOff>
        </xdr:to>
        <xdr:sp macro="" textlink="">
          <xdr:nvSpPr>
            <xdr:cNvPr id="50253" name="Object 77" hidden="1">
              <a:extLst>
                <a:ext uri="{63B3BB69-23CF-44E3-9099-C40C66FF867C}">
                  <a14:compatExt spid="_x0000_s50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80</xdr:row>
          <xdr:rowOff>47625</xdr:rowOff>
        </xdr:from>
        <xdr:to>
          <xdr:col>19</xdr:col>
          <xdr:colOff>2228850</xdr:colOff>
          <xdr:row>80</xdr:row>
          <xdr:rowOff>390525</xdr:rowOff>
        </xdr:to>
        <xdr:sp macro="" textlink="">
          <xdr:nvSpPr>
            <xdr:cNvPr id="50257" name="Object 81" hidden="1">
              <a:extLst>
                <a:ext uri="{63B3BB69-23CF-44E3-9099-C40C66FF867C}">
                  <a14:compatExt spid="_x0000_s50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86</xdr:row>
          <xdr:rowOff>47625</xdr:rowOff>
        </xdr:from>
        <xdr:to>
          <xdr:col>19</xdr:col>
          <xdr:colOff>2228850</xdr:colOff>
          <xdr:row>86</xdr:row>
          <xdr:rowOff>390525</xdr:rowOff>
        </xdr:to>
        <xdr:sp macro="" textlink="">
          <xdr:nvSpPr>
            <xdr:cNvPr id="50259" name="Object 83" hidden="1">
              <a:extLst>
                <a:ext uri="{63B3BB69-23CF-44E3-9099-C40C66FF867C}">
                  <a14:compatExt spid="_x0000_s50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92</xdr:row>
          <xdr:rowOff>47625</xdr:rowOff>
        </xdr:from>
        <xdr:to>
          <xdr:col>19</xdr:col>
          <xdr:colOff>2228850</xdr:colOff>
          <xdr:row>92</xdr:row>
          <xdr:rowOff>390525</xdr:rowOff>
        </xdr:to>
        <xdr:sp macro="" textlink="">
          <xdr:nvSpPr>
            <xdr:cNvPr id="50261" name="Object 85" hidden="1">
              <a:extLst>
                <a:ext uri="{63B3BB69-23CF-44E3-9099-C40C66FF867C}">
                  <a14:compatExt spid="_x0000_s50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98</xdr:row>
          <xdr:rowOff>47625</xdr:rowOff>
        </xdr:from>
        <xdr:to>
          <xdr:col>19</xdr:col>
          <xdr:colOff>2228850</xdr:colOff>
          <xdr:row>98</xdr:row>
          <xdr:rowOff>390525</xdr:rowOff>
        </xdr:to>
        <xdr:sp macro="" textlink="">
          <xdr:nvSpPr>
            <xdr:cNvPr id="50263" name="Object 87" hidden="1">
              <a:extLst>
                <a:ext uri="{63B3BB69-23CF-44E3-9099-C40C66FF867C}">
                  <a14:compatExt spid="_x0000_s502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104</xdr:row>
          <xdr:rowOff>47625</xdr:rowOff>
        </xdr:from>
        <xdr:to>
          <xdr:col>19</xdr:col>
          <xdr:colOff>2228850</xdr:colOff>
          <xdr:row>104</xdr:row>
          <xdr:rowOff>390525</xdr:rowOff>
        </xdr:to>
        <xdr:sp macro="" textlink="">
          <xdr:nvSpPr>
            <xdr:cNvPr id="50267" name="Object 91" hidden="1">
              <a:extLst>
                <a:ext uri="{63B3BB69-23CF-44E3-9099-C40C66FF867C}">
                  <a14:compatExt spid="_x0000_s50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110</xdr:row>
          <xdr:rowOff>47625</xdr:rowOff>
        </xdr:from>
        <xdr:to>
          <xdr:col>19</xdr:col>
          <xdr:colOff>2228850</xdr:colOff>
          <xdr:row>110</xdr:row>
          <xdr:rowOff>390525</xdr:rowOff>
        </xdr:to>
        <xdr:sp macro="" textlink="">
          <xdr:nvSpPr>
            <xdr:cNvPr id="50268" name="Object 92" hidden="1">
              <a:extLst>
                <a:ext uri="{63B3BB69-23CF-44E3-9099-C40C66FF867C}">
                  <a14:compatExt spid="_x0000_s50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133350</xdr:colOff>
          <xdr:row>122</xdr:row>
          <xdr:rowOff>104775</xdr:rowOff>
        </xdr:from>
        <xdr:to>
          <xdr:col>19</xdr:col>
          <xdr:colOff>2800350</xdr:colOff>
          <xdr:row>123</xdr:row>
          <xdr:rowOff>209550</xdr:rowOff>
        </xdr:to>
        <xdr:sp macro="" textlink="">
          <xdr:nvSpPr>
            <xdr:cNvPr id="50269" name="Object 93" hidden="1">
              <a:extLst>
                <a:ext uri="{63B3BB69-23CF-44E3-9099-C40C66FF867C}">
                  <a14:compatExt spid="_x0000_s50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43</xdr:row>
          <xdr:rowOff>161925</xdr:rowOff>
        </xdr:from>
        <xdr:to>
          <xdr:col>19</xdr:col>
          <xdr:colOff>2228850</xdr:colOff>
          <xdr:row>43</xdr:row>
          <xdr:rowOff>504825</xdr:rowOff>
        </xdr:to>
        <xdr:sp macro="" textlink="">
          <xdr:nvSpPr>
            <xdr:cNvPr id="50270" name="Object 94" hidden="1">
              <a:extLst>
                <a:ext uri="{63B3BB69-23CF-44E3-9099-C40C66FF867C}">
                  <a14:compatExt spid="_x0000_s50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190500</xdr:colOff>
          <xdr:row>43</xdr:row>
          <xdr:rowOff>695325</xdr:rowOff>
        </xdr:from>
        <xdr:to>
          <xdr:col>19</xdr:col>
          <xdr:colOff>2762250</xdr:colOff>
          <xdr:row>43</xdr:row>
          <xdr:rowOff>1143000</xdr:rowOff>
        </xdr:to>
        <xdr:sp macro="" textlink="">
          <xdr:nvSpPr>
            <xdr:cNvPr id="50271" name="Object 95" hidden="1">
              <a:extLst>
                <a:ext uri="{63B3BB69-23CF-44E3-9099-C40C66FF867C}">
                  <a14:compatExt spid="_x0000_s50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371475</xdr:colOff>
          <xdr:row>132</xdr:row>
          <xdr:rowOff>200025</xdr:rowOff>
        </xdr:from>
        <xdr:to>
          <xdr:col>19</xdr:col>
          <xdr:colOff>2447925</xdr:colOff>
          <xdr:row>133</xdr:row>
          <xdr:rowOff>104775</xdr:rowOff>
        </xdr:to>
        <xdr:sp macro="" textlink="">
          <xdr:nvSpPr>
            <xdr:cNvPr id="50272" name="Object 96" hidden="1">
              <a:extLst>
                <a:ext uri="{63B3BB69-23CF-44E3-9099-C40C66FF867C}">
                  <a14:compatExt spid="_x0000_s50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400050</xdr:colOff>
          <xdr:row>42</xdr:row>
          <xdr:rowOff>323850</xdr:rowOff>
        </xdr:from>
        <xdr:to>
          <xdr:col>19</xdr:col>
          <xdr:colOff>2133600</xdr:colOff>
          <xdr:row>42</xdr:row>
          <xdr:rowOff>533400</xdr:rowOff>
        </xdr:to>
        <xdr:sp macro="" textlink="">
          <xdr:nvSpPr>
            <xdr:cNvPr id="50308" name="Object 132" hidden="1">
              <a:extLst>
                <a:ext uri="{63B3BB69-23CF-44E3-9099-C40C66FF867C}">
                  <a14:compatExt spid="_x0000_s503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533400</xdr:colOff>
          <xdr:row>65</xdr:row>
          <xdr:rowOff>104775</xdr:rowOff>
        </xdr:from>
        <xdr:to>
          <xdr:col>19</xdr:col>
          <xdr:colOff>2190750</xdr:colOff>
          <xdr:row>66</xdr:row>
          <xdr:rowOff>142875</xdr:rowOff>
        </xdr:to>
        <xdr:sp macro="" textlink="">
          <xdr:nvSpPr>
            <xdr:cNvPr id="50309" name="Object 133" hidden="1">
              <a:extLst>
                <a:ext uri="{63B3BB69-23CF-44E3-9099-C40C66FF867C}">
                  <a14:compatExt spid="_x0000_s503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542925</xdr:colOff>
          <xdr:row>71</xdr:row>
          <xdr:rowOff>104775</xdr:rowOff>
        </xdr:from>
        <xdr:to>
          <xdr:col>19</xdr:col>
          <xdr:colOff>2200275</xdr:colOff>
          <xdr:row>72</xdr:row>
          <xdr:rowOff>142875</xdr:rowOff>
        </xdr:to>
        <xdr:sp macro="" textlink="">
          <xdr:nvSpPr>
            <xdr:cNvPr id="50310" name="Object 134" hidden="1">
              <a:extLst>
                <a:ext uri="{63B3BB69-23CF-44E3-9099-C40C66FF867C}">
                  <a14:compatExt spid="_x0000_s503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542925</xdr:colOff>
          <xdr:row>77</xdr:row>
          <xdr:rowOff>104775</xdr:rowOff>
        </xdr:from>
        <xdr:to>
          <xdr:col>19</xdr:col>
          <xdr:colOff>2200275</xdr:colOff>
          <xdr:row>78</xdr:row>
          <xdr:rowOff>142875</xdr:rowOff>
        </xdr:to>
        <xdr:sp macro="" textlink="">
          <xdr:nvSpPr>
            <xdr:cNvPr id="50311" name="Object 135" hidden="1">
              <a:extLst>
                <a:ext uri="{63B3BB69-23CF-44E3-9099-C40C66FF867C}">
                  <a14:compatExt spid="_x0000_s503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542925</xdr:colOff>
          <xdr:row>83</xdr:row>
          <xdr:rowOff>104775</xdr:rowOff>
        </xdr:from>
        <xdr:to>
          <xdr:col>19</xdr:col>
          <xdr:colOff>2200275</xdr:colOff>
          <xdr:row>84</xdr:row>
          <xdr:rowOff>142875</xdr:rowOff>
        </xdr:to>
        <xdr:sp macro="" textlink="">
          <xdr:nvSpPr>
            <xdr:cNvPr id="50312" name="Object 136" hidden="1">
              <a:extLst>
                <a:ext uri="{63B3BB69-23CF-44E3-9099-C40C66FF867C}">
                  <a14:compatExt spid="_x0000_s503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542925</xdr:colOff>
          <xdr:row>89</xdr:row>
          <xdr:rowOff>104775</xdr:rowOff>
        </xdr:from>
        <xdr:to>
          <xdr:col>19</xdr:col>
          <xdr:colOff>2200275</xdr:colOff>
          <xdr:row>90</xdr:row>
          <xdr:rowOff>142875</xdr:rowOff>
        </xdr:to>
        <xdr:sp macro="" textlink="">
          <xdr:nvSpPr>
            <xdr:cNvPr id="50313" name="Object 137" hidden="1">
              <a:extLst>
                <a:ext uri="{63B3BB69-23CF-44E3-9099-C40C66FF867C}">
                  <a14:compatExt spid="_x0000_s50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542925</xdr:colOff>
          <xdr:row>95</xdr:row>
          <xdr:rowOff>104775</xdr:rowOff>
        </xdr:from>
        <xdr:to>
          <xdr:col>19</xdr:col>
          <xdr:colOff>2200275</xdr:colOff>
          <xdr:row>96</xdr:row>
          <xdr:rowOff>142875</xdr:rowOff>
        </xdr:to>
        <xdr:sp macro="" textlink="">
          <xdr:nvSpPr>
            <xdr:cNvPr id="50314" name="Object 138" hidden="1">
              <a:extLst>
                <a:ext uri="{63B3BB69-23CF-44E3-9099-C40C66FF867C}">
                  <a14:compatExt spid="_x0000_s50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542925</xdr:colOff>
          <xdr:row>101</xdr:row>
          <xdr:rowOff>104775</xdr:rowOff>
        </xdr:from>
        <xdr:to>
          <xdr:col>19</xdr:col>
          <xdr:colOff>2200275</xdr:colOff>
          <xdr:row>102</xdr:row>
          <xdr:rowOff>142875</xdr:rowOff>
        </xdr:to>
        <xdr:sp macro="" textlink="">
          <xdr:nvSpPr>
            <xdr:cNvPr id="50315" name="Object 139" hidden="1">
              <a:extLst>
                <a:ext uri="{63B3BB69-23CF-44E3-9099-C40C66FF867C}">
                  <a14:compatExt spid="_x0000_s50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542925</xdr:colOff>
          <xdr:row>107</xdr:row>
          <xdr:rowOff>104775</xdr:rowOff>
        </xdr:from>
        <xdr:to>
          <xdr:col>19</xdr:col>
          <xdr:colOff>2200275</xdr:colOff>
          <xdr:row>108</xdr:row>
          <xdr:rowOff>142875</xdr:rowOff>
        </xdr:to>
        <xdr:sp macro="" textlink="">
          <xdr:nvSpPr>
            <xdr:cNvPr id="50316" name="Object 140" hidden="1">
              <a:extLst>
                <a:ext uri="{63B3BB69-23CF-44E3-9099-C40C66FF867C}">
                  <a14:compatExt spid="_x0000_s503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542925</xdr:colOff>
          <xdr:row>113</xdr:row>
          <xdr:rowOff>104775</xdr:rowOff>
        </xdr:from>
        <xdr:to>
          <xdr:col>19</xdr:col>
          <xdr:colOff>2200275</xdr:colOff>
          <xdr:row>114</xdr:row>
          <xdr:rowOff>142875</xdr:rowOff>
        </xdr:to>
        <xdr:sp macro="" textlink="">
          <xdr:nvSpPr>
            <xdr:cNvPr id="50317" name="Object 141" hidden="1">
              <a:extLst>
                <a:ext uri="{63B3BB69-23CF-44E3-9099-C40C66FF867C}">
                  <a14:compatExt spid="_x0000_s50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542925</xdr:colOff>
          <xdr:row>119</xdr:row>
          <xdr:rowOff>104775</xdr:rowOff>
        </xdr:from>
        <xdr:to>
          <xdr:col>19</xdr:col>
          <xdr:colOff>2200275</xdr:colOff>
          <xdr:row>120</xdr:row>
          <xdr:rowOff>142875</xdr:rowOff>
        </xdr:to>
        <xdr:sp macro="" textlink="">
          <xdr:nvSpPr>
            <xdr:cNvPr id="50318" name="Object 142" hidden="1">
              <a:extLst>
                <a:ext uri="{63B3BB69-23CF-44E3-9099-C40C66FF867C}">
                  <a14:compatExt spid="_x0000_s50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723900</xdr:colOff>
          <xdr:row>160</xdr:row>
          <xdr:rowOff>38100</xdr:rowOff>
        </xdr:from>
        <xdr:to>
          <xdr:col>19</xdr:col>
          <xdr:colOff>2047875</xdr:colOff>
          <xdr:row>160</xdr:row>
          <xdr:rowOff>266700</xdr:rowOff>
        </xdr:to>
        <xdr:sp macro="" textlink="">
          <xdr:nvSpPr>
            <xdr:cNvPr id="50319" name="Object 143" hidden="1">
              <a:extLst>
                <a:ext uri="{63B3BB69-23CF-44E3-9099-C40C66FF867C}">
                  <a14:compatExt spid="_x0000_s503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163</xdr:row>
          <xdr:rowOff>57150</xdr:rowOff>
        </xdr:from>
        <xdr:to>
          <xdr:col>19</xdr:col>
          <xdr:colOff>2790825</xdr:colOff>
          <xdr:row>163</xdr:row>
          <xdr:rowOff>295275</xdr:rowOff>
        </xdr:to>
        <xdr:sp macro="" textlink="">
          <xdr:nvSpPr>
            <xdr:cNvPr id="50320" name="Object 144" hidden="1">
              <a:extLst>
                <a:ext uri="{63B3BB69-23CF-44E3-9099-C40C66FF867C}">
                  <a14:compatExt spid="_x0000_s50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219075</xdr:colOff>
          <xdr:row>165</xdr:row>
          <xdr:rowOff>38100</xdr:rowOff>
        </xdr:from>
        <xdr:to>
          <xdr:col>19</xdr:col>
          <xdr:colOff>2686050</xdr:colOff>
          <xdr:row>165</xdr:row>
          <xdr:rowOff>276225</xdr:rowOff>
        </xdr:to>
        <xdr:sp macro="" textlink="">
          <xdr:nvSpPr>
            <xdr:cNvPr id="50321" name="Object 145" hidden="1">
              <a:extLst>
                <a:ext uri="{63B3BB69-23CF-44E3-9099-C40C66FF867C}">
                  <a14:compatExt spid="_x0000_s50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167</xdr:row>
          <xdr:rowOff>57150</xdr:rowOff>
        </xdr:from>
        <xdr:to>
          <xdr:col>19</xdr:col>
          <xdr:colOff>2790825</xdr:colOff>
          <xdr:row>167</xdr:row>
          <xdr:rowOff>295275</xdr:rowOff>
        </xdr:to>
        <xdr:sp macro="" textlink="">
          <xdr:nvSpPr>
            <xdr:cNvPr id="50324" name="Object 148" hidden="1">
              <a:extLst>
                <a:ext uri="{63B3BB69-23CF-44E3-9099-C40C66FF867C}">
                  <a14:compatExt spid="_x0000_s50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219075</xdr:colOff>
          <xdr:row>169</xdr:row>
          <xdr:rowOff>38100</xdr:rowOff>
        </xdr:from>
        <xdr:to>
          <xdr:col>19</xdr:col>
          <xdr:colOff>2686050</xdr:colOff>
          <xdr:row>169</xdr:row>
          <xdr:rowOff>276225</xdr:rowOff>
        </xdr:to>
        <xdr:sp macro="" textlink="">
          <xdr:nvSpPr>
            <xdr:cNvPr id="50325" name="Object 149" hidden="1">
              <a:extLst>
                <a:ext uri="{63B3BB69-23CF-44E3-9099-C40C66FF867C}">
                  <a14:compatExt spid="_x0000_s503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171</xdr:row>
          <xdr:rowOff>57150</xdr:rowOff>
        </xdr:from>
        <xdr:to>
          <xdr:col>19</xdr:col>
          <xdr:colOff>2790825</xdr:colOff>
          <xdr:row>171</xdr:row>
          <xdr:rowOff>295275</xdr:rowOff>
        </xdr:to>
        <xdr:sp macro="" textlink="">
          <xdr:nvSpPr>
            <xdr:cNvPr id="50326" name="Object 150" hidden="1">
              <a:extLst>
                <a:ext uri="{63B3BB69-23CF-44E3-9099-C40C66FF867C}">
                  <a14:compatExt spid="_x0000_s503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219075</xdr:colOff>
          <xdr:row>173</xdr:row>
          <xdr:rowOff>38100</xdr:rowOff>
        </xdr:from>
        <xdr:to>
          <xdr:col>19</xdr:col>
          <xdr:colOff>2686050</xdr:colOff>
          <xdr:row>173</xdr:row>
          <xdr:rowOff>276225</xdr:rowOff>
        </xdr:to>
        <xdr:sp macro="" textlink="">
          <xdr:nvSpPr>
            <xdr:cNvPr id="50327" name="Object 151" hidden="1">
              <a:extLst>
                <a:ext uri="{63B3BB69-23CF-44E3-9099-C40C66FF867C}">
                  <a14:compatExt spid="_x0000_s503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342900</xdr:colOff>
          <xdr:row>179</xdr:row>
          <xdr:rowOff>123825</xdr:rowOff>
        </xdr:from>
        <xdr:to>
          <xdr:col>19</xdr:col>
          <xdr:colOff>2438400</xdr:colOff>
          <xdr:row>181</xdr:row>
          <xdr:rowOff>38100</xdr:rowOff>
        </xdr:to>
        <xdr:sp macro="" textlink="">
          <xdr:nvSpPr>
            <xdr:cNvPr id="50328" name="Object 152" hidden="1">
              <a:extLst>
                <a:ext uri="{63B3BB69-23CF-44E3-9099-C40C66FF867C}">
                  <a14:compatExt spid="_x0000_s503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323850</xdr:colOff>
          <xdr:row>183</xdr:row>
          <xdr:rowOff>95250</xdr:rowOff>
        </xdr:from>
        <xdr:to>
          <xdr:col>19</xdr:col>
          <xdr:colOff>2371725</xdr:colOff>
          <xdr:row>185</xdr:row>
          <xdr:rowOff>9525</xdr:rowOff>
        </xdr:to>
        <xdr:sp macro="" textlink="">
          <xdr:nvSpPr>
            <xdr:cNvPr id="50329" name="Object 153" hidden="1">
              <a:extLst>
                <a:ext uri="{63B3BB69-23CF-44E3-9099-C40C66FF867C}">
                  <a14:compatExt spid="_x0000_s503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866775</xdr:colOff>
          <xdr:row>188</xdr:row>
          <xdr:rowOff>133350</xdr:rowOff>
        </xdr:from>
        <xdr:to>
          <xdr:col>19</xdr:col>
          <xdr:colOff>1933575</xdr:colOff>
          <xdr:row>190</xdr:row>
          <xdr:rowOff>133350</xdr:rowOff>
        </xdr:to>
        <xdr:sp macro="" textlink="">
          <xdr:nvSpPr>
            <xdr:cNvPr id="50330" name="Object 154" hidden="1">
              <a:extLst>
                <a:ext uri="{63B3BB69-23CF-44E3-9099-C40C66FF867C}">
                  <a14:compatExt spid="_x0000_s503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390525</xdr:colOff>
          <xdr:row>191</xdr:row>
          <xdr:rowOff>123825</xdr:rowOff>
        </xdr:from>
        <xdr:to>
          <xdr:col>19</xdr:col>
          <xdr:colOff>2333625</xdr:colOff>
          <xdr:row>193</xdr:row>
          <xdr:rowOff>38100</xdr:rowOff>
        </xdr:to>
        <xdr:sp macro="" textlink="">
          <xdr:nvSpPr>
            <xdr:cNvPr id="50331" name="Object 155" hidden="1">
              <a:extLst>
                <a:ext uri="{63B3BB69-23CF-44E3-9099-C40C66FF867C}">
                  <a14:compatExt spid="_x0000_s50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466725</xdr:colOff>
          <xdr:row>194</xdr:row>
          <xdr:rowOff>123825</xdr:rowOff>
        </xdr:from>
        <xdr:to>
          <xdr:col>19</xdr:col>
          <xdr:colOff>2295525</xdr:colOff>
          <xdr:row>196</xdr:row>
          <xdr:rowOff>38100</xdr:rowOff>
        </xdr:to>
        <xdr:sp macro="" textlink="">
          <xdr:nvSpPr>
            <xdr:cNvPr id="50335" name="Object 159" hidden="1">
              <a:extLst>
                <a:ext uri="{63B3BB69-23CF-44E3-9099-C40C66FF867C}">
                  <a14:compatExt spid="_x0000_s50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219075</xdr:colOff>
          <xdr:row>205</xdr:row>
          <xdr:rowOff>28575</xdr:rowOff>
        </xdr:from>
        <xdr:to>
          <xdr:col>19</xdr:col>
          <xdr:colOff>2847975</xdr:colOff>
          <xdr:row>206</xdr:row>
          <xdr:rowOff>333375</xdr:rowOff>
        </xdr:to>
        <xdr:sp macro="" textlink="">
          <xdr:nvSpPr>
            <xdr:cNvPr id="50336" name="Object 160" hidden="1">
              <a:extLst>
                <a:ext uri="{63B3BB69-23CF-44E3-9099-C40C66FF867C}">
                  <a14:compatExt spid="_x0000_s503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723900</xdr:colOff>
          <xdr:row>251</xdr:row>
          <xdr:rowOff>38100</xdr:rowOff>
        </xdr:from>
        <xdr:to>
          <xdr:col>19</xdr:col>
          <xdr:colOff>2257425</xdr:colOff>
          <xdr:row>251</xdr:row>
          <xdr:rowOff>266700</xdr:rowOff>
        </xdr:to>
        <xdr:sp macro="" textlink="">
          <xdr:nvSpPr>
            <xdr:cNvPr id="50337" name="Object 161" hidden="1">
              <a:extLst>
                <a:ext uri="{63B3BB69-23CF-44E3-9099-C40C66FF867C}">
                  <a14:compatExt spid="_x0000_s503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866775</xdr:colOff>
          <xdr:row>253</xdr:row>
          <xdr:rowOff>57150</xdr:rowOff>
        </xdr:from>
        <xdr:to>
          <xdr:col>19</xdr:col>
          <xdr:colOff>1885950</xdr:colOff>
          <xdr:row>253</xdr:row>
          <xdr:rowOff>514350</xdr:rowOff>
        </xdr:to>
        <xdr:sp macro="" textlink="">
          <xdr:nvSpPr>
            <xdr:cNvPr id="50338" name="Object 162" hidden="1">
              <a:extLst>
                <a:ext uri="{63B3BB69-23CF-44E3-9099-C40C66FF867C}">
                  <a14:compatExt spid="_x0000_s50338"/>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38101</xdr:colOff>
      <xdr:row>5</xdr:row>
      <xdr:rowOff>152400</xdr:rowOff>
    </xdr:from>
    <xdr:to>
      <xdr:col>8</xdr:col>
      <xdr:colOff>495301</xdr:colOff>
      <xdr:row>22</xdr:row>
      <xdr:rowOff>142875</xdr:rowOff>
    </xdr:to>
    <xdr:graphicFrame macro="">
      <xdr:nvGraphicFramePr>
        <xdr:cNvPr id="2" name="Gra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57150</xdr:colOff>
          <xdr:row>15</xdr:row>
          <xdr:rowOff>95250</xdr:rowOff>
        </xdr:from>
        <xdr:to>
          <xdr:col>8</xdr:col>
          <xdr:colOff>180975</xdr:colOff>
          <xdr:row>20</xdr:row>
          <xdr:rowOff>47625</xdr:rowOff>
        </xdr:to>
        <xdr:sp macro="" textlink="">
          <xdr:nvSpPr>
            <xdr:cNvPr id="52225" name="Object 1" hidden="1">
              <a:extLst>
                <a:ext uri="{63B3BB69-23CF-44E3-9099-C40C66FF867C}">
                  <a14:compatExt spid="_x0000_s5222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2.wmf"/><Relationship Id="rId10" Type="http://schemas.openxmlformats.org/officeDocument/2006/relationships/ctrlProp" Target="../ctrlProps/ctrlProp18.xml"/><Relationship Id="rId4" Type="http://schemas.openxmlformats.org/officeDocument/2006/relationships/oleObject" Target="../embeddings/oleObject1.bin"/><Relationship Id="rId9" Type="http://schemas.openxmlformats.org/officeDocument/2006/relationships/ctrlProp" Target="../ctrlProps/ctrlProp1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6" Type="http://schemas.openxmlformats.org/officeDocument/2006/relationships/oleObject" Target="../embeddings/oleObject13.bin"/><Relationship Id="rId117" Type="http://schemas.openxmlformats.org/officeDocument/2006/relationships/oleObject" Target="../embeddings/oleObject71.bin"/><Relationship Id="rId21" Type="http://schemas.openxmlformats.org/officeDocument/2006/relationships/image" Target="../media/image11.wmf"/><Relationship Id="rId42" Type="http://schemas.openxmlformats.org/officeDocument/2006/relationships/oleObject" Target="../embeddings/oleObject21.bin"/><Relationship Id="rId47" Type="http://schemas.openxmlformats.org/officeDocument/2006/relationships/image" Target="../media/image24.wmf"/><Relationship Id="rId63" Type="http://schemas.openxmlformats.org/officeDocument/2006/relationships/image" Target="../media/image32.wmf"/><Relationship Id="rId68" Type="http://schemas.openxmlformats.org/officeDocument/2006/relationships/oleObject" Target="../embeddings/oleObject34.bin"/><Relationship Id="rId84" Type="http://schemas.openxmlformats.org/officeDocument/2006/relationships/image" Target="../media/image38.wmf"/><Relationship Id="rId89" Type="http://schemas.openxmlformats.org/officeDocument/2006/relationships/oleObject" Target="../embeddings/oleObject50.bin"/><Relationship Id="rId112" Type="http://schemas.openxmlformats.org/officeDocument/2006/relationships/image" Target="../media/image44.wmf"/><Relationship Id="rId16" Type="http://schemas.openxmlformats.org/officeDocument/2006/relationships/oleObject" Target="../embeddings/oleObject8.bin"/><Relationship Id="rId107" Type="http://schemas.openxmlformats.org/officeDocument/2006/relationships/oleObject" Target="../embeddings/oleObject64.bin"/><Relationship Id="rId11" Type="http://schemas.openxmlformats.org/officeDocument/2006/relationships/image" Target="../media/image6.emf"/><Relationship Id="rId32" Type="http://schemas.openxmlformats.org/officeDocument/2006/relationships/oleObject" Target="../embeddings/oleObject16.bin"/><Relationship Id="rId37" Type="http://schemas.openxmlformats.org/officeDocument/2006/relationships/image" Target="../media/image19.wmf"/><Relationship Id="rId53" Type="http://schemas.openxmlformats.org/officeDocument/2006/relationships/image" Target="../media/image27.wmf"/><Relationship Id="rId58" Type="http://schemas.openxmlformats.org/officeDocument/2006/relationships/oleObject" Target="../embeddings/oleObject29.bin"/><Relationship Id="rId74" Type="http://schemas.openxmlformats.org/officeDocument/2006/relationships/oleObject" Target="../embeddings/oleObject38.bin"/><Relationship Id="rId79" Type="http://schemas.openxmlformats.org/officeDocument/2006/relationships/oleObject" Target="../embeddings/oleObject42.bin"/><Relationship Id="rId102" Type="http://schemas.openxmlformats.org/officeDocument/2006/relationships/image" Target="../media/image41.wmf"/><Relationship Id="rId123" Type="http://schemas.openxmlformats.org/officeDocument/2006/relationships/oleObject" Target="../embeddings/oleObject74.bin"/><Relationship Id="rId5" Type="http://schemas.openxmlformats.org/officeDocument/2006/relationships/image" Target="../media/image3.emf"/><Relationship Id="rId90" Type="http://schemas.openxmlformats.org/officeDocument/2006/relationships/image" Target="../media/image40.emf"/><Relationship Id="rId95" Type="http://schemas.openxmlformats.org/officeDocument/2006/relationships/oleObject" Target="../embeddings/oleObject55.bin"/><Relationship Id="rId19" Type="http://schemas.openxmlformats.org/officeDocument/2006/relationships/image" Target="../media/image10.wmf"/><Relationship Id="rId14" Type="http://schemas.openxmlformats.org/officeDocument/2006/relationships/oleObject" Target="../embeddings/oleObject7.bin"/><Relationship Id="rId22" Type="http://schemas.openxmlformats.org/officeDocument/2006/relationships/oleObject" Target="../embeddings/oleObject11.bin"/><Relationship Id="rId27" Type="http://schemas.openxmlformats.org/officeDocument/2006/relationships/image" Target="../media/image14.wmf"/><Relationship Id="rId30" Type="http://schemas.openxmlformats.org/officeDocument/2006/relationships/oleObject" Target="../embeddings/oleObject15.bin"/><Relationship Id="rId35" Type="http://schemas.openxmlformats.org/officeDocument/2006/relationships/image" Target="../media/image18.wmf"/><Relationship Id="rId43" Type="http://schemas.openxmlformats.org/officeDocument/2006/relationships/image" Target="../media/image22.wmf"/><Relationship Id="rId48" Type="http://schemas.openxmlformats.org/officeDocument/2006/relationships/oleObject" Target="../embeddings/oleObject24.bin"/><Relationship Id="rId56" Type="http://schemas.openxmlformats.org/officeDocument/2006/relationships/oleObject" Target="../embeddings/oleObject28.bin"/><Relationship Id="rId64" Type="http://schemas.openxmlformats.org/officeDocument/2006/relationships/oleObject" Target="../embeddings/oleObject32.bin"/><Relationship Id="rId69" Type="http://schemas.openxmlformats.org/officeDocument/2006/relationships/image" Target="../media/image35.wmf"/><Relationship Id="rId77" Type="http://schemas.openxmlformats.org/officeDocument/2006/relationships/oleObject" Target="../embeddings/oleObject40.bin"/><Relationship Id="rId100" Type="http://schemas.openxmlformats.org/officeDocument/2006/relationships/oleObject" Target="../embeddings/oleObject60.bin"/><Relationship Id="rId105" Type="http://schemas.openxmlformats.org/officeDocument/2006/relationships/oleObject" Target="../embeddings/oleObject63.bin"/><Relationship Id="rId113" Type="http://schemas.openxmlformats.org/officeDocument/2006/relationships/oleObject" Target="../embeddings/oleObject69.bin"/><Relationship Id="rId118" Type="http://schemas.openxmlformats.org/officeDocument/2006/relationships/image" Target="../media/image47.emf"/><Relationship Id="rId126" Type="http://schemas.openxmlformats.org/officeDocument/2006/relationships/image" Target="../media/image51.wmf"/><Relationship Id="rId8" Type="http://schemas.openxmlformats.org/officeDocument/2006/relationships/oleObject" Target="../embeddings/oleObject4.bin"/><Relationship Id="rId51" Type="http://schemas.openxmlformats.org/officeDocument/2006/relationships/image" Target="../media/image26.wmf"/><Relationship Id="rId72" Type="http://schemas.openxmlformats.org/officeDocument/2006/relationships/oleObject" Target="../embeddings/oleObject36.bin"/><Relationship Id="rId80" Type="http://schemas.openxmlformats.org/officeDocument/2006/relationships/oleObject" Target="../embeddings/oleObject43.bin"/><Relationship Id="rId85" Type="http://schemas.openxmlformats.org/officeDocument/2006/relationships/oleObject" Target="../embeddings/oleObject47.bin"/><Relationship Id="rId93" Type="http://schemas.openxmlformats.org/officeDocument/2006/relationships/oleObject" Target="../embeddings/oleObject53.bin"/><Relationship Id="rId98" Type="http://schemas.openxmlformats.org/officeDocument/2006/relationships/oleObject" Target="../embeddings/oleObject58.bin"/><Relationship Id="rId121" Type="http://schemas.openxmlformats.org/officeDocument/2006/relationships/oleObject" Target="../embeddings/oleObject73.bin"/><Relationship Id="rId3" Type="http://schemas.openxmlformats.org/officeDocument/2006/relationships/vmlDrawing" Target="../drawings/vmlDrawing6.vml"/><Relationship Id="rId12" Type="http://schemas.openxmlformats.org/officeDocument/2006/relationships/oleObject" Target="../embeddings/oleObject6.bin"/><Relationship Id="rId17" Type="http://schemas.openxmlformats.org/officeDocument/2006/relationships/image" Target="../media/image9.wmf"/><Relationship Id="rId25" Type="http://schemas.openxmlformats.org/officeDocument/2006/relationships/image" Target="../media/image13.wmf"/><Relationship Id="rId33" Type="http://schemas.openxmlformats.org/officeDocument/2006/relationships/image" Target="../media/image17.wmf"/><Relationship Id="rId38" Type="http://schemas.openxmlformats.org/officeDocument/2006/relationships/oleObject" Target="../embeddings/oleObject19.bin"/><Relationship Id="rId46" Type="http://schemas.openxmlformats.org/officeDocument/2006/relationships/oleObject" Target="../embeddings/oleObject23.bin"/><Relationship Id="rId59" Type="http://schemas.openxmlformats.org/officeDocument/2006/relationships/image" Target="../media/image30.wmf"/><Relationship Id="rId67" Type="http://schemas.openxmlformats.org/officeDocument/2006/relationships/image" Target="../media/image34.wmf"/><Relationship Id="rId103" Type="http://schemas.openxmlformats.org/officeDocument/2006/relationships/oleObject" Target="../embeddings/oleObject62.bin"/><Relationship Id="rId108" Type="http://schemas.openxmlformats.org/officeDocument/2006/relationships/oleObject" Target="../embeddings/oleObject65.bin"/><Relationship Id="rId116" Type="http://schemas.openxmlformats.org/officeDocument/2006/relationships/image" Target="../media/image46.wmf"/><Relationship Id="rId124" Type="http://schemas.openxmlformats.org/officeDocument/2006/relationships/image" Target="../media/image50.wmf"/><Relationship Id="rId20" Type="http://schemas.openxmlformats.org/officeDocument/2006/relationships/oleObject" Target="../embeddings/oleObject10.bin"/><Relationship Id="rId41" Type="http://schemas.openxmlformats.org/officeDocument/2006/relationships/image" Target="../media/image21.emf"/><Relationship Id="rId54" Type="http://schemas.openxmlformats.org/officeDocument/2006/relationships/oleObject" Target="../embeddings/oleObject27.bin"/><Relationship Id="rId62" Type="http://schemas.openxmlformats.org/officeDocument/2006/relationships/oleObject" Target="../embeddings/oleObject31.bin"/><Relationship Id="rId70" Type="http://schemas.openxmlformats.org/officeDocument/2006/relationships/oleObject" Target="../embeddings/oleObject35.bin"/><Relationship Id="rId75" Type="http://schemas.openxmlformats.org/officeDocument/2006/relationships/image" Target="../media/image37.emf"/><Relationship Id="rId83" Type="http://schemas.openxmlformats.org/officeDocument/2006/relationships/oleObject" Target="../embeddings/oleObject46.bin"/><Relationship Id="rId88" Type="http://schemas.openxmlformats.org/officeDocument/2006/relationships/image" Target="../media/image39.wmf"/><Relationship Id="rId91" Type="http://schemas.openxmlformats.org/officeDocument/2006/relationships/oleObject" Target="../embeddings/oleObject51.bin"/><Relationship Id="rId96" Type="http://schemas.openxmlformats.org/officeDocument/2006/relationships/oleObject" Target="../embeddings/oleObject56.bin"/><Relationship Id="rId111" Type="http://schemas.openxmlformats.org/officeDocument/2006/relationships/oleObject" Target="../embeddings/oleObject68.bin"/><Relationship Id="rId1" Type="http://schemas.openxmlformats.org/officeDocument/2006/relationships/printerSettings" Target="../printerSettings/printerSettings9.bin"/><Relationship Id="rId6" Type="http://schemas.openxmlformats.org/officeDocument/2006/relationships/oleObject" Target="../embeddings/oleObject3.bin"/><Relationship Id="rId15" Type="http://schemas.openxmlformats.org/officeDocument/2006/relationships/image" Target="../media/image8.wmf"/><Relationship Id="rId23" Type="http://schemas.openxmlformats.org/officeDocument/2006/relationships/image" Target="../media/image12.wmf"/><Relationship Id="rId28" Type="http://schemas.openxmlformats.org/officeDocument/2006/relationships/oleObject" Target="../embeddings/oleObject14.bin"/><Relationship Id="rId36" Type="http://schemas.openxmlformats.org/officeDocument/2006/relationships/oleObject" Target="../embeddings/oleObject18.bin"/><Relationship Id="rId49" Type="http://schemas.openxmlformats.org/officeDocument/2006/relationships/image" Target="../media/image25.wmf"/><Relationship Id="rId57" Type="http://schemas.openxmlformats.org/officeDocument/2006/relationships/image" Target="../media/image29.wmf"/><Relationship Id="rId106" Type="http://schemas.openxmlformats.org/officeDocument/2006/relationships/image" Target="../media/image43.wmf"/><Relationship Id="rId114" Type="http://schemas.openxmlformats.org/officeDocument/2006/relationships/image" Target="../media/image45.wmf"/><Relationship Id="rId119" Type="http://schemas.openxmlformats.org/officeDocument/2006/relationships/oleObject" Target="../embeddings/oleObject72.bin"/><Relationship Id="rId127" Type="http://schemas.openxmlformats.org/officeDocument/2006/relationships/comments" Target="../comments5.xml"/><Relationship Id="rId10" Type="http://schemas.openxmlformats.org/officeDocument/2006/relationships/oleObject" Target="../embeddings/oleObject5.bin"/><Relationship Id="rId31" Type="http://schemas.openxmlformats.org/officeDocument/2006/relationships/image" Target="../media/image16.wmf"/><Relationship Id="rId44" Type="http://schemas.openxmlformats.org/officeDocument/2006/relationships/oleObject" Target="../embeddings/oleObject22.bin"/><Relationship Id="rId52" Type="http://schemas.openxmlformats.org/officeDocument/2006/relationships/oleObject" Target="../embeddings/oleObject26.bin"/><Relationship Id="rId60" Type="http://schemas.openxmlformats.org/officeDocument/2006/relationships/oleObject" Target="../embeddings/oleObject30.bin"/><Relationship Id="rId65" Type="http://schemas.openxmlformats.org/officeDocument/2006/relationships/image" Target="../media/image33.wmf"/><Relationship Id="rId73" Type="http://schemas.openxmlformats.org/officeDocument/2006/relationships/oleObject" Target="../embeddings/oleObject37.bin"/><Relationship Id="rId78" Type="http://schemas.openxmlformats.org/officeDocument/2006/relationships/oleObject" Target="../embeddings/oleObject41.bin"/><Relationship Id="rId81" Type="http://schemas.openxmlformats.org/officeDocument/2006/relationships/oleObject" Target="../embeddings/oleObject44.bin"/><Relationship Id="rId86" Type="http://schemas.openxmlformats.org/officeDocument/2006/relationships/oleObject" Target="../embeddings/oleObject48.bin"/><Relationship Id="rId94" Type="http://schemas.openxmlformats.org/officeDocument/2006/relationships/oleObject" Target="../embeddings/oleObject54.bin"/><Relationship Id="rId99" Type="http://schemas.openxmlformats.org/officeDocument/2006/relationships/oleObject" Target="../embeddings/oleObject59.bin"/><Relationship Id="rId101" Type="http://schemas.openxmlformats.org/officeDocument/2006/relationships/oleObject" Target="../embeddings/oleObject61.bin"/><Relationship Id="rId122" Type="http://schemas.openxmlformats.org/officeDocument/2006/relationships/image" Target="../media/image49.wmf"/><Relationship Id="rId4" Type="http://schemas.openxmlformats.org/officeDocument/2006/relationships/oleObject" Target="../embeddings/oleObject2.bin"/><Relationship Id="rId9" Type="http://schemas.openxmlformats.org/officeDocument/2006/relationships/image" Target="../media/image5.emf"/><Relationship Id="rId13" Type="http://schemas.openxmlformats.org/officeDocument/2006/relationships/image" Target="../media/image7.wmf"/><Relationship Id="rId18" Type="http://schemas.openxmlformats.org/officeDocument/2006/relationships/oleObject" Target="../embeddings/oleObject9.bin"/><Relationship Id="rId39" Type="http://schemas.openxmlformats.org/officeDocument/2006/relationships/image" Target="../media/image20.wmf"/><Relationship Id="rId109" Type="http://schemas.openxmlformats.org/officeDocument/2006/relationships/oleObject" Target="../embeddings/oleObject66.bin"/><Relationship Id="rId34" Type="http://schemas.openxmlformats.org/officeDocument/2006/relationships/oleObject" Target="../embeddings/oleObject17.bin"/><Relationship Id="rId50" Type="http://schemas.openxmlformats.org/officeDocument/2006/relationships/oleObject" Target="../embeddings/oleObject25.bin"/><Relationship Id="rId55" Type="http://schemas.openxmlformats.org/officeDocument/2006/relationships/image" Target="../media/image28.wmf"/><Relationship Id="rId76" Type="http://schemas.openxmlformats.org/officeDocument/2006/relationships/oleObject" Target="../embeddings/oleObject39.bin"/><Relationship Id="rId97" Type="http://schemas.openxmlformats.org/officeDocument/2006/relationships/oleObject" Target="../embeddings/oleObject57.bin"/><Relationship Id="rId104" Type="http://schemas.openxmlformats.org/officeDocument/2006/relationships/image" Target="../media/image42.wmf"/><Relationship Id="rId120" Type="http://schemas.openxmlformats.org/officeDocument/2006/relationships/image" Target="../media/image48.wmf"/><Relationship Id="rId125" Type="http://schemas.openxmlformats.org/officeDocument/2006/relationships/oleObject" Target="../embeddings/oleObject75.bin"/><Relationship Id="rId7" Type="http://schemas.openxmlformats.org/officeDocument/2006/relationships/image" Target="../media/image4.wmf"/><Relationship Id="rId71" Type="http://schemas.openxmlformats.org/officeDocument/2006/relationships/image" Target="../media/image36.emf"/><Relationship Id="rId92" Type="http://schemas.openxmlformats.org/officeDocument/2006/relationships/oleObject" Target="../embeddings/oleObject52.bin"/><Relationship Id="rId2" Type="http://schemas.openxmlformats.org/officeDocument/2006/relationships/drawing" Target="../drawings/drawing7.xml"/><Relationship Id="rId29" Type="http://schemas.openxmlformats.org/officeDocument/2006/relationships/image" Target="../media/image15.wmf"/><Relationship Id="rId24" Type="http://schemas.openxmlformats.org/officeDocument/2006/relationships/oleObject" Target="../embeddings/oleObject12.bin"/><Relationship Id="rId40" Type="http://schemas.openxmlformats.org/officeDocument/2006/relationships/oleObject" Target="../embeddings/oleObject20.bin"/><Relationship Id="rId45" Type="http://schemas.openxmlformats.org/officeDocument/2006/relationships/image" Target="../media/image23.wmf"/><Relationship Id="rId66" Type="http://schemas.openxmlformats.org/officeDocument/2006/relationships/oleObject" Target="../embeddings/oleObject33.bin"/><Relationship Id="rId87" Type="http://schemas.openxmlformats.org/officeDocument/2006/relationships/oleObject" Target="../embeddings/oleObject49.bin"/><Relationship Id="rId110" Type="http://schemas.openxmlformats.org/officeDocument/2006/relationships/oleObject" Target="../embeddings/oleObject67.bin"/><Relationship Id="rId115" Type="http://schemas.openxmlformats.org/officeDocument/2006/relationships/oleObject" Target="../embeddings/oleObject70.bin"/><Relationship Id="rId61" Type="http://schemas.openxmlformats.org/officeDocument/2006/relationships/image" Target="../media/image31.wmf"/><Relationship Id="rId82" Type="http://schemas.openxmlformats.org/officeDocument/2006/relationships/oleObject" Target="../embeddings/oleObject45.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image" Target="../media/image52.emf"/><Relationship Id="rId4" Type="http://schemas.openxmlformats.org/officeDocument/2006/relationships/oleObject" Target="../embeddings/oleObject7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6">
    <tabColor rgb="FF00B050"/>
  </sheetPr>
  <dimension ref="A1:A28"/>
  <sheetViews>
    <sheetView tabSelected="1" workbookViewId="0">
      <selection activeCell="A11" sqref="A11"/>
    </sheetView>
  </sheetViews>
  <sheetFormatPr defaultRowHeight="12.75" x14ac:dyDescent="0.2"/>
  <cols>
    <col min="1" max="1" width="109" style="1248" customWidth="1"/>
  </cols>
  <sheetData>
    <row r="1" spans="1:1" ht="15.75" x14ac:dyDescent="0.2">
      <c r="A1" s="1235" t="s">
        <v>2090</v>
      </c>
    </row>
    <row r="2" spans="1:1" x14ac:dyDescent="0.2">
      <c r="A2" s="1236" t="s">
        <v>2091</v>
      </c>
    </row>
    <row r="3" spans="1:1" ht="34.5" customHeight="1" x14ac:dyDescent="0.2">
      <c r="A3" s="1237" t="s">
        <v>2111</v>
      </c>
    </row>
    <row r="4" spans="1:1" x14ac:dyDescent="0.2">
      <c r="A4" s="1238"/>
    </row>
    <row r="5" spans="1:1" x14ac:dyDescent="0.2">
      <c r="A5" s="1238"/>
    </row>
    <row r="6" spans="1:1" ht="15.75" x14ac:dyDescent="0.2">
      <c r="A6" s="1239" t="s">
        <v>2092</v>
      </c>
    </row>
    <row r="7" spans="1:1" ht="38.25" x14ac:dyDescent="0.2">
      <c r="A7" s="1240" t="s">
        <v>2093</v>
      </c>
    </row>
    <row r="8" spans="1:1" ht="51" x14ac:dyDescent="0.2">
      <c r="A8" s="1240" t="s">
        <v>2094</v>
      </c>
    </row>
    <row r="9" spans="1:1" ht="38.25" x14ac:dyDescent="0.2">
      <c r="A9" s="1240" t="s">
        <v>2095</v>
      </c>
    </row>
    <row r="10" spans="1:1" ht="63.75" x14ac:dyDescent="0.2">
      <c r="A10" s="1240" t="s">
        <v>2096</v>
      </c>
    </row>
    <row r="11" spans="1:1" x14ac:dyDescent="0.2">
      <c r="A11" s="1241" t="s">
        <v>2097</v>
      </c>
    </row>
    <row r="12" spans="1:1" ht="25.5" x14ac:dyDescent="0.2">
      <c r="A12" s="1240" t="s">
        <v>2098</v>
      </c>
    </row>
    <row r="13" spans="1:1" x14ac:dyDescent="0.2">
      <c r="A13" s="1241" t="s">
        <v>2099</v>
      </c>
    </row>
    <row r="14" spans="1:1" ht="38.25" x14ac:dyDescent="0.2">
      <c r="A14" s="1240" t="s">
        <v>2100</v>
      </c>
    </row>
    <row r="15" spans="1:1" ht="38.25" x14ac:dyDescent="0.2">
      <c r="A15" s="1240" t="s">
        <v>2101</v>
      </c>
    </row>
    <row r="16" spans="1:1" ht="25.5" x14ac:dyDescent="0.2">
      <c r="A16" s="1240" t="s">
        <v>2102</v>
      </c>
    </row>
    <row r="17" spans="1:1" x14ac:dyDescent="0.2">
      <c r="A17" s="1241" t="s">
        <v>2103</v>
      </c>
    </row>
    <row r="18" spans="1:1" x14ac:dyDescent="0.2">
      <c r="A18" s="1240" t="s">
        <v>2104</v>
      </c>
    </row>
    <row r="19" spans="1:1" ht="25.5" x14ac:dyDescent="0.2">
      <c r="A19" s="1240" t="s">
        <v>2105</v>
      </c>
    </row>
    <row r="20" spans="1:1" x14ac:dyDescent="0.2">
      <c r="A20" s="1242"/>
    </row>
    <row r="21" spans="1:1" x14ac:dyDescent="0.2">
      <c r="A21" s="1243"/>
    </row>
    <row r="22" spans="1:1" x14ac:dyDescent="0.2">
      <c r="A22" s="1244"/>
    </row>
    <row r="23" spans="1:1" ht="155.25" x14ac:dyDescent="0.2">
      <c r="A23" s="1245" t="s">
        <v>2106</v>
      </c>
    </row>
    <row r="24" spans="1:1" ht="76.5" x14ac:dyDescent="0.2">
      <c r="A24" s="1245" t="s">
        <v>2107</v>
      </c>
    </row>
    <row r="25" spans="1:1" ht="38.25" x14ac:dyDescent="0.2">
      <c r="A25" s="1246" t="s">
        <v>2108</v>
      </c>
    </row>
    <row r="26" spans="1:1" ht="38.25" x14ac:dyDescent="0.2">
      <c r="A26" s="1246" t="s">
        <v>2109</v>
      </c>
    </row>
    <row r="27" spans="1:1" ht="38.25" x14ac:dyDescent="0.2">
      <c r="A27" s="1246" t="s">
        <v>2110</v>
      </c>
    </row>
    <row r="28" spans="1:1" ht="123" customHeight="1" x14ac:dyDescent="0.2">
      <c r="A28" s="1247" t="s">
        <v>2112</v>
      </c>
    </row>
  </sheetData>
  <sheetProtection sheet="1" objects="1" scenarios="1"/>
  <pageMargins left="0.7" right="0.7" top="0.75" bottom="0.75" header="0.3" footer="0.3"/>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D21" sqref="D20:D21"/>
    </sheetView>
  </sheetViews>
  <sheetFormatPr defaultRowHeight="12.75" x14ac:dyDescent="0.2"/>
  <cols>
    <col min="1" max="1" width="128.7109375" style="7" customWidth="1"/>
  </cols>
  <sheetData>
    <row r="1" spans="1:1" ht="15" x14ac:dyDescent="0.25">
      <c r="A1" s="1850" t="s">
        <v>2411</v>
      </c>
    </row>
    <row r="2" spans="1:1" x14ac:dyDescent="0.2">
      <c r="A2" s="1851" t="s">
        <v>2412</v>
      </c>
    </row>
    <row r="3" spans="1:1" ht="15" x14ac:dyDescent="0.25">
      <c r="A3" s="1850" t="s">
        <v>2413</v>
      </c>
    </row>
    <row r="4" spans="1:1" ht="25.5" x14ac:dyDescent="0.2">
      <c r="A4" s="1851" t="s">
        <v>2414</v>
      </c>
    </row>
    <row r="5" spans="1:1" ht="21" customHeight="1" x14ac:dyDescent="0.25">
      <c r="A5" s="1850" t="s">
        <v>2415</v>
      </c>
    </row>
    <row r="6" spans="1:1" ht="25.5" x14ac:dyDescent="0.2">
      <c r="A6" s="1851" t="s">
        <v>2416</v>
      </c>
    </row>
    <row r="7" spans="1:1" x14ac:dyDescent="0.2">
      <c r="A7" s="1851" t="s">
        <v>2417</v>
      </c>
    </row>
    <row r="8" spans="1:1" ht="21" customHeight="1" x14ac:dyDescent="0.25">
      <c r="A8" s="1850" t="s">
        <v>2418</v>
      </c>
    </row>
    <row r="9" spans="1:1" x14ac:dyDescent="0.2">
      <c r="A9" s="1851" t="s">
        <v>2419</v>
      </c>
    </row>
    <row r="10" spans="1:1" ht="51" x14ac:dyDescent="0.2">
      <c r="A10" s="1851" t="s">
        <v>2420</v>
      </c>
    </row>
    <row r="11" spans="1:1" ht="38.25" x14ac:dyDescent="0.2">
      <c r="A11" s="1851" t="s">
        <v>2421</v>
      </c>
    </row>
    <row r="12" spans="1:1" x14ac:dyDescent="0.2">
      <c r="A12" s="1851" t="s">
        <v>2432</v>
      </c>
    </row>
    <row r="13" spans="1:1" ht="21" customHeight="1" x14ac:dyDescent="0.25">
      <c r="A13" s="1850" t="s">
        <v>2422</v>
      </c>
    </row>
    <row r="14" spans="1:1" x14ac:dyDescent="0.2">
      <c r="A14" s="1851" t="s">
        <v>2427</v>
      </c>
    </row>
    <row r="15" spans="1:1" x14ac:dyDescent="0.2">
      <c r="A15" s="1851" t="s">
        <v>2428</v>
      </c>
    </row>
    <row r="16" spans="1:1" ht="21" customHeight="1" x14ac:dyDescent="0.25">
      <c r="A16" s="1850" t="s">
        <v>2429</v>
      </c>
    </row>
    <row r="17" spans="1:1" x14ac:dyDescent="0.2">
      <c r="A17" s="1851" t="s">
        <v>2430</v>
      </c>
    </row>
    <row r="18" spans="1:1" x14ac:dyDescent="0.2">
      <c r="A18" s="1851" t="s">
        <v>2431</v>
      </c>
    </row>
    <row r="19" spans="1:1" ht="21" customHeight="1" x14ac:dyDescent="0.25">
      <c r="A19" s="1850" t="s">
        <v>2447</v>
      </c>
    </row>
    <row r="20" spans="1:1" x14ac:dyDescent="0.2">
      <c r="A20" s="1851" t="s">
        <v>2442</v>
      </c>
    </row>
    <row r="21" spans="1:1" x14ac:dyDescent="0.2">
      <c r="A21" s="1851" t="s">
        <v>2433</v>
      </c>
    </row>
    <row r="22" spans="1:1" x14ac:dyDescent="0.2">
      <c r="A22" s="1858" t="s">
        <v>2434</v>
      </c>
    </row>
    <row r="23" spans="1:1" x14ac:dyDescent="0.2">
      <c r="A23" s="1858" t="s">
        <v>2435</v>
      </c>
    </row>
    <row r="24" spans="1:1" x14ac:dyDescent="0.2">
      <c r="A24" s="1858" t="s">
        <v>2436</v>
      </c>
    </row>
    <row r="25" spans="1:1" x14ac:dyDescent="0.2">
      <c r="A25" s="1859" t="s">
        <v>2437</v>
      </c>
    </row>
    <row r="26" spans="1:1" ht="21" customHeight="1" x14ac:dyDescent="0.25">
      <c r="A26" s="1850" t="s">
        <v>2446</v>
      </c>
    </row>
    <row r="27" spans="1:1" x14ac:dyDescent="0.2">
      <c r="A27" s="1851" t="s">
        <v>2443</v>
      </c>
    </row>
    <row r="28" spans="1:1" x14ac:dyDescent="0.2">
      <c r="A28" s="1851" t="s">
        <v>2444</v>
      </c>
    </row>
    <row r="29" spans="1:1" x14ac:dyDescent="0.2">
      <c r="A29" s="1851" t="s">
        <v>2433</v>
      </c>
    </row>
    <row r="30" spans="1:1" x14ac:dyDescent="0.2">
      <c r="A30" s="1858" t="s">
        <v>2438</v>
      </c>
    </row>
    <row r="31" spans="1:1" x14ac:dyDescent="0.2">
      <c r="A31" s="1858" t="s">
        <v>2439</v>
      </c>
    </row>
    <row r="32" spans="1:1" x14ac:dyDescent="0.2">
      <c r="A32" s="1858" t="s">
        <v>2440</v>
      </c>
    </row>
    <row r="33" spans="1:1" x14ac:dyDescent="0.2">
      <c r="A33" s="1859" t="s">
        <v>2441</v>
      </c>
    </row>
    <row r="34" spans="1:1" ht="21" customHeight="1" x14ac:dyDescent="0.25">
      <c r="A34" s="1850" t="s">
        <v>2445</v>
      </c>
    </row>
    <row r="35" spans="1:1" x14ac:dyDescent="0.2">
      <c r="A35" s="1851" t="s">
        <v>2448</v>
      </c>
    </row>
    <row r="36" spans="1:1" x14ac:dyDescent="0.2">
      <c r="A36" s="1851" t="s">
        <v>2449</v>
      </c>
    </row>
    <row r="37" spans="1:1" ht="21" customHeight="1" x14ac:dyDescent="0.25">
      <c r="A37" s="1850" t="s">
        <v>2450</v>
      </c>
    </row>
    <row r="38" spans="1:1" x14ac:dyDescent="0.2">
      <c r="A38" s="1851" t="s">
        <v>2451</v>
      </c>
    </row>
    <row r="39" spans="1:1" ht="15" x14ac:dyDescent="0.25">
      <c r="A39" s="1850" t="s">
        <v>2452</v>
      </c>
    </row>
    <row r="40" spans="1:1" x14ac:dyDescent="0.2">
      <c r="A40" s="1851" t="s">
        <v>2453</v>
      </c>
    </row>
  </sheetData>
  <pageMargins left="0.7" right="0.7" top="0.75" bottom="0.75" header="0.3" footer="0.3"/>
  <pageSetup paperSize="8"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6">
    <tabColor rgb="FFFFFF00"/>
  </sheetPr>
  <dimension ref="A1:O452"/>
  <sheetViews>
    <sheetView workbookViewId="0">
      <selection activeCell="B28" sqref="B28"/>
    </sheetView>
  </sheetViews>
  <sheetFormatPr defaultRowHeight="12.75" x14ac:dyDescent="0.2"/>
  <cols>
    <col min="1" max="1" width="23.5703125" style="112" customWidth="1"/>
    <col min="2" max="2" width="5.140625" style="112" customWidth="1"/>
    <col min="3" max="3" width="6" style="112" customWidth="1"/>
    <col min="4" max="4" width="21.5703125" style="115" customWidth="1"/>
    <col min="5" max="5" width="16.7109375" style="114" customWidth="1"/>
    <col min="6" max="6" width="19" style="114" customWidth="1"/>
    <col min="7" max="7" width="19.140625" style="114" customWidth="1"/>
    <col min="8" max="13" width="13.28515625" style="114" bestFit="1" customWidth="1"/>
    <col min="14" max="14" width="13.28515625" style="116" bestFit="1" customWidth="1"/>
    <col min="15" max="15" width="29.85546875" style="112" customWidth="1"/>
    <col min="16" max="16384" width="9.140625" style="112"/>
  </cols>
  <sheetData>
    <row r="1" spans="1:15" ht="13.5" thickBot="1" x14ac:dyDescent="0.25">
      <c r="A1" s="1309"/>
      <c r="B1" s="1309"/>
      <c r="C1" s="1309"/>
      <c r="D1" s="1321"/>
      <c r="E1" s="1321"/>
      <c r="F1" s="1321"/>
      <c r="G1" s="1321"/>
      <c r="H1" s="1321"/>
      <c r="I1" s="1321"/>
      <c r="J1" s="1321"/>
      <c r="K1" s="1321"/>
      <c r="L1" s="1321"/>
      <c r="M1" s="1321"/>
      <c r="N1" s="1321"/>
      <c r="O1" s="1309"/>
    </row>
    <row r="2" spans="1:15" ht="26.25" x14ac:dyDescent="0.4">
      <c r="A2" s="1310" t="s">
        <v>59</v>
      </c>
      <c r="B2" s="1311"/>
      <c r="D2" s="1334" t="s">
        <v>2310</v>
      </c>
      <c r="E2" s="1323"/>
      <c r="F2" s="1323"/>
      <c r="G2" s="1323"/>
      <c r="H2" s="1323"/>
      <c r="I2" s="1323"/>
      <c r="J2" s="1323"/>
      <c r="K2" s="1323"/>
      <c r="L2" s="1323"/>
      <c r="M2" s="1323"/>
      <c r="N2" s="1324"/>
      <c r="O2" s="1324"/>
    </row>
    <row r="3" spans="1:15" ht="13.5" thickBot="1" x14ac:dyDescent="0.25">
      <c r="A3" s="1312">
        <v>1</v>
      </c>
      <c r="B3" s="1313"/>
      <c r="D3" s="1325"/>
      <c r="E3" s="1326"/>
      <c r="F3" s="1326"/>
      <c r="G3" s="1326"/>
      <c r="H3" s="1326"/>
      <c r="I3" s="1326"/>
      <c r="J3" s="1326"/>
      <c r="K3" s="1326"/>
      <c r="L3" s="1326"/>
      <c r="M3" s="1326"/>
      <c r="N3" s="1327"/>
      <c r="O3" s="1327"/>
    </row>
    <row r="4" spans="1:15" ht="13.5" thickBot="1" x14ac:dyDescent="0.25">
      <c r="A4" s="1312">
        <f>+_language-1</f>
        <v>0</v>
      </c>
      <c r="B4" s="1313"/>
      <c r="D4" s="1317" t="s">
        <v>160</v>
      </c>
      <c r="E4" s="1318" t="s">
        <v>161</v>
      </c>
      <c r="F4" s="1318" t="s">
        <v>162</v>
      </c>
      <c r="G4" s="1318" t="s">
        <v>163</v>
      </c>
      <c r="H4" s="1315" t="s">
        <v>164</v>
      </c>
      <c r="I4" s="1315" t="s">
        <v>165</v>
      </c>
      <c r="J4" s="1315" t="s">
        <v>165</v>
      </c>
      <c r="K4" s="1315" t="s">
        <v>165</v>
      </c>
      <c r="L4" s="1315" t="s">
        <v>165</v>
      </c>
      <c r="M4" s="1315" t="s">
        <v>165</v>
      </c>
      <c r="N4" s="1316" t="s">
        <v>165</v>
      </c>
      <c r="O4" s="113" t="s">
        <v>2159</v>
      </c>
    </row>
    <row r="5" spans="1:15" ht="13.5" thickBot="1" x14ac:dyDescent="0.25">
      <c r="A5" s="1314" t="str">
        <f>INDEX(Language!$D$5:$M$5,1,_language)</f>
        <v>English</v>
      </c>
      <c r="B5" s="1320">
        <v>1</v>
      </c>
      <c r="D5" s="115" t="s">
        <v>160</v>
      </c>
      <c r="E5" s="114" t="s">
        <v>166</v>
      </c>
      <c r="F5" s="114" t="s">
        <v>167</v>
      </c>
      <c r="G5" s="114" t="s">
        <v>168</v>
      </c>
      <c r="H5" s="114" t="s">
        <v>169</v>
      </c>
      <c r="O5" s="1336"/>
    </row>
    <row r="6" spans="1:15" x14ac:dyDescent="0.2">
      <c r="D6" s="115" t="s">
        <v>170</v>
      </c>
      <c r="E6" s="114" t="s">
        <v>171</v>
      </c>
      <c r="F6" s="114" t="s">
        <v>172</v>
      </c>
      <c r="G6" s="114" t="s">
        <v>173</v>
      </c>
      <c r="O6" s="1336"/>
    </row>
    <row r="7" spans="1:15" x14ac:dyDescent="0.2">
      <c r="A7" s="1319"/>
      <c r="D7" s="115" t="s">
        <v>1802</v>
      </c>
      <c r="G7" s="114" t="s">
        <v>174</v>
      </c>
      <c r="O7" s="1336"/>
    </row>
    <row r="8" spans="1:15" x14ac:dyDescent="0.2">
      <c r="D8" s="115" t="s">
        <v>175</v>
      </c>
      <c r="G8" s="114" t="s">
        <v>176</v>
      </c>
      <c r="O8" s="1336"/>
    </row>
    <row r="9" spans="1:15" x14ac:dyDescent="0.2">
      <c r="A9" s="1328" t="str">
        <f>+D4</f>
        <v>English</v>
      </c>
      <c r="B9" s="1329"/>
      <c r="D9" s="115" t="s">
        <v>177</v>
      </c>
      <c r="G9" s="114" t="s">
        <v>178</v>
      </c>
      <c r="O9" s="1336"/>
    </row>
    <row r="10" spans="1:15" x14ac:dyDescent="0.2">
      <c r="A10" s="1330" t="str">
        <f>+E4</f>
        <v>French</v>
      </c>
      <c r="B10" s="1331"/>
      <c r="D10" s="115" t="s">
        <v>179</v>
      </c>
      <c r="G10" s="114" t="s">
        <v>180</v>
      </c>
      <c r="O10" s="1336"/>
    </row>
    <row r="11" spans="1:15" x14ac:dyDescent="0.2">
      <c r="A11" s="1330" t="str">
        <f>+F4</f>
        <v>German</v>
      </c>
      <c r="B11" s="1331"/>
      <c r="D11" s="115" t="s">
        <v>181</v>
      </c>
      <c r="G11" s="114" t="s">
        <v>182</v>
      </c>
      <c r="O11" s="1336"/>
    </row>
    <row r="12" spans="1:15" x14ac:dyDescent="0.2">
      <c r="A12" s="1330" t="str">
        <f>+G4</f>
        <v>Dutch</v>
      </c>
      <c r="B12" s="1331"/>
      <c r="D12" s="115" t="s">
        <v>183</v>
      </c>
      <c r="G12" s="114" t="s">
        <v>184</v>
      </c>
      <c r="O12" s="1336"/>
    </row>
    <row r="13" spans="1:15" x14ac:dyDescent="0.2">
      <c r="A13" s="1330" t="str">
        <f>+H4</f>
        <v>Greek</v>
      </c>
      <c r="B13" s="1331"/>
      <c r="D13" s="115" t="s">
        <v>185</v>
      </c>
      <c r="G13" s="114" t="s">
        <v>186</v>
      </c>
      <c r="O13" s="1336"/>
    </row>
    <row r="14" spans="1:15" x14ac:dyDescent="0.2">
      <c r="A14" s="1330" t="str">
        <f>+I4</f>
        <v>Future option</v>
      </c>
      <c r="B14" s="1331"/>
      <c r="D14" s="115" t="s">
        <v>187</v>
      </c>
      <c r="G14" s="114" t="s">
        <v>188</v>
      </c>
      <c r="O14" s="1336"/>
    </row>
    <row r="15" spans="1:15" x14ac:dyDescent="0.2">
      <c r="A15" s="1330" t="str">
        <f>+J4</f>
        <v>Future option</v>
      </c>
      <c r="B15" s="1331"/>
      <c r="D15" s="115" t="s">
        <v>189</v>
      </c>
      <c r="G15" s="114" t="s">
        <v>190</v>
      </c>
      <c r="O15" s="1336"/>
    </row>
    <row r="16" spans="1:15" x14ac:dyDescent="0.2">
      <c r="A16" s="1330" t="str">
        <f>+K4</f>
        <v>Future option</v>
      </c>
      <c r="B16" s="1331"/>
      <c r="D16" s="115" t="s">
        <v>191</v>
      </c>
      <c r="G16" s="114" t="s">
        <v>192</v>
      </c>
      <c r="O16" s="1336"/>
    </row>
    <row r="17" spans="1:15" x14ac:dyDescent="0.2">
      <c r="A17" s="1330" t="str">
        <f>+L4</f>
        <v>Future option</v>
      </c>
      <c r="B17" s="1331"/>
      <c r="D17" s="115" t="s">
        <v>193</v>
      </c>
      <c r="G17" s="114" t="s">
        <v>194</v>
      </c>
      <c r="O17" s="1336"/>
    </row>
    <row r="18" spans="1:15" x14ac:dyDescent="0.2">
      <c r="A18" s="1330" t="str">
        <f>+M4</f>
        <v>Future option</v>
      </c>
      <c r="B18" s="1331"/>
      <c r="D18" s="115" t="s">
        <v>195</v>
      </c>
      <c r="G18" s="114" t="s">
        <v>196</v>
      </c>
      <c r="O18" s="1336"/>
    </row>
    <row r="19" spans="1:15" x14ac:dyDescent="0.2">
      <c r="A19" s="1332" t="str">
        <f>+N4</f>
        <v>Future option</v>
      </c>
      <c r="B19" s="1333"/>
      <c r="D19" s="115" t="s">
        <v>197</v>
      </c>
      <c r="G19" s="114" t="s">
        <v>198</v>
      </c>
      <c r="O19" s="1336"/>
    </row>
    <row r="20" spans="1:15" x14ac:dyDescent="0.2">
      <c r="D20" s="115" t="s">
        <v>199</v>
      </c>
      <c r="G20" s="114" t="s">
        <v>200</v>
      </c>
      <c r="O20" s="1336"/>
    </row>
    <row r="21" spans="1:15" x14ac:dyDescent="0.2">
      <c r="D21" s="115" t="s">
        <v>201</v>
      </c>
      <c r="G21" s="114" t="s">
        <v>202</v>
      </c>
      <c r="O21" s="1336"/>
    </row>
    <row r="22" spans="1:15" x14ac:dyDescent="0.2">
      <c r="D22" s="115" t="s">
        <v>203</v>
      </c>
      <c r="G22" s="114" t="s">
        <v>204</v>
      </c>
      <c r="O22" s="1336"/>
    </row>
    <row r="23" spans="1:15" x14ac:dyDescent="0.2">
      <c r="D23" s="115" t="s">
        <v>205</v>
      </c>
      <c r="G23" s="114" t="s">
        <v>206</v>
      </c>
      <c r="O23" s="1336"/>
    </row>
    <row r="24" spans="1:15" x14ac:dyDescent="0.2">
      <c r="D24" s="115" t="s">
        <v>207</v>
      </c>
      <c r="G24" s="114" t="s">
        <v>208</v>
      </c>
      <c r="O24" s="1336"/>
    </row>
    <row r="25" spans="1:15" x14ac:dyDescent="0.2">
      <c r="D25" s="115" t="s">
        <v>209</v>
      </c>
      <c r="G25" s="114" t="s">
        <v>210</v>
      </c>
      <c r="O25" s="1336"/>
    </row>
    <row r="26" spans="1:15" x14ac:dyDescent="0.2">
      <c r="D26" s="115" t="s">
        <v>211</v>
      </c>
      <c r="G26" s="114" t="s">
        <v>212</v>
      </c>
      <c r="O26" s="1336"/>
    </row>
    <row r="27" spans="1:15" x14ac:dyDescent="0.2">
      <c r="D27" s="115" t="s">
        <v>213</v>
      </c>
      <c r="G27" s="114" t="s">
        <v>214</v>
      </c>
      <c r="O27" s="1336"/>
    </row>
    <row r="28" spans="1:15" x14ac:dyDescent="0.2">
      <c r="D28" s="115" t="s">
        <v>215</v>
      </c>
      <c r="G28" s="114" t="s">
        <v>216</v>
      </c>
      <c r="O28" s="1336"/>
    </row>
    <row r="29" spans="1:15" x14ac:dyDescent="0.2">
      <c r="D29" s="115" t="s">
        <v>217</v>
      </c>
      <c r="G29" s="114" t="s">
        <v>218</v>
      </c>
      <c r="O29" s="1336"/>
    </row>
    <row r="30" spans="1:15" x14ac:dyDescent="0.2">
      <c r="D30" s="115" t="s">
        <v>219</v>
      </c>
      <c r="G30" s="114" t="s">
        <v>220</v>
      </c>
      <c r="O30" s="1336"/>
    </row>
    <row r="31" spans="1:15" x14ac:dyDescent="0.2">
      <c r="D31" s="115" t="s">
        <v>221</v>
      </c>
      <c r="G31" s="114" t="s">
        <v>222</v>
      </c>
      <c r="O31" s="1336"/>
    </row>
    <row r="32" spans="1:15" x14ac:dyDescent="0.2">
      <c r="D32" s="115" t="s">
        <v>223</v>
      </c>
      <c r="G32" s="114" t="s">
        <v>224</v>
      </c>
      <c r="O32" s="1336"/>
    </row>
    <row r="33" spans="4:15" x14ac:dyDescent="0.2">
      <c r="D33" s="115" t="s">
        <v>225</v>
      </c>
      <c r="G33" s="114" t="s">
        <v>226</v>
      </c>
      <c r="O33" s="1336"/>
    </row>
    <row r="34" spans="4:15" x14ac:dyDescent="0.2">
      <c r="D34" s="117" t="s">
        <v>227</v>
      </c>
      <c r="E34" s="118"/>
      <c r="F34" s="118"/>
      <c r="G34" s="118" t="s">
        <v>228</v>
      </c>
      <c r="H34" s="118"/>
      <c r="O34" s="1336"/>
    </row>
    <row r="35" spans="4:15" x14ac:dyDescent="0.2">
      <c r="D35" s="115" t="s">
        <v>229</v>
      </c>
      <c r="G35" s="114" t="s">
        <v>230</v>
      </c>
      <c r="O35" s="1336"/>
    </row>
    <row r="36" spans="4:15" x14ac:dyDescent="0.2">
      <c r="D36" s="115" t="s">
        <v>231</v>
      </c>
      <c r="G36" s="114" t="s">
        <v>232</v>
      </c>
      <c r="O36" s="1336"/>
    </row>
    <row r="37" spans="4:15" x14ac:dyDescent="0.2">
      <c r="D37" s="115" t="s">
        <v>233</v>
      </c>
      <c r="G37" s="114" t="s">
        <v>234</v>
      </c>
      <c r="O37" s="1336"/>
    </row>
    <row r="38" spans="4:15" x14ac:dyDescent="0.2">
      <c r="D38" s="115" t="s">
        <v>235</v>
      </c>
      <c r="G38" s="114" t="s">
        <v>236</v>
      </c>
      <c r="O38" s="1336"/>
    </row>
    <row r="39" spans="4:15" x14ac:dyDescent="0.2">
      <c r="D39" s="115" t="s">
        <v>237</v>
      </c>
      <c r="G39" s="114" t="s">
        <v>238</v>
      </c>
      <c r="O39" s="1336"/>
    </row>
    <row r="40" spans="4:15" x14ac:dyDescent="0.2">
      <c r="D40" s="115" t="s">
        <v>239</v>
      </c>
      <c r="G40" s="114" t="s">
        <v>240</v>
      </c>
      <c r="O40" s="1336"/>
    </row>
    <row r="41" spans="4:15" x14ac:dyDescent="0.2">
      <c r="D41" s="115" t="s">
        <v>241</v>
      </c>
      <c r="G41" s="114" t="s">
        <v>242</v>
      </c>
      <c r="O41" s="1336"/>
    </row>
    <row r="42" spans="4:15" x14ac:dyDescent="0.2">
      <c r="D42" s="117" t="s">
        <v>243</v>
      </c>
      <c r="E42" s="118"/>
      <c r="F42" s="118"/>
      <c r="G42" s="118" t="s">
        <v>244</v>
      </c>
      <c r="H42" s="118"/>
      <c r="O42" s="1336"/>
    </row>
    <row r="43" spans="4:15" x14ac:dyDescent="0.2">
      <c r="D43" s="115" t="s">
        <v>245</v>
      </c>
      <c r="G43" s="114" t="s">
        <v>246</v>
      </c>
      <c r="O43" s="1336"/>
    </row>
    <row r="44" spans="4:15" x14ac:dyDescent="0.2">
      <c r="D44" s="115" t="s">
        <v>247</v>
      </c>
      <c r="G44" s="114" t="s">
        <v>248</v>
      </c>
      <c r="O44" s="1336"/>
    </row>
    <row r="45" spans="4:15" x14ac:dyDescent="0.2">
      <c r="D45" s="115" t="s">
        <v>247</v>
      </c>
      <c r="G45" s="114" t="s">
        <v>248</v>
      </c>
      <c r="O45" s="1336"/>
    </row>
    <row r="46" spans="4:15" x14ac:dyDescent="0.2">
      <c r="D46" s="115" t="s">
        <v>249</v>
      </c>
      <c r="G46" s="114" t="s">
        <v>250</v>
      </c>
      <c r="O46" s="1336"/>
    </row>
    <row r="47" spans="4:15" x14ac:dyDescent="0.2">
      <c r="D47" s="115" t="s">
        <v>251</v>
      </c>
      <c r="G47" s="114" t="s">
        <v>252</v>
      </c>
      <c r="O47" s="1336"/>
    </row>
    <row r="48" spans="4:15" x14ac:dyDescent="0.2">
      <c r="D48" s="115" t="s">
        <v>253</v>
      </c>
      <c r="G48" s="114" t="s">
        <v>254</v>
      </c>
      <c r="O48" s="1336"/>
    </row>
    <row r="49" spans="4:15" x14ac:dyDescent="0.2">
      <c r="D49" s="115" t="s">
        <v>255</v>
      </c>
      <c r="G49" s="114" t="s">
        <v>256</v>
      </c>
      <c r="O49" s="1336"/>
    </row>
    <row r="50" spans="4:15" x14ac:dyDescent="0.2">
      <c r="D50" s="115" t="s">
        <v>257</v>
      </c>
      <c r="G50" s="114" t="s">
        <v>258</v>
      </c>
      <c r="O50" s="1336"/>
    </row>
    <row r="51" spans="4:15" x14ac:dyDescent="0.2">
      <c r="D51" s="115" t="s">
        <v>259</v>
      </c>
      <c r="G51" s="114" t="s">
        <v>260</v>
      </c>
      <c r="O51" s="1336"/>
    </row>
    <row r="52" spans="4:15" x14ac:dyDescent="0.2">
      <c r="D52" s="115" t="s">
        <v>261</v>
      </c>
      <c r="G52" s="114" t="s">
        <v>262</v>
      </c>
      <c r="O52" s="1336"/>
    </row>
    <row r="53" spans="4:15" x14ac:dyDescent="0.2">
      <c r="D53" s="115" t="s">
        <v>263</v>
      </c>
      <c r="G53" s="114" t="s">
        <v>264</v>
      </c>
      <c r="O53" s="1336"/>
    </row>
    <row r="54" spans="4:15" x14ac:dyDescent="0.2">
      <c r="D54" s="115" t="s">
        <v>265</v>
      </c>
      <c r="G54" s="114" t="s">
        <v>266</v>
      </c>
      <c r="O54" s="1336"/>
    </row>
    <row r="55" spans="4:15" x14ac:dyDescent="0.2">
      <c r="D55" s="115" t="s">
        <v>267</v>
      </c>
      <c r="G55" s="114" t="s">
        <v>268</v>
      </c>
      <c r="O55" s="1336"/>
    </row>
    <row r="56" spans="4:15" x14ac:dyDescent="0.2">
      <c r="D56" s="115" t="s">
        <v>269</v>
      </c>
      <c r="G56" s="114" t="s">
        <v>270</v>
      </c>
      <c r="O56" s="1336"/>
    </row>
    <row r="57" spans="4:15" x14ac:dyDescent="0.2">
      <c r="D57" s="115" t="s">
        <v>271</v>
      </c>
      <c r="G57" s="114" t="s">
        <v>272</v>
      </c>
      <c r="O57" s="1336"/>
    </row>
    <row r="58" spans="4:15" x14ac:dyDescent="0.2">
      <c r="D58" s="115" t="s">
        <v>273</v>
      </c>
      <c r="G58" s="114" t="s">
        <v>274</v>
      </c>
      <c r="O58" s="1336"/>
    </row>
    <row r="59" spans="4:15" x14ac:dyDescent="0.2">
      <c r="D59" s="115" t="s">
        <v>275</v>
      </c>
      <c r="G59" s="114" t="s">
        <v>276</v>
      </c>
      <c r="O59" s="1336"/>
    </row>
    <row r="60" spans="4:15" x14ac:dyDescent="0.2">
      <c r="D60" s="115" t="s">
        <v>277</v>
      </c>
      <c r="G60" s="114" t="s">
        <v>278</v>
      </c>
      <c r="O60" s="1336"/>
    </row>
    <row r="61" spans="4:15" x14ac:dyDescent="0.2">
      <c r="D61" s="115" t="s">
        <v>279</v>
      </c>
      <c r="G61" s="114" t="s">
        <v>280</v>
      </c>
      <c r="O61" s="1336"/>
    </row>
    <row r="62" spans="4:15" x14ac:dyDescent="0.2">
      <c r="D62" s="115" t="s">
        <v>281</v>
      </c>
      <c r="G62" s="114" t="s">
        <v>282</v>
      </c>
      <c r="O62" s="1336"/>
    </row>
    <row r="63" spans="4:15" x14ac:dyDescent="0.2">
      <c r="D63" s="115" t="s">
        <v>283</v>
      </c>
      <c r="G63" s="114" t="s">
        <v>284</v>
      </c>
      <c r="O63" s="1336"/>
    </row>
    <row r="64" spans="4:15" x14ac:dyDescent="0.2">
      <c r="D64" s="115" t="s">
        <v>285</v>
      </c>
      <c r="G64" s="114" t="s">
        <v>285</v>
      </c>
      <c r="O64" s="1336"/>
    </row>
    <row r="65" spans="4:15" x14ac:dyDescent="0.2">
      <c r="D65" s="115" t="s">
        <v>286</v>
      </c>
      <c r="G65" s="114" t="s">
        <v>287</v>
      </c>
      <c r="O65" s="1336"/>
    </row>
    <row r="66" spans="4:15" x14ac:dyDescent="0.2">
      <c r="D66" s="115" t="s">
        <v>288</v>
      </c>
      <c r="G66" s="114" t="s">
        <v>289</v>
      </c>
      <c r="O66" s="1336"/>
    </row>
    <row r="67" spans="4:15" x14ac:dyDescent="0.2">
      <c r="D67" s="115" t="s">
        <v>290</v>
      </c>
      <c r="G67" s="114" t="s">
        <v>291</v>
      </c>
      <c r="O67" s="1336"/>
    </row>
    <row r="68" spans="4:15" x14ac:dyDescent="0.2">
      <c r="O68" s="1336"/>
    </row>
    <row r="69" spans="4:15" x14ac:dyDescent="0.2">
      <c r="O69" s="1336"/>
    </row>
    <row r="70" spans="4:15" x14ac:dyDescent="0.2">
      <c r="D70" s="115" t="s">
        <v>292</v>
      </c>
      <c r="G70" s="114" t="s">
        <v>293</v>
      </c>
      <c r="O70" s="1336"/>
    </row>
    <row r="71" spans="4:15" x14ac:dyDescent="0.2">
      <c r="D71" s="115" t="s">
        <v>294</v>
      </c>
      <c r="G71" s="114" t="s">
        <v>295</v>
      </c>
      <c r="O71" s="1336"/>
    </row>
    <row r="72" spans="4:15" x14ac:dyDescent="0.2">
      <c r="D72" s="115" t="s">
        <v>296</v>
      </c>
      <c r="G72" s="114" t="s">
        <v>297</v>
      </c>
      <c r="O72" s="1336"/>
    </row>
    <row r="73" spans="4:15" x14ac:dyDescent="0.2">
      <c r="D73" s="115" t="s">
        <v>298</v>
      </c>
      <c r="G73" s="114" t="s">
        <v>299</v>
      </c>
      <c r="O73" s="1336"/>
    </row>
    <row r="74" spans="4:15" x14ac:dyDescent="0.2">
      <c r="D74" s="115" t="s">
        <v>300</v>
      </c>
      <c r="G74" s="114" t="s">
        <v>301</v>
      </c>
      <c r="O74" s="1336"/>
    </row>
    <row r="75" spans="4:15" x14ac:dyDescent="0.2">
      <c r="D75" s="115" t="s">
        <v>302</v>
      </c>
      <c r="G75" s="114" t="s">
        <v>303</v>
      </c>
      <c r="O75" s="1336"/>
    </row>
    <row r="76" spans="4:15" x14ac:dyDescent="0.2">
      <c r="D76" s="115" t="s">
        <v>304</v>
      </c>
      <c r="G76" s="114" t="s">
        <v>305</v>
      </c>
      <c r="O76" s="1336"/>
    </row>
    <row r="77" spans="4:15" x14ac:dyDescent="0.2">
      <c r="D77" s="115" t="s">
        <v>306</v>
      </c>
      <c r="G77" s="114" t="s">
        <v>307</v>
      </c>
      <c r="O77" s="1336"/>
    </row>
    <row r="78" spans="4:15" x14ac:dyDescent="0.2">
      <c r="D78" s="115" t="s">
        <v>308</v>
      </c>
      <c r="G78" s="114" t="s">
        <v>309</v>
      </c>
      <c r="O78" s="1336"/>
    </row>
    <row r="79" spans="4:15" x14ac:dyDescent="0.2">
      <c r="D79" s="115" t="s">
        <v>310</v>
      </c>
      <c r="G79" s="114" t="s">
        <v>311</v>
      </c>
      <c r="O79" s="1336"/>
    </row>
    <row r="80" spans="4:15" x14ac:dyDescent="0.2">
      <c r="D80" s="115" t="s">
        <v>312</v>
      </c>
      <c r="G80" s="114" t="s">
        <v>313</v>
      </c>
      <c r="O80" s="1336"/>
    </row>
    <row r="81" spans="4:15" x14ac:dyDescent="0.2">
      <c r="D81" s="115" t="s">
        <v>314</v>
      </c>
      <c r="G81" s="114" t="s">
        <v>315</v>
      </c>
      <c r="O81" s="1336"/>
    </row>
    <row r="82" spans="4:15" x14ac:dyDescent="0.2">
      <c r="D82" s="115" t="s">
        <v>316</v>
      </c>
      <c r="G82" s="114" t="s">
        <v>317</v>
      </c>
      <c r="O82" s="1336"/>
    </row>
    <row r="83" spans="4:15" x14ac:dyDescent="0.2">
      <c r="D83" s="115" t="s">
        <v>318</v>
      </c>
      <c r="G83" s="114" t="s">
        <v>319</v>
      </c>
      <c r="O83" s="1336"/>
    </row>
    <row r="84" spans="4:15" x14ac:dyDescent="0.2">
      <c r="D84" s="115" t="s">
        <v>320</v>
      </c>
      <c r="G84" s="114" t="s">
        <v>321</v>
      </c>
      <c r="O84" s="1336"/>
    </row>
    <row r="85" spans="4:15" x14ac:dyDescent="0.2">
      <c r="D85" s="115" t="s">
        <v>322</v>
      </c>
      <c r="G85" s="114" t="s">
        <v>323</v>
      </c>
      <c r="O85" s="1336"/>
    </row>
    <row r="86" spans="4:15" x14ac:dyDescent="0.2">
      <c r="D86" s="115" t="s">
        <v>324</v>
      </c>
      <c r="G86" s="114" t="s">
        <v>324</v>
      </c>
      <c r="O86" s="1336"/>
    </row>
    <row r="87" spans="4:15" x14ac:dyDescent="0.2">
      <c r="D87" s="115" t="s">
        <v>325</v>
      </c>
      <c r="G87" s="114" t="s">
        <v>326</v>
      </c>
      <c r="O87" s="1336"/>
    </row>
    <row r="88" spans="4:15" x14ac:dyDescent="0.2">
      <c r="D88" s="115" t="s">
        <v>327</v>
      </c>
      <c r="G88" s="114" t="s">
        <v>327</v>
      </c>
      <c r="O88" s="1336"/>
    </row>
    <row r="89" spans="4:15" x14ac:dyDescent="0.2">
      <c r="D89" s="115" t="s">
        <v>328</v>
      </c>
      <c r="G89" s="114" t="s">
        <v>329</v>
      </c>
      <c r="O89" s="1336"/>
    </row>
    <row r="90" spans="4:15" x14ac:dyDescent="0.2">
      <c r="O90" s="1336"/>
    </row>
    <row r="91" spans="4:15" x14ac:dyDescent="0.2">
      <c r="O91" s="1336"/>
    </row>
    <row r="92" spans="4:15" x14ac:dyDescent="0.2">
      <c r="D92" s="115" t="s">
        <v>330</v>
      </c>
      <c r="G92" s="114" t="s">
        <v>331</v>
      </c>
      <c r="O92" s="1336"/>
    </row>
    <row r="93" spans="4:15" x14ac:dyDescent="0.2">
      <c r="D93" s="115" t="s">
        <v>332</v>
      </c>
      <c r="G93" s="114" t="s">
        <v>332</v>
      </c>
      <c r="O93" s="1336"/>
    </row>
    <row r="94" spans="4:15" x14ac:dyDescent="0.2">
      <c r="D94" s="115" t="s">
        <v>333</v>
      </c>
      <c r="G94" s="114" t="s">
        <v>334</v>
      </c>
      <c r="O94" s="1336"/>
    </row>
    <row r="95" spans="4:15" x14ac:dyDescent="0.2">
      <c r="D95" s="115" t="s">
        <v>335</v>
      </c>
      <c r="G95" s="114" t="s">
        <v>336</v>
      </c>
      <c r="O95" s="1336"/>
    </row>
    <row r="96" spans="4:15" x14ac:dyDescent="0.2">
      <c r="O96" s="1336"/>
    </row>
    <row r="97" spans="4:15" x14ac:dyDescent="0.2">
      <c r="D97" s="115" t="s">
        <v>874</v>
      </c>
      <c r="G97" s="115" t="s">
        <v>874</v>
      </c>
      <c r="O97" s="1336"/>
    </row>
    <row r="98" spans="4:15" x14ac:dyDescent="0.2">
      <c r="D98" s="115" t="s">
        <v>875</v>
      </c>
      <c r="G98" s="115" t="s">
        <v>875</v>
      </c>
      <c r="O98" s="1336"/>
    </row>
    <row r="99" spans="4:15" x14ac:dyDescent="0.2">
      <c r="O99" s="1336"/>
    </row>
    <row r="100" spans="4:15" x14ac:dyDescent="0.2">
      <c r="O100" s="1336"/>
    </row>
    <row r="101" spans="4:15" x14ac:dyDescent="0.2">
      <c r="O101" s="1336"/>
    </row>
    <row r="102" spans="4:15" x14ac:dyDescent="0.2">
      <c r="D102" s="115" t="s">
        <v>5</v>
      </c>
      <c r="G102" s="114" t="s">
        <v>337</v>
      </c>
      <c r="O102" s="1336"/>
    </row>
    <row r="103" spans="4:15" x14ac:dyDescent="0.2">
      <c r="D103" s="115" t="s">
        <v>7</v>
      </c>
      <c r="G103" s="114" t="s">
        <v>338</v>
      </c>
      <c r="O103" s="1336"/>
    </row>
    <row r="104" spans="4:15" x14ac:dyDescent="0.2">
      <c r="D104" s="115" t="s">
        <v>22</v>
      </c>
      <c r="G104" s="114" t="s">
        <v>339</v>
      </c>
      <c r="O104" s="1336"/>
    </row>
    <row r="105" spans="4:15" x14ac:dyDescent="0.2">
      <c r="D105" s="115" t="s">
        <v>0</v>
      </c>
      <c r="G105" s="114" t="s">
        <v>340</v>
      </c>
      <c r="O105" s="1336"/>
    </row>
    <row r="106" spans="4:15" x14ac:dyDescent="0.2">
      <c r="D106" s="115" t="s">
        <v>4</v>
      </c>
      <c r="G106" s="114" t="s">
        <v>341</v>
      </c>
      <c r="O106" s="1336"/>
    </row>
    <row r="107" spans="4:15" x14ac:dyDescent="0.2">
      <c r="D107" s="115" t="s">
        <v>170</v>
      </c>
      <c r="G107" s="114" t="s">
        <v>173</v>
      </c>
      <c r="O107" s="1336"/>
    </row>
    <row r="108" spans="4:15" x14ac:dyDescent="0.2">
      <c r="D108" s="115" t="s">
        <v>342</v>
      </c>
      <c r="G108" s="114" t="s">
        <v>342</v>
      </c>
      <c r="O108" s="1336"/>
    </row>
    <row r="109" spans="4:15" x14ac:dyDescent="0.2">
      <c r="D109" s="115" t="s">
        <v>343</v>
      </c>
      <c r="G109" s="114" t="s">
        <v>344</v>
      </c>
      <c r="O109" s="1336"/>
    </row>
    <row r="110" spans="4:15" x14ac:dyDescent="0.2">
      <c r="D110" s="115" t="s">
        <v>345</v>
      </c>
      <c r="G110" s="114" t="s">
        <v>346</v>
      </c>
      <c r="O110" s="1336"/>
    </row>
    <row r="111" spans="4:15" x14ac:dyDescent="0.2">
      <c r="O111" s="1336"/>
    </row>
    <row r="112" spans="4:15" x14ac:dyDescent="0.2">
      <c r="D112" s="115" t="s">
        <v>347</v>
      </c>
      <c r="G112" s="114" t="s">
        <v>348</v>
      </c>
      <c r="O112" s="1336"/>
    </row>
    <row r="113" spans="4:15" x14ac:dyDescent="0.2">
      <c r="D113" s="115" t="s">
        <v>342</v>
      </c>
      <c r="G113" s="114" t="s">
        <v>342</v>
      </c>
      <c r="O113" s="1336"/>
    </row>
    <row r="114" spans="4:15" x14ac:dyDescent="0.2">
      <c r="D114" s="115" t="s">
        <v>0</v>
      </c>
      <c r="G114" s="114" t="s">
        <v>340</v>
      </c>
      <c r="O114" s="1336"/>
    </row>
    <row r="115" spans="4:15" x14ac:dyDescent="0.2">
      <c r="D115" s="115" t="s">
        <v>26</v>
      </c>
      <c r="G115" s="114" t="s">
        <v>349</v>
      </c>
      <c r="O115" s="1336"/>
    </row>
    <row r="116" spans="4:15" x14ac:dyDescent="0.2">
      <c r="D116" s="115" t="s">
        <v>350</v>
      </c>
      <c r="G116" s="114" t="s">
        <v>351</v>
      </c>
      <c r="O116" s="1336"/>
    </row>
    <row r="117" spans="4:15" x14ac:dyDescent="0.2">
      <c r="D117" s="115" t="s">
        <v>352</v>
      </c>
      <c r="G117" s="114" t="s">
        <v>353</v>
      </c>
      <c r="O117" s="1336"/>
    </row>
    <row r="118" spans="4:15" x14ac:dyDescent="0.2">
      <c r="D118" s="115" t="s">
        <v>354</v>
      </c>
      <c r="G118" s="114" t="s">
        <v>355</v>
      </c>
      <c r="O118" s="1336"/>
    </row>
    <row r="119" spans="4:15" x14ac:dyDescent="0.2">
      <c r="D119" s="115" t="s">
        <v>356</v>
      </c>
      <c r="G119" s="114" t="s">
        <v>357</v>
      </c>
      <c r="O119" s="1336"/>
    </row>
    <row r="120" spans="4:15" x14ac:dyDescent="0.2">
      <c r="D120" s="115" t="s">
        <v>68</v>
      </c>
      <c r="G120" s="114" t="s">
        <v>358</v>
      </c>
      <c r="O120" s="1336"/>
    </row>
    <row r="121" spans="4:15" x14ac:dyDescent="0.2">
      <c r="D121" s="115" t="s">
        <v>359</v>
      </c>
      <c r="G121" s="114" t="s">
        <v>360</v>
      </c>
      <c r="O121" s="1336"/>
    </row>
    <row r="122" spans="4:15" x14ac:dyDescent="0.2">
      <c r="D122" s="115" t="s">
        <v>361</v>
      </c>
      <c r="G122" s="114" t="s">
        <v>362</v>
      </c>
      <c r="O122" s="1336"/>
    </row>
    <row r="123" spans="4:15" x14ac:dyDescent="0.2">
      <c r="D123" s="115" t="s">
        <v>363</v>
      </c>
      <c r="G123" s="114" t="s">
        <v>364</v>
      </c>
      <c r="O123" s="1336"/>
    </row>
    <row r="124" spans="4:15" x14ac:dyDescent="0.2">
      <c r="D124" s="115" t="s">
        <v>327</v>
      </c>
      <c r="G124" s="114" t="s">
        <v>327</v>
      </c>
      <c r="O124" s="1336"/>
    </row>
    <row r="125" spans="4:15" x14ac:dyDescent="0.2">
      <c r="D125" s="115" t="s">
        <v>328</v>
      </c>
      <c r="G125" s="114" t="s">
        <v>329</v>
      </c>
      <c r="O125" s="1336"/>
    </row>
    <row r="126" spans="4:15" x14ac:dyDescent="0.2">
      <c r="D126" s="115" t="s">
        <v>365</v>
      </c>
      <c r="G126" s="114" t="s">
        <v>365</v>
      </c>
      <c r="O126" s="1336"/>
    </row>
    <row r="127" spans="4:15" x14ac:dyDescent="0.2">
      <c r="D127" s="115" t="s">
        <v>366</v>
      </c>
      <c r="G127" s="114" t="s">
        <v>367</v>
      </c>
      <c r="O127" s="1336"/>
    </row>
    <row r="128" spans="4:15" x14ac:dyDescent="0.2">
      <c r="D128" s="115" t="s">
        <v>368</v>
      </c>
      <c r="G128" s="114" t="s">
        <v>369</v>
      </c>
      <c r="O128" s="1336"/>
    </row>
    <row r="129" spans="4:15" x14ac:dyDescent="0.2">
      <c r="O129" s="1336"/>
    </row>
    <row r="130" spans="4:15" x14ac:dyDescent="0.2">
      <c r="O130" s="1336"/>
    </row>
    <row r="131" spans="4:15" ht="13.5" thickBot="1" x14ac:dyDescent="0.25">
      <c r="O131" s="1336"/>
    </row>
    <row r="132" spans="4:15" s="1322" customFormat="1" x14ac:dyDescent="0.2">
      <c r="D132" s="1338" t="s">
        <v>1350</v>
      </c>
      <c r="E132" s="1339"/>
      <c r="F132" s="1339"/>
      <c r="G132" s="1339" t="s">
        <v>1350</v>
      </c>
      <c r="H132" s="1339"/>
      <c r="I132" s="1339"/>
      <c r="J132" s="1339"/>
      <c r="K132" s="1339"/>
      <c r="L132" s="1339"/>
      <c r="M132" s="1339"/>
      <c r="N132" s="1340"/>
      <c r="O132" s="1341" t="str">
        <f>INDEX(D132:N132,,_language)</f>
        <v>Test calculation 1</v>
      </c>
    </row>
    <row r="133" spans="4:15" s="1322" customFormat="1" x14ac:dyDescent="0.2">
      <c r="D133" s="1335" t="s">
        <v>1351</v>
      </c>
      <c r="E133" s="119"/>
      <c r="F133" s="119"/>
      <c r="G133" s="119" t="s">
        <v>1351</v>
      </c>
      <c r="H133" s="119"/>
      <c r="I133" s="119"/>
      <c r="J133" s="119"/>
      <c r="K133" s="119"/>
      <c r="L133" s="119"/>
      <c r="M133" s="119"/>
      <c r="N133" s="120"/>
      <c r="O133" s="1337" t="str">
        <f>INDEX(D133:N133,,_language)</f>
        <v>Test calculation 2</v>
      </c>
    </row>
    <row r="134" spans="4:15" s="1322" customFormat="1" x14ac:dyDescent="0.2">
      <c r="D134" s="1335" t="s">
        <v>1352</v>
      </c>
      <c r="E134" s="119"/>
      <c r="F134" s="119"/>
      <c r="G134" s="119" t="s">
        <v>1352</v>
      </c>
      <c r="H134" s="119"/>
      <c r="I134" s="119"/>
      <c r="J134" s="119"/>
      <c r="K134" s="119"/>
      <c r="L134" s="119"/>
      <c r="M134" s="119"/>
      <c r="N134" s="120"/>
      <c r="O134" s="1337" t="str">
        <f>INDEX(D134:N134,,_language)</f>
        <v>Test calculation 3</v>
      </c>
    </row>
    <row r="135" spans="4:15" s="1322" customFormat="1" ht="13.5" thickBot="1" x14ac:dyDescent="0.25">
      <c r="D135" s="1342" t="s">
        <v>1353</v>
      </c>
      <c r="E135" s="1343"/>
      <c r="F135" s="1343"/>
      <c r="G135" s="1343" t="s">
        <v>1353</v>
      </c>
      <c r="H135" s="1343"/>
      <c r="I135" s="1343"/>
      <c r="J135" s="1343"/>
      <c r="K135" s="1343"/>
      <c r="L135" s="1343"/>
      <c r="M135" s="1343"/>
      <c r="N135" s="1344"/>
      <c r="O135" s="1345" t="str">
        <f>INDEX(D135:N135,,_language)</f>
        <v>Calculation example</v>
      </c>
    </row>
    <row r="136" spans="4:15" x14ac:dyDescent="0.2">
      <c r="D136" s="115" t="s">
        <v>370</v>
      </c>
      <c r="E136" s="114" t="s">
        <v>371</v>
      </c>
      <c r="F136" s="114" t="s">
        <v>371</v>
      </c>
      <c r="G136" s="114" t="s">
        <v>370</v>
      </c>
      <c r="H136" s="114" t="s">
        <v>371</v>
      </c>
      <c r="I136" s="114" t="s">
        <v>371</v>
      </c>
      <c r="J136" s="114" t="s">
        <v>371</v>
      </c>
      <c r="K136" s="114" t="s">
        <v>371</v>
      </c>
      <c r="L136" s="114" t="s">
        <v>371</v>
      </c>
      <c r="M136" s="114" t="s">
        <v>371</v>
      </c>
      <c r="N136" s="116" t="s">
        <v>371</v>
      </c>
      <c r="O136" s="1336"/>
    </row>
    <row r="137" spans="4:15" x14ac:dyDescent="0.2">
      <c r="O137" s="1336"/>
    </row>
    <row r="138" spans="4:15" x14ac:dyDescent="0.2">
      <c r="D138" s="115" t="s">
        <v>372</v>
      </c>
      <c r="G138" s="121" t="s">
        <v>372</v>
      </c>
      <c r="O138" s="1336"/>
    </row>
    <row r="139" spans="4:15" x14ac:dyDescent="0.2">
      <c r="D139" s="115" t="s">
        <v>373</v>
      </c>
      <c r="G139" s="121" t="s">
        <v>373</v>
      </c>
      <c r="O139" s="1336"/>
    </row>
    <row r="140" spans="4:15" x14ac:dyDescent="0.2">
      <c r="D140" s="115" t="s">
        <v>374</v>
      </c>
      <c r="G140" s="121" t="s">
        <v>374</v>
      </c>
      <c r="O140" s="1336"/>
    </row>
    <row r="141" spans="4:15" x14ac:dyDescent="0.2">
      <c r="O141" s="1336"/>
    </row>
    <row r="142" spans="4:15" x14ac:dyDescent="0.2">
      <c r="O142" s="1336"/>
    </row>
    <row r="143" spans="4:15" x14ac:dyDescent="0.2">
      <c r="O143" s="1336"/>
    </row>
    <row r="144" spans="4:15" x14ac:dyDescent="0.2">
      <c r="O144" s="1336"/>
    </row>
    <row r="145" spans="4:15" x14ac:dyDescent="0.2">
      <c r="D145" s="115" t="s">
        <v>36</v>
      </c>
      <c r="G145" s="122" t="s">
        <v>36</v>
      </c>
      <c r="O145" s="1336"/>
    </row>
    <row r="146" spans="4:15" x14ac:dyDescent="0.2">
      <c r="D146" s="115" t="s">
        <v>37</v>
      </c>
      <c r="G146" s="122" t="s">
        <v>37</v>
      </c>
      <c r="O146" s="1336"/>
    </row>
    <row r="147" spans="4:15" x14ac:dyDescent="0.2">
      <c r="D147" s="115" t="s">
        <v>38</v>
      </c>
      <c r="G147" s="122" t="s">
        <v>38</v>
      </c>
      <c r="O147" s="1336"/>
    </row>
    <row r="148" spans="4:15" x14ac:dyDescent="0.2">
      <c r="D148" s="115" t="s">
        <v>39</v>
      </c>
      <c r="G148" s="122" t="s">
        <v>39</v>
      </c>
      <c r="O148" s="1336"/>
    </row>
    <row r="149" spans="4:15" x14ac:dyDescent="0.2">
      <c r="D149" s="115" t="s">
        <v>610</v>
      </c>
      <c r="G149" s="122" t="s">
        <v>610</v>
      </c>
      <c r="O149" s="1336"/>
    </row>
    <row r="150" spans="4:15" x14ac:dyDescent="0.2">
      <c r="D150" s="115" t="s">
        <v>40</v>
      </c>
      <c r="G150" s="122" t="s">
        <v>40</v>
      </c>
      <c r="O150" s="1336"/>
    </row>
    <row r="151" spans="4:15" x14ac:dyDescent="0.2">
      <c r="D151" s="115" t="s">
        <v>375</v>
      </c>
      <c r="G151" s="122" t="s">
        <v>375</v>
      </c>
      <c r="O151" s="1336"/>
    </row>
    <row r="152" spans="4:15" x14ac:dyDescent="0.2">
      <c r="D152" s="115" t="s">
        <v>376</v>
      </c>
      <c r="G152" s="122" t="s">
        <v>376</v>
      </c>
      <c r="O152" s="1336"/>
    </row>
    <row r="153" spans="4:15" x14ac:dyDescent="0.2">
      <c r="D153" s="115" t="s">
        <v>377</v>
      </c>
      <c r="G153" s="122" t="s">
        <v>377</v>
      </c>
      <c r="O153" s="1336"/>
    </row>
    <row r="154" spans="4:15" x14ac:dyDescent="0.2">
      <c r="D154" s="115" t="s">
        <v>1322</v>
      </c>
      <c r="G154" s="122"/>
      <c r="O154" s="1336"/>
    </row>
    <row r="155" spans="4:15" x14ac:dyDescent="0.2">
      <c r="D155" s="115" t="s">
        <v>379</v>
      </c>
      <c r="G155" s="122" t="s">
        <v>379</v>
      </c>
      <c r="O155" s="1336"/>
    </row>
    <row r="156" spans="4:15" x14ac:dyDescent="0.2">
      <c r="D156" s="115" t="s">
        <v>380</v>
      </c>
      <c r="G156" s="122" t="s">
        <v>380</v>
      </c>
      <c r="O156" s="1336"/>
    </row>
    <row r="157" spans="4:15" x14ac:dyDescent="0.2">
      <c r="D157" s="115" t="s">
        <v>381</v>
      </c>
      <c r="G157" s="122" t="s">
        <v>381</v>
      </c>
      <c r="O157" s="1336"/>
    </row>
    <row r="158" spans="4:15" x14ac:dyDescent="0.2">
      <c r="D158" s="115" t="s">
        <v>378</v>
      </c>
      <c r="G158" s="122" t="s">
        <v>378</v>
      </c>
      <c r="O158" s="1336"/>
    </row>
    <row r="159" spans="4:15" x14ac:dyDescent="0.2">
      <c r="D159" s="115" t="s">
        <v>382</v>
      </c>
      <c r="G159" s="122" t="s">
        <v>382</v>
      </c>
      <c r="O159" s="1336"/>
    </row>
    <row r="160" spans="4:15" x14ac:dyDescent="0.2">
      <c r="D160" s="115" t="s">
        <v>392</v>
      </c>
      <c r="G160" s="122" t="s">
        <v>392</v>
      </c>
      <c r="O160" s="1336"/>
    </row>
    <row r="161" spans="4:15" x14ac:dyDescent="0.2">
      <c r="O161" s="1336"/>
    </row>
    <row r="162" spans="4:15" x14ac:dyDescent="0.2">
      <c r="O162" s="1336"/>
    </row>
    <row r="163" spans="4:15" x14ac:dyDescent="0.2">
      <c r="O163" s="1336"/>
    </row>
    <row r="164" spans="4:15" x14ac:dyDescent="0.2">
      <c r="D164" s="115" t="s">
        <v>56</v>
      </c>
      <c r="G164" s="121" t="s">
        <v>56</v>
      </c>
      <c r="O164" s="1336"/>
    </row>
    <row r="165" spans="4:15" x14ac:dyDescent="0.2">
      <c r="D165" s="115" t="s">
        <v>58</v>
      </c>
      <c r="G165" s="121" t="s">
        <v>58</v>
      </c>
      <c r="O165" s="1336"/>
    </row>
    <row r="166" spans="4:15" x14ac:dyDescent="0.2">
      <c r="D166" s="115" t="s">
        <v>383</v>
      </c>
      <c r="G166" s="121" t="s">
        <v>383</v>
      </c>
      <c r="O166" s="1336"/>
    </row>
    <row r="167" spans="4:15" x14ac:dyDescent="0.2">
      <c r="D167" s="115" t="s">
        <v>384</v>
      </c>
      <c r="G167" s="122" t="s">
        <v>384</v>
      </c>
      <c r="O167" s="1336"/>
    </row>
    <row r="168" spans="4:15" x14ac:dyDescent="0.2">
      <c r="D168" s="115" t="s">
        <v>385</v>
      </c>
      <c r="G168" s="115" t="s">
        <v>385</v>
      </c>
      <c r="O168" s="1336"/>
    </row>
    <row r="169" spans="4:15" x14ac:dyDescent="0.2">
      <c r="D169" s="115" t="s">
        <v>55</v>
      </c>
      <c r="G169" s="123" t="s">
        <v>55</v>
      </c>
      <c r="O169" s="1336"/>
    </row>
    <row r="170" spans="4:15" x14ac:dyDescent="0.2">
      <c r="D170" s="115" t="s">
        <v>57</v>
      </c>
      <c r="G170" s="123" t="s">
        <v>57</v>
      </c>
      <c r="O170" s="1336"/>
    </row>
    <row r="171" spans="4:15" x14ac:dyDescent="0.2">
      <c r="O171" s="1336"/>
    </row>
    <row r="172" spans="4:15" x14ac:dyDescent="0.2">
      <c r="O172" s="1336"/>
    </row>
    <row r="173" spans="4:15" x14ac:dyDescent="0.2">
      <c r="O173" s="1336"/>
    </row>
    <row r="174" spans="4:15" x14ac:dyDescent="0.2">
      <c r="D174" s="115" t="s">
        <v>412</v>
      </c>
      <c r="G174" s="115" t="s">
        <v>412</v>
      </c>
      <c r="O174" s="1336"/>
    </row>
    <row r="175" spans="4:15" x14ac:dyDescent="0.2">
      <c r="D175" s="115" t="s">
        <v>413</v>
      </c>
      <c r="G175" s="115" t="s">
        <v>413</v>
      </c>
      <c r="O175" s="1336"/>
    </row>
    <row r="176" spans="4:15" x14ac:dyDescent="0.2">
      <c r="D176" s="115" t="s">
        <v>414</v>
      </c>
      <c r="G176" s="114" t="s">
        <v>414</v>
      </c>
      <c r="O176" s="1336"/>
    </row>
    <row r="177" spans="4:15" x14ac:dyDescent="0.2">
      <c r="D177" s="115" t="s">
        <v>1112</v>
      </c>
      <c r="G177" s="114" t="s">
        <v>409</v>
      </c>
      <c r="O177" s="1336"/>
    </row>
    <row r="178" spans="4:15" x14ac:dyDescent="0.2">
      <c r="D178" s="115" t="s">
        <v>415</v>
      </c>
      <c r="G178" s="114" t="s">
        <v>415</v>
      </c>
      <c r="O178" s="1336"/>
    </row>
    <row r="179" spans="4:15" x14ac:dyDescent="0.2">
      <c r="O179" s="1336"/>
    </row>
    <row r="180" spans="4:15" x14ac:dyDescent="0.2">
      <c r="O180" s="1336"/>
    </row>
    <row r="181" spans="4:15" x14ac:dyDescent="0.2">
      <c r="O181" s="1336"/>
    </row>
    <row r="182" spans="4:15" x14ac:dyDescent="0.2">
      <c r="D182" s="115" t="s">
        <v>476</v>
      </c>
      <c r="G182" s="114" t="s">
        <v>476</v>
      </c>
      <c r="O182" s="1336"/>
    </row>
    <row r="183" spans="4:15" x14ac:dyDescent="0.2">
      <c r="D183" s="115" t="s">
        <v>478</v>
      </c>
      <c r="O183" s="1336"/>
    </row>
    <row r="184" spans="4:15" x14ac:dyDescent="0.2">
      <c r="D184" s="115" t="s">
        <v>479</v>
      </c>
      <c r="O184" s="1336"/>
    </row>
    <row r="185" spans="4:15" x14ac:dyDescent="0.2">
      <c r="D185" s="115" t="s">
        <v>876</v>
      </c>
      <c r="G185" s="115" t="s">
        <v>876</v>
      </c>
      <c r="O185" s="1336"/>
    </row>
    <row r="186" spans="4:15" x14ac:dyDescent="0.2">
      <c r="D186" s="115" t="s">
        <v>877</v>
      </c>
      <c r="G186" s="115" t="s">
        <v>877</v>
      </c>
      <c r="O186" s="1336"/>
    </row>
    <row r="187" spans="4:15" x14ac:dyDescent="0.2">
      <c r="D187" s="115" t="s">
        <v>1058</v>
      </c>
      <c r="G187" s="115" t="s">
        <v>1058</v>
      </c>
      <c r="O187" s="1336"/>
    </row>
    <row r="188" spans="4:15" x14ac:dyDescent="0.2">
      <c r="D188" s="115" t="s">
        <v>768</v>
      </c>
      <c r="G188" s="115"/>
      <c r="O188" s="1336"/>
    </row>
    <row r="189" spans="4:15" x14ac:dyDescent="0.2">
      <c r="D189" s="115" t="s">
        <v>484</v>
      </c>
      <c r="O189" s="1336"/>
    </row>
    <row r="190" spans="4:15" x14ac:dyDescent="0.2">
      <c r="D190" s="115" t="s">
        <v>990</v>
      </c>
      <c r="O190" s="1336"/>
    </row>
    <row r="191" spans="4:15" x14ac:dyDescent="0.2">
      <c r="D191" s="115" t="s">
        <v>480</v>
      </c>
      <c r="O191" s="1336"/>
    </row>
    <row r="192" spans="4:15" x14ac:dyDescent="0.2">
      <c r="D192" s="115" t="s">
        <v>992</v>
      </c>
      <c r="O192" s="1336"/>
    </row>
    <row r="193" spans="4:15" x14ac:dyDescent="0.2">
      <c r="D193" s="115" t="s">
        <v>1155</v>
      </c>
      <c r="O193" s="1336"/>
    </row>
    <row r="194" spans="4:15" x14ac:dyDescent="0.2">
      <c r="D194" s="115" t="s">
        <v>1156</v>
      </c>
      <c r="O194" s="1336"/>
    </row>
    <row r="195" spans="4:15" x14ac:dyDescent="0.2">
      <c r="D195" s="115" t="s">
        <v>481</v>
      </c>
      <c r="O195" s="1336"/>
    </row>
    <row r="196" spans="4:15" x14ac:dyDescent="0.2">
      <c r="D196" s="115" t="s">
        <v>1810</v>
      </c>
      <c r="G196" s="114" t="s">
        <v>1810</v>
      </c>
      <c r="O196" s="1336"/>
    </row>
    <row r="197" spans="4:15" x14ac:dyDescent="0.2">
      <c r="D197" s="115" t="s">
        <v>497</v>
      </c>
      <c r="G197" s="114" t="s">
        <v>497</v>
      </c>
      <c r="O197" s="1336"/>
    </row>
    <row r="198" spans="4:15" x14ac:dyDescent="0.2">
      <c r="D198" s="115" t="s">
        <v>1399</v>
      </c>
      <c r="G198" s="114" t="s">
        <v>511</v>
      </c>
      <c r="O198" s="1336"/>
    </row>
    <row r="199" spans="4:15" x14ac:dyDescent="0.2">
      <c r="D199" s="115" t="s">
        <v>1398</v>
      </c>
      <c r="G199" s="114" t="s">
        <v>525</v>
      </c>
      <c r="O199" s="1336"/>
    </row>
    <row r="200" spans="4:15" x14ac:dyDescent="0.2">
      <c r="D200" s="115" t="s">
        <v>539</v>
      </c>
      <c r="G200" s="114" t="s">
        <v>539</v>
      </c>
      <c r="O200" s="1336"/>
    </row>
    <row r="201" spans="4:15" x14ac:dyDescent="0.2">
      <c r="D201" s="115" t="s">
        <v>540</v>
      </c>
      <c r="G201" s="114" t="s">
        <v>540</v>
      </c>
      <c r="O201" s="1336"/>
    </row>
    <row r="202" spans="4:15" x14ac:dyDescent="0.2">
      <c r="D202" s="115" t="s">
        <v>541</v>
      </c>
      <c r="G202" s="114" t="s">
        <v>541</v>
      </c>
      <c r="O202" s="1336"/>
    </row>
    <row r="203" spans="4:15" x14ac:dyDescent="0.2">
      <c r="D203" s="115" t="s">
        <v>581</v>
      </c>
      <c r="G203" s="114" t="s">
        <v>581</v>
      </c>
      <c r="O203" s="1336"/>
    </row>
    <row r="204" spans="4:15" x14ac:dyDescent="0.2">
      <c r="D204" s="115" t="s">
        <v>595</v>
      </c>
      <c r="G204" s="114" t="s">
        <v>595</v>
      </c>
      <c r="O204" s="1336"/>
    </row>
    <row r="205" spans="4:15" x14ac:dyDescent="0.2">
      <c r="D205" s="115" t="s">
        <v>609</v>
      </c>
      <c r="G205" s="115" t="s">
        <v>609</v>
      </c>
      <c r="O205" s="1336"/>
    </row>
    <row r="206" spans="4:15" x14ac:dyDescent="0.2">
      <c r="D206" s="115" t="s">
        <v>618</v>
      </c>
      <c r="G206" s="115" t="s">
        <v>618</v>
      </c>
      <c r="O206" s="1336"/>
    </row>
    <row r="207" spans="4:15" x14ac:dyDescent="0.2">
      <c r="D207" s="115" t="s">
        <v>613</v>
      </c>
      <c r="G207" s="114" t="s">
        <v>613</v>
      </c>
      <c r="O207" s="1336"/>
    </row>
    <row r="208" spans="4:15" x14ac:dyDescent="0.2">
      <c r="D208" s="115" t="s">
        <v>614</v>
      </c>
      <c r="G208" s="114" t="s">
        <v>614</v>
      </c>
      <c r="O208" s="1336"/>
    </row>
    <row r="209" spans="4:15" x14ac:dyDescent="0.2">
      <c r="D209" s="115" t="s">
        <v>615</v>
      </c>
      <c r="G209" s="114" t="s">
        <v>615</v>
      </c>
      <c r="O209" s="1336"/>
    </row>
    <row r="210" spans="4:15" x14ac:dyDescent="0.2">
      <c r="D210" s="115" t="s">
        <v>617</v>
      </c>
      <c r="G210" s="115" t="s">
        <v>617</v>
      </c>
      <c r="O210" s="1336"/>
    </row>
    <row r="211" spans="4:15" x14ac:dyDescent="0.2">
      <c r="D211" s="115" t="s">
        <v>619</v>
      </c>
      <c r="G211" s="115" t="s">
        <v>619</v>
      </c>
      <c r="O211" s="1336"/>
    </row>
    <row r="212" spans="4:15" x14ac:dyDescent="0.2">
      <c r="O212" s="1336"/>
    </row>
    <row r="213" spans="4:15" x14ac:dyDescent="0.2">
      <c r="D213" s="115" t="s">
        <v>879</v>
      </c>
      <c r="G213" s="115" t="s">
        <v>879</v>
      </c>
      <c r="O213" s="1336"/>
    </row>
    <row r="214" spans="4:15" x14ac:dyDescent="0.2">
      <c r="D214" s="115" t="s">
        <v>662</v>
      </c>
      <c r="G214" s="115" t="s">
        <v>662</v>
      </c>
      <c r="O214" s="1336"/>
    </row>
    <row r="215" spans="4:15" x14ac:dyDescent="0.2">
      <c r="D215" s="115" t="s">
        <v>663</v>
      </c>
      <c r="G215" s="115" t="s">
        <v>663</v>
      </c>
      <c r="O215" s="1336"/>
    </row>
    <row r="216" spans="4:15" x14ac:dyDescent="0.2">
      <c r="D216" s="115" t="s">
        <v>665</v>
      </c>
      <c r="G216" s="115" t="s">
        <v>665</v>
      </c>
      <c r="O216" s="1336"/>
    </row>
    <row r="217" spans="4:15" x14ac:dyDescent="0.2">
      <c r="D217" s="115" t="s">
        <v>682</v>
      </c>
      <c r="G217" s="115" t="s">
        <v>682</v>
      </c>
      <c r="O217" s="1336"/>
    </row>
    <row r="218" spans="4:15" x14ac:dyDescent="0.2">
      <c r="D218" s="115" t="s">
        <v>679</v>
      </c>
      <c r="G218" s="36" t="s">
        <v>679</v>
      </c>
      <c r="O218" s="1336"/>
    </row>
    <row r="219" spans="4:15" x14ac:dyDescent="0.2">
      <c r="D219" s="115" t="s">
        <v>707</v>
      </c>
      <c r="G219" s="115" t="s">
        <v>707</v>
      </c>
      <c r="O219" s="1336"/>
    </row>
    <row r="220" spans="4:15" x14ac:dyDescent="0.2">
      <c r="D220" s="36" t="s">
        <v>770</v>
      </c>
      <c r="G220" s="36" t="s">
        <v>770</v>
      </c>
      <c r="O220" s="1336"/>
    </row>
    <row r="221" spans="4:15" x14ac:dyDescent="0.2">
      <c r="D221" s="115" t="s">
        <v>709</v>
      </c>
      <c r="G221" s="115" t="s">
        <v>709</v>
      </c>
      <c r="O221" s="1336"/>
    </row>
    <row r="222" spans="4:15" x14ac:dyDescent="0.2">
      <c r="D222" s="115" t="s">
        <v>713</v>
      </c>
      <c r="G222" s="115" t="s">
        <v>713</v>
      </c>
      <c r="O222" s="1336"/>
    </row>
    <row r="223" spans="4:15" x14ac:dyDescent="0.2">
      <c r="D223" s="115" t="s">
        <v>710</v>
      </c>
      <c r="G223" s="115" t="s">
        <v>710</v>
      </c>
      <c r="O223" s="1336"/>
    </row>
    <row r="224" spans="4:15" x14ac:dyDescent="0.2">
      <c r="D224" s="115" t="s">
        <v>711</v>
      </c>
      <c r="G224" s="115" t="s">
        <v>711</v>
      </c>
      <c r="O224" s="1336"/>
    </row>
    <row r="225" spans="4:15" x14ac:dyDescent="0.2">
      <c r="D225" s="115" t="s">
        <v>726</v>
      </c>
      <c r="G225" s="115" t="s">
        <v>726</v>
      </c>
      <c r="O225" s="1336"/>
    </row>
    <row r="226" spans="4:15" x14ac:dyDescent="0.2">
      <c r="O226" s="1336"/>
    </row>
    <row r="227" spans="4:15" x14ac:dyDescent="0.2">
      <c r="D227" s="115" t="s">
        <v>785</v>
      </c>
      <c r="G227" s="115" t="s">
        <v>785</v>
      </c>
      <c r="O227" s="1336"/>
    </row>
    <row r="228" spans="4:15" x14ac:dyDescent="0.2">
      <c r="D228" s="115" t="s">
        <v>786</v>
      </c>
      <c r="G228" s="115" t="s">
        <v>786</v>
      </c>
      <c r="O228" s="1336"/>
    </row>
    <row r="229" spans="4:15" x14ac:dyDescent="0.2">
      <c r="D229" s="115" t="s">
        <v>787</v>
      </c>
      <c r="G229" s="115" t="s">
        <v>787</v>
      </c>
      <c r="O229" s="1336"/>
    </row>
    <row r="230" spans="4:15" x14ac:dyDescent="0.2">
      <c r="D230" s="115" t="s">
        <v>789</v>
      </c>
      <c r="G230" s="115" t="s">
        <v>789</v>
      </c>
      <c r="O230" s="1336"/>
    </row>
    <row r="231" spans="4:15" x14ac:dyDescent="0.2">
      <c r="D231" s="115" t="s">
        <v>880</v>
      </c>
      <c r="G231" s="115" t="s">
        <v>880</v>
      </c>
      <c r="O231" s="1336"/>
    </row>
    <row r="232" spans="4:15" x14ac:dyDescent="0.2">
      <c r="D232" s="115" t="s">
        <v>818</v>
      </c>
      <c r="O232" s="1336"/>
    </row>
    <row r="233" spans="4:15" x14ac:dyDescent="0.2">
      <c r="D233" s="115" t="s">
        <v>817</v>
      </c>
      <c r="O233" s="1336"/>
    </row>
    <row r="234" spans="4:15" x14ac:dyDescent="0.2">
      <c r="D234" s="115" t="s">
        <v>816</v>
      </c>
      <c r="O234" s="1336"/>
    </row>
    <row r="235" spans="4:15" x14ac:dyDescent="0.2">
      <c r="O235" s="1336"/>
    </row>
    <row r="236" spans="4:15" x14ac:dyDescent="0.2">
      <c r="O236" s="1336"/>
    </row>
    <row r="237" spans="4:15" x14ac:dyDescent="0.2">
      <c r="D237" s="115" t="s">
        <v>871</v>
      </c>
      <c r="O237" s="1336"/>
    </row>
    <row r="238" spans="4:15" x14ac:dyDescent="0.2">
      <c r="D238" s="115" t="s">
        <v>872</v>
      </c>
      <c r="O238" s="1336"/>
    </row>
    <row r="239" spans="4:15" x14ac:dyDescent="0.2">
      <c r="D239" s="115" t="s">
        <v>873</v>
      </c>
      <c r="O239" s="1336"/>
    </row>
    <row r="240" spans="4:15" x14ac:dyDescent="0.2">
      <c r="O240" s="1336"/>
    </row>
    <row r="241" spans="4:15" x14ac:dyDescent="0.2">
      <c r="D241" s="115" t="s">
        <v>894</v>
      </c>
      <c r="G241" s="115" t="s">
        <v>894</v>
      </c>
      <c r="O241" s="1336"/>
    </row>
    <row r="242" spans="4:15" x14ac:dyDescent="0.2">
      <c r="D242" s="115" t="s">
        <v>895</v>
      </c>
      <c r="G242" s="115" t="s">
        <v>895</v>
      </c>
      <c r="O242" s="1336"/>
    </row>
    <row r="243" spans="4:15" x14ac:dyDescent="0.2">
      <c r="D243" s="115" t="s">
        <v>1020</v>
      </c>
      <c r="G243" s="115" t="s">
        <v>896</v>
      </c>
      <c r="O243" s="1336"/>
    </row>
    <row r="244" spans="4:15" x14ac:dyDescent="0.2">
      <c r="D244" s="115" t="s">
        <v>1037</v>
      </c>
      <c r="G244" s="115" t="s">
        <v>1037</v>
      </c>
      <c r="O244" s="1336"/>
    </row>
    <row r="245" spans="4:15" x14ac:dyDescent="0.2">
      <c r="D245" s="115" t="s">
        <v>1039</v>
      </c>
      <c r="G245" s="115" t="s">
        <v>1039</v>
      </c>
      <c r="O245" s="1336"/>
    </row>
    <row r="246" spans="4:15" x14ac:dyDescent="0.2">
      <c r="D246" s="115" t="s">
        <v>1056</v>
      </c>
      <c r="O246" s="1336"/>
    </row>
    <row r="247" spans="4:15" x14ac:dyDescent="0.2">
      <c r="D247" s="115" t="s">
        <v>1059</v>
      </c>
      <c r="O247" s="1336"/>
    </row>
    <row r="248" spans="4:15" x14ac:dyDescent="0.2">
      <c r="D248" s="115" t="s">
        <v>1060</v>
      </c>
      <c r="G248" s="115" t="s">
        <v>1060</v>
      </c>
      <c r="O248" s="1336"/>
    </row>
    <row r="249" spans="4:15" x14ac:dyDescent="0.2">
      <c r="D249" s="115" t="s">
        <v>1614</v>
      </c>
      <c r="O249" s="1336"/>
    </row>
    <row r="250" spans="4:15" x14ac:dyDescent="0.2">
      <c r="D250" s="115" t="s">
        <v>1612</v>
      </c>
      <c r="O250" s="1336"/>
    </row>
    <row r="251" spans="4:15" x14ac:dyDescent="0.2">
      <c r="D251" s="115" t="s">
        <v>1613</v>
      </c>
      <c r="O251" s="1336"/>
    </row>
    <row r="252" spans="4:15" x14ac:dyDescent="0.2">
      <c r="D252" s="115" t="s">
        <v>392</v>
      </c>
      <c r="O252" s="1336"/>
    </row>
    <row r="253" spans="4:15" x14ac:dyDescent="0.2">
      <c r="D253" s="115" t="s">
        <v>1367</v>
      </c>
      <c r="O253" s="1336"/>
    </row>
    <row r="254" spans="4:15" x14ac:dyDescent="0.2">
      <c r="D254" s="115" t="s">
        <v>1368</v>
      </c>
      <c r="O254" s="1336"/>
    </row>
    <row r="255" spans="4:15" x14ac:dyDescent="0.2">
      <c r="D255" s="115" t="s">
        <v>1618</v>
      </c>
      <c r="O255" s="1336"/>
    </row>
    <row r="256" spans="4:15" x14ac:dyDescent="0.2">
      <c r="D256" s="115" t="s">
        <v>1691</v>
      </c>
      <c r="O256" s="1336"/>
    </row>
    <row r="257" spans="4:15" x14ac:dyDescent="0.2">
      <c r="D257" s="115" t="s">
        <v>1707</v>
      </c>
      <c r="O257" s="1336"/>
    </row>
    <row r="258" spans="4:15" x14ac:dyDescent="0.2">
      <c r="D258" s="115" t="s">
        <v>1611</v>
      </c>
      <c r="O258" s="1336"/>
    </row>
    <row r="259" spans="4:15" x14ac:dyDescent="0.2">
      <c r="D259" s="115" t="s">
        <v>1076</v>
      </c>
      <c r="O259" s="1336"/>
    </row>
    <row r="260" spans="4:15" x14ac:dyDescent="0.2">
      <c r="D260" s="115" t="s">
        <v>1077</v>
      </c>
      <c r="O260" s="1336"/>
    </row>
    <row r="261" spans="4:15" x14ac:dyDescent="0.2">
      <c r="D261" s="115" t="s">
        <v>1078</v>
      </c>
      <c r="O261" s="1336"/>
    </row>
    <row r="262" spans="4:15" x14ac:dyDescent="0.2">
      <c r="D262" s="115" t="s">
        <v>1079</v>
      </c>
      <c r="O262" s="1336"/>
    </row>
    <row r="263" spans="4:15" x14ac:dyDescent="0.2">
      <c r="D263" s="115" t="s">
        <v>1708</v>
      </c>
      <c r="O263" s="1336"/>
    </row>
    <row r="264" spans="4:15" x14ac:dyDescent="0.2">
      <c r="D264" s="115" t="s">
        <v>1709</v>
      </c>
      <c r="O264" s="1336"/>
    </row>
    <row r="265" spans="4:15" x14ac:dyDescent="0.2">
      <c r="O265" s="1336"/>
    </row>
    <row r="266" spans="4:15" x14ac:dyDescent="0.2">
      <c r="D266" s="115" t="s">
        <v>1147</v>
      </c>
      <c r="O266" s="1336"/>
    </row>
    <row r="267" spans="4:15" x14ac:dyDescent="0.2">
      <c r="D267" s="115" t="s">
        <v>1111</v>
      </c>
      <c r="O267" s="1336"/>
    </row>
    <row r="268" spans="4:15" x14ac:dyDescent="0.2">
      <c r="D268" s="259" t="s">
        <v>1109</v>
      </c>
      <c r="O268" s="1336"/>
    </row>
    <row r="269" spans="4:15" x14ac:dyDescent="0.2">
      <c r="D269" s="259" t="s">
        <v>1110</v>
      </c>
      <c r="O269" s="1336"/>
    </row>
    <row r="270" spans="4:15" x14ac:dyDescent="0.2">
      <c r="O270" s="1336"/>
    </row>
    <row r="271" spans="4:15" x14ac:dyDescent="0.2">
      <c r="D271" s="115" t="s">
        <v>1152</v>
      </c>
      <c r="O271" s="1336"/>
    </row>
    <row r="272" spans="4:15" x14ac:dyDescent="0.2">
      <c r="D272" s="115" t="s">
        <v>1153</v>
      </c>
      <c r="O272" s="1336"/>
    </row>
    <row r="273" spans="4:15" x14ac:dyDescent="0.2">
      <c r="O273" s="1336"/>
    </row>
    <row r="274" spans="4:15" x14ac:dyDescent="0.2">
      <c r="D274" s="115" t="s">
        <v>1159</v>
      </c>
      <c r="O274" s="1336"/>
    </row>
    <row r="275" spans="4:15" x14ac:dyDescent="0.2">
      <c r="D275" s="115" t="s">
        <v>1173</v>
      </c>
      <c r="O275" s="1336"/>
    </row>
    <row r="276" spans="4:15" x14ac:dyDescent="0.2">
      <c r="D276" s="115" t="s">
        <v>1174</v>
      </c>
      <c r="O276" s="1336"/>
    </row>
    <row r="277" spans="4:15" x14ac:dyDescent="0.2">
      <c r="O277" s="1336"/>
    </row>
    <row r="278" spans="4:15" x14ac:dyDescent="0.2">
      <c r="O278" s="1336"/>
    </row>
    <row r="279" spans="4:15" x14ac:dyDescent="0.2">
      <c r="O279" s="1336"/>
    </row>
    <row r="280" spans="4:15" x14ac:dyDescent="0.2">
      <c r="O280" s="1336"/>
    </row>
    <row r="281" spans="4:15" x14ac:dyDescent="0.2">
      <c r="O281" s="1336"/>
    </row>
    <row r="282" spans="4:15" x14ac:dyDescent="0.2">
      <c r="O282" s="1336"/>
    </row>
    <row r="283" spans="4:15" x14ac:dyDescent="0.2">
      <c r="D283" s="115" t="s">
        <v>1115</v>
      </c>
      <c r="O283" s="1336"/>
    </row>
    <row r="284" spans="4:15" x14ac:dyDescent="0.2">
      <c r="D284" s="115" t="s">
        <v>1136</v>
      </c>
      <c r="O284" s="1336"/>
    </row>
    <row r="285" spans="4:15" x14ac:dyDescent="0.2">
      <c r="D285" s="115" t="s">
        <v>1137</v>
      </c>
      <c r="O285" s="1336"/>
    </row>
    <row r="286" spans="4:15" x14ac:dyDescent="0.2">
      <c r="O286" s="1336"/>
    </row>
    <row r="287" spans="4:15" x14ac:dyDescent="0.2">
      <c r="D287" s="115" t="s">
        <v>1148</v>
      </c>
      <c r="O287" s="1336"/>
    </row>
    <row r="288" spans="4:15" x14ac:dyDescent="0.2">
      <c r="O288" s="1336"/>
    </row>
    <row r="289" spans="4:15" x14ac:dyDescent="0.2">
      <c r="O289" s="1336"/>
    </row>
    <row r="290" spans="4:15" x14ac:dyDescent="0.2">
      <c r="D290" s="115" t="s">
        <v>726</v>
      </c>
      <c r="O290" s="1336"/>
    </row>
    <row r="291" spans="4:15" x14ac:dyDescent="0.2">
      <c r="D291" s="115" t="s">
        <v>679</v>
      </c>
      <c r="O291" s="1336"/>
    </row>
    <row r="292" spans="4:15" x14ac:dyDescent="0.2">
      <c r="O292" s="1336"/>
    </row>
    <row r="293" spans="4:15" x14ac:dyDescent="0.2">
      <c r="D293" s="115" t="s">
        <v>1198</v>
      </c>
      <c r="O293" s="1336"/>
    </row>
    <row r="294" spans="4:15" x14ac:dyDescent="0.2">
      <c r="D294" s="107" t="s">
        <v>1189</v>
      </c>
      <c r="O294" s="1336"/>
    </row>
    <row r="295" spans="4:15" x14ac:dyDescent="0.2">
      <c r="D295" s="107" t="s">
        <v>1190</v>
      </c>
      <c r="O295" s="1336"/>
    </row>
    <row r="296" spans="4:15" x14ac:dyDescent="0.2">
      <c r="D296" s="107" t="s">
        <v>1191</v>
      </c>
      <c r="O296" s="1336"/>
    </row>
    <row r="297" spans="4:15" x14ac:dyDescent="0.2">
      <c r="D297" s="107" t="s">
        <v>1192</v>
      </c>
      <c r="O297" s="1336"/>
    </row>
    <row r="298" spans="4:15" x14ac:dyDescent="0.2">
      <c r="D298" s="107" t="s">
        <v>1193</v>
      </c>
      <c r="O298" s="1336"/>
    </row>
    <row r="299" spans="4:15" x14ac:dyDescent="0.2">
      <c r="D299" s="107" t="s">
        <v>1194</v>
      </c>
      <c r="O299" s="1336"/>
    </row>
    <row r="300" spans="4:15" x14ac:dyDescent="0.2">
      <c r="D300" s="107" t="s">
        <v>1195</v>
      </c>
      <c r="O300" s="1336"/>
    </row>
    <row r="301" spans="4:15" x14ac:dyDescent="0.2">
      <c r="D301" s="107" t="s">
        <v>1196</v>
      </c>
      <c r="O301" s="1336"/>
    </row>
    <row r="302" spans="4:15" ht="25.5" x14ac:dyDescent="0.2">
      <c r="D302" s="107" t="s">
        <v>1197</v>
      </c>
      <c r="O302" s="1336"/>
    </row>
    <row r="303" spans="4:15" x14ac:dyDescent="0.2">
      <c r="D303" s="107" t="s">
        <v>1173</v>
      </c>
      <c r="O303" s="1336"/>
    </row>
    <row r="304" spans="4:15" x14ac:dyDescent="0.2">
      <c r="O304" s="1336"/>
    </row>
    <row r="305" spans="4:15" x14ac:dyDescent="0.2">
      <c r="D305" s="115" t="s">
        <v>1150</v>
      </c>
      <c r="O305" s="1336"/>
    </row>
    <row r="306" spans="4:15" x14ac:dyDescent="0.2">
      <c r="D306" s="115" t="s">
        <v>1208</v>
      </c>
      <c r="O306" s="1336"/>
    </row>
    <row r="307" spans="4:15" x14ac:dyDescent="0.2">
      <c r="D307" s="115" t="s">
        <v>1209</v>
      </c>
      <c r="O307" s="1336"/>
    </row>
    <row r="308" spans="4:15" x14ac:dyDescent="0.2">
      <c r="O308" s="1336"/>
    </row>
    <row r="309" spans="4:15" x14ac:dyDescent="0.2">
      <c r="D309" s="115" t="s">
        <v>1154</v>
      </c>
      <c r="O309" s="1336"/>
    </row>
    <row r="310" spans="4:15" x14ac:dyDescent="0.2">
      <c r="D310" s="115" t="s">
        <v>1221</v>
      </c>
      <c r="O310" s="1336"/>
    </row>
    <row r="311" spans="4:15" x14ac:dyDescent="0.2">
      <c r="D311" s="115" t="s">
        <v>1234</v>
      </c>
      <c r="O311" s="1336"/>
    </row>
    <row r="312" spans="4:15" x14ac:dyDescent="0.2">
      <c r="D312" s="115" t="s">
        <v>1235</v>
      </c>
      <c r="O312" s="1336"/>
    </row>
    <row r="313" spans="4:15" x14ac:dyDescent="0.2">
      <c r="O313" s="1336"/>
    </row>
    <row r="314" spans="4:15" x14ac:dyDescent="0.2">
      <c r="D314" s="115" t="s">
        <v>1238</v>
      </c>
      <c r="O314" s="1336"/>
    </row>
    <row r="315" spans="4:15" x14ac:dyDescent="0.2">
      <c r="D315" s="115" t="s">
        <v>345</v>
      </c>
      <c r="O315" s="1336"/>
    </row>
    <row r="316" spans="4:15" x14ac:dyDescent="0.2">
      <c r="D316" s="115" t="s">
        <v>1149</v>
      </c>
      <c r="O316" s="1336"/>
    </row>
    <row r="317" spans="4:15" x14ac:dyDescent="0.2">
      <c r="D317" s="115" t="s">
        <v>1151</v>
      </c>
      <c r="O317" s="1336"/>
    </row>
    <row r="318" spans="4:15" x14ac:dyDescent="0.2">
      <c r="D318" s="115" t="s">
        <v>1239</v>
      </c>
      <c r="O318" s="1336"/>
    </row>
    <row r="319" spans="4:15" x14ac:dyDescent="0.2">
      <c r="D319" s="115" t="s">
        <v>1150</v>
      </c>
      <c r="O319" s="1336"/>
    </row>
    <row r="320" spans="4:15" x14ac:dyDescent="0.2">
      <c r="D320" s="115" t="s">
        <v>1154</v>
      </c>
      <c r="O320" s="1336"/>
    </row>
    <row r="321" spans="4:15" x14ac:dyDescent="0.2">
      <c r="O321" s="1336"/>
    </row>
    <row r="322" spans="4:15" x14ac:dyDescent="0.2">
      <c r="D322" s="115" t="s">
        <v>1240</v>
      </c>
      <c r="O322" s="1336"/>
    </row>
    <row r="323" spans="4:15" x14ac:dyDescent="0.2">
      <c r="O323" s="1336"/>
    </row>
    <row r="324" spans="4:15" x14ac:dyDescent="0.2">
      <c r="D324" s="115" t="s">
        <v>1250</v>
      </c>
      <c r="O324" s="1336"/>
    </row>
    <row r="325" spans="4:15" x14ac:dyDescent="0.2">
      <c r="O325" s="1336"/>
    </row>
    <row r="326" spans="4:15" x14ac:dyDescent="0.2">
      <c r="O326" s="1336"/>
    </row>
    <row r="327" spans="4:15" x14ac:dyDescent="0.2">
      <c r="O327" s="1336"/>
    </row>
    <row r="328" spans="4:15" x14ac:dyDescent="0.2">
      <c r="O328" s="1336"/>
    </row>
    <row r="329" spans="4:15" x14ac:dyDescent="0.2">
      <c r="O329" s="1336"/>
    </row>
    <row r="330" spans="4:15" x14ac:dyDescent="0.2">
      <c r="O330" s="1336"/>
    </row>
    <row r="331" spans="4:15" x14ac:dyDescent="0.2">
      <c r="D331" s="115" t="s">
        <v>1242</v>
      </c>
      <c r="O331" s="1336"/>
    </row>
    <row r="332" spans="4:15" x14ac:dyDescent="0.2">
      <c r="D332" s="115" t="s">
        <v>1243</v>
      </c>
      <c r="O332" s="1336"/>
    </row>
    <row r="333" spans="4:15" x14ac:dyDescent="0.2">
      <c r="D333" s="115" t="s">
        <v>1244</v>
      </c>
      <c r="O333" s="1336"/>
    </row>
    <row r="334" spans="4:15" x14ac:dyDescent="0.2">
      <c r="D334" s="115" t="s">
        <v>1245</v>
      </c>
      <c r="O334" s="1336"/>
    </row>
    <row r="335" spans="4:15" x14ac:dyDescent="0.2">
      <c r="O335" s="1336"/>
    </row>
    <row r="336" spans="4:15" x14ac:dyDescent="0.2">
      <c r="D336" s="115" t="s">
        <v>1246</v>
      </c>
      <c r="O336" s="1336"/>
    </row>
    <row r="337" spans="4:15" x14ac:dyDescent="0.2">
      <c r="D337" s="115" t="s">
        <v>1247</v>
      </c>
      <c r="O337" s="1336"/>
    </row>
    <row r="338" spans="4:15" x14ac:dyDescent="0.2">
      <c r="O338" s="1336"/>
    </row>
    <row r="339" spans="4:15" x14ac:dyDescent="0.2">
      <c r="D339" s="115" t="s">
        <v>1248</v>
      </c>
      <c r="O339" s="1336"/>
    </row>
    <row r="340" spans="4:15" x14ac:dyDescent="0.2">
      <c r="O340" s="1336"/>
    </row>
    <row r="341" spans="4:15" x14ac:dyDescent="0.2">
      <c r="D341" s="115" t="s">
        <v>1251</v>
      </c>
      <c r="O341" s="1336"/>
    </row>
    <row r="342" spans="4:15" x14ac:dyDescent="0.2">
      <c r="O342" s="1336"/>
    </row>
    <row r="343" spans="4:15" x14ac:dyDescent="0.2">
      <c r="D343" s="115" t="s">
        <v>1254</v>
      </c>
      <c r="O343" s="1336"/>
    </row>
    <row r="344" spans="4:15" x14ac:dyDescent="0.2">
      <c r="D344" s="115" t="s">
        <v>1258</v>
      </c>
      <c r="O344" s="1336"/>
    </row>
    <row r="345" spans="4:15" x14ac:dyDescent="0.2">
      <c r="O345" s="1336"/>
    </row>
    <row r="346" spans="4:15" x14ac:dyDescent="0.2">
      <c r="O346" s="1336"/>
    </row>
    <row r="347" spans="4:15" x14ac:dyDescent="0.2">
      <c r="O347" s="1336"/>
    </row>
    <row r="348" spans="4:15" x14ac:dyDescent="0.2">
      <c r="O348" s="1336"/>
    </row>
    <row r="349" spans="4:15" x14ac:dyDescent="0.2">
      <c r="D349" s="434" t="s">
        <v>1262</v>
      </c>
      <c r="O349" s="1336"/>
    </row>
    <row r="350" spans="4:15" x14ac:dyDescent="0.2">
      <c r="D350" s="434" t="s">
        <v>1261</v>
      </c>
      <c r="O350" s="1336"/>
    </row>
    <row r="351" spans="4:15" x14ac:dyDescent="0.2">
      <c r="D351" s="434" t="s">
        <v>1263</v>
      </c>
      <c r="O351" s="1336"/>
    </row>
    <row r="352" spans="4:15" x14ac:dyDescent="0.2">
      <c r="D352" s="434" t="s">
        <v>1264</v>
      </c>
      <c r="O352" s="1336"/>
    </row>
    <row r="353" spans="4:15" x14ac:dyDescent="0.2">
      <c r="D353" s="434" t="s">
        <v>1265</v>
      </c>
      <c r="O353" s="1336"/>
    </row>
    <row r="354" spans="4:15" x14ac:dyDescent="0.2">
      <c r="D354" s="434" t="s">
        <v>1266</v>
      </c>
      <c r="O354" s="1336"/>
    </row>
    <row r="355" spans="4:15" x14ac:dyDescent="0.2">
      <c r="D355" s="434" t="s">
        <v>1267</v>
      </c>
      <c r="O355" s="1336"/>
    </row>
    <row r="356" spans="4:15" x14ac:dyDescent="0.2">
      <c r="D356" s="434" t="s">
        <v>1268</v>
      </c>
      <c r="O356" s="1336"/>
    </row>
    <row r="357" spans="4:15" x14ac:dyDescent="0.2">
      <c r="D357" s="434" t="s">
        <v>1269</v>
      </c>
      <c r="O357" s="1336"/>
    </row>
    <row r="358" spans="4:15" x14ac:dyDescent="0.2">
      <c r="D358" s="434" t="s">
        <v>1270</v>
      </c>
      <c r="O358" s="1336"/>
    </row>
    <row r="359" spans="4:15" x14ac:dyDescent="0.2">
      <c r="D359" s="434" t="s">
        <v>1271</v>
      </c>
      <c r="O359" s="1336"/>
    </row>
    <row r="360" spans="4:15" x14ac:dyDescent="0.2">
      <c r="D360" s="434" t="s">
        <v>1272</v>
      </c>
      <c r="O360" s="1336"/>
    </row>
    <row r="361" spans="4:15" x14ac:dyDescent="0.2">
      <c r="D361" s="434" t="s">
        <v>1273</v>
      </c>
      <c r="O361" s="1336"/>
    </row>
    <row r="362" spans="4:15" x14ac:dyDescent="0.2">
      <c r="D362" s="434" t="s">
        <v>1274</v>
      </c>
      <c r="O362" s="1336"/>
    </row>
    <row r="363" spans="4:15" x14ac:dyDescent="0.2">
      <c r="D363" s="115" t="s">
        <v>1275</v>
      </c>
      <c r="O363" s="1336"/>
    </row>
    <row r="364" spans="4:15" x14ac:dyDescent="0.2">
      <c r="D364" s="115" t="s">
        <v>1390</v>
      </c>
      <c r="O364" s="1336"/>
    </row>
    <row r="365" spans="4:15" x14ac:dyDescent="0.2">
      <c r="D365" s="115" t="s">
        <v>177</v>
      </c>
      <c r="O365" s="1336"/>
    </row>
    <row r="366" spans="4:15" x14ac:dyDescent="0.2">
      <c r="D366" s="115" t="s">
        <v>179</v>
      </c>
      <c r="O366" s="1336"/>
    </row>
    <row r="367" spans="4:15" x14ac:dyDescent="0.2">
      <c r="D367" s="115" t="s">
        <v>181</v>
      </c>
      <c r="O367" s="1336"/>
    </row>
    <row r="368" spans="4:15" x14ac:dyDescent="0.2">
      <c r="D368" s="115" t="s">
        <v>183</v>
      </c>
      <c r="O368" s="1336"/>
    </row>
    <row r="369" spans="4:15" x14ac:dyDescent="0.2">
      <c r="D369" s="115" t="s">
        <v>185</v>
      </c>
      <c r="O369" s="1336"/>
    </row>
    <row r="370" spans="4:15" x14ac:dyDescent="0.2">
      <c r="D370" s="115" t="s">
        <v>187</v>
      </c>
      <c r="O370" s="1336"/>
    </row>
    <row r="371" spans="4:15" x14ac:dyDescent="0.2">
      <c r="D371" s="115" t="s">
        <v>189</v>
      </c>
      <c r="O371" s="1336"/>
    </row>
    <row r="372" spans="4:15" x14ac:dyDescent="0.2">
      <c r="D372" s="115" t="s">
        <v>191</v>
      </c>
      <c r="O372" s="1336"/>
    </row>
    <row r="373" spans="4:15" x14ac:dyDescent="0.2">
      <c r="D373" s="115" t="s">
        <v>193</v>
      </c>
      <c r="O373" s="1336"/>
    </row>
    <row r="374" spans="4:15" x14ac:dyDescent="0.2">
      <c r="O374" s="1336"/>
    </row>
    <row r="375" spans="4:15" x14ac:dyDescent="0.2">
      <c r="O375" s="1336"/>
    </row>
    <row r="376" spans="4:15" x14ac:dyDescent="0.2">
      <c r="O376" s="1336"/>
    </row>
    <row r="377" spans="4:15" x14ac:dyDescent="0.2">
      <c r="O377" s="1336"/>
    </row>
    <row r="378" spans="4:15" x14ac:dyDescent="0.2">
      <c r="O378" s="1336"/>
    </row>
    <row r="379" spans="4:15" x14ac:dyDescent="0.2">
      <c r="O379" s="1336"/>
    </row>
    <row r="380" spans="4:15" x14ac:dyDescent="0.2">
      <c r="O380" s="1336"/>
    </row>
    <row r="381" spans="4:15" x14ac:dyDescent="0.2">
      <c r="O381" s="1336"/>
    </row>
    <row r="382" spans="4:15" x14ac:dyDescent="0.2">
      <c r="O382" s="1336"/>
    </row>
    <row r="383" spans="4:15" x14ac:dyDescent="0.2">
      <c r="O383" s="1336"/>
    </row>
    <row r="384" spans="4:15" x14ac:dyDescent="0.2">
      <c r="O384" s="1336"/>
    </row>
    <row r="385" spans="15:15" x14ac:dyDescent="0.2">
      <c r="O385" s="1336"/>
    </row>
    <row r="386" spans="15:15" x14ac:dyDescent="0.2">
      <c r="O386" s="1336"/>
    </row>
    <row r="387" spans="15:15" x14ac:dyDescent="0.2">
      <c r="O387" s="1336"/>
    </row>
    <row r="388" spans="15:15" x14ac:dyDescent="0.2">
      <c r="O388" s="1336"/>
    </row>
    <row r="389" spans="15:15" x14ac:dyDescent="0.2">
      <c r="O389" s="1336"/>
    </row>
    <row r="390" spans="15:15" x14ac:dyDescent="0.2">
      <c r="O390" s="1336"/>
    </row>
    <row r="391" spans="15:15" x14ac:dyDescent="0.2">
      <c r="O391" s="1336"/>
    </row>
    <row r="392" spans="15:15" x14ac:dyDescent="0.2">
      <c r="O392" s="1336"/>
    </row>
    <row r="393" spans="15:15" x14ac:dyDescent="0.2">
      <c r="O393" s="1336"/>
    </row>
    <row r="394" spans="15:15" x14ac:dyDescent="0.2">
      <c r="O394" s="1336"/>
    </row>
    <row r="395" spans="15:15" x14ac:dyDescent="0.2">
      <c r="O395" s="1336"/>
    </row>
    <row r="396" spans="15:15" x14ac:dyDescent="0.2">
      <c r="O396" s="1336"/>
    </row>
    <row r="397" spans="15:15" x14ac:dyDescent="0.2">
      <c r="O397" s="1336"/>
    </row>
    <row r="398" spans="15:15" x14ac:dyDescent="0.2">
      <c r="O398" s="1336"/>
    </row>
    <row r="399" spans="15:15" x14ac:dyDescent="0.2">
      <c r="O399" s="1336"/>
    </row>
    <row r="400" spans="15:15" x14ac:dyDescent="0.2">
      <c r="O400" s="1336"/>
    </row>
    <row r="401" spans="15:15" x14ac:dyDescent="0.2">
      <c r="O401" s="1336"/>
    </row>
    <row r="402" spans="15:15" x14ac:dyDescent="0.2">
      <c r="O402" s="1336"/>
    </row>
    <row r="403" spans="15:15" x14ac:dyDescent="0.2">
      <c r="O403" s="1336"/>
    </row>
    <row r="404" spans="15:15" x14ac:dyDescent="0.2">
      <c r="O404" s="1336"/>
    </row>
    <row r="405" spans="15:15" x14ac:dyDescent="0.2">
      <c r="O405" s="1336"/>
    </row>
    <row r="406" spans="15:15" x14ac:dyDescent="0.2">
      <c r="O406" s="1336"/>
    </row>
    <row r="407" spans="15:15" x14ac:dyDescent="0.2">
      <c r="O407" s="1336"/>
    </row>
    <row r="408" spans="15:15" x14ac:dyDescent="0.2">
      <c r="O408" s="1336"/>
    </row>
    <row r="409" spans="15:15" x14ac:dyDescent="0.2">
      <c r="O409" s="1336"/>
    </row>
    <row r="410" spans="15:15" x14ac:dyDescent="0.2">
      <c r="O410" s="1336"/>
    </row>
    <row r="411" spans="15:15" x14ac:dyDescent="0.2">
      <c r="O411" s="1336"/>
    </row>
    <row r="412" spans="15:15" x14ac:dyDescent="0.2">
      <c r="O412" s="1336"/>
    </row>
    <row r="413" spans="15:15" x14ac:dyDescent="0.2">
      <c r="O413" s="1336"/>
    </row>
    <row r="414" spans="15:15" x14ac:dyDescent="0.2">
      <c r="O414" s="1336"/>
    </row>
    <row r="415" spans="15:15" x14ac:dyDescent="0.2">
      <c r="O415" s="1336"/>
    </row>
    <row r="416" spans="15:15" x14ac:dyDescent="0.2">
      <c r="O416" s="1336"/>
    </row>
    <row r="417" spans="15:15" x14ac:dyDescent="0.2">
      <c r="O417" s="1336"/>
    </row>
    <row r="418" spans="15:15" x14ac:dyDescent="0.2">
      <c r="O418" s="1336"/>
    </row>
    <row r="419" spans="15:15" x14ac:dyDescent="0.2">
      <c r="O419" s="1336"/>
    </row>
    <row r="420" spans="15:15" x14ac:dyDescent="0.2">
      <c r="O420" s="1336"/>
    </row>
    <row r="421" spans="15:15" x14ac:dyDescent="0.2">
      <c r="O421" s="1336"/>
    </row>
    <row r="422" spans="15:15" x14ac:dyDescent="0.2">
      <c r="O422" s="1336"/>
    </row>
    <row r="423" spans="15:15" x14ac:dyDescent="0.2">
      <c r="O423" s="1336"/>
    </row>
    <row r="424" spans="15:15" x14ac:dyDescent="0.2">
      <c r="O424" s="1336"/>
    </row>
    <row r="425" spans="15:15" x14ac:dyDescent="0.2">
      <c r="O425" s="1336"/>
    </row>
    <row r="426" spans="15:15" x14ac:dyDescent="0.2">
      <c r="O426" s="1336"/>
    </row>
    <row r="427" spans="15:15" x14ac:dyDescent="0.2">
      <c r="O427" s="1336"/>
    </row>
    <row r="428" spans="15:15" x14ac:dyDescent="0.2">
      <c r="O428" s="1336"/>
    </row>
    <row r="429" spans="15:15" x14ac:dyDescent="0.2">
      <c r="O429" s="1336"/>
    </row>
    <row r="430" spans="15:15" x14ac:dyDescent="0.2">
      <c r="O430" s="1336"/>
    </row>
    <row r="431" spans="15:15" x14ac:dyDescent="0.2">
      <c r="O431" s="1336"/>
    </row>
    <row r="432" spans="15:15" x14ac:dyDescent="0.2">
      <c r="O432" s="1336"/>
    </row>
    <row r="433" spans="15:15" x14ac:dyDescent="0.2">
      <c r="O433" s="1336"/>
    </row>
    <row r="434" spans="15:15" x14ac:dyDescent="0.2">
      <c r="O434" s="1336"/>
    </row>
    <row r="435" spans="15:15" x14ac:dyDescent="0.2">
      <c r="O435" s="1336"/>
    </row>
    <row r="436" spans="15:15" x14ac:dyDescent="0.2">
      <c r="O436" s="1336"/>
    </row>
    <row r="437" spans="15:15" x14ac:dyDescent="0.2">
      <c r="O437" s="1336"/>
    </row>
    <row r="438" spans="15:15" x14ac:dyDescent="0.2">
      <c r="O438" s="1336"/>
    </row>
    <row r="439" spans="15:15" x14ac:dyDescent="0.2">
      <c r="O439" s="1336"/>
    </row>
    <row r="440" spans="15:15" x14ac:dyDescent="0.2">
      <c r="O440" s="1336"/>
    </row>
    <row r="441" spans="15:15" x14ac:dyDescent="0.2">
      <c r="O441" s="1336"/>
    </row>
    <row r="442" spans="15:15" x14ac:dyDescent="0.2">
      <c r="O442" s="1336"/>
    </row>
    <row r="443" spans="15:15" x14ac:dyDescent="0.2">
      <c r="O443" s="1336"/>
    </row>
    <row r="444" spans="15:15" x14ac:dyDescent="0.2">
      <c r="O444" s="1336"/>
    </row>
    <row r="445" spans="15:15" x14ac:dyDescent="0.2">
      <c r="O445" s="1336"/>
    </row>
    <row r="446" spans="15:15" x14ac:dyDescent="0.2">
      <c r="O446" s="1336"/>
    </row>
    <row r="447" spans="15:15" x14ac:dyDescent="0.2">
      <c r="O447" s="1336"/>
    </row>
    <row r="448" spans="15:15" x14ac:dyDescent="0.2">
      <c r="O448" s="1336"/>
    </row>
    <row r="449" spans="15:15" x14ac:dyDescent="0.2">
      <c r="O449" s="1336"/>
    </row>
    <row r="450" spans="15:15" x14ac:dyDescent="0.2">
      <c r="O450" s="1336"/>
    </row>
    <row r="451" spans="15:15" x14ac:dyDescent="0.2">
      <c r="O451" s="1336"/>
    </row>
    <row r="452" spans="15:15" x14ac:dyDescent="0.2">
      <c r="O452" s="1336"/>
    </row>
  </sheetData>
  <pageMargins left="0.75" right="0.75" top="1" bottom="1" header="0.5" footer="0.5"/>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7">
    <tabColor rgb="FFFFFF00"/>
    <pageSetUpPr fitToPage="1"/>
  </sheetPr>
  <dimension ref="A1:BH72"/>
  <sheetViews>
    <sheetView zoomScale="70" zoomScaleNormal="70" workbookViewId="0">
      <selection activeCell="S15" sqref="S15"/>
    </sheetView>
  </sheetViews>
  <sheetFormatPr defaultRowHeight="12.75" x14ac:dyDescent="0.2"/>
  <cols>
    <col min="1" max="1" width="4.42578125" style="434" customWidth="1"/>
    <col min="2" max="2" width="11.42578125" style="434" customWidth="1"/>
    <col min="3" max="3" width="15.28515625" style="434" customWidth="1"/>
    <col min="4" max="4" width="11.140625" style="434" customWidth="1"/>
    <col min="5" max="5" width="6.42578125" style="667" customWidth="1"/>
    <col min="6" max="8" width="9.140625" style="667" customWidth="1"/>
    <col min="9" max="9" width="7" style="667" customWidth="1"/>
    <col min="10" max="10" width="9.140625" style="667" customWidth="1"/>
    <col min="11" max="11" width="2.7109375" style="434" customWidth="1"/>
    <col min="12" max="18" width="3" style="434" customWidth="1"/>
    <col min="19" max="22" width="9.28515625" style="434" customWidth="1"/>
    <col min="23" max="23" width="7.28515625" style="434" customWidth="1"/>
    <col min="24" max="24" width="11.28515625" style="434" customWidth="1"/>
    <col min="25" max="25" width="3.5703125" style="434" customWidth="1"/>
    <col min="26" max="26" width="2.7109375" style="434" customWidth="1"/>
    <col min="27" max="27" width="11.5703125" style="434" customWidth="1"/>
    <col min="28" max="28" width="10" style="434" customWidth="1"/>
    <col min="29" max="29" width="8.140625" style="434" customWidth="1"/>
    <col min="30" max="30" width="3" style="434" customWidth="1"/>
    <col min="31" max="31" width="9" style="667" customWidth="1"/>
    <col min="32" max="32" width="10" style="434" customWidth="1"/>
    <col min="33" max="33" width="5.42578125" style="434" customWidth="1"/>
    <col min="34" max="34" width="3.42578125" style="434" customWidth="1"/>
    <col min="35" max="35" width="3.28515625" style="434" customWidth="1"/>
    <col min="36" max="36" width="3.85546875" style="434" customWidth="1"/>
    <col min="37" max="37" width="13" style="434" customWidth="1"/>
    <col min="38" max="38" width="6.28515625" style="434" customWidth="1"/>
    <col min="39" max="39" width="7.85546875" style="434" customWidth="1"/>
    <col min="40" max="41" width="3.28515625" style="434" customWidth="1"/>
    <col min="42" max="42" width="4.5703125" style="434" customWidth="1"/>
    <col min="43" max="43" width="6.85546875" style="434" customWidth="1"/>
    <col min="44" max="44" width="2.85546875" style="434" customWidth="1"/>
    <col min="45" max="45" width="9.42578125" style="434" customWidth="1"/>
    <col min="46" max="46" width="9" style="434" customWidth="1"/>
    <col min="47" max="47" width="7" style="434" customWidth="1"/>
    <col min="48" max="48" width="6.140625" style="434" customWidth="1"/>
    <col min="49" max="49" width="13.42578125" style="434" customWidth="1"/>
    <col min="50" max="51" width="10" style="434" customWidth="1"/>
    <col min="52" max="53" width="9.140625" style="434"/>
    <col min="54" max="54" width="15.28515625" style="667" customWidth="1"/>
    <col min="55" max="55" width="8.7109375" style="667" customWidth="1"/>
    <col min="56" max="56" width="15.28515625" style="667" customWidth="1"/>
    <col min="57" max="16384" width="9.140625" style="434"/>
  </cols>
  <sheetData>
    <row r="1" spans="1:60" ht="16.5" customHeight="1" x14ac:dyDescent="0.2">
      <c r="A1" s="856"/>
      <c r="B1" s="856"/>
      <c r="C1" s="856"/>
      <c r="D1" s="856"/>
      <c r="E1" s="1834"/>
      <c r="F1" s="1834"/>
      <c r="G1" s="1834"/>
      <c r="H1" s="1834"/>
      <c r="I1" s="1834"/>
      <c r="J1" s="1834"/>
      <c r="K1" s="856"/>
      <c r="L1" s="856"/>
      <c r="M1" s="856"/>
      <c r="N1" s="856"/>
      <c r="O1" s="856"/>
      <c r="P1" s="856"/>
      <c r="Q1" s="856"/>
      <c r="R1" s="856"/>
      <c r="S1" s="856"/>
      <c r="T1" s="856"/>
      <c r="U1" s="856"/>
      <c r="V1" s="856"/>
      <c r="W1" s="856"/>
      <c r="X1" s="856"/>
      <c r="Y1" s="856"/>
      <c r="Z1" s="856"/>
      <c r="AA1" s="856"/>
      <c r="AB1" s="856"/>
      <c r="AC1" s="856"/>
      <c r="AD1" s="856"/>
      <c r="AE1" s="1834"/>
      <c r="AF1" s="856"/>
      <c r="AG1" s="856"/>
      <c r="AH1" s="856"/>
      <c r="AI1" s="856"/>
      <c r="AJ1" s="856"/>
      <c r="AK1" s="856"/>
      <c r="AL1" s="856"/>
      <c r="AM1" s="856"/>
      <c r="AN1" s="856"/>
      <c r="AO1" s="856"/>
      <c r="AP1" s="856"/>
      <c r="AQ1" s="856"/>
      <c r="AR1" s="856"/>
      <c r="AS1" s="856"/>
      <c r="AT1" s="856"/>
      <c r="AU1" s="856"/>
      <c r="AV1" s="856"/>
      <c r="AW1" s="856"/>
      <c r="AX1" s="856"/>
      <c r="AY1" s="856"/>
      <c r="AZ1" s="856"/>
      <c r="BA1" s="856"/>
      <c r="BB1" s="1834"/>
      <c r="BC1" s="1834"/>
      <c r="BD1" s="1834"/>
      <c r="BE1" s="856"/>
    </row>
    <row r="2" spans="1:60" ht="16.5" customHeight="1" thickBot="1" x14ac:dyDescent="0.25">
      <c r="A2" s="856"/>
      <c r="B2" s="435" t="s">
        <v>54</v>
      </c>
      <c r="C2" s="435"/>
      <c r="D2" s="435"/>
      <c r="E2" s="668"/>
      <c r="F2" s="668"/>
      <c r="G2" s="668"/>
      <c r="H2" s="668"/>
      <c r="I2" s="668"/>
      <c r="J2" s="668" t="str">
        <f ca="1">MID(CELL("filename"),SEARCH("[",CELL("filename"))+1, SEARCH("]",CELL("filename"))-SEARCH("[",CELL("filename"))-1)</f>
        <v>ISO_DIS_52000-1_SS_2015_05_13.xlsm</v>
      </c>
      <c r="K2" s="436"/>
      <c r="L2" s="436"/>
      <c r="M2" s="436"/>
      <c r="N2" s="436"/>
      <c r="O2" s="436"/>
      <c r="P2" s="436"/>
      <c r="Q2" s="436"/>
      <c r="R2" s="436"/>
      <c r="S2" s="856"/>
      <c r="T2" s="856"/>
      <c r="U2" s="856"/>
      <c r="V2" s="856"/>
      <c r="W2" s="856"/>
      <c r="X2" s="856"/>
      <c r="Y2" s="856"/>
      <c r="Z2" s="856"/>
      <c r="AA2" s="436"/>
      <c r="AB2" s="436"/>
      <c r="AC2" s="621"/>
      <c r="AD2" s="856"/>
      <c r="AE2" s="1834"/>
      <c r="AF2" s="856"/>
      <c r="AG2" s="856"/>
      <c r="AH2" s="856"/>
      <c r="AI2" s="856"/>
      <c r="AJ2" s="856"/>
      <c r="AK2" s="856"/>
      <c r="AL2" s="856"/>
      <c r="AM2" s="856"/>
      <c r="AN2" s="856"/>
      <c r="AO2" s="856"/>
      <c r="AP2" s="856"/>
      <c r="AQ2" s="856"/>
      <c r="AR2" s="856"/>
      <c r="AS2" s="856"/>
      <c r="AT2" s="856"/>
      <c r="AU2" s="856"/>
      <c r="AV2" s="856"/>
      <c r="AW2" s="856"/>
      <c r="AX2" s="856"/>
      <c r="AY2" s="856"/>
      <c r="AZ2" s="856"/>
      <c r="BA2" s="856"/>
      <c r="BB2" s="1834"/>
      <c r="BC2" s="1834"/>
      <c r="BD2" s="1843" t="str">
        <f>INDEX(Language!D349:M349,1,_language)</f>
        <v>Interval to show</v>
      </c>
      <c r="BE2" s="856"/>
    </row>
    <row r="3" spans="1:60" ht="16.5" customHeight="1" x14ac:dyDescent="0.2">
      <c r="A3" s="856"/>
      <c r="B3" s="437"/>
      <c r="C3" s="437"/>
      <c r="D3" s="437"/>
      <c r="E3" s="669"/>
      <c r="F3" s="669"/>
      <c r="G3" s="669"/>
      <c r="H3" s="669"/>
      <c r="I3" s="669"/>
      <c r="J3" s="670"/>
      <c r="K3" s="438"/>
      <c r="L3" s="856"/>
      <c r="M3" s="856"/>
      <c r="N3" s="856"/>
      <c r="O3" s="856"/>
      <c r="P3" s="856"/>
      <c r="Q3" s="856"/>
      <c r="R3" s="856"/>
      <c r="S3" s="630"/>
      <c r="T3" s="630"/>
      <c r="U3" s="630"/>
      <c r="V3" s="630"/>
      <c r="W3" s="630"/>
      <c r="X3" s="630"/>
      <c r="Y3" s="630"/>
      <c r="Z3" s="630"/>
      <c r="AA3" s="622"/>
      <c r="AB3" s="681" t="s">
        <v>1316</v>
      </c>
      <c r="AC3" s="623"/>
      <c r="AD3" s="630"/>
      <c r="AE3" s="823"/>
      <c r="AF3" s="856"/>
      <c r="AG3" s="856"/>
      <c r="AH3" s="856"/>
      <c r="AI3" s="856"/>
      <c r="AJ3" s="856"/>
      <c r="AK3" s="807"/>
      <c r="AL3" s="629" t="s">
        <v>1360</v>
      </c>
      <c r="AM3" s="811"/>
      <c r="AN3" s="856"/>
      <c r="AO3" s="856"/>
      <c r="AP3" s="856"/>
      <c r="AQ3" s="856"/>
      <c r="AR3" s="856"/>
      <c r="AS3" s="856"/>
      <c r="AT3" s="856"/>
      <c r="AU3" s="856"/>
      <c r="AV3" s="856"/>
      <c r="AW3" s="630"/>
      <c r="AX3" s="630"/>
      <c r="AY3" s="630"/>
      <c r="AZ3" s="630"/>
      <c r="BA3" s="630"/>
      <c r="BB3" s="1834"/>
      <c r="BC3" s="1834"/>
      <c r="BD3" s="1844" t="s">
        <v>1137</v>
      </c>
      <c r="BE3" s="856"/>
    </row>
    <row r="4" spans="1:60" ht="16.5" customHeight="1" x14ac:dyDescent="0.2">
      <c r="A4" s="856"/>
      <c r="B4" s="472" t="str">
        <f>+ConvFactors!B1</f>
        <v>Choose your language at sheet "Language"</v>
      </c>
      <c r="C4" s="472"/>
      <c r="D4" s="472"/>
      <c r="E4" s="671"/>
      <c r="F4" s="671"/>
      <c r="G4" s="671"/>
      <c r="H4" s="671"/>
      <c r="I4" s="671"/>
      <c r="J4" s="672"/>
      <c r="K4" s="471"/>
      <c r="L4" s="856"/>
      <c r="M4" s="856"/>
      <c r="N4" s="1849" t="s">
        <v>2311</v>
      </c>
      <c r="O4" s="856"/>
      <c r="P4" s="856"/>
      <c r="Q4" s="856"/>
      <c r="R4" s="856"/>
      <c r="S4" s="1710"/>
      <c r="T4" s="1710"/>
      <c r="U4" s="1710"/>
      <c r="V4" s="1710"/>
      <c r="W4" s="1710"/>
      <c r="X4" s="1710"/>
      <c r="Y4" s="1710"/>
      <c r="Z4" s="630"/>
      <c r="AA4" s="680"/>
      <c r="AB4" s="624"/>
      <c r="AC4" s="625">
        <v>1</v>
      </c>
      <c r="AD4" s="630"/>
      <c r="AE4" s="823"/>
      <c r="AF4" s="856"/>
      <c r="AG4" s="856"/>
      <c r="AH4" s="856"/>
      <c r="AI4" s="856"/>
      <c r="AJ4" s="856"/>
      <c r="AK4" s="808"/>
      <c r="AL4" s="630" t="s">
        <v>1361</v>
      </c>
      <c r="AM4" s="783"/>
      <c r="AN4" s="856"/>
      <c r="AO4" s="856"/>
      <c r="AP4" s="856"/>
      <c r="AQ4" s="856"/>
      <c r="AR4" s="856"/>
      <c r="AS4" s="856"/>
      <c r="AT4" s="856"/>
      <c r="AU4" s="856"/>
      <c r="AV4" s="856"/>
      <c r="AW4" s="630"/>
      <c r="AX4" s="630"/>
      <c r="AY4" s="630"/>
      <c r="AZ4" s="630"/>
      <c r="BA4" s="630"/>
      <c r="BB4" s="1834"/>
      <c r="BC4" s="1834"/>
      <c r="BD4" s="1844" t="str">
        <f>INDEX(Language!D351:M351,1,_language)</f>
        <v>Time-step 1</v>
      </c>
      <c r="BE4" s="856"/>
    </row>
    <row r="5" spans="1:60" ht="18" customHeight="1" thickBot="1" x14ac:dyDescent="0.25">
      <c r="A5" s="856"/>
      <c r="B5" s="856"/>
      <c r="C5" s="856"/>
      <c r="D5" s="856"/>
      <c r="E5" s="1834"/>
      <c r="F5" s="1834"/>
      <c r="G5" s="1834"/>
      <c r="H5" s="1834"/>
      <c r="I5" s="1834"/>
      <c r="J5" s="1834"/>
      <c r="K5" s="856"/>
      <c r="L5" s="856"/>
      <c r="M5" s="856"/>
      <c r="N5" s="856"/>
      <c r="O5" s="856"/>
      <c r="P5" s="856"/>
      <c r="Q5" s="856"/>
      <c r="R5" s="856"/>
      <c r="S5" s="630"/>
      <c r="T5" s="630"/>
      <c r="U5" s="630"/>
      <c r="V5" s="630"/>
      <c r="W5" s="630"/>
      <c r="X5" s="630"/>
      <c r="Y5" s="630"/>
      <c r="Z5" s="630"/>
      <c r="AA5" s="626"/>
      <c r="AB5" s="627"/>
      <c r="AC5" s="628"/>
      <c r="AD5" s="630"/>
      <c r="AE5" s="823"/>
      <c r="AF5" s="856"/>
      <c r="AG5" s="856"/>
      <c r="AH5" s="856"/>
      <c r="AI5" s="856"/>
      <c r="AJ5" s="856"/>
      <c r="AK5" s="810"/>
      <c r="AL5" s="677" t="s">
        <v>1208</v>
      </c>
      <c r="AM5" s="714"/>
      <c r="AN5" s="856"/>
      <c r="AO5" s="856"/>
      <c r="AP5" s="856"/>
      <c r="AQ5" s="856"/>
      <c r="AR5" s="856"/>
      <c r="AS5" s="856"/>
      <c r="AT5" s="856"/>
      <c r="AU5" s="856"/>
      <c r="AV5" s="856"/>
      <c r="AW5" s="630"/>
      <c r="AX5" s="630"/>
      <c r="AY5" s="630"/>
      <c r="AZ5" s="630"/>
      <c r="BA5" s="630"/>
      <c r="BB5" s="1834"/>
      <c r="BC5" s="1834"/>
      <c r="BD5" s="1844" t="str">
        <f>INDEX(Language!D352:M352,1,_language)</f>
        <v>Time-step 2</v>
      </c>
      <c r="BE5" s="856"/>
    </row>
    <row r="6" spans="1:60" x14ac:dyDescent="0.2">
      <c r="A6" s="856"/>
      <c r="B6" s="1836"/>
      <c r="C6" s="1836"/>
      <c r="D6" s="1836"/>
      <c r="E6" s="1837"/>
      <c r="F6" s="1837"/>
      <c r="G6" s="1837"/>
      <c r="H6" s="1837"/>
      <c r="I6" s="1837"/>
      <c r="J6" s="1837"/>
      <c r="K6" s="1836"/>
      <c r="L6" s="630"/>
      <c r="M6" s="856"/>
      <c r="N6" s="856"/>
      <c r="O6" s="856"/>
      <c r="P6" s="856"/>
      <c r="Q6" s="856"/>
      <c r="R6" s="856"/>
      <c r="S6" s="856"/>
      <c r="T6" s="856"/>
      <c r="U6" s="856"/>
      <c r="V6" s="856"/>
      <c r="W6" s="856"/>
      <c r="X6" s="856"/>
      <c r="Y6" s="856"/>
      <c r="Z6" s="856"/>
      <c r="AA6" s="856"/>
      <c r="AB6" s="856"/>
      <c r="AC6" s="856"/>
      <c r="AD6" s="856"/>
      <c r="AE6" s="1834"/>
      <c r="AF6" s="856"/>
      <c r="AG6" s="856"/>
      <c r="AH6" s="856"/>
      <c r="AI6" s="856"/>
      <c r="AJ6" s="856"/>
      <c r="AK6" s="856"/>
      <c r="AL6" s="856"/>
      <c r="AM6" s="856"/>
      <c r="AN6" s="856"/>
      <c r="AO6" s="856"/>
      <c r="AP6" s="856"/>
      <c r="AQ6" s="856"/>
      <c r="AR6" s="856"/>
      <c r="AS6" s="856"/>
      <c r="AT6" s="856"/>
      <c r="AU6" s="856"/>
      <c r="AV6" s="856"/>
      <c r="AW6" s="630"/>
      <c r="AX6" s="630"/>
      <c r="AY6" s="630"/>
      <c r="AZ6" s="630"/>
      <c r="BA6" s="630"/>
      <c r="BB6" s="1834"/>
      <c r="BC6" s="1834"/>
      <c r="BD6" s="1844" t="str">
        <f>INDEX(Language!D353:M353,1,_language)</f>
        <v>Time-step 3</v>
      </c>
      <c r="BE6" s="856"/>
    </row>
    <row r="7" spans="1:60" ht="16.5" customHeight="1" thickBot="1" x14ac:dyDescent="0.25">
      <c r="A7" s="856"/>
      <c r="B7" s="825">
        <f>+Base_calc!N16</f>
        <v>1</v>
      </c>
      <c r="C7" s="826" t="str">
        <f>+Base_calc!J15</f>
        <v>Boiler + thermal solar + cooling</v>
      </c>
      <c r="D7" s="827"/>
      <c r="E7" s="828"/>
      <c r="F7" s="828"/>
      <c r="G7" s="828"/>
      <c r="H7" s="828"/>
      <c r="I7" s="828"/>
      <c r="J7" s="828"/>
      <c r="K7" s="829"/>
      <c r="L7" s="856"/>
      <c r="M7" s="856"/>
      <c r="N7" s="856"/>
      <c r="O7" s="856"/>
      <c r="P7" s="856"/>
      <c r="Q7" s="856"/>
      <c r="R7" s="856"/>
      <c r="S7" s="856"/>
      <c r="T7" s="856"/>
      <c r="U7" s="856"/>
      <c r="V7" s="856"/>
      <c r="W7" s="630"/>
      <c r="X7" s="630"/>
      <c r="Y7" s="630"/>
      <c r="Z7" s="856"/>
      <c r="AA7" s="856"/>
      <c r="AB7" s="856"/>
      <c r="AC7" s="856"/>
      <c r="AD7" s="856"/>
      <c r="AE7" s="1834"/>
      <c r="AF7" s="856"/>
      <c r="AG7" s="856"/>
      <c r="AH7" s="1841"/>
      <c r="AI7" s="1841"/>
      <c r="AJ7" s="1841"/>
      <c r="AK7" s="1841"/>
      <c r="AL7" s="1841"/>
      <c r="AM7" s="1841"/>
      <c r="AN7" s="1841"/>
      <c r="AO7" s="1841"/>
      <c r="AP7" s="1841"/>
      <c r="AQ7" s="1842"/>
      <c r="AR7" s="1842"/>
      <c r="AS7" s="856"/>
      <c r="AT7" s="856"/>
      <c r="AU7" s="633"/>
      <c r="AV7" s="634"/>
      <c r="AW7" s="856"/>
      <c r="AX7" s="856"/>
      <c r="AY7" s="630"/>
      <c r="AZ7" s="630"/>
      <c r="BA7" s="630"/>
      <c r="BB7" s="1834"/>
      <c r="BC7" s="1834"/>
      <c r="BD7" s="1844" t="str">
        <f>INDEX(Language!D354:M354,1,_language)</f>
        <v>Time-step 4</v>
      </c>
      <c r="BE7" s="856"/>
    </row>
    <row r="8" spans="1:60" ht="16.5" customHeight="1" thickBot="1" x14ac:dyDescent="0.25">
      <c r="A8" s="856"/>
      <c r="B8" s="856"/>
      <c r="C8" s="856"/>
      <c r="D8" s="856"/>
      <c r="E8" s="1834"/>
      <c r="F8" s="1834"/>
      <c r="G8" s="1834"/>
      <c r="H8" s="1834"/>
      <c r="I8" s="1834"/>
      <c r="J8" s="1834"/>
      <c r="K8" s="856"/>
      <c r="L8" s="856"/>
      <c r="M8" s="856"/>
      <c r="N8" s="856"/>
      <c r="O8" s="856"/>
      <c r="P8" s="856"/>
      <c r="Q8" s="856"/>
      <c r="R8" s="856"/>
      <c r="S8" s="856"/>
      <c r="T8" s="856"/>
      <c r="U8" s="856"/>
      <c r="V8" s="856"/>
      <c r="W8" s="630"/>
      <c r="X8" s="630"/>
      <c r="Y8" s="630"/>
      <c r="Z8" s="856"/>
      <c r="AA8" s="856"/>
      <c r="AB8" s="856"/>
      <c r="AC8" s="856"/>
      <c r="AD8" s="856"/>
      <c r="AE8" s="1834"/>
      <c r="AF8" s="856"/>
      <c r="AG8" s="1841"/>
      <c r="AH8" s="1841"/>
      <c r="AI8" s="1841"/>
      <c r="AJ8" s="1841"/>
      <c r="AK8" s="1841"/>
      <c r="AL8" s="1841"/>
      <c r="AM8" s="1841"/>
      <c r="AN8" s="1841"/>
      <c r="AO8" s="1841"/>
      <c r="AP8" s="1841"/>
      <c r="AQ8" s="1842"/>
      <c r="AR8" s="1842"/>
      <c r="AS8" s="1840"/>
      <c r="AT8" s="1840"/>
      <c r="AU8" s="450"/>
      <c r="AV8" s="446"/>
      <c r="AW8" s="636"/>
      <c r="AX8" s="636"/>
      <c r="AY8" s="630"/>
      <c r="AZ8" s="630"/>
      <c r="BA8" s="630"/>
      <c r="BB8" s="1834"/>
      <c r="BC8" s="1834"/>
      <c r="BD8" s="1844" t="str">
        <f>INDEX(Language!D355:M355,1,_language)</f>
        <v>Time-step 5</v>
      </c>
      <c r="BE8" s="856"/>
    </row>
    <row r="9" spans="1:60" ht="16.5" customHeight="1" x14ac:dyDescent="0.2">
      <c r="A9" s="856"/>
      <c r="B9" s="442"/>
      <c r="C9" s="443"/>
      <c r="D9" s="793" t="s">
        <v>1321</v>
      </c>
      <c r="E9" s="443"/>
      <c r="F9" s="443"/>
      <c r="G9" s="443"/>
      <c r="H9" s="443"/>
      <c r="I9" s="443"/>
      <c r="J9" s="443"/>
      <c r="K9" s="444"/>
      <c r="L9" s="856"/>
      <c r="M9" s="856"/>
      <c r="N9" s="856"/>
      <c r="O9" s="856"/>
      <c r="P9" s="856"/>
      <c r="Q9" s="856"/>
      <c r="R9" s="856"/>
      <c r="S9" s="856"/>
      <c r="T9" s="856"/>
      <c r="U9" s="767" t="s">
        <v>1301</v>
      </c>
      <c r="V9" s="811"/>
      <c r="W9" s="823"/>
      <c r="X9" s="823"/>
      <c r="Y9" s="823"/>
      <c r="Z9" s="630"/>
      <c r="AA9" s="767"/>
      <c r="AB9" s="629"/>
      <c r="AC9" s="629"/>
      <c r="AD9" s="629"/>
      <c r="AE9" s="819"/>
      <c r="AF9" s="629"/>
      <c r="AG9" s="768"/>
      <c r="AH9" s="452"/>
      <c r="AI9" s="452"/>
      <c r="AJ9" s="452"/>
      <c r="AK9" s="452"/>
      <c r="AL9" s="452"/>
      <c r="AM9" s="452"/>
      <c r="AN9" s="452"/>
      <c r="AO9" s="452"/>
      <c r="AP9" s="452"/>
      <c r="AQ9" s="452"/>
      <c r="AR9" s="452"/>
      <c r="AS9" s="453"/>
      <c r="AT9" s="453"/>
      <c r="AU9" s="445"/>
      <c r="AV9" s="445"/>
      <c r="AW9" s="456"/>
      <c r="AX9" s="632" t="s">
        <v>1389</v>
      </c>
      <c r="AY9" s="457"/>
      <c r="AZ9" s="630"/>
      <c r="BA9" s="630"/>
      <c r="BB9" s="1834"/>
      <c r="BC9" s="1834"/>
      <c r="BD9" s="1844" t="str">
        <f>INDEX(Language!D356:M356,1,_language)</f>
        <v>Time-step 6</v>
      </c>
      <c r="BE9" s="856"/>
    </row>
    <row r="10" spans="1:60" ht="16.5" customHeight="1" x14ac:dyDescent="0.2">
      <c r="A10" s="856"/>
      <c r="B10" s="447"/>
      <c r="C10" s="448"/>
      <c r="D10" s="794" t="s">
        <v>1354</v>
      </c>
      <c r="E10" s="448" t="str">
        <f>Base_calc!J935</f>
        <v>CEN</v>
      </c>
      <c r="F10" s="448"/>
      <c r="G10" s="448"/>
      <c r="H10" s="448"/>
      <c r="I10" s="448"/>
      <c r="J10" s="448"/>
      <c r="K10" s="449"/>
      <c r="L10" s="856"/>
      <c r="M10" s="856"/>
      <c r="N10" s="856"/>
      <c r="O10" s="856"/>
      <c r="P10" s="1838"/>
      <c r="Q10" s="856"/>
      <c r="R10" s="856"/>
      <c r="S10" s="856"/>
      <c r="T10" s="856"/>
      <c r="U10" s="812" t="s">
        <v>1303</v>
      </c>
      <c r="V10" s="813"/>
      <c r="W10" s="823"/>
      <c r="X10" s="823"/>
      <c r="Y10" s="823"/>
      <c r="Z10" s="630"/>
      <c r="AA10" s="769"/>
      <c r="AB10" s="630"/>
      <c r="AC10" s="636" t="s">
        <v>1283</v>
      </c>
      <c r="AD10" s="636"/>
      <c r="AE10" s="831"/>
      <c r="AF10" s="631"/>
      <c r="AG10" s="770"/>
      <c r="AH10" s="445"/>
      <c r="AI10" s="441" t="s">
        <v>1308</v>
      </c>
      <c r="AJ10" s="445"/>
      <c r="AK10" s="445"/>
      <c r="AL10" s="445"/>
      <c r="AM10" s="445"/>
      <c r="AN10" s="445"/>
      <c r="AO10" s="445"/>
      <c r="AP10" s="445"/>
      <c r="AQ10" s="441" t="s">
        <v>1400</v>
      </c>
      <c r="AR10" s="440"/>
      <c r="AS10" s="440"/>
      <c r="AT10" s="445"/>
      <c r="AU10" s="445"/>
      <c r="AV10" s="445"/>
      <c r="AW10" s="458"/>
      <c r="AX10" s="649" t="str">
        <f>INDEX(Language!$D$364:$M$364,1,_language)</f>
        <v>Building energy needs</v>
      </c>
      <c r="AY10" s="459"/>
      <c r="AZ10" s="630"/>
      <c r="BA10" s="630"/>
      <c r="BB10" s="1834"/>
      <c r="BC10" s="1834"/>
      <c r="BD10" s="1844" t="str">
        <f>INDEX(Language!D357:M357,1,_language)</f>
        <v>Time-step 7</v>
      </c>
      <c r="BE10" s="856"/>
    </row>
    <row r="11" spans="1:60" ht="16.5" customHeight="1" x14ac:dyDescent="0.2">
      <c r="A11" s="856"/>
      <c r="B11" s="447"/>
      <c r="C11" s="673" t="s">
        <v>345</v>
      </c>
      <c r="D11" s="710" t="s">
        <v>1310</v>
      </c>
      <c r="E11" s="704" t="s">
        <v>1306</v>
      </c>
      <c r="F11" s="705" t="s">
        <v>1304</v>
      </c>
      <c r="G11" s="868" t="s">
        <v>1392</v>
      </c>
      <c r="H11" s="869" t="s">
        <v>1393</v>
      </c>
      <c r="I11" s="871" t="s">
        <v>1394</v>
      </c>
      <c r="J11" s="872" t="s">
        <v>1395</v>
      </c>
      <c r="K11" s="451"/>
      <c r="L11" s="856"/>
      <c r="M11" s="856"/>
      <c r="N11" s="856"/>
      <c r="O11" s="856"/>
      <c r="P11" s="1838"/>
      <c r="Q11" s="856"/>
      <c r="R11" s="856"/>
      <c r="S11" s="856"/>
      <c r="T11" s="856"/>
      <c r="U11" s="814" t="s">
        <v>342</v>
      </c>
      <c r="V11" s="815" t="s">
        <v>8</v>
      </c>
      <c r="W11" s="630"/>
      <c r="X11" s="630"/>
      <c r="Y11" s="630"/>
      <c r="Z11" s="630"/>
      <c r="AA11" s="771" t="s">
        <v>1286</v>
      </c>
      <c r="AB11" s="641"/>
      <c r="AC11" s="641" t="s">
        <v>1297</v>
      </c>
      <c r="AD11" s="641"/>
      <c r="AE11" s="641" t="s">
        <v>1298</v>
      </c>
      <c r="AF11" s="641"/>
      <c r="AG11" s="772"/>
      <c r="AH11" s="455"/>
      <c r="AI11" s="455"/>
      <c r="AJ11" s="455"/>
      <c r="AK11" s="455"/>
      <c r="AL11" s="455"/>
      <c r="AM11" s="455"/>
      <c r="AN11" s="455"/>
      <c r="AO11" s="455"/>
      <c r="AP11" s="455"/>
      <c r="AQ11" s="445"/>
      <c r="AR11" s="445"/>
      <c r="AS11" s="445"/>
      <c r="AT11" s="686" t="s">
        <v>25</v>
      </c>
      <c r="AU11" s="445"/>
      <c r="AV11" s="445"/>
      <c r="AW11" s="458"/>
      <c r="AX11" s="617"/>
      <c r="AY11" s="459"/>
      <c r="AZ11" s="630"/>
      <c r="BA11" s="630"/>
      <c r="BB11" s="823"/>
      <c r="BC11" s="823"/>
      <c r="BD11" s="1844" t="str">
        <f>INDEX(Language!D360:M360,1,_language)</f>
        <v>Time-step 10</v>
      </c>
      <c r="BE11" s="630"/>
      <c r="BF11" s="439"/>
      <c r="BG11" s="439"/>
      <c r="BH11" s="439"/>
    </row>
    <row r="12" spans="1:60" ht="16.5" customHeight="1" x14ac:dyDescent="0.2">
      <c r="A12" s="856"/>
      <c r="B12" s="447"/>
      <c r="C12" s="673"/>
      <c r="D12" s="710" t="str">
        <f>_En_unit</f>
        <v>kWh</v>
      </c>
      <c r="E12" s="704"/>
      <c r="F12" s="705" t="str">
        <f>_En_unit</f>
        <v>kWh</v>
      </c>
      <c r="G12" s="868"/>
      <c r="H12" s="869" t="str">
        <f>_En_unit</f>
        <v>kWh</v>
      </c>
      <c r="I12" s="871"/>
      <c r="J12" s="872" t="str">
        <f>_En_unit</f>
        <v>kWh</v>
      </c>
      <c r="K12" s="451"/>
      <c r="L12" s="856"/>
      <c r="M12" s="856"/>
      <c r="N12" s="856"/>
      <c r="O12" s="856"/>
      <c r="P12" s="1838"/>
      <c r="Q12" s="856"/>
      <c r="R12" s="856"/>
      <c r="S12" s="856"/>
      <c r="T12" s="856"/>
      <c r="U12" s="943" t="s">
        <v>1723</v>
      </c>
      <c r="V12" s="947"/>
      <c r="W12" s="823"/>
      <c r="X12" s="823"/>
      <c r="Y12" s="823"/>
      <c r="Z12" s="630"/>
      <c r="AA12" s="857">
        <f>+BD17</f>
        <v>1</v>
      </c>
      <c r="AB12" s="637" t="s">
        <v>1289</v>
      </c>
      <c r="AC12" s="642"/>
      <c r="AD12" s="642"/>
      <c r="AE12" s="643" t="s">
        <v>1293</v>
      </c>
      <c r="AF12" s="630"/>
      <c r="AG12" s="773"/>
      <c r="AH12" s="455"/>
      <c r="AI12" s="455"/>
      <c r="AJ12" s="455"/>
      <c r="AK12" s="455"/>
      <c r="AL12" s="652"/>
      <c r="AM12" s="652"/>
      <c r="AN12" s="652"/>
      <c r="AO12" s="652"/>
      <c r="AP12" s="652"/>
      <c r="AQ12" s="650"/>
      <c r="AR12" s="650"/>
      <c r="AS12" s="682" t="s">
        <v>1289</v>
      </c>
      <c r="AT12" s="687">
        <f>INDEX(Base_calc!$J$92:$J$104,Diagram_NEW!$AC$4)</f>
        <v>10625</v>
      </c>
      <c r="AU12" s="650" t="str">
        <f>_En_unit</f>
        <v>kWh</v>
      </c>
      <c r="AV12" s="650"/>
      <c r="AW12" s="692" t="s">
        <v>25</v>
      </c>
      <c r="AX12" s="1707">
        <f>INDEX(Base_calc!$J$18:$J$30,Diagram_NEW!$AC$4)</f>
        <v>8500</v>
      </c>
      <c r="AY12" s="461" t="str">
        <f>_En_unit</f>
        <v>kWh</v>
      </c>
      <c r="AZ12" s="630"/>
      <c r="BA12" s="630"/>
      <c r="BB12" s="1845">
        <v>100</v>
      </c>
      <c r="BC12" s="823"/>
      <c r="BD12" s="1844" t="str">
        <f>INDEX(Language!D361:M361,1,_language)</f>
        <v>Time-step 11</v>
      </c>
      <c r="BE12" s="630"/>
      <c r="BF12" s="439"/>
      <c r="BG12" s="439"/>
      <c r="BH12" s="439"/>
    </row>
    <row r="13" spans="1:60" ht="16.5" customHeight="1" x14ac:dyDescent="0.2">
      <c r="A13" s="856"/>
      <c r="B13" s="447"/>
      <c r="C13" s="448"/>
      <c r="D13" s="709"/>
      <c r="E13" s="704"/>
      <c r="F13" s="705"/>
      <c r="G13" s="870"/>
      <c r="H13" s="870"/>
      <c r="I13" s="871"/>
      <c r="J13" s="872"/>
      <c r="K13" s="454"/>
      <c r="L13" s="856"/>
      <c r="M13" s="856"/>
      <c r="N13" s="856"/>
      <c r="O13" s="856"/>
      <c r="P13" s="1838"/>
      <c r="Q13" s="856"/>
      <c r="R13" s="856"/>
      <c r="S13" s="856"/>
      <c r="T13" s="856"/>
      <c r="U13" s="945" t="s">
        <v>1302</v>
      </c>
      <c r="V13" s="944"/>
      <c r="W13" s="917"/>
      <c r="X13" s="917"/>
      <c r="Y13" s="917"/>
      <c r="Z13" s="918"/>
      <c r="AA13" s="774" t="s">
        <v>1295</v>
      </c>
      <c r="AB13" s="693">
        <f>INDEX(Base_calc!$J$229:$J$241,Diagram_NEW!$AC$4)</f>
        <v>1042.3529411764705</v>
      </c>
      <c r="AC13" s="630" t="str">
        <f>_En_unit</f>
        <v>kWh</v>
      </c>
      <c r="AD13" s="630"/>
      <c r="AE13" s="889" t="s">
        <v>1294</v>
      </c>
      <c r="AF13" s="888">
        <f>INDEX(Base_calc!$J$200:$J$212,Diagram_NEW!$AC$4)</f>
        <v>886</v>
      </c>
      <c r="AG13" s="890" t="str">
        <f>_En_unit</f>
        <v>kWh</v>
      </c>
      <c r="AH13" s="887"/>
      <c r="AI13" s="887"/>
      <c r="AJ13" s="887"/>
      <c r="AK13" s="887"/>
      <c r="AL13" s="652"/>
      <c r="AM13" s="893">
        <f>+AF13</f>
        <v>886</v>
      </c>
      <c r="AN13" s="891"/>
      <c r="AO13" s="455"/>
      <c r="AP13" s="455"/>
      <c r="AQ13" s="647"/>
      <c r="AR13" s="647"/>
      <c r="AS13" s="683" t="s">
        <v>1290</v>
      </c>
      <c r="AT13" s="688">
        <f>INDEX(Base_calc!$J$106:$J$118,Diagram_NEW!$AC$4)</f>
        <v>318.75</v>
      </c>
      <c r="AU13" s="647" t="str">
        <f>_En_unit</f>
        <v>kWh</v>
      </c>
      <c r="AV13" s="653"/>
      <c r="AW13" s="692" t="s">
        <v>1276</v>
      </c>
      <c r="AX13" s="1707">
        <f>INDEX(Base_calc!$J$44:$J$56,Diagram_NEW!$AC$4)</f>
        <v>0</v>
      </c>
      <c r="AY13" s="461" t="str">
        <f>_En_unit</f>
        <v>kWh</v>
      </c>
      <c r="AZ13" s="630"/>
      <c r="BA13" s="630"/>
      <c r="BB13" s="1846">
        <f>+BB12/100</f>
        <v>1</v>
      </c>
      <c r="BC13" s="823"/>
      <c r="BD13" s="1847" t="str">
        <f>INDEX(Language!D362:M362,1,_language)</f>
        <v>Time-step 12</v>
      </c>
      <c r="BE13" s="630"/>
      <c r="BF13" s="439"/>
      <c r="BG13" s="439"/>
      <c r="BH13" s="439"/>
    </row>
    <row r="14" spans="1:60" ht="16.5" customHeight="1" x14ac:dyDescent="0.2">
      <c r="A14" s="856"/>
      <c r="B14" s="447"/>
      <c r="C14" s="448" t="s">
        <v>20</v>
      </c>
      <c r="D14" s="711"/>
      <c r="E14" s="861"/>
      <c r="F14" s="862"/>
      <c r="G14" s="951"/>
      <c r="H14" s="952"/>
      <c r="I14" s="824"/>
      <c r="J14" s="873"/>
      <c r="K14" s="451"/>
      <c r="L14" s="856"/>
      <c r="M14" s="856"/>
      <c r="N14" s="856"/>
      <c r="O14" s="856"/>
      <c r="P14" s="1838"/>
      <c r="Q14" s="856"/>
      <c r="R14" s="856"/>
      <c r="S14" s="856"/>
      <c r="T14" s="856"/>
      <c r="U14" s="814" t="s">
        <v>1137</v>
      </c>
      <c r="V14" s="946"/>
      <c r="W14" s="823"/>
      <c r="X14" s="823"/>
      <c r="Y14" s="832"/>
      <c r="Z14" s="662"/>
      <c r="AA14" s="776" t="s">
        <v>1296</v>
      </c>
      <c r="AB14" s="694">
        <f>INDEX(Base_calc!$J$215:$J$227,Diagram_NEW!$AC$4)</f>
        <v>26.58</v>
      </c>
      <c r="AC14" s="664" t="str">
        <f>_En_unit</f>
        <v>kWh</v>
      </c>
      <c r="AD14" s="639"/>
      <c r="AE14" s="845"/>
      <c r="AF14" s="639"/>
      <c r="AG14" s="777"/>
      <c r="AH14" s="455"/>
      <c r="AI14" s="455"/>
      <c r="AJ14" s="455"/>
      <c r="AK14" s="455"/>
      <c r="AL14" s="652"/>
      <c r="AM14" s="455"/>
      <c r="AN14" s="887"/>
      <c r="AO14" s="455"/>
      <c r="AP14" s="455"/>
      <c r="AQ14" s="647"/>
      <c r="AR14" s="445"/>
      <c r="AS14" s="684"/>
      <c r="AT14" s="690"/>
      <c r="AU14" s="445"/>
      <c r="AV14" s="445"/>
      <c r="AW14" s="692"/>
      <c r="AX14" s="1708"/>
      <c r="AY14" s="461"/>
      <c r="AZ14" s="630"/>
      <c r="BA14" s="630"/>
      <c r="BB14" s="1834"/>
      <c r="BC14" s="823"/>
      <c r="BD14" s="823"/>
      <c r="BE14" s="630"/>
      <c r="BF14" s="439"/>
      <c r="BG14" s="439"/>
      <c r="BH14" s="439"/>
    </row>
    <row r="15" spans="1:60" ht="16.5" customHeight="1" x14ac:dyDescent="0.2">
      <c r="A15" s="856"/>
      <c r="B15" s="447"/>
      <c r="C15" s="448" t="s">
        <v>37</v>
      </c>
      <c r="D15" s="711"/>
      <c r="E15" s="861"/>
      <c r="F15" s="862"/>
      <c r="G15" s="951"/>
      <c r="H15" s="952"/>
      <c r="I15" s="824"/>
      <c r="J15" s="873"/>
      <c r="K15" s="451"/>
      <c r="L15" s="856"/>
      <c r="M15" s="856"/>
      <c r="N15" s="856"/>
      <c r="O15" s="856"/>
      <c r="P15" s="1838"/>
      <c r="Q15" s="856"/>
      <c r="R15" s="856"/>
      <c r="S15" s="856"/>
      <c r="T15" s="856"/>
      <c r="U15" s="948"/>
      <c r="V15" s="809"/>
      <c r="W15" s="823"/>
      <c r="X15" s="823"/>
      <c r="Y15" s="832"/>
      <c r="Z15" s="630"/>
      <c r="AA15" s="778" t="s">
        <v>1284</v>
      </c>
      <c r="AB15" s="638"/>
      <c r="AC15" s="641" t="s">
        <v>1297</v>
      </c>
      <c r="AD15" s="641"/>
      <c r="AE15" s="641" t="s">
        <v>1298</v>
      </c>
      <c r="AF15" s="641"/>
      <c r="AG15" s="772"/>
      <c r="AH15" s="455"/>
      <c r="AI15" s="455"/>
      <c r="AJ15" s="455"/>
      <c r="AK15" s="455"/>
      <c r="AL15" s="652"/>
      <c r="AM15" s="455"/>
      <c r="AN15" s="887"/>
      <c r="AO15" s="455"/>
      <c r="AP15" s="455"/>
      <c r="AQ15" s="647"/>
      <c r="AR15" s="445"/>
      <c r="AS15" s="684"/>
      <c r="AT15" s="686" t="s">
        <v>1291</v>
      </c>
      <c r="AU15" s="445"/>
      <c r="AV15" s="445"/>
      <c r="AW15" s="692"/>
      <c r="AX15" s="1708"/>
      <c r="AY15" s="461"/>
      <c r="AZ15" s="630"/>
      <c r="BA15" s="630"/>
      <c r="BB15" s="823"/>
      <c r="BC15" s="823"/>
      <c r="BD15" s="823"/>
      <c r="BE15" s="630"/>
      <c r="BF15" s="439"/>
      <c r="BG15" s="439"/>
      <c r="BH15" s="439"/>
    </row>
    <row r="16" spans="1:60" ht="16.5" customHeight="1" x14ac:dyDescent="0.2">
      <c r="A16" s="856"/>
      <c r="B16" s="447"/>
      <c r="C16" s="448" t="s">
        <v>38</v>
      </c>
      <c r="D16" s="711"/>
      <c r="E16" s="861"/>
      <c r="F16" s="862"/>
      <c r="G16" s="951"/>
      <c r="H16" s="952"/>
      <c r="I16" s="824"/>
      <c r="J16" s="873"/>
      <c r="K16" s="451"/>
      <c r="L16" s="856"/>
      <c r="M16" s="856"/>
      <c r="N16" s="856"/>
      <c r="O16" s="856"/>
      <c r="P16" s="1838"/>
      <c r="Q16" s="856"/>
      <c r="R16" s="856"/>
      <c r="S16" s="856"/>
      <c r="T16" s="856"/>
      <c r="U16" s="943" t="s">
        <v>1723</v>
      </c>
      <c r="V16" s="947"/>
      <c r="W16" s="823"/>
      <c r="X16" s="823"/>
      <c r="Y16" s="832"/>
      <c r="Z16" s="630"/>
      <c r="AA16" s="769"/>
      <c r="AB16" s="637" t="s">
        <v>1289</v>
      </c>
      <c r="AC16" s="642"/>
      <c r="AD16" s="642"/>
      <c r="AE16" s="643" t="s">
        <v>1293</v>
      </c>
      <c r="AF16" s="630"/>
      <c r="AG16" s="773"/>
      <c r="AH16" s="455"/>
      <c r="AI16" s="455"/>
      <c r="AJ16" s="455"/>
      <c r="AK16" s="455"/>
      <c r="AL16" s="652"/>
      <c r="AM16" s="894">
        <f>INDEX(Base_calc!$J$242:$J$254,Diagram_NEW!$AC$4)</f>
        <v>1514</v>
      </c>
      <c r="AN16" s="892"/>
      <c r="AO16" s="883"/>
      <c r="AP16" s="883"/>
      <c r="AQ16" s="647"/>
      <c r="AR16" s="884"/>
      <c r="AS16" s="885" t="s">
        <v>1289</v>
      </c>
      <c r="AT16" s="886">
        <f>INDEX(Base_calc!$J$119:$J$131,Diagram_NEW!$AC$4)</f>
        <v>2400</v>
      </c>
      <c r="AU16" s="884" t="str">
        <f>_En_unit</f>
        <v>kWh</v>
      </c>
      <c r="AV16" s="884"/>
      <c r="AW16" s="692" t="s">
        <v>1277</v>
      </c>
      <c r="AX16" s="1707">
        <f>INDEX(Base_calc!$J$31:$J$43,Diagram_NEW!$AC$4)</f>
        <v>1800</v>
      </c>
      <c r="AY16" s="461" t="str">
        <f>_En_unit</f>
        <v>kWh</v>
      </c>
      <c r="AZ16" s="630"/>
      <c r="BA16" s="630"/>
      <c r="BB16" s="1843">
        <v>100</v>
      </c>
      <c r="BC16" s="823"/>
      <c r="BD16" s="1843">
        <v>100</v>
      </c>
      <c r="BE16" s="630"/>
      <c r="BF16" s="439"/>
      <c r="BG16" s="439"/>
      <c r="BH16" s="439"/>
    </row>
    <row r="17" spans="1:60" ht="16.5" customHeight="1" x14ac:dyDescent="0.2">
      <c r="A17" s="856"/>
      <c r="B17" s="447"/>
      <c r="C17" s="448" t="s">
        <v>39</v>
      </c>
      <c r="D17" s="711"/>
      <c r="E17" s="861"/>
      <c r="F17" s="862"/>
      <c r="G17" s="951"/>
      <c r="H17" s="952"/>
      <c r="I17" s="824"/>
      <c r="J17" s="873"/>
      <c r="K17" s="451"/>
      <c r="L17" s="856"/>
      <c r="M17" s="856"/>
      <c r="N17" s="856"/>
      <c r="O17" s="856"/>
      <c r="P17" s="1838"/>
      <c r="Q17" s="856"/>
      <c r="R17" s="856"/>
      <c r="S17" s="856"/>
      <c r="T17" s="856"/>
      <c r="U17" s="945" t="s">
        <v>1302</v>
      </c>
      <c r="V17" s="944"/>
      <c r="W17" s="915"/>
      <c r="X17" s="915"/>
      <c r="Y17" s="832"/>
      <c r="Z17" s="916"/>
      <c r="AA17" s="779" t="str">
        <f>+Base_calc!J410</f>
        <v>gas</v>
      </c>
      <c r="AB17" s="693">
        <f>INDEX(Base_calc!$J$412:$J$424,Diagram_NEW!$AC$4)</f>
        <v>11965.555555555555</v>
      </c>
      <c r="AC17" s="630" t="str">
        <f>_En_unit</f>
        <v>kWh</v>
      </c>
      <c r="AD17" s="630"/>
      <c r="AE17" s="844" t="s">
        <v>1294</v>
      </c>
      <c r="AF17" s="687">
        <f>INDEX(Base_calc!$J$389:$J$401,Diagram_NEW!$AC$4)</f>
        <v>10769</v>
      </c>
      <c r="AG17" s="775" t="str">
        <f>_En_unit</f>
        <v>kWh</v>
      </c>
      <c r="AH17" s="652"/>
      <c r="AI17" s="652"/>
      <c r="AJ17" s="652"/>
      <c r="AK17" s="652"/>
      <c r="AL17" s="652"/>
      <c r="AM17" s="455"/>
      <c r="AN17" s="455"/>
      <c r="AO17" s="455"/>
      <c r="AP17" s="455"/>
      <c r="AQ17" s="699" t="s">
        <v>2228</v>
      </c>
      <c r="AR17" s="647"/>
      <c r="AS17" s="683" t="s">
        <v>1290</v>
      </c>
      <c r="AT17" s="688">
        <f>INDEX(Base_calc!$J$133:$J$145,Diagram_NEW!$AC$4)</f>
        <v>48</v>
      </c>
      <c r="AU17" s="647" t="str">
        <f>_En_unit</f>
        <v>kWh</v>
      </c>
      <c r="AV17" s="653"/>
      <c r="AW17" s="692"/>
      <c r="AX17" s="1709"/>
      <c r="AY17" s="461"/>
      <c r="AZ17" s="630"/>
      <c r="BA17" s="630"/>
      <c r="BB17" s="1846">
        <f>+BB16/100</f>
        <v>1</v>
      </c>
      <c r="BC17" s="823"/>
      <c r="BD17" s="1846">
        <f>+BD16/100</f>
        <v>1</v>
      </c>
      <c r="BE17" s="630"/>
      <c r="BF17" s="439"/>
      <c r="BG17" s="439"/>
      <c r="BH17" s="439"/>
    </row>
    <row r="18" spans="1:60" ht="16.5" customHeight="1" x14ac:dyDescent="0.2">
      <c r="A18" s="856"/>
      <c r="B18" s="447"/>
      <c r="C18" s="448" t="s">
        <v>610</v>
      </c>
      <c r="D18" s="711"/>
      <c r="E18" s="861"/>
      <c r="F18" s="862"/>
      <c r="G18" s="951"/>
      <c r="H18" s="952"/>
      <c r="I18" s="824"/>
      <c r="J18" s="873"/>
      <c r="K18" s="451"/>
      <c r="L18" s="856"/>
      <c r="M18" s="856"/>
      <c r="N18" s="856"/>
      <c r="O18" s="856"/>
      <c r="P18" s="1838"/>
      <c r="Q18" s="856"/>
      <c r="R18" s="856"/>
      <c r="S18" s="856"/>
      <c r="T18" s="856"/>
      <c r="U18" s="814" t="s">
        <v>1137</v>
      </c>
      <c r="V18" s="946"/>
      <c r="W18" s="823"/>
      <c r="X18" s="823"/>
      <c r="Y18" s="832"/>
      <c r="Z18" s="662"/>
      <c r="AA18" s="780" t="s">
        <v>1296</v>
      </c>
      <c r="AB18" s="930">
        <f>INDEX(Base_calc!$J$426:$J$438,Diagram_NEW!$AC$4)</f>
        <v>358.96666666666664</v>
      </c>
      <c r="AC18" s="665" t="str">
        <f>_En_unit</f>
        <v>kWh</v>
      </c>
      <c r="AD18" s="640"/>
      <c r="AE18" s="846"/>
      <c r="AF18" s="640"/>
      <c r="AG18" s="781"/>
      <c r="AH18" s="455"/>
      <c r="AI18" s="455"/>
      <c r="AJ18" s="455"/>
      <c r="AK18" s="455"/>
      <c r="AL18" s="652"/>
      <c r="AM18" s="455"/>
      <c r="AN18" s="455"/>
      <c r="AO18" s="455"/>
      <c r="AP18" s="455"/>
      <c r="AQ18" s="700">
        <f>INDEX(Base_calc!$J$612:$J$624,Diagram_NEW!$AC$4)</f>
        <v>2327.4395238095235</v>
      </c>
      <c r="AR18" s="445"/>
      <c r="AS18" s="684"/>
      <c r="AT18" s="690"/>
      <c r="AU18" s="445"/>
      <c r="AV18" s="445"/>
      <c r="AW18" s="692"/>
      <c r="AX18" s="1708"/>
      <c r="AY18" s="461"/>
      <c r="AZ18" s="630"/>
      <c r="BA18" s="630"/>
      <c r="BB18" s="823"/>
      <c r="BC18" s="823"/>
      <c r="BD18" s="823"/>
      <c r="BE18" s="630"/>
      <c r="BF18" s="439"/>
      <c r="BG18" s="439"/>
      <c r="BH18" s="439"/>
    </row>
    <row r="19" spans="1:60" ht="16.5" customHeight="1" x14ac:dyDescent="0.2">
      <c r="A19" s="856"/>
      <c r="B19" s="447"/>
      <c r="C19" s="448" t="s">
        <v>40</v>
      </c>
      <c r="D19" s="711"/>
      <c r="E19" s="861"/>
      <c r="F19" s="862"/>
      <c r="G19" s="951"/>
      <c r="H19" s="952"/>
      <c r="I19" s="824"/>
      <c r="J19" s="873"/>
      <c r="K19" s="451"/>
      <c r="L19" s="856"/>
      <c r="M19" s="856"/>
      <c r="N19" s="856"/>
      <c r="O19" s="856"/>
      <c r="P19" s="1838"/>
      <c r="Q19" s="856"/>
      <c r="R19" s="856"/>
      <c r="S19" s="856"/>
      <c r="T19" s="856"/>
      <c r="U19" s="948"/>
      <c r="V19" s="809"/>
      <c r="W19" s="823"/>
      <c r="X19" s="823"/>
      <c r="Y19" s="832"/>
      <c r="Z19" s="630"/>
      <c r="AA19" s="782" t="s">
        <v>1285</v>
      </c>
      <c r="AB19" s="641"/>
      <c r="AC19" s="641" t="s">
        <v>1297</v>
      </c>
      <c r="AD19" s="641"/>
      <c r="AE19" s="641" t="s">
        <v>1298</v>
      </c>
      <c r="AF19" s="641"/>
      <c r="AG19" s="772"/>
      <c r="AH19" s="455"/>
      <c r="AI19" s="455"/>
      <c r="AJ19" s="455"/>
      <c r="AK19" s="455"/>
      <c r="AL19" s="652"/>
      <c r="AM19" s="455"/>
      <c r="AN19" s="455"/>
      <c r="AO19" s="455"/>
      <c r="AP19" s="455"/>
      <c r="AQ19" s="699" t="str">
        <f>_En_unit</f>
        <v>kWh</v>
      </c>
      <c r="AR19" s="445"/>
      <c r="AS19" s="684"/>
      <c r="AT19" s="686" t="s">
        <v>1278</v>
      </c>
      <c r="AU19" s="445"/>
      <c r="AV19" s="445"/>
      <c r="AW19" s="692"/>
      <c r="AX19" s="1708"/>
      <c r="AY19" s="461"/>
      <c r="AZ19" s="630"/>
      <c r="BA19" s="630"/>
      <c r="BB19" s="823"/>
      <c r="BC19" s="823"/>
      <c r="BD19" s="823"/>
      <c r="BE19" s="630"/>
      <c r="BF19" s="439"/>
      <c r="BG19" s="439"/>
      <c r="BH19" s="439"/>
    </row>
    <row r="20" spans="1:60" ht="16.5" customHeight="1" x14ac:dyDescent="0.2">
      <c r="A20" s="856"/>
      <c r="B20" s="447"/>
      <c r="C20" s="448" t="s">
        <v>375</v>
      </c>
      <c r="D20" s="711"/>
      <c r="E20" s="861"/>
      <c r="F20" s="862"/>
      <c r="G20" s="951"/>
      <c r="H20" s="952"/>
      <c r="I20" s="824"/>
      <c r="J20" s="873"/>
      <c r="K20" s="451"/>
      <c r="L20" s="856"/>
      <c r="M20" s="856"/>
      <c r="N20" s="856"/>
      <c r="O20" s="856"/>
      <c r="P20" s="1838"/>
      <c r="Q20" s="856"/>
      <c r="R20" s="856"/>
      <c r="S20" s="856"/>
      <c r="T20" s="856"/>
      <c r="U20" s="943" t="s">
        <v>1723</v>
      </c>
      <c r="V20" s="947"/>
      <c r="W20" s="823"/>
      <c r="X20" s="823"/>
      <c r="Y20" s="832"/>
      <c r="Z20" s="630"/>
      <c r="AA20" s="858">
        <f>+BD24</f>
        <v>1</v>
      </c>
      <c r="AB20" s="637" t="s">
        <v>1289</v>
      </c>
      <c r="AC20" s="642"/>
      <c r="AD20" s="642"/>
      <c r="AE20" s="643" t="s">
        <v>1293</v>
      </c>
      <c r="AF20" s="630"/>
      <c r="AG20" s="773"/>
      <c r="AH20" s="455"/>
      <c r="AI20" s="455"/>
      <c r="AJ20" s="455"/>
      <c r="AK20" s="455"/>
      <c r="AL20" s="650"/>
      <c r="AM20" s="455"/>
      <c r="AN20" s="648"/>
      <c r="AO20" s="648"/>
      <c r="AP20" s="648"/>
      <c r="AQ20" s="647"/>
      <c r="AR20" s="648"/>
      <c r="AS20" s="685" t="s">
        <v>1289</v>
      </c>
      <c r="AT20" s="689">
        <f>INDEX(Base_calc!$J$146:$J$158,Diagram_NEW!$AC$4)</f>
        <v>1357.1428571428571</v>
      </c>
      <c r="AU20" s="648" t="str">
        <f>_En_unit</f>
        <v>kWh</v>
      </c>
      <c r="AV20" s="648"/>
      <c r="AW20" s="692" t="s">
        <v>1278</v>
      </c>
      <c r="AX20" s="1707">
        <f>INDEX(Base_calc!$J$57:$J$69,Diagram_NEW!$AC$4)</f>
        <v>950</v>
      </c>
      <c r="AY20" s="461" t="str">
        <f>_En_unit</f>
        <v>kWh</v>
      </c>
      <c r="AZ20" s="630"/>
      <c r="BA20" s="630"/>
      <c r="BB20" s="1843">
        <v>100</v>
      </c>
      <c r="BC20" s="823"/>
      <c r="BD20" s="1843">
        <v>100</v>
      </c>
      <c r="BE20" s="630"/>
      <c r="BF20" s="439"/>
      <c r="BG20" s="439"/>
      <c r="BH20" s="439"/>
    </row>
    <row r="21" spans="1:60" ht="16.5" customHeight="1" x14ac:dyDescent="0.2">
      <c r="A21" s="856"/>
      <c r="B21" s="447"/>
      <c r="C21" s="448" t="s">
        <v>376</v>
      </c>
      <c r="D21" s="711"/>
      <c r="E21" s="861"/>
      <c r="F21" s="862"/>
      <c r="G21" s="951"/>
      <c r="H21" s="952"/>
      <c r="I21" s="824"/>
      <c r="J21" s="873"/>
      <c r="K21" s="451"/>
      <c r="L21" s="856"/>
      <c r="M21" s="856"/>
      <c r="N21" s="856"/>
      <c r="O21" s="856"/>
      <c r="P21" s="1838"/>
      <c r="Q21" s="856"/>
      <c r="R21" s="856"/>
      <c r="S21" s="856"/>
      <c r="T21" s="856"/>
      <c r="U21" s="945" t="s">
        <v>1302</v>
      </c>
      <c r="V21" s="944"/>
      <c r="W21" s="693"/>
      <c r="X21" s="693"/>
      <c r="Y21" s="832"/>
      <c r="Z21" s="662"/>
      <c r="AA21" s="779" t="str">
        <f>+Base_calc!J334</f>
        <v>el</v>
      </c>
      <c r="AB21" s="693">
        <f>INDEX(Base_calc!$J$349:$J$361,Diagram_NEW!$AC$4)</f>
        <v>120.00000000000001</v>
      </c>
      <c r="AC21" s="630" t="str">
        <f>_En_unit</f>
        <v>kWh</v>
      </c>
      <c r="AD21" s="630"/>
      <c r="AE21" s="844" t="s">
        <v>1294</v>
      </c>
      <c r="AF21" s="687">
        <f>INDEX(Base_calc!$J$336:$J$348,Diagram_NEW!$AC$4)</f>
        <v>360</v>
      </c>
      <c r="AG21" s="775" t="str">
        <f>_En_unit</f>
        <v>kWh</v>
      </c>
      <c r="AH21" s="652"/>
      <c r="AI21" s="652"/>
      <c r="AJ21" s="652"/>
      <c r="AK21" s="652"/>
      <c r="AL21" s="652"/>
      <c r="AM21" s="455"/>
      <c r="AN21" s="648"/>
      <c r="AO21" s="648"/>
      <c r="AP21" s="455"/>
      <c r="AQ21" s="647"/>
      <c r="AR21" s="647"/>
      <c r="AS21" s="683" t="s">
        <v>1290</v>
      </c>
      <c r="AT21" s="688">
        <f>INDEX(Base_calc!$J$160:$J$172,Diagram_NEW!$AC$4)</f>
        <v>27.142857142857142</v>
      </c>
      <c r="AU21" s="647" t="str">
        <f>_En_unit</f>
        <v>kWh</v>
      </c>
      <c r="AV21" s="653"/>
      <c r="AW21" s="692" t="s">
        <v>1279</v>
      </c>
      <c r="AX21" s="1707">
        <f>INDEX(Base_calc!$J$70:$J$82,Diagram_NEW!$AC$4)</f>
        <v>0</v>
      </c>
      <c r="AY21" s="461" t="str">
        <f>_En_unit</f>
        <v>kWh</v>
      </c>
      <c r="AZ21" s="630"/>
      <c r="BA21" s="630"/>
      <c r="BB21" s="1846">
        <f>+BB20/100</f>
        <v>1</v>
      </c>
      <c r="BC21" s="823"/>
      <c r="BD21" s="1846">
        <f>+BD20/100</f>
        <v>1</v>
      </c>
      <c r="BE21" s="630"/>
      <c r="BF21" s="439"/>
      <c r="BG21" s="439"/>
      <c r="BH21" s="439"/>
    </row>
    <row r="22" spans="1:60" ht="16.5" customHeight="1" x14ac:dyDescent="0.2">
      <c r="A22" s="856"/>
      <c r="B22" s="447"/>
      <c r="C22" s="448" t="s">
        <v>1309</v>
      </c>
      <c r="D22" s="711"/>
      <c r="E22" s="861"/>
      <c r="F22" s="862"/>
      <c r="G22" s="951"/>
      <c r="H22" s="952"/>
      <c r="I22" s="824"/>
      <c r="J22" s="873"/>
      <c r="K22" s="451"/>
      <c r="L22" s="856"/>
      <c r="M22" s="856"/>
      <c r="N22" s="856"/>
      <c r="O22" s="856"/>
      <c r="P22" s="1838"/>
      <c r="Q22" s="856"/>
      <c r="R22" s="856"/>
      <c r="S22" s="856"/>
      <c r="T22" s="856"/>
      <c r="U22" s="814" t="s">
        <v>1137</v>
      </c>
      <c r="V22" s="946"/>
      <c r="W22" s="855"/>
      <c r="X22" s="855"/>
      <c r="Y22" s="832"/>
      <c r="Z22" s="854"/>
      <c r="AA22" s="774" t="s">
        <v>784</v>
      </c>
      <c r="AB22" s="693">
        <f>INDEX(Base_calc!$J$376:$J$388,Diagram_NEW!$AC$4)</f>
        <v>239.99999999999994</v>
      </c>
      <c r="AC22" s="630" t="str">
        <f>_En_unit</f>
        <v>kWh</v>
      </c>
      <c r="AD22" s="630"/>
      <c r="AE22" s="823"/>
      <c r="AF22" s="630"/>
      <c r="AG22" s="783"/>
      <c r="AH22" s="455"/>
      <c r="AI22" s="455"/>
      <c r="AJ22" s="455"/>
      <c r="AK22" s="455"/>
      <c r="AL22" s="652"/>
      <c r="AM22" s="455"/>
      <c r="AN22" s="648"/>
      <c r="AO22" s="648"/>
      <c r="AP22" s="455"/>
      <c r="AQ22" s="647"/>
      <c r="AR22" s="445"/>
      <c r="AS22" s="684"/>
      <c r="AT22" s="690"/>
      <c r="AU22" s="445"/>
      <c r="AV22" s="445"/>
      <c r="AW22" s="692"/>
      <c r="AX22" s="617"/>
      <c r="AY22" s="461"/>
      <c r="AZ22" s="630"/>
      <c r="BA22" s="630"/>
      <c r="BB22" s="823"/>
      <c r="BC22" s="823"/>
      <c r="BD22" s="823"/>
      <c r="BE22" s="630"/>
      <c r="BF22" s="439"/>
      <c r="BG22" s="439"/>
      <c r="BH22" s="439"/>
    </row>
    <row r="23" spans="1:60" ht="16.5" customHeight="1" x14ac:dyDescent="0.2">
      <c r="A23" s="856"/>
      <c r="B23" s="447"/>
      <c r="C23" s="448" t="s">
        <v>1159</v>
      </c>
      <c r="D23" s="711"/>
      <c r="E23" s="861"/>
      <c r="F23" s="862"/>
      <c r="G23" s="951"/>
      <c r="H23" s="952"/>
      <c r="I23" s="824"/>
      <c r="J23" s="873"/>
      <c r="K23" s="451"/>
      <c r="L23" s="856"/>
      <c r="M23" s="856"/>
      <c r="N23" s="856"/>
      <c r="O23" s="856"/>
      <c r="P23" s="1838"/>
      <c r="Q23" s="856"/>
      <c r="R23" s="856"/>
      <c r="S23" s="856"/>
      <c r="T23" s="856"/>
      <c r="U23" s="948"/>
      <c r="V23" s="809"/>
      <c r="W23" s="823"/>
      <c r="X23" s="823"/>
      <c r="Y23" s="832"/>
      <c r="Z23" s="662"/>
      <c r="AA23" s="780" t="s">
        <v>1296</v>
      </c>
      <c r="AB23" s="694">
        <f>INDEX(Base_calc!$J$363:$J$375,Diagram_NEW!$AC$4)</f>
        <v>18</v>
      </c>
      <c r="AC23" s="665" t="str">
        <f>_En_unit</f>
        <v>kWh</v>
      </c>
      <c r="AD23" s="640"/>
      <c r="AE23" s="846"/>
      <c r="AF23" s="640"/>
      <c r="AG23" s="784"/>
      <c r="AH23" s="455"/>
      <c r="AI23" s="455"/>
      <c r="AJ23" s="455"/>
      <c r="AK23" s="455"/>
      <c r="AL23" s="652"/>
      <c r="AM23" s="455"/>
      <c r="AN23" s="648"/>
      <c r="AO23" s="648"/>
      <c r="AP23" s="455"/>
      <c r="AQ23" s="647"/>
      <c r="AR23" s="445"/>
      <c r="AS23" s="445"/>
      <c r="AT23" s="445"/>
      <c r="AU23" s="445"/>
      <c r="AV23" s="445"/>
      <c r="AW23" s="692"/>
      <c r="AX23" s="617"/>
      <c r="AY23" s="461"/>
      <c r="AZ23" s="630"/>
      <c r="BA23" s="630"/>
      <c r="BB23" s="823"/>
      <c r="BC23" s="823"/>
      <c r="BD23" s="1843">
        <v>100</v>
      </c>
      <c r="BE23" s="630"/>
      <c r="BF23" s="439"/>
      <c r="BG23" s="439"/>
      <c r="BH23" s="439"/>
    </row>
    <row r="24" spans="1:60" ht="16.5" customHeight="1" x14ac:dyDescent="0.2">
      <c r="A24" s="856"/>
      <c r="B24" s="447"/>
      <c r="C24" s="448" t="s">
        <v>1322</v>
      </c>
      <c r="D24" s="710"/>
      <c r="E24" s="861"/>
      <c r="F24" s="863"/>
      <c r="G24" s="951"/>
      <c r="H24" s="952"/>
      <c r="I24" s="824"/>
      <c r="J24" s="872"/>
      <c r="K24" s="451"/>
      <c r="L24" s="856"/>
      <c r="M24" s="856"/>
      <c r="N24" s="856"/>
      <c r="O24" s="856"/>
      <c r="P24" s="1838"/>
      <c r="Q24" s="856"/>
      <c r="R24" s="856"/>
      <c r="S24" s="856"/>
      <c r="T24" s="856"/>
      <c r="U24" s="943" t="s">
        <v>1723</v>
      </c>
      <c r="V24" s="947"/>
      <c r="W24" s="823"/>
      <c r="X24" s="823"/>
      <c r="Y24" s="832"/>
      <c r="Z24" s="630"/>
      <c r="AA24" s="785" t="s">
        <v>1287</v>
      </c>
      <c r="AB24" s="630"/>
      <c r="AC24" s="641" t="s">
        <v>1297</v>
      </c>
      <c r="AD24" s="641"/>
      <c r="AE24" s="641" t="s">
        <v>1298</v>
      </c>
      <c r="AF24" s="641"/>
      <c r="AG24" s="772"/>
      <c r="AH24" s="455"/>
      <c r="AI24" s="455"/>
      <c r="AJ24" s="455"/>
      <c r="AK24" s="455"/>
      <c r="AL24" s="652"/>
      <c r="AM24" s="455"/>
      <c r="AN24" s="648"/>
      <c r="AO24" s="648"/>
      <c r="AP24" s="455"/>
      <c r="AQ24" s="647"/>
      <c r="AR24" s="647"/>
      <c r="AS24" s="647"/>
      <c r="AT24" s="647"/>
      <c r="AU24" s="647"/>
      <c r="AV24" s="647"/>
      <c r="AW24" s="692" t="s">
        <v>1318</v>
      </c>
      <c r="AX24" s="691">
        <f>INDEX(Base_calc!$J$485:$J$497,Diagram_NEW!$AC$4)</f>
        <v>600</v>
      </c>
      <c r="AY24" s="461" t="str">
        <f>_En_unit</f>
        <v>kWh</v>
      </c>
      <c r="AZ24" s="630"/>
      <c r="BA24" s="630"/>
      <c r="BB24" s="823"/>
      <c r="BC24" s="823"/>
      <c r="BD24" s="1846">
        <f>+BD23/100</f>
        <v>1</v>
      </c>
      <c r="BE24" s="630"/>
      <c r="BF24" s="439"/>
      <c r="BG24" s="439"/>
      <c r="BH24" s="439"/>
    </row>
    <row r="25" spans="1:60" ht="16.5" customHeight="1" x14ac:dyDescent="0.2">
      <c r="A25" s="856"/>
      <c r="B25" s="447"/>
      <c r="C25" s="448"/>
      <c r="D25" s="710"/>
      <c r="E25" s="861"/>
      <c r="F25" s="863"/>
      <c r="G25" s="951"/>
      <c r="H25" s="869"/>
      <c r="I25" s="824"/>
      <c r="J25" s="872"/>
      <c r="K25" s="451"/>
      <c r="L25" s="856"/>
      <c r="M25" s="856"/>
      <c r="N25" s="856"/>
      <c r="O25" s="856"/>
      <c r="P25" s="1838"/>
      <c r="Q25" s="856"/>
      <c r="R25" s="856"/>
      <c r="S25" s="856"/>
      <c r="T25" s="856"/>
      <c r="U25" s="945" t="s">
        <v>1302</v>
      </c>
      <c r="V25" s="944"/>
      <c r="W25" s="823"/>
      <c r="X25" s="823"/>
      <c r="Y25" s="832"/>
      <c r="Z25" s="630"/>
      <c r="AA25" s="858">
        <f>+BD21</f>
        <v>1</v>
      </c>
      <c r="AB25" s="637" t="s">
        <v>1289</v>
      </c>
      <c r="AC25" s="642"/>
      <c r="AD25" s="642"/>
      <c r="AE25" s="643" t="s">
        <v>1293</v>
      </c>
      <c r="AF25" s="630"/>
      <c r="AG25" s="773"/>
      <c r="AH25" s="455"/>
      <c r="AI25" s="455"/>
      <c r="AJ25" s="455"/>
      <c r="AK25" s="455"/>
      <c r="AL25" s="652"/>
      <c r="AM25" s="455"/>
      <c r="AN25" s="648"/>
      <c r="AO25" s="648"/>
      <c r="AP25" s="455"/>
      <c r="AQ25" s="647"/>
      <c r="AR25" s="445"/>
      <c r="AS25" s="445"/>
      <c r="AT25" s="445"/>
      <c r="AU25" s="445"/>
      <c r="AV25" s="445"/>
      <c r="AW25" s="692"/>
      <c r="AX25" s="618"/>
      <c r="AY25" s="461"/>
      <c r="AZ25" s="630"/>
      <c r="BA25" s="630"/>
      <c r="BB25" s="823"/>
      <c r="BC25" s="823"/>
      <c r="BD25" s="823"/>
      <c r="BE25" s="630"/>
      <c r="BF25" s="439"/>
      <c r="BG25" s="439"/>
      <c r="BH25" s="439"/>
    </row>
    <row r="26" spans="1:60" ht="16.5" customHeight="1" x14ac:dyDescent="0.2">
      <c r="A26" s="856"/>
      <c r="B26" s="447"/>
      <c r="C26" s="448" t="s">
        <v>1383</v>
      </c>
      <c r="D26" s="711"/>
      <c r="E26" s="861"/>
      <c r="F26" s="862"/>
      <c r="G26" s="951"/>
      <c r="H26" s="952"/>
      <c r="I26" s="824"/>
      <c r="J26" s="873"/>
      <c r="K26" s="451"/>
      <c r="L26" s="663"/>
      <c r="M26" s="663"/>
      <c r="N26" s="856"/>
      <c r="O26" s="856"/>
      <c r="P26" s="1838"/>
      <c r="Q26" s="856"/>
      <c r="R26" s="856"/>
      <c r="S26" s="856"/>
      <c r="T26" s="856"/>
      <c r="U26" s="814" t="s">
        <v>1137</v>
      </c>
      <c r="V26" s="946"/>
      <c r="W26" s="915"/>
      <c r="X26" s="915"/>
      <c r="Y26" s="832"/>
      <c r="Z26" s="916"/>
      <c r="AA26" s="779" t="str">
        <f>+Base_calc!J277</f>
        <v>gas</v>
      </c>
      <c r="AB26" s="693">
        <f>INDEX(Base_calc!$J$291:$J$303,Diagram_NEW!$AC$4)</f>
        <v>1836.363636363636</v>
      </c>
      <c r="AC26" s="630" t="str">
        <f>_En_unit</f>
        <v>kWh</v>
      </c>
      <c r="AD26" s="630"/>
      <c r="AE26" s="844" t="s">
        <v>1294</v>
      </c>
      <c r="AF26" s="687">
        <f>INDEX(Base_calc!$J$278:$J$290,Diagram_NEW!$AC$4)</f>
        <v>1010</v>
      </c>
      <c r="AG26" s="775" t="str">
        <f>_En_unit</f>
        <v>kWh</v>
      </c>
      <c r="AH26" s="652"/>
      <c r="AI26" s="652"/>
      <c r="AJ26" s="652"/>
      <c r="AK26" s="652"/>
      <c r="AL26" s="652"/>
      <c r="AM26" s="455"/>
      <c r="AN26" s="648"/>
      <c r="AO26" s="648"/>
      <c r="AP26" s="455"/>
      <c r="AQ26" s="647"/>
      <c r="AR26" s="647"/>
      <c r="AS26" s="647"/>
      <c r="AT26" s="647"/>
      <c r="AU26" s="647"/>
      <c r="AV26" s="647"/>
      <c r="AW26" s="692" t="s">
        <v>1280</v>
      </c>
      <c r="AX26" s="691">
        <f>INDEX(Base_calc!$J$498:$J$510,Diagram_NEW!$AC$4)</f>
        <v>240</v>
      </c>
      <c r="AY26" s="461" t="str">
        <f>_En_unit</f>
        <v>kWh</v>
      </c>
      <c r="AZ26" s="630"/>
      <c r="BA26" s="630"/>
      <c r="BB26" s="823"/>
      <c r="BC26" s="823"/>
      <c r="BD26" s="1843">
        <v>100</v>
      </c>
      <c r="BE26" s="630"/>
      <c r="BF26" s="439"/>
      <c r="BG26" s="439"/>
      <c r="BH26" s="439"/>
    </row>
    <row r="27" spans="1:60" ht="16.5" customHeight="1" x14ac:dyDescent="0.2">
      <c r="A27" s="856"/>
      <c r="B27" s="447"/>
      <c r="C27" s="448"/>
      <c r="D27" s="710"/>
      <c r="E27" s="861"/>
      <c r="F27" s="863"/>
      <c r="G27" s="951"/>
      <c r="H27" s="869"/>
      <c r="I27" s="824"/>
      <c r="J27" s="872"/>
      <c r="K27" s="451"/>
      <c r="L27" s="856"/>
      <c r="M27" s="663"/>
      <c r="N27" s="856"/>
      <c r="O27" s="856"/>
      <c r="P27" s="1838"/>
      <c r="Q27" s="856"/>
      <c r="R27" s="856"/>
      <c r="S27" s="856"/>
      <c r="T27" s="856"/>
      <c r="U27" s="948"/>
      <c r="V27" s="809"/>
      <c r="W27" s="823"/>
      <c r="X27" s="823"/>
      <c r="Y27" s="832"/>
      <c r="Z27" s="662"/>
      <c r="AA27" s="786" t="s">
        <v>1296</v>
      </c>
      <c r="AB27" s="696">
        <v>0</v>
      </c>
      <c r="AC27" s="666" t="str">
        <f>_En_unit</f>
        <v>kWh</v>
      </c>
      <c r="AD27" s="630"/>
      <c r="AE27" s="822" t="s">
        <v>43</v>
      </c>
      <c r="AF27" s="695">
        <f>INDEX(Base_calc!$J$304:$J$316,Diagram_NEW!$AC$4)</f>
        <v>642.72727272727275</v>
      </c>
      <c r="AG27" s="787" t="str">
        <f>_En_unit</f>
        <v>kWh</v>
      </c>
      <c r="AH27" s="646"/>
      <c r="AI27" s="646"/>
      <c r="AJ27" s="646"/>
      <c r="AK27" s="455"/>
      <c r="AL27" s="455"/>
      <c r="AM27" s="455"/>
      <c r="AN27" s="648"/>
      <c r="AO27" s="648"/>
      <c r="AP27" s="455"/>
      <c r="AQ27" s="647"/>
      <c r="AR27" s="445"/>
      <c r="AS27" s="445"/>
      <c r="AT27" s="445"/>
      <c r="AU27" s="445"/>
      <c r="AV27" s="445"/>
      <c r="AW27" s="692"/>
      <c r="AX27" s="617"/>
      <c r="AY27" s="461"/>
      <c r="AZ27" s="630"/>
      <c r="BA27" s="630"/>
      <c r="BB27" s="823"/>
      <c r="BC27" s="823"/>
      <c r="BD27" s="1846">
        <f>+BD26/100</f>
        <v>1</v>
      </c>
      <c r="BE27" s="630"/>
      <c r="BF27" s="439"/>
      <c r="BG27" s="439"/>
      <c r="BH27" s="439"/>
    </row>
    <row r="28" spans="1:60" ht="16.5" customHeight="1" x14ac:dyDescent="0.2">
      <c r="A28" s="856"/>
      <c r="B28" s="447"/>
      <c r="C28" s="448" t="s">
        <v>1757</v>
      </c>
      <c r="D28" s="711"/>
      <c r="E28" s="861"/>
      <c r="F28" s="862"/>
      <c r="G28" s="951"/>
      <c r="H28" s="952"/>
      <c r="I28" s="824"/>
      <c r="J28" s="873"/>
      <c r="K28" s="451"/>
      <c r="L28" s="856"/>
      <c r="M28" s="663"/>
      <c r="N28" s="856"/>
      <c r="O28" s="856"/>
      <c r="P28" s="1838"/>
      <c r="Q28" s="856"/>
      <c r="R28" s="856"/>
      <c r="S28" s="856"/>
      <c r="T28" s="856"/>
      <c r="U28" s="943" t="s">
        <v>1723</v>
      </c>
      <c r="V28" s="947"/>
      <c r="W28" s="823"/>
      <c r="X28" s="823"/>
      <c r="Y28" s="832"/>
      <c r="Z28" s="630"/>
      <c r="AA28" s="771" t="s">
        <v>1317</v>
      </c>
      <c r="AB28" s="641"/>
      <c r="AC28" s="641" t="s">
        <v>1297</v>
      </c>
      <c r="AD28" s="641"/>
      <c r="AE28" s="641" t="s">
        <v>1298</v>
      </c>
      <c r="AF28" s="641"/>
      <c r="AG28" s="772"/>
      <c r="AH28" s="455"/>
      <c r="AI28" s="455"/>
      <c r="AJ28" s="646"/>
      <c r="AK28" s="455"/>
      <c r="AL28" s="455"/>
      <c r="AM28" s="455"/>
      <c r="AN28" s="648"/>
      <c r="AO28" s="648"/>
      <c r="AP28" s="455"/>
      <c r="AQ28" s="647"/>
      <c r="AR28" s="647"/>
      <c r="AS28" s="647"/>
      <c r="AT28" s="647"/>
      <c r="AU28" s="647"/>
      <c r="AV28" s="647"/>
      <c r="AW28" s="692" t="s">
        <v>1281</v>
      </c>
      <c r="AX28" s="617"/>
      <c r="AY28" s="461" t="str">
        <f>_En_unit</f>
        <v>kWh</v>
      </c>
      <c r="AZ28" s="630"/>
      <c r="BA28" s="630"/>
      <c r="BB28" s="823"/>
      <c r="BC28" s="823"/>
      <c r="BD28" s="823"/>
      <c r="BE28" s="630"/>
      <c r="BF28" s="439"/>
      <c r="BG28" s="439"/>
      <c r="BH28" s="439"/>
    </row>
    <row r="29" spans="1:60" ht="16.5" customHeight="1" x14ac:dyDescent="0.2">
      <c r="A29" s="856"/>
      <c r="B29" s="447"/>
      <c r="C29" s="448" t="s">
        <v>1758</v>
      </c>
      <c r="D29" s="711"/>
      <c r="E29" s="861"/>
      <c r="F29" s="862"/>
      <c r="G29" s="951"/>
      <c r="H29" s="952"/>
      <c r="I29" s="824"/>
      <c r="J29" s="873"/>
      <c r="K29" s="454"/>
      <c r="L29" s="856"/>
      <c r="M29" s="663"/>
      <c r="N29" s="856"/>
      <c r="O29" s="856"/>
      <c r="P29" s="1838"/>
      <c r="Q29" s="856"/>
      <c r="R29" s="856"/>
      <c r="S29" s="856"/>
      <c r="T29" s="856"/>
      <c r="U29" s="945" t="s">
        <v>1302</v>
      </c>
      <c r="V29" s="944"/>
      <c r="W29" s="823"/>
      <c r="X29" s="823"/>
      <c r="Y29" s="832"/>
      <c r="Z29" s="630"/>
      <c r="AA29" s="769"/>
      <c r="AB29" s="637" t="s">
        <v>1289</v>
      </c>
      <c r="AC29" s="642"/>
      <c r="AD29" s="642"/>
      <c r="AE29" s="643" t="s">
        <v>1293</v>
      </c>
      <c r="AF29" s="630"/>
      <c r="AG29" s="773"/>
      <c r="AH29" s="445"/>
      <c r="AI29" s="455"/>
      <c r="AJ29" s="635"/>
      <c r="AK29" s="455"/>
      <c r="AL29" s="455"/>
      <c r="AM29" s="455"/>
      <c r="AN29" s="648"/>
      <c r="AO29" s="648"/>
      <c r="AP29" s="455"/>
      <c r="AQ29" s="661"/>
      <c r="AR29" s="445"/>
      <c r="AS29" s="445"/>
      <c r="AT29" s="445"/>
      <c r="AU29" s="445"/>
      <c r="AV29" s="445"/>
      <c r="AW29" s="692"/>
      <c r="AX29" s="617"/>
      <c r="AY29" s="461"/>
      <c r="AZ29" s="630"/>
      <c r="BA29" s="630"/>
      <c r="BB29" s="823"/>
      <c r="BC29" s="823"/>
      <c r="BD29" s="823"/>
      <c r="BE29" s="630"/>
      <c r="BF29" s="439"/>
      <c r="BG29" s="439"/>
      <c r="BH29" s="439"/>
    </row>
    <row r="30" spans="1:60" ht="16.5" customHeight="1" x14ac:dyDescent="0.2">
      <c r="A30" s="856"/>
      <c r="B30" s="447"/>
      <c r="C30" s="448" t="s">
        <v>1721</v>
      </c>
      <c r="D30" s="711"/>
      <c r="E30" s="861"/>
      <c r="F30" s="862"/>
      <c r="G30" s="951"/>
      <c r="H30" s="952"/>
      <c r="I30" s="824"/>
      <c r="J30" s="873"/>
      <c r="K30" s="454"/>
      <c r="L30" s="856"/>
      <c r="M30" s="663"/>
      <c r="N30" s="856"/>
      <c r="O30" s="856"/>
      <c r="P30" s="1838"/>
      <c r="Q30" s="856"/>
      <c r="R30" s="856"/>
      <c r="S30" s="856"/>
      <c r="T30" s="856"/>
      <c r="U30" s="814" t="s">
        <v>1137</v>
      </c>
      <c r="V30" s="946"/>
      <c r="W30" s="693"/>
      <c r="X30" s="693"/>
      <c r="Y30" s="832"/>
      <c r="Z30" s="662"/>
      <c r="AA30" s="779" t="str">
        <f>+Base_calc!J444</f>
        <v>el</v>
      </c>
      <c r="AB30" s="693">
        <f>INDEX(Base_calc!$J$445:$J$457,Diagram_NEW!$AC$4)</f>
        <v>542.85714285714278</v>
      </c>
      <c r="AC30" s="630" t="str">
        <f>_En_unit</f>
        <v>kWh</v>
      </c>
      <c r="AD30" s="630"/>
      <c r="AE30" s="847" t="s">
        <v>1278</v>
      </c>
      <c r="AF30" s="697">
        <f>+AT20+AT21</f>
        <v>1384.2857142857142</v>
      </c>
      <c r="AG30" s="788" t="str">
        <f>_En_unit</f>
        <v>kWh</v>
      </c>
      <c r="AH30" s="648"/>
      <c r="AI30" s="648"/>
      <c r="AJ30" s="635"/>
      <c r="AK30" s="648"/>
      <c r="AL30" s="648"/>
      <c r="AM30" s="648"/>
      <c r="AN30" s="648"/>
      <c r="AO30" s="648"/>
      <c r="AP30" s="455"/>
      <c r="AQ30" s="661"/>
      <c r="AR30" s="661"/>
      <c r="AS30" s="647"/>
      <c r="AT30" s="647"/>
      <c r="AU30" s="647"/>
      <c r="AV30" s="647"/>
      <c r="AW30" s="692" t="s">
        <v>1282</v>
      </c>
      <c r="AX30" s="691">
        <f>INDEX(Base_calc!$J$511:$J$523,Diagram_NEW!$AC$4)</f>
        <v>0</v>
      </c>
      <c r="AY30" s="461" t="str">
        <f>_En_unit</f>
        <v>kWh</v>
      </c>
      <c r="AZ30" s="630"/>
      <c r="BA30" s="630"/>
      <c r="BB30" s="823"/>
      <c r="BC30" s="823"/>
      <c r="BD30" s="823"/>
      <c r="BE30" s="630"/>
      <c r="BF30" s="439"/>
      <c r="BG30" s="439"/>
      <c r="BH30" s="439"/>
    </row>
    <row r="31" spans="1:60" ht="16.5" customHeight="1" thickBot="1" x14ac:dyDescent="0.25">
      <c r="A31" s="856"/>
      <c r="B31" s="447"/>
      <c r="C31" s="448" t="s">
        <v>1720</v>
      </c>
      <c r="D31" s="711"/>
      <c r="E31" s="861"/>
      <c r="F31" s="862"/>
      <c r="G31" s="951"/>
      <c r="H31" s="952"/>
      <c r="I31" s="824"/>
      <c r="J31" s="873"/>
      <c r="K31" s="454"/>
      <c r="L31" s="856"/>
      <c r="M31" s="663"/>
      <c r="N31" s="856"/>
      <c r="O31" s="856"/>
      <c r="P31" s="1838"/>
      <c r="Q31" s="856"/>
      <c r="R31" s="856"/>
      <c r="S31" s="856"/>
      <c r="T31" s="856"/>
      <c r="U31" s="816"/>
      <c r="V31" s="817"/>
      <c r="W31" s="853"/>
      <c r="X31" s="853"/>
      <c r="Y31" s="832"/>
      <c r="Z31" s="852"/>
      <c r="AA31" s="774" t="s">
        <v>1324</v>
      </c>
      <c r="AB31" s="693">
        <f>INDEX(Base_calc!$J$472:$J$484,Diagram_NEW!$AC$4)</f>
        <v>1927.1428571428571</v>
      </c>
      <c r="AC31" s="630" t="str">
        <f>_En_unit</f>
        <v>kWh</v>
      </c>
      <c r="AD31" s="630"/>
      <c r="AE31" s="823"/>
      <c r="AF31" s="630"/>
      <c r="AG31" s="783"/>
      <c r="AH31" s="445"/>
      <c r="AI31" s="445"/>
      <c r="AJ31" s="635"/>
      <c r="AK31" s="455"/>
      <c r="AL31" s="455"/>
      <c r="AM31" s="455"/>
      <c r="AN31" s="455"/>
      <c r="AO31" s="455"/>
      <c r="AP31" s="445"/>
      <c r="AQ31" s="661"/>
      <c r="AR31" s="460"/>
      <c r="AS31" s="445"/>
      <c r="AT31" s="445"/>
      <c r="AU31" s="445"/>
      <c r="AV31" s="445"/>
      <c r="AW31" s="692"/>
      <c r="AX31" s="617"/>
      <c r="AY31" s="461"/>
      <c r="AZ31" s="630"/>
      <c r="BA31" s="630"/>
      <c r="BB31" s="1843">
        <v>1</v>
      </c>
      <c r="BC31" s="823"/>
      <c r="BD31" s="823"/>
      <c r="BE31" s="630"/>
      <c r="BF31" s="439"/>
      <c r="BG31" s="439"/>
      <c r="BH31" s="439"/>
    </row>
    <row r="32" spans="1:60" ht="16.5" customHeight="1" x14ac:dyDescent="0.2">
      <c r="A32" s="856"/>
      <c r="B32" s="447"/>
      <c r="C32" s="448"/>
      <c r="D32" s="710"/>
      <c r="E32" s="861"/>
      <c r="F32" s="863"/>
      <c r="G32" s="951"/>
      <c r="H32" s="869"/>
      <c r="I32" s="824"/>
      <c r="J32" s="872"/>
      <c r="K32" s="454"/>
      <c r="L32" s="856"/>
      <c r="M32" s="663"/>
      <c r="N32" s="856"/>
      <c r="O32" s="856"/>
      <c r="P32" s="1838"/>
      <c r="Q32" s="856"/>
      <c r="R32" s="856"/>
      <c r="S32" s="856"/>
      <c r="T32" s="856"/>
      <c r="U32" s="943" t="s">
        <v>1723</v>
      </c>
      <c r="V32" s="947"/>
      <c r="W32" s="823"/>
      <c r="X32" s="823"/>
      <c r="Y32" s="832"/>
      <c r="Z32" s="662"/>
      <c r="AA32" s="780" t="s">
        <v>1296</v>
      </c>
      <c r="AB32" s="930">
        <f>INDEX(Base_calc!$J$459:$J$471,Diagram_NEW!$AC$4)</f>
        <v>27.142857142857142</v>
      </c>
      <c r="AC32" s="665" t="str">
        <f>_En_unit</f>
        <v>kWh</v>
      </c>
      <c r="AD32" s="640"/>
      <c r="AE32" s="846"/>
      <c r="AF32" s="640"/>
      <c r="AG32" s="784"/>
      <c r="AH32" s="445"/>
      <c r="AI32" s="445"/>
      <c r="AJ32" s="635"/>
      <c r="AK32" s="658" t="s">
        <v>1299</v>
      </c>
      <c r="AL32" s="702"/>
      <c r="AM32" s="659" t="str">
        <f>_En_unit</f>
        <v>kWh</v>
      </c>
      <c r="AN32" s="658"/>
      <c r="AO32" s="658"/>
      <c r="AP32" s="659"/>
      <c r="AQ32" s="661"/>
      <c r="AR32" s="659"/>
      <c r="AS32" s="659"/>
      <c r="AT32" s="659"/>
      <c r="AU32" s="659"/>
      <c r="AV32" s="659"/>
      <c r="AW32" s="1698"/>
      <c r="AX32" s="1699" t="s">
        <v>1391</v>
      </c>
      <c r="AY32" s="1700"/>
      <c r="AZ32" s="630"/>
      <c r="BA32" s="630"/>
      <c r="BB32" s="1846">
        <f>+BB31/100</f>
        <v>0.01</v>
      </c>
      <c r="BC32" s="823"/>
      <c r="BD32" s="823"/>
      <c r="BE32" s="630"/>
      <c r="BF32" s="439"/>
      <c r="BG32" s="439"/>
      <c r="BH32" s="439"/>
    </row>
    <row r="33" spans="1:60" ht="16.5" customHeight="1" x14ac:dyDescent="0.2">
      <c r="A33" s="856"/>
      <c r="B33" s="447"/>
      <c r="C33" s="448"/>
      <c r="D33" s="710"/>
      <c r="E33" s="861"/>
      <c r="F33" s="863"/>
      <c r="G33" s="951"/>
      <c r="H33" s="869"/>
      <c r="I33" s="824"/>
      <c r="J33" s="872"/>
      <c r="K33" s="451"/>
      <c r="L33" s="856"/>
      <c r="M33" s="663"/>
      <c r="N33" s="856"/>
      <c r="O33" s="856"/>
      <c r="P33" s="1838"/>
      <c r="Q33" s="856"/>
      <c r="R33" s="856"/>
      <c r="S33" s="856"/>
      <c r="T33" s="856"/>
      <c r="U33" s="945" t="s">
        <v>1302</v>
      </c>
      <c r="V33" s="944"/>
      <c r="W33" s="823"/>
      <c r="X33" s="823"/>
      <c r="Y33" s="832"/>
      <c r="Z33" s="630"/>
      <c r="AA33" s="771" t="s">
        <v>1288</v>
      </c>
      <c r="AB33" s="641"/>
      <c r="AC33" s="641" t="s">
        <v>1297</v>
      </c>
      <c r="AD33" s="641"/>
      <c r="AE33" s="641" t="s">
        <v>1298</v>
      </c>
      <c r="AF33" s="641"/>
      <c r="AG33" s="772"/>
      <c r="AH33" s="445"/>
      <c r="AI33" s="654"/>
      <c r="AJ33" s="654"/>
      <c r="AK33" s="655" t="s">
        <v>1300</v>
      </c>
      <c r="AL33" s="655"/>
      <c r="AM33" s="656" t="str">
        <f>_En_unit</f>
        <v>kWh</v>
      </c>
      <c r="AN33" s="655"/>
      <c r="AO33" s="655"/>
      <c r="AP33" s="656"/>
      <c r="AQ33" s="661"/>
      <c r="AR33" s="656"/>
      <c r="AS33" s="656"/>
      <c r="AT33" s="656"/>
      <c r="AU33" s="656"/>
      <c r="AV33" s="656"/>
      <c r="AW33" s="1701" t="s">
        <v>1292</v>
      </c>
      <c r="AX33" s="1702">
        <f>INDEX(Base_calc!$J$626:$J$638,Diagram_NEW!$AC$4)</f>
        <v>0</v>
      </c>
      <c r="AY33" s="1703" t="str">
        <f>_En_unit</f>
        <v>kWh</v>
      </c>
      <c r="AZ33" s="630"/>
      <c r="BA33" s="630"/>
      <c r="BB33" s="823"/>
      <c r="BC33" s="823"/>
      <c r="BD33" s="823"/>
      <c r="BE33" s="630"/>
      <c r="BF33" s="439"/>
      <c r="BG33" s="439"/>
      <c r="BH33" s="439"/>
    </row>
    <row r="34" spans="1:60" ht="16.5" customHeight="1" thickBot="1" x14ac:dyDescent="0.25">
      <c r="A34" s="856"/>
      <c r="B34" s="447"/>
      <c r="C34" s="448"/>
      <c r="D34" s="710"/>
      <c r="E34" s="861"/>
      <c r="F34" s="863"/>
      <c r="G34" s="951"/>
      <c r="H34" s="869"/>
      <c r="I34" s="824"/>
      <c r="J34" s="872"/>
      <c r="K34" s="451"/>
      <c r="L34" s="856"/>
      <c r="M34" s="663"/>
      <c r="N34" s="856"/>
      <c r="O34" s="856"/>
      <c r="P34" s="1838"/>
      <c r="Q34" s="856"/>
      <c r="R34" s="856"/>
      <c r="S34" s="856"/>
      <c r="T34" s="856"/>
      <c r="U34" s="818" t="s">
        <v>1137</v>
      </c>
      <c r="V34" s="949"/>
      <c r="W34" s="823"/>
      <c r="X34" s="823"/>
      <c r="Y34" s="832"/>
      <c r="Z34" s="630"/>
      <c r="AA34" s="858">
        <f>+BD27</f>
        <v>1</v>
      </c>
      <c r="AB34" s="637" t="s">
        <v>1289</v>
      </c>
      <c r="AC34" s="642"/>
      <c r="AD34" s="642"/>
      <c r="AE34" s="643" t="s">
        <v>1293</v>
      </c>
      <c r="AF34" s="630"/>
      <c r="AG34" s="773"/>
      <c r="AH34" s="445"/>
      <c r="AI34" s="654"/>
      <c r="AJ34" s="645"/>
      <c r="AK34" s="455"/>
      <c r="AL34" s="455"/>
      <c r="AM34" s="455"/>
      <c r="AN34" s="455"/>
      <c r="AO34" s="455"/>
      <c r="AP34" s="445"/>
      <c r="AQ34" s="661"/>
      <c r="AR34" s="460"/>
      <c r="AS34" s="445"/>
      <c r="AT34" s="445"/>
      <c r="AU34" s="651"/>
      <c r="AV34" s="651"/>
      <c r="AW34" s="1704"/>
      <c r="AX34" s="1705"/>
      <c r="AY34" s="1706"/>
      <c r="AZ34" s="630"/>
      <c r="BA34" s="630"/>
      <c r="BB34" s="823"/>
      <c r="BC34" s="823"/>
      <c r="BD34" s="823"/>
      <c r="BE34" s="630"/>
      <c r="BF34" s="439"/>
      <c r="BG34" s="439"/>
      <c r="BH34" s="439"/>
    </row>
    <row r="35" spans="1:60" ht="16.5" customHeight="1" x14ac:dyDescent="0.2">
      <c r="A35" s="856"/>
      <c r="B35" s="447"/>
      <c r="C35" s="448"/>
      <c r="D35" s="710"/>
      <c r="E35" s="861"/>
      <c r="F35" s="863"/>
      <c r="G35" s="951"/>
      <c r="H35" s="869"/>
      <c r="I35" s="824"/>
      <c r="J35" s="872"/>
      <c r="K35" s="451"/>
      <c r="L35" s="856"/>
      <c r="M35" s="663"/>
      <c r="N35" s="856"/>
      <c r="O35" s="856"/>
      <c r="P35" s="1838"/>
      <c r="Q35" s="856"/>
      <c r="R35" s="856"/>
      <c r="S35" s="856"/>
      <c r="T35" s="856"/>
      <c r="U35" s="856"/>
      <c r="V35" s="856"/>
      <c r="W35" s="823"/>
      <c r="X35" s="823"/>
      <c r="Y35" s="832"/>
      <c r="Z35" s="630"/>
      <c r="AA35" s="769"/>
      <c r="AB35" s="630"/>
      <c r="AC35" s="630"/>
      <c r="AD35" s="630"/>
      <c r="AE35" s="844" t="s">
        <v>1294</v>
      </c>
      <c r="AF35" s="687">
        <v>0</v>
      </c>
      <c r="AG35" s="775" t="str">
        <f>_En_unit</f>
        <v>kWh</v>
      </c>
      <c r="AH35" s="440"/>
      <c r="AI35" s="654"/>
      <c r="AJ35" s="645"/>
      <c r="AK35" s="440"/>
      <c r="AL35" s="440"/>
      <c r="AM35" s="440"/>
      <c r="AN35" s="440"/>
      <c r="AO35" s="440"/>
      <c r="AP35" s="440"/>
      <c r="AQ35" s="661"/>
      <c r="AR35" s="460"/>
      <c r="AS35" s="445"/>
      <c r="AT35" s="445"/>
      <c r="AU35" s="651"/>
      <c r="AV35" s="651"/>
      <c r="AW35" s="1704"/>
      <c r="AX35" s="1705"/>
      <c r="AY35" s="1706"/>
      <c r="AZ35" s="630"/>
      <c r="BA35" s="630"/>
      <c r="BB35" s="823"/>
      <c r="BC35" s="823"/>
      <c r="BD35" s="823"/>
      <c r="BE35" s="630"/>
      <c r="BF35" s="439"/>
      <c r="BG35" s="439"/>
      <c r="BH35" s="439"/>
    </row>
    <row r="36" spans="1:60" ht="16.5" customHeight="1" x14ac:dyDescent="0.2">
      <c r="A36" s="856"/>
      <c r="B36" s="447"/>
      <c r="C36" s="448"/>
      <c r="D36" s="710"/>
      <c r="E36" s="861"/>
      <c r="F36" s="863"/>
      <c r="G36" s="951"/>
      <c r="H36" s="869"/>
      <c r="I36" s="824"/>
      <c r="J36" s="872"/>
      <c r="K36" s="451"/>
      <c r="L36" s="856"/>
      <c r="M36" s="663"/>
      <c r="N36" s="856"/>
      <c r="O36" s="856"/>
      <c r="P36" s="1838"/>
      <c r="Q36" s="856"/>
      <c r="R36" s="856"/>
      <c r="S36" s="856"/>
      <c r="T36" s="856"/>
      <c r="U36" s="856"/>
      <c r="V36" s="856"/>
      <c r="W36" s="693"/>
      <c r="X36" s="919"/>
      <c r="Y36" s="832"/>
      <c r="Z36" s="920"/>
      <c r="AA36" s="774" t="s">
        <v>1295</v>
      </c>
      <c r="AB36" s="693">
        <f>INDEX(Base_calc!$J$565:$J$577,Diagram_NEW!$AC$4)</f>
        <v>2205</v>
      </c>
      <c r="AC36" s="630" t="str">
        <f>_En_unit</f>
        <v>kWh</v>
      </c>
      <c r="AD36" s="630"/>
      <c r="AE36" s="821" t="s">
        <v>1319</v>
      </c>
      <c r="AF36" s="701">
        <f>INDEX(Base_calc!$J$552:$J$564,Diagram_NEW!$AC$4)</f>
        <v>2205</v>
      </c>
      <c r="AG36" s="789" t="str">
        <f>_En_unit</f>
        <v>kWh</v>
      </c>
      <c r="AH36" s="440"/>
      <c r="AI36" s="654"/>
      <c r="AJ36" s="645"/>
      <c r="AK36" s="440"/>
      <c r="AL36" s="440"/>
      <c r="AM36" s="440"/>
      <c r="AN36" s="440"/>
      <c r="AO36" s="440"/>
      <c r="AP36" s="440"/>
      <c r="AQ36" s="661"/>
      <c r="AR36" s="460"/>
      <c r="AS36" s="445"/>
      <c r="AT36" s="445"/>
      <c r="AU36" s="651"/>
      <c r="AV36" s="445"/>
      <c r="AW36" s="458"/>
      <c r="AX36" s="618"/>
      <c r="AY36" s="459"/>
      <c r="AZ36" s="630"/>
      <c r="BA36" s="630"/>
      <c r="BB36" s="823"/>
      <c r="BC36" s="823"/>
      <c r="BD36" s="823"/>
      <c r="BE36" s="630"/>
      <c r="BF36" s="439"/>
      <c r="BG36" s="439"/>
      <c r="BH36" s="439"/>
    </row>
    <row r="37" spans="1:60" ht="16.5" customHeight="1" x14ac:dyDescent="0.2">
      <c r="A37" s="856"/>
      <c r="B37" s="447"/>
      <c r="C37" s="448"/>
      <c r="D37" s="710"/>
      <c r="E37" s="861"/>
      <c r="F37" s="863"/>
      <c r="G37" s="951"/>
      <c r="H37" s="869"/>
      <c r="I37" s="824"/>
      <c r="J37" s="872"/>
      <c r="K37" s="451"/>
      <c r="L37" s="856"/>
      <c r="M37" s="663"/>
      <c r="N37" s="856"/>
      <c r="O37" s="856"/>
      <c r="P37" s="1838"/>
      <c r="Q37" s="856"/>
      <c r="R37" s="856"/>
      <c r="S37" s="630"/>
      <c r="T37" s="630"/>
      <c r="U37" s="823"/>
      <c r="V37" s="823"/>
      <c r="W37" s="823"/>
      <c r="X37" s="823"/>
      <c r="Y37" s="832"/>
      <c r="Z37" s="662"/>
      <c r="AA37" s="780" t="s">
        <v>1296</v>
      </c>
      <c r="AB37" s="694">
        <v>0</v>
      </c>
      <c r="AC37" s="665" t="str">
        <f>_En_unit</f>
        <v>kWh</v>
      </c>
      <c r="AD37" s="640"/>
      <c r="AE37" s="848" t="s">
        <v>1320</v>
      </c>
      <c r="AF37" s="698">
        <f>INDEX(Base_calc!$J$647:$J$659,Diagram_NEW!$AC$4)</f>
        <v>2205</v>
      </c>
      <c r="AG37" s="790" t="str">
        <f>_En_unit</f>
        <v>kWh</v>
      </c>
      <c r="AH37" s="654"/>
      <c r="AI37" s="654"/>
      <c r="AJ37" s="644"/>
      <c r="AK37" s="440"/>
      <c r="AL37" s="440"/>
      <c r="AM37" s="440"/>
      <c r="AN37" s="440"/>
      <c r="AO37" s="440"/>
      <c r="AP37" s="440"/>
      <c r="AQ37" s="661"/>
      <c r="AR37" s="460"/>
      <c r="AS37" s="445"/>
      <c r="AT37" s="445"/>
      <c r="AU37" s="651"/>
      <c r="AV37" s="445"/>
      <c r="AW37" s="462"/>
      <c r="AX37" s="618"/>
      <c r="AY37" s="459"/>
      <c r="AZ37" s="630"/>
      <c r="BA37" s="630"/>
      <c r="BB37" s="823"/>
      <c r="BC37" s="823"/>
      <c r="BD37" s="823"/>
      <c r="BE37" s="630"/>
      <c r="BF37" s="439"/>
      <c r="BG37" s="439"/>
      <c r="BH37" s="439"/>
    </row>
    <row r="38" spans="1:60" ht="16.5" customHeight="1" x14ac:dyDescent="0.2">
      <c r="A38" s="856"/>
      <c r="B38" s="447"/>
      <c r="C38" s="448"/>
      <c r="D38" s="710"/>
      <c r="E38" s="861"/>
      <c r="F38" s="863"/>
      <c r="G38" s="951"/>
      <c r="H38" s="869"/>
      <c r="I38" s="824"/>
      <c r="J38" s="872"/>
      <c r="K38" s="451"/>
      <c r="L38" s="856"/>
      <c r="M38" s="663"/>
      <c r="N38" s="856"/>
      <c r="O38" s="856"/>
      <c r="P38" s="1838"/>
      <c r="Q38" s="856"/>
      <c r="R38" s="856"/>
      <c r="S38" s="823"/>
      <c r="T38" s="823"/>
      <c r="U38" s="823"/>
      <c r="V38" s="823"/>
      <c r="W38" s="823"/>
      <c r="X38" s="823"/>
      <c r="Y38" s="832"/>
      <c r="Z38" s="630"/>
      <c r="AA38" s="771" t="s">
        <v>1388</v>
      </c>
      <c r="AB38" s="641"/>
      <c r="AC38" s="641"/>
      <c r="AD38" s="641"/>
      <c r="AE38" s="843"/>
      <c r="AF38" s="641"/>
      <c r="AG38" s="791"/>
      <c r="AH38" s="440"/>
      <c r="AI38" s="654"/>
      <c r="AJ38" s="644"/>
      <c r="AK38" s="440"/>
      <c r="AL38" s="440"/>
      <c r="AM38" s="440"/>
      <c r="AN38" s="440"/>
      <c r="AO38" s="440"/>
      <c r="AP38" s="440"/>
      <c r="AQ38" s="661"/>
      <c r="AR38" s="460"/>
      <c r="AS38" s="445"/>
      <c r="AT38" s="445"/>
      <c r="AU38" s="651"/>
      <c r="AV38" s="445"/>
      <c r="AW38" s="462"/>
      <c r="AX38" s="618"/>
      <c r="AY38" s="459"/>
      <c r="AZ38" s="630"/>
      <c r="BA38" s="630"/>
      <c r="BB38" s="823"/>
      <c r="BC38" s="823"/>
      <c r="BD38" s="823"/>
      <c r="BE38" s="630"/>
      <c r="BF38" s="439"/>
      <c r="BG38" s="439"/>
      <c r="BH38" s="439"/>
    </row>
    <row r="39" spans="1:60" ht="16.5" customHeight="1" x14ac:dyDescent="0.2">
      <c r="A39" s="856"/>
      <c r="B39" s="447"/>
      <c r="C39" s="448"/>
      <c r="D39" s="710"/>
      <c r="E39" s="861"/>
      <c r="F39" s="863"/>
      <c r="G39" s="951"/>
      <c r="H39" s="869"/>
      <c r="I39" s="824"/>
      <c r="J39" s="872"/>
      <c r="K39" s="451"/>
      <c r="L39" s="856"/>
      <c r="M39" s="663"/>
      <c r="N39" s="663"/>
      <c r="O39" s="663"/>
      <c r="P39" s="973"/>
      <c r="Q39" s="663"/>
      <c r="R39" s="663"/>
      <c r="S39" s="832"/>
      <c r="T39" s="820" t="s">
        <v>1713</v>
      </c>
      <c r="U39" s="832"/>
      <c r="V39" s="832"/>
      <c r="W39" s="934"/>
      <c r="X39" s="832"/>
      <c r="Y39" s="832"/>
      <c r="Z39" s="849"/>
      <c r="AA39" s="849"/>
      <c r="AB39" s="849"/>
      <c r="AC39" s="849"/>
      <c r="AD39" s="849"/>
      <c r="AE39" s="849"/>
      <c r="AF39" s="660"/>
      <c r="AG39" s="792"/>
      <c r="AH39" s="661"/>
      <c r="AI39" s="657"/>
      <c r="AJ39" s="644"/>
      <c r="AK39" s="661"/>
      <c r="AL39" s="661"/>
      <c r="AM39" s="661"/>
      <c r="AN39" s="661"/>
      <c r="AO39" s="661"/>
      <c r="AP39" s="661"/>
      <c r="AQ39" s="661"/>
      <c r="AR39" s="460"/>
      <c r="AS39" s="445"/>
      <c r="AT39" s="445"/>
      <c r="AU39" s="651"/>
      <c r="AV39" s="445"/>
      <c r="AW39" s="462"/>
      <c r="AX39" s="618"/>
      <c r="AY39" s="459"/>
      <c r="AZ39" s="630"/>
      <c r="BA39" s="630"/>
      <c r="BB39" s="823"/>
      <c r="BC39" s="823"/>
      <c r="BD39" s="823"/>
      <c r="BE39" s="630"/>
      <c r="BF39" s="439"/>
      <c r="BG39" s="439"/>
      <c r="BH39" s="439"/>
    </row>
    <row r="40" spans="1:60" ht="16.5" customHeight="1" x14ac:dyDescent="0.2">
      <c r="A40" s="856"/>
      <c r="B40" s="447"/>
      <c r="C40" s="448"/>
      <c r="D40" s="705"/>
      <c r="E40" s="824"/>
      <c r="F40" s="705"/>
      <c r="G40" s="951"/>
      <c r="H40" s="869"/>
      <c r="I40" s="824"/>
      <c r="J40" s="705"/>
      <c r="K40" s="451"/>
      <c r="L40" s="856"/>
      <c r="M40" s="654"/>
      <c r="N40" s="654"/>
      <c r="O40" s="654"/>
      <c r="P40" s="974"/>
      <c r="Q40" s="654"/>
      <c r="R40" s="654"/>
      <c r="S40" s="701"/>
      <c r="T40" s="654" t="s">
        <v>1714</v>
      </c>
      <c r="U40" s="701"/>
      <c r="V40" s="701"/>
      <c r="W40" s="932"/>
      <c r="X40" s="931"/>
      <c r="Y40" s="832"/>
      <c r="Z40" s="630"/>
      <c r="AA40" s="769"/>
      <c r="AB40" s="642"/>
      <c r="AC40" s="642"/>
      <c r="AD40" s="642"/>
      <c r="AE40" s="642"/>
      <c r="AF40" s="642"/>
      <c r="AG40" s="783"/>
      <c r="AH40" s="440"/>
      <c r="AI40" s="657"/>
      <c r="AJ40" s="644"/>
      <c r="AK40" s="440"/>
      <c r="AL40" s="440"/>
      <c r="AM40" s="440"/>
      <c r="AN40" s="440"/>
      <c r="AO40" s="440"/>
      <c r="AP40" s="440"/>
      <c r="AQ40" s="460"/>
      <c r="AR40" s="460"/>
      <c r="AS40" s="445"/>
      <c r="AT40" s="445"/>
      <c r="AU40" s="651"/>
      <c r="AV40" s="445"/>
      <c r="AW40" s="462"/>
      <c r="AX40" s="618"/>
      <c r="AY40" s="459"/>
      <c r="AZ40" s="630"/>
      <c r="BA40" s="630"/>
      <c r="BB40" s="823"/>
      <c r="BC40" s="823"/>
      <c r="BD40" s="823"/>
      <c r="BE40" s="630"/>
      <c r="BF40" s="439"/>
      <c r="BG40" s="439"/>
      <c r="BH40" s="439"/>
    </row>
    <row r="41" spans="1:60" ht="16.5" customHeight="1" x14ac:dyDescent="0.2">
      <c r="A41" s="856"/>
      <c r="B41" s="447"/>
      <c r="C41" s="833" t="s">
        <v>1314</v>
      </c>
      <c r="D41" s="834"/>
      <c r="E41" s="864"/>
      <c r="F41" s="865"/>
      <c r="G41" s="953"/>
      <c r="H41" s="954"/>
      <c r="I41" s="835"/>
      <c r="J41" s="874"/>
      <c r="K41" s="451"/>
      <c r="L41" s="856"/>
      <c r="M41" s="654"/>
      <c r="N41" s="645"/>
      <c r="O41" s="645"/>
      <c r="P41" s="975"/>
      <c r="Q41" s="645"/>
      <c r="R41" s="645"/>
      <c r="S41" s="703"/>
      <c r="T41" s="645" t="s">
        <v>1715</v>
      </c>
      <c r="U41" s="703"/>
      <c r="V41" s="703"/>
      <c r="W41" s="935"/>
      <c r="X41" s="840"/>
      <c r="Y41" s="832"/>
      <c r="Z41" s="630"/>
      <c r="AA41" s="769"/>
      <c r="AB41" s="642"/>
      <c r="AC41" s="642"/>
      <c r="AD41" s="642"/>
      <c r="AE41" s="642"/>
      <c r="AF41" s="642"/>
      <c r="AG41" s="783"/>
      <c r="AH41" s="440"/>
      <c r="AI41" s="657"/>
      <c r="AJ41" s="644"/>
      <c r="AK41" s="440"/>
      <c r="AL41" s="440"/>
      <c r="AM41" s="440"/>
      <c r="AN41" s="440"/>
      <c r="AO41" s="440"/>
      <c r="AP41" s="440"/>
      <c r="AQ41" s="460"/>
      <c r="AR41" s="460"/>
      <c r="AS41" s="445"/>
      <c r="AT41" s="445"/>
      <c r="AU41" s="651"/>
      <c r="AV41" s="445"/>
      <c r="AW41" s="462"/>
      <c r="AX41" s="618"/>
      <c r="AY41" s="459"/>
      <c r="AZ41" s="630"/>
      <c r="BA41" s="630"/>
      <c r="BB41" s="823"/>
      <c r="BC41" s="823"/>
      <c r="BD41" s="823"/>
      <c r="BE41" s="630"/>
      <c r="BF41" s="439"/>
      <c r="BG41" s="439"/>
      <c r="BH41" s="439"/>
    </row>
    <row r="42" spans="1:60" ht="16.5" customHeight="1" x14ac:dyDescent="0.2">
      <c r="A42" s="856"/>
      <c r="B42" s="447"/>
      <c r="C42" s="836" t="s">
        <v>1315</v>
      </c>
      <c r="D42" s="837"/>
      <c r="E42" s="866"/>
      <c r="F42" s="867"/>
      <c r="G42" s="955"/>
      <c r="H42" s="956"/>
      <c r="I42" s="838"/>
      <c r="J42" s="875"/>
      <c r="K42" s="451"/>
      <c r="L42" s="856"/>
      <c r="M42" s="654"/>
      <c r="N42" s="645"/>
      <c r="O42" s="856"/>
      <c r="P42" s="1838"/>
      <c r="Q42" s="654"/>
      <c r="R42" s="654"/>
      <c r="S42" s="654"/>
      <c r="T42" s="654" t="s">
        <v>1716</v>
      </c>
      <c r="U42" s="654"/>
      <c r="V42" s="701"/>
      <c r="W42" s="654"/>
      <c r="X42" s="931"/>
      <c r="Y42" s="832"/>
      <c r="Z42" s="630"/>
      <c r="AA42" s="769"/>
      <c r="AB42" s="642"/>
      <c r="AC42" s="642"/>
      <c r="AD42" s="642"/>
      <c r="AE42" s="642"/>
      <c r="AF42" s="642"/>
      <c r="AG42" s="783"/>
      <c r="AH42" s="440"/>
      <c r="AI42" s="657"/>
      <c r="AJ42" s="644"/>
      <c r="AK42" s="440"/>
      <c r="AL42" s="440"/>
      <c r="AM42" s="440"/>
      <c r="AN42" s="440"/>
      <c r="AO42" s="440"/>
      <c r="AP42" s="440"/>
      <c r="AQ42" s="460"/>
      <c r="AR42" s="460"/>
      <c r="AS42" s="445"/>
      <c r="AT42" s="445"/>
      <c r="AU42" s="651"/>
      <c r="AV42" s="445"/>
      <c r="AW42" s="462"/>
      <c r="AX42" s="618"/>
      <c r="AY42" s="459"/>
      <c r="AZ42" s="630"/>
      <c r="BA42" s="630"/>
      <c r="BB42" s="823"/>
      <c r="BC42" s="823"/>
      <c r="BD42" s="823"/>
      <c r="BE42" s="630"/>
      <c r="BF42" s="439"/>
      <c r="BG42" s="439"/>
      <c r="BH42" s="439"/>
    </row>
    <row r="43" spans="1:60" ht="16.5" customHeight="1" thickBot="1" x14ac:dyDescent="0.25">
      <c r="A43" s="856"/>
      <c r="B43" s="447"/>
      <c r="C43" s="448"/>
      <c r="D43" s="933"/>
      <c r="E43" s="704"/>
      <c r="F43" s="705"/>
      <c r="G43" s="673"/>
      <c r="H43" s="673"/>
      <c r="I43" s="704"/>
      <c r="J43" s="705"/>
      <c r="K43" s="451"/>
      <c r="L43" s="856"/>
      <c r="M43" s="654"/>
      <c r="N43" s="645"/>
      <c r="O43" s="856"/>
      <c r="P43" s="1838"/>
      <c r="Q43" s="654"/>
      <c r="R43" s="645"/>
      <c r="S43" s="645"/>
      <c r="T43" s="645" t="s">
        <v>1717</v>
      </c>
      <c r="U43" s="645"/>
      <c r="V43" s="695"/>
      <c r="W43" s="645"/>
      <c r="X43" s="832"/>
      <c r="Y43" s="832"/>
      <c r="Z43" s="630"/>
      <c r="AA43" s="769"/>
      <c r="AB43" s="642"/>
      <c r="AC43" s="642"/>
      <c r="AD43" s="642"/>
      <c r="AE43" s="642"/>
      <c r="AF43" s="642"/>
      <c r="AG43" s="783"/>
      <c r="AH43" s="440"/>
      <c r="AI43" s="657"/>
      <c r="AJ43" s="644"/>
      <c r="AK43" s="440"/>
      <c r="AL43" s="440"/>
      <c r="AM43" s="440"/>
      <c r="AN43" s="440"/>
      <c r="AO43" s="440"/>
      <c r="AP43" s="440"/>
      <c r="AQ43" s="466"/>
      <c r="AR43" s="466"/>
      <c r="AS43" s="445"/>
      <c r="AT43" s="445"/>
      <c r="AU43" s="651"/>
      <c r="AV43" s="445"/>
      <c r="AW43" s="462"/>
      <c r="AX43" s="618"/>
      <c r="AY43" s="459"/>
      <c r="AZ43" s="630"/>
      <c r="BA43" s="630"/>
      <c r="BB43" s="823"/>
      <c r="BC43" s="823"/>
      <c r="BD43" s="823"/>
      <c r="BE43" s="630"/>
      <c r="BF43" s="439"/>
      <c r="BG43" s="439"/>
      <c r="BH43" s="439"/>
    </row>
    <row r="44" spans="1:60" ht="16.5" customHeight="1" thickBot="1" x14ac:dyDescent="0.25">
      <c r="A44" s="856"/>
      <c r="B44" s="760" t="s">
        <v>1347</v>
      </c>
      <c r="C44" s="675"/>
      <c r="D44" s="839"/>
      <c r="E44" s="706"/>
      <c r="F44" s="707">
        <f>SUM(F14:F31)-SUM(F48:F53)</f>
        <v>0</v>
      </c>
      <c r="G44" s="860"/>
      <c r="H44" s="707">
        <f>SUM(H14:H31)-SUM(H48:H53)</f>
        <v>0</v>
      </c>
      <c r="I44" s="706"/>
      <c r="J44" s="707">
        <f>SUM(J14:J31)-SUM(J48:J53)</f>
        <v>0</v>
      </c>
      <c r="K44" s="676"/>
      <c r="L44" s="856"/>
      <c r="M44" s="654"/>
      <c r="N44" s="645"/>
      <c r="O44" s="856"/>
      <c r="P44" s="1838"/>
      <c r="Q44" s="654"/>
      <c r="R44" s="645"/>
      <c r="S44" s="856"/>
      <c r="T44" s="856"/>
      <c r="U44" s="856"/>
      <c r="V44" s="856"/>
      <c r="W44" s="856"/>
      <c r="X44" s="856"/>
      <c r="Y44" s="856"/>
      <c r="Z44" s="856"/>
      <c r="AA44" s="713"/>
      <c r="AB44" s="677"/>
      <c r="AC44" s="677"/>
      <c r="AD44" s="677"/>
      <c r="AE44" s="850"/>
      <c r="AF44" s="677"/>
      <c r="AG44" s="714"/>
      <c r="AH44" s="463"/>
      <c r="AI44" s="657"/>
      <c r="AJ44" s="644"/>
      <c r="AK44" s="463"/>
      <c r="AL44" s="463"/>
      <c r="AM44" s="463"/>
      <c r="AN44" s="463"/>
      <c r="AO44" s="463"/>
      <c r="AP44" s="463"/>
      <c r="AQ44" s="463"/>
      <c r="AR44" s="463"/>
      <c r="AS44" s="678"/>
      <c r="AT44" s="678"/>
      <c r="AU44" s="651"/>
      <c r="AV44" s="678"/>
      <c r="AW44" s="679"/>
      <c r="AX44" s="619"/>
      <c r="AY44" s="467"/>
      <c r="AZ44" s="630"/>
      <c r="BA44" s="630"/>
      <c r="BB44" s="823"/>
      <c r="BC44" s="823"/>
      <c r="BD44" s="823"/>
      <c r="BE44" s="630"/>
      <c r="BF44" s="439"/>
      <c r="BG44" s="439"/>
      <c r="BH44" s="439"/>
    </row>
    <row r="45" spans="1:60" ht="16.5" customHeight="1" x14ac:dyDescent="0.2">
      <c r="A45" s="856"/>
      <c r="B45" s="447"/>
      <c r="C45" s="448"/>
      <c r="D45" s="710"/>
      <c r="E45" s="704"/>
      <c r="F45" s="705"/>
      <c r="G45" s="673"/>
      <c r="H45" s="673"/>
      <c r="I45" s="704"/>
      <c r="J45" s="708"/>
      <c r="K45" s="449"/>
      <c r="L45" s="856"/>
      <c r="M45" s="654"/>
      <c r="N45" s="645"/>
      <c r="O45" s="856"/>
      <c r="P45" s="1838"/>
      <c r="Q45" s="654"/>
      <c r="R45" s="645"/>
      <c r="S45" s="823"/>
      <c r="T45" s="1697" t="s">
        <v>2226</v>
      </c>
      <c r="U45" s="823"/>
      <c r="V45" s="823"/>
      <c r="W45" s="823"/>
      <c r="X45" s="823"/>
      <c r="Y45" s="823"/>
      <c r="Z45" s="630"/>
      <c r="AA45" s="630"/>
      <c r="AB45" s="630"/>
      <c r="AC45" s="630"/>
      <c r="AD45" s="630"/>
      <c r="AE45" s="823"/>
      <c r="AF45" s="630"/>
      <c r="AG45" s="630"/>
      <c r="AH45" s="630"/>
      <c r="AI45" s="657"/>
      <c r="AJ45" s="645"/>
      <c r="AK45" s="630"/>
      <c r="AL45" s="630"/>
      <c r="AM45" s="630"/>
      <c r="AN45" s="856"/>
      <c r="AO45" s="856"/>
      <c r="AP45" s="630"/>
      <c r="AQ45" s="630"/>
      <c r="AR45" s="630"/>
      <c r="AS45" s="630"/>
      <c r="AT45" s="630"/>
      <c r="AU45" s="1840"/>
      <c r="AV45" s="629"/>
      <c r="AW45" s="630"/>
      <c r="AX45" s="630"/>
      <c r="AY45" s="630"/>
      <c r="AZ45" s="630"/>
      <c r="BA45" s="630"/>
      <c r="BB45" s="823"/>
      <c r="BC45" s="823"/>
      <c r="BD45" s="823"/>
      <c r="BE45" s="630"/>
      <c r="BF45" s="439"/>
      <c r="BG45" s="439"/>
      <c r="BH45" s="439"/>
    </row>
    <row r="46" spans="1:60" ht="16.5" customHeight="1" x14ac:dyDescent="0.2">
      <c r="A46" s="856"/>
      <c r="B46" s="447"/>
      <c r="C46" s="448" t="s">
        <v>345</v>
      </c>
      <c r="D46" s="710" t="s">
        <v>1311</v>
      </c>
      <c r="E46" s="704" t="s">
        <v>1306</v>
      </c>
      <c r="F46" s="705" t="s">
        <v>1304</v>
      </c>
      <c r="G46" s="704" t="s">
        <v>1724</v>
      </c>
      <c r="H46" s="705" t="s">
        <v>1725</v>
      </c>
      <c r="I46" s="704" t="s">
        <v>1305</v>
      </c>
      <c r="J46" s="705" t="s">
        <v>1307</v>
      </c>
      <c r="K46" s="449"/>
      <c r="L46" s="856"/>
      <c r="M46" s="654"/>
      <c r="N46" s="645"/>
      <c r="O46" s="856"/>
      <c r="P46" s="1838"/>
      <c r="Q46" s="654"/>
      <c r="R46" s="645"/>
      <c r="S46" s="823"/>
      <c r="T46" s="823"/>
      <c r="U46" s="823"/>
      <c r="V46" s="823"/>
      <c r="W46" s="823"/>
      <c r="X46" s="823"/>
      <c r="Y46" s="823"/>
      <c r="Z46" s="630"/>
      <c r="AA46" s="636"/>
      <c r="AB46" s="630"/>
      <c r="AC46" s="630"/>
      <c r="AD46" s="630"/>
      <c r="AE46" s="823"/>
      <c r="AF46" s="630"/>
      <c r="AG46" s="630"/>
      <c r="AH46" s="630"/>
      <c r="AI46" s="657"/>
      <c r="AJ46" s="645"/>
      <c r="AK46" s="630"/>
      <c r="AL46" s="630"/>
      <c r="AM46" s="630"/>
      <c r="AN46" s="856"/>
      <c r="AO46" s="856"/>
      <c r="AP46" s="630"/>
      <c r="AQ46" s="630"/>
      <c r="AR46" s="630"/>
      <c r="AS46" s="630"/>
      <c r="AT46" s="630"/>
      <c r="AU46" s="630"/>
      <c r="AV46" s="630"/>
      <c r="AW46" s="630"/>
      <c r="AX46" s="630"/>
      <c r="AY46" s="630"/>
      <c r="AZ46" s="630"/>
      <c r="BA46" s="630"/>
      <c r="BB46" s="823"/>
      <c r="BC46" s="823"/>
      <c r="BD46" s="823"/>
      <c r="BE46" s="630"/>
      <c r="BF46" s="439"/>
      <c r="BG46" s="439"/>
      <c r="BH46" s="439"/>
    </row>
    <row r="47" spans="1:60" ht="16.5" customHeight="1" x14ac:dyDescent="0.2">
      <c r="A47" s="856"/>
      <c r="B47" s="447"/>
      <c r="C47" s="448"/>
      <c r="D47" s="710" t="str">
        <f>_En_unit</f>
        <v>kWh</v>
      </c>
      <c r="E47" s="704"/>
      <c r="F47" s="705" t="str">
        <f>_En_unit</f>
        <v>kWh</v>
      </c>
      <c r="G47" s="704"/>
      <c r="H47" s="705" t="str">
        <f>_En_unit</f>
        <v>kWh</v>
      </c>
      <c r="I47" s="704"/>
      <c r="J47" s="705" t="str">
        <f>_En_unit</f>
        <v>kWh</v>
      </c>
      <c r="K47" s="449"/>
      <c r="L47" s="856"/>
      <c r="M47" s="654"/>
      <c r="N47" s="645"/>
      <c r="O47" s="856"/>
      <c r="P47" s="1838"/>
      <c r="Q47" s="654"/>
      <c r="R47" s="645"/>
      <c r="S47" s="823"/>
      <c r="T47" s="823"/>
      <c r="U47" s="823"/>
      <c r="V47" s="823"/>
      <c r="W47" s="823"/>
      <c r="X47" s="823"/>
      <c r="Y47" s="823"/>
      <c r="Z47" s="630"/>
      <c r="AA47" s="856"/>
      <c r="AB47" s="856"/>
      <c r="AC47" s="856"/>
      <c r="AD47" s="630"/>
      <c r="AE47" s="823"/>
      <c r="AF47" s="630"/>
      <c r="AG47" s="630"/>
      <c r="AH47" s="630"/>
      <c r="AI47" s="654"/>
      <c r="AJ47" s="645"/>
      <c r="AK47" s="630"/>
      <c r="AL47" s="630"/>
      <c r="AM47" s="630"/>
      <c r="AN47" s="856"/>
      <c r="AO47" s="856"/>
      <c r="AP47" s="630"/>
      <c r="AQ47" s="630"/>
      <c r="AR47" s="630"/>
      <c r="AS47" s="630"/>
      <c r="AT47" s="630"/>
      <c r="AU47" s="630"/>
      <c r="AV47" s="630"/>
      <c r="AW47" s="630"/>
      <c r="AX47" s="630"/>
      <c r="AY47" s="630"/>
      <c r="AZ47" s="630"/>
      <c r="BA47" s="630"/>
      <c r="BB47" s="823"/>
      <c r="BC47" s="823"/>
      <c r="BD47" s="823"/>
      <c r="BE47" s="630"/>
      <c r="BF47" s="439"/>
      <c r="BG47" s="439"/>
      <c r="BH47" s="439"/>
    </row>
    <row r="48" spans="1:60" ht="16.5" customHeight="1" x14ac:dyDescent="0.2">
      <c r="A48" s="856"/>
      <c r="B48" s="447"/>
      <c r="C48" s="448" t="s">
        <v>1719</v>
      </c>
      <c r="D48" s="711"/>
      <c r="E48" s="950"/>
      <c r="F48" s="862"/>
      <c r="G48" s="951"/>
      <c r="H48" s="952"/>
      <c r="I48" s="824"/>
      <c r="J48" s="873"/>
      <c r="K48" s="449"/>
      <c r="L48" s="856"/>
      <c r="M48" s="654"/>
      <c r="N48" s="645"/>
      <c r="O48" s="856"/>
      <c r="P48" s="1838"/>
      <c r="Q48" s="654"/>
      <c r="R48" s="645"/>
      <c r="S48" s="928"/>
      <c r="T48" s="926" t="s">
        <v>1519</v>
      </c>
      <c r="U48" s="928"/>
      <c r="V48" s="703"/>
      <c r="W48" s="937"/>
      <c r="X48" s="927"/>
      <c r="Y48" s="620"/>
      <c r="Z48" s="630"/>
      <c r="AA48" s="856"/>
      <c r="AB48" s="856"/>
      <c r="AC48" s="856"/>
      <c r="AD48" s="630"/>
      <c r="AE48" s="823"/>
      <c r="AF48" s="630"/>
      <c r="AG48" s="630"/>
      <c r="AH48" s="630"/>
      <c r="AI48" s="654"/>
      <c r="AJ48" s="645"/>
      <c r="AK48" s="630"/>
      <c r="AL48" s="630"/>
      <c r="AM48" s="630"/>
      <c r="AN48" s="856"/>
      <c r="AO48" s="856"/>
      <c r="AP48" s="630"/>
      <c r="AQ48" s="630"/>
      <c r="AR48" s="630"/>
      <c r="AS48" s="630"/>
      <c r="AT48" s="630"/>
      <c r="AU48" s="630"/>
      <c r="AV48" s="630"/>
      <c r="AW48" s="630"/>
      <c r="AX48" s="630"/>
      <c r="AY48" s="630"/>
      <c r="AZ48" s="630"/>
      <c r="BA48" s="630"/>
      <c r="BB48" s="823"/>
      <c r="BC48" s="823"/>
      <c r="BD48" s="823"/>
      <c r="BE48" s="630"/>
      <c r="BF48" s="439"/>
      <c r="BG48" s="439"/>
      <c r="BH48" s="439"/>
    </row>
    <row r="49" spans="1:60" ht="16.5" customHeight="1" x14ac:dyDescent="0.2">
      <c r="A49" s="856"/>
      <c r="B49" s="447"/>
      <c r="C49" s="448" t="s">
        <v>1718</v>
      </c>
      <c r="D49" s="711"/>
      <c r="E49" s="950"/>
      <c r="F49" s="862"/>
      <c r="G49" s="951"/>
      <c r="H49" s="952"/>
      <c r="I49" s="824"/>
      <c r="J49" s="873"/>
      <c r="K49" s="449"/>
      <c r="L49" s="856"/>
      <c r="M49" s="654"/>
      <c r="N49" s="645"/>
      <c r="O49" s="856"/>
      <c r="P49" s="1839"/>
      <c r="Q49" s="654"/>
      <c r="R49" s="821"/>
      <c r="S49" s="821"/>
      <c r="T49" s="654" t="s">
        <v>1710</v>
      </c>
      <c r="U49" s="821"/>
      <c r="V49" s="701"/>
      <c r="W49" s="936"/>
      <c r="X49" s="926"/>
      <c r="Y49" s="821"/>
      <c r="Z49" s="654"/>
      <c r="AA49" s="823"/>
      <c r="AB49" s="630"/>
      <c r="AC49" s="823"/>
      <c r="AD49" s="630"/>
      <c r="AE49" s="823"/>
      <c r="AF49" s="630"/>
      <c r="AG49" s="630"/>
      <c r="AH49" s="630"/>
      <c r="AI49" s="654"/>
      <c r="AJ49" s="645"/>
      <c r="AK49" s="630"/>
      <c r="AL49" s="630"/>
      <c r="AM49" s="630"/>
      <c r="AN49" s="856"/>
      <c r="AO49" s="856"/>
      <c r="AP49" s="630"/>
      <c r="AQ49" s="630"/>
      <c r="AR49" s="630"/>
      <c r="AS49" s="630"/>
      <c r="AT49" s="630"/>
      <c r="AU49" s="630"/>
      <c r="AV49" s="630"/>
      <c r="AW49" s="630"/>
      <c r="AX49" s="630"/>
      <c r="AY49" s="630"/>
      <c r="AZ49" s="630"/>
      <c r="BA49" s="630"/>
      <c r="BB49" s="823"/>
      <c r="BC49" s="823"/>
      <c r="BD49" s="823"/>
      <c r="BE49" s="630"/>
      <c r="BF49" s="439"/>
      <c r="BG49" s="439"/>
      <c r="BH49" s="439"/>
    </row>
    <row r="50" spans="1:60" ht="16.5" customHeight="1" x14ac:dyDescent="0.2">
      <c r="A50" s="856"/>
      <c r="B50" s="447"/>
      <c r="C50" s="448" t="s">
        <v>1384</v>
      </c>
      <c r="D50" s="711"/>
      <c r="E50" s="950"/>
      <c r="F50" s="862"/>
      <c r="G50" s="951"/>
      <c r="H50" s="952"/>
      <c r="I50" s="824"/>
      <c r="J50" s="873"/>
      <c r="K50" s="451"/>
      <c r="L50" s="856"/>
      <c r="M50" s="654"/>
      <c r="N50" s="645"/>
      <c r="O50" s="645"/>
      <c r="P50" s="975"/>
      <c r="Q50" s="645"/>
      <c r="R50" s="645"/>
      <c r="S50" s="928"/>
      <c r="T50" s="926" t="s">
        <v>1365</v>
      </c>
      <c r="U50" s="928"/>
      <c r="V50" s="703"/>
      <c r="W50" s="937"/>
      <c r="X50" s="926"/>
      <c r="Y50" s="645"/>
      <c r="Z50" s="645"/>
      <c r="AA50" s="645"/>
      <c r="AB50" s="645"/>
      <c r="AC50" s="645"/>
      <c r="AD50" s="645"/>
      <c r="AE50" s="822"/>
      <c r="AF50" s="695"/>
      <c r="AG50" s="645"/>
      <c r="AH50" s="645"/>
      <c r="AI50" s="645"/>
      <c r="AJ50" s="645"/>
      <c r="AK50" s="630"/>
      <c r="AL50" s="630"/>
      <c r="AM50" s="630"/>
      <c r="AN50" s="856"/>
      <c r="AO50" s="856"/>
      <c r="AP50" s="630"/>
      <c r="AQ50" s="630"/>
      <c r="AR50" s="630"/>
      <c r="AS50" s="630"/>
      <c r="AT50" s="630"/>
      <c r="AU50" s="630"/>
      <c r="AV50" s="630"/>
      <c r="AW50" s="630"/>
      <c r="AX50" s="630"/>
      <c r="AY50" s="630"/>
      <c r="AZ50" s="630"/>
      <c r="BA50" s="630"/>
      <c r="BB50" s="823"/>
      <c r="BC50" s="823"/>
      <c r="BD50" s="823"/>
      <c r="BE50" s="630"/>
      <c r="BF50" s="439"/>
      <c r="BG50" s="439"/>
      <c r="BH50" s="439"/>
    </row>
    <row r="51" spans="1:60" ht="16.5" customHeight="1" x14ac:dyDescent="0.2">
      <c r="A51" s="856"/>
      <c r="B51" s="447"/>
      <c r="C51" s="448" t="s">
        <v>1385</v>
      </c>
      <c r="D51" s="711"/>
      <c r="E51" s="950"/>
      <c r="F51" s="862"/>
      <c r="G51" s="951"/>
      <c r="H51" s="952"/>
      <c r="I51" s="824"/>
      <c r="J51" s="873"/>
      <c r="K51" s="451"/>
      <c r="L51" s="856"/>
      <c r="M51" s="654"/>
      <c r="N51" s="654"/>
      <c r="O51" s="654"/>
      <c r="P51" s="974"/>
      <c r="Q51" s="654"/>
      <c r="R51" s="654"/>
      <c r="S51" s="821"/>
      <c r="T51" s="654" t="s">
        <v>1366</v>
      </c>
      <c r="U51" s="821"/>
      <c r="V51" s="701"/>
      <c r="W51" s="936"/>
      <c r="X51" s="645"/>
      <c r="Y51" s="654"/>
      <c r="Z51" s="654"/>
      <c r="AA51" s="654"/>
      <c r="AB51" s="654"/>
      <c r="AC51" s="654"/>
      <c r="AD51" s="654"/>
      <c r="AE51" s="821"/>
      <c r="AF51" s="701"/>
      <c r="AG51" s="654"/>
      <c r="AH51" s="654"/>
      <c r="AI51" s="654"/>
      <c r="AJ51" s="630"/>
      <c r="AK51" s="630"/>
      <c r="AL51" s="630"/>
      <c r="AM51" s="630"/>
      <c r="AN51" s="856"/>
      <c r="AO51" s="856"/>
      <c r="AP51" s="630"/>
      <c r="AQ51" s="630"/>
      <c r="AR51" s="630"/>
      <c r="AS51" s="630"/>
      <c r="AT51" s="630"/>
      <c r="AU51" s="630"/>
      <c r="AV51" s="630"/>
      <c r="AW51" s="630"/>
      <c r="AX51" s="630"/>
      <c r="AY51" s="630"/>
      <c r="AZ51" s="630"/>
      <c r="BA51" s="630"/>
      <c r="BB51" s="823"/>
      <c r="BC51" s="823"/>
      <c r="BD51" s="823"/>
      <c r="BE51" s="630"/>
      <c r="BF51" s="439"/>
      <c r="BG51" s="439"/>
      <c r="BH51" s="439"/>
    </row>
    <row r="52" spans="1:60" ht="16.5" customHeight="1" x14ac:dyDescent="0.2">
      <c r="A52" s="856"/>
      <c r="B52" s="447"/>
      <c r="C52" s="448" t="s">
        <v>1312</v>
      </c>
      <c r="D52" s="711"/>
      <c r="E52" s="950"/>
      <c r="F52" s="862"/>
      <c r="G52" s="951"/>
      <c r="H52" s="952"/>
      <c r="I52" s="824"/>
      <c r="J52" s="873"/>
      <c r="K52" s="451"/>
      <c r="L52" s="645"/>
      <c r="M52" s="645"/>
      <c r="N52" s="645"/>
      <c r="O52" s="645"/>
      <c r="P52" s="975"/>
      <c r="Q52" s="645"/>
      <c r="R52" s="645"/>
      <c r="S52" s="822"/>
      <c r="T52" s="926" t="s">
        <v>1711</v>
      </c>
      <c r="U52" s="822"/>
      <c r="V52" s="703"/>
      <c r="W52" s="937"/>
      <c r="X52" s="645"/>
      <c r="Y52" s="620"/>
      <c r="Z52" s="821"/>
      <c r="AA52" s="823"/>
      <c r="AB52" s="823"/>
      <c r="AC52" s="823"/>
      <c r="AD52" s="823"/>
      <c r="AE52" s="823"/>
      <c r="AF52" s="823"/>
      <c r="AG52" s="630"/>
      <c r="AH52" s="630"/>
      <c r="AI52" s="630"/>
      <c r="AJ52" s="630"/>
      <c r="AK52" s="630"/>
      <c r="AL52" s="630"/>
      <c r="AM52" s="630"/>
      <c r="AN52" s="856"/>
      <c r="AO52" s="630"/>
      <c r="AP52" s="630"/>
      <c r="AQ52" s="630"/>
      <c r="AR52" s="630"/>
      <c r="AS52" s="630"/>
      <c r="AT52" s="630"/>
      <c r="AU52" s="630"/>
      <c r="AV52" s="630"/>
      <c r="AW52" s="630"/>
      <c r="AX52" s="630"/>
      <c r="AY52" s="630"/>
      <c r="AZ52" s="630"/>
      <c r="BA52" s="630"/>
      <c r="BB52" s="823"/>
      <c r="BC52" s="823"/>
      <c r="BD52" s="823"/>
      <c r="BE52" s="630"/>
      <c r="BF52" s="439"/>
      <c r="BG52" s="439"/>
      <c r="BH52" s="439"/>
    </row>
    <row r="53" spans="1:60" ht="16.5" customHeight="1" x14ac:dyDescent="0.2">
      <c r="A53" s="856"/>
      <c r="B53" s="447"/>
      <c r="C53" s="448" t="s">
        <v>1313</v>
      </c>
      <c r="D53" s="711"/>
      <c r="E53" s="950"/>
      <c r="F53" s="862"/>
      <c r="G53" s="951"/>
      <c r="H53" s="952"/>
      <c r="I53" s="824"/>
      <c r="J53" s="873"/>
      <c r="K53" s="451"/>
      <c r="L53" s="654"/>
      <c r="M53" s="654"/>
      <c r="N53" s="654"/>
      <c r="O53" s="654"/>
      <c r="P53" s="974"/>
      <c r="Q53" s="654"/>
      <c r="R53" s="654"/>
      <c r="S53" s="821"/>
      <c r="T53" s="654" t="s">
        <v>1712</v>
      </c>
      <c r="U53" s="821"/>
      <c r="V53" s="701"/>
      <c r="W53" s="936"/>
      <c r="X53" s="821"/>
      <c r="Y53" s="821"/>
      <c r="Z53" s="821"/>
      <c r="AA53" s="823"/>
      <c r="AB53" s="823"/>
      <c r="AC53" s="823"/>
      <c r="AD53" s="823"/>
      <c r="AE53" s="823"/>
      <c r="AF53" s="1835"/>
      <c r="AG53" s="1835"/>
      <c r="AH53" s="630"/>
      <c r="AI53" s="630"/>
      <c r="AJ53" s="630"/>
      <c r="AK53" s="630"/>
      <c r="AL53" s="630"/>
      <c r="AM53" s="630"/>
      <c r="AN53" s="630"/>
      <c r="AO53" s="630"/>
      <c r="AP53" s="630"/>
      <c r="AQ53" s="630"/>
      <c r="AR53" s="630"/>
      <c r="AS53" s="630"/>
      <c r="AT53" s="630"/>
      <c r="AU53" s="630"/>
      <c r="AV53" s="630"/>
      <c r="AW53" s="630"/>
      <c r="AX53" s="630"/>
      <c r="AY53" s="630"/>
      <c r="AZ53" s="630"/>
      <c r="BA53" s="630"/>
      <c r="BB53" s="823"/>
      <c r="BC53" s="823"/>
      <c r="BD53" s="823"/>
      <c r="BE53" s="630"/>
      <c r="BF53" s="439"/>
      <c r="BG53" s="439"/>
      <c r="BH53" s="439"/>
    </row>
    <row r="54" spans="1:60" ht="16.5" customHeight="1" x14ac:dyDescent="0.2">
      <c r="A54" s="856"/>
      <c r="B54" s="447"/>
      <c r="C54" s="448"/>
      <c r="D54" s="859"/>
      <c r="E54" s="925"/>
      <c r="F54" s="859"/>
      <c r="G54" s="859"/>
      <c r="H54" s="859"/>
      <c r="I54" s="925"/>
      <c r="J54" s="859"/>
      <c r="K54" s="451"/>
      <c r="L54" s="630"/>
      <c r="M54" s="630"/>
      <c r="N54" s="630"/>
      <c r="O54" s="630"/>
      <c r="P54" s="1838"/>
      <c r="Q54" s="630"/>
      <c r="R54" s="630"/>
      <c r="S54" s="823"/>
      <c r="T54" s="823"/>
      <c r="U54" s="823"/>
      <c r="V54" s="823"/>
      <c r="W54" s="823"/>
      <c r="X54" s="823"/>
      <c r="Y54" s="823"/>
      <c r="Z54" s="630"/>
      <c r="AA54" s="630"/>
      <c r="AB54" s="693"/>
      <c r="AC54" s="630"/>
      <c r="AD54" s="630"/>
      <c r="AE54" s="823"/>
      <c r="AF54" s="1835"/>
      <c r="AG54" s="1835"/>
      <c r="AH54" s="630"/>
      <c r="AI54" s="630"/>
      <c r="AJ54" s="630"/>
      <c r="AK54" s="630"/>
      <c r="AL54" s="630"/>
      <c r="AM54" s="630"/>
      <c r="AN54" s="630"/>
      <c r="AO54" s="630"/>
      <c r="AP54" s="630"/>
      <c r="AQ54" s="630"/>
      <c r="AR54" s="630"/>
      <c r="AS54" s="630"/>
      <c r="AT54" s="630"/>
      <c r="AU54" s="630"/>
      <c r="AV54" s="630"/>
      <c r="AW54" s="630"/>
      <c r="AX54" s="630"/>
      <c r="AY54" s="630"/>
      <c r="AZ54" s="630"/>
      <c r="BA54" s="630"/>
      <c r="BB54" s="823"/>
      <c r="BC54" s="823"/>
      <c r="BD54" s="823"/>
      <c r="BE54" s="630"/>
      <c r="BF54" s="439"/>
      <c r="BG54" s="439"/>
      <c r="BH54" s="439"/>
    </row>
    <row r="55" spans="1:60" ht="16.5" customHeight="1" thickBot="1" x14ac:dyDescent="0.25">
      <c r="A55" s="856"/>
      <c r="B55" s="447"/>
      <c r="C55" s="448"/>
      <c r="D55" s="859"/>
      <c r="E55" s="925"/>
      <c r="F55" s="859"/>
      <c r="G55" s="859"/>
      <c r="H55" s="859"/>
      <c r="I55" s="925"/>
      <c r="J55" s="859"/>
      <c r="K55" s="451"/>
      <c r="L55" s="630"/>
      <c r="M55" s="630"/>
      <c r="N55" s="630"/>
      <c r="O55" s="630"/>
      <c r="P55" s="1838"/>
      <c r="Q55" s="630"/>
      <c r="R55" s="630"/>
      <c r="S55" s="823"/>
      <c r="T55" s="823"/>
      <c r="U55" s="823"/>
      <c r="V55" s="823"/>
      <c r="W55" s="823"/>
      <c r="X55" s="823"/>
      <c r="Y55" s="823"/>
      <c r="Z55" s="630"/>
      <c r="AA55" s="630"/>
      <c r="AB55" s="693"/>
      <c r="AC55" s="630"/>
      <c r="AD55" s="630"/>
      <c r="AE55" s="823"/>
      <c r="AF55" s="1835"/>
      <c r="AG55" s="1835"/>
      <c r="AH55" s="630"/>
      <c r="AI55" s="630"/>
      <c r="AJ55" s="630"/>
      <c r="AK55" s="630"/>
      <c r="AL55" s="630"/>
      <c r="AM55" s="630"/>
      <c r="AN55" s="630"/>
      <c r="AO55" s="630"/>
      <c r="AP55" s="630"/>
      <c r="AQ55" s="630"/>
      <c r="AR55" s="630"/>
      <c r="AS55" s="630"/>
      <c r="AT55" s="630"/>
      <c r="AU55" s="630"/>
      <c r="AV55" s="630"/>
      <c r="AW55" s="630"/>
      <c r="AX55" s="630"/>
      <c r="AY55" s="630"/>
      <c r="AZ55" s="630"/>
      <c r="BA55" s="630"/>
      <c r="BB55" s="823"/>
      <c r="BC55" s="823"/>
      <c r="BD55" s="823"/>
      <c r="BE55" s="630"/>
      <c r="BF55" s="439"/>
      <c r="BG55" s="439"/>
      <c r="BH55" s="439"/>
    </row>
    <row r="56" spans="1:60" ht="16.5" customHeight="1" thickBot="1" x14ac:dyDescent="0.25">
      <c r="A56" s="856"/>
      <c r="B56" s="942" t="s">
        <v>1722</v>
      </c>
      <c r="C56" s="938"/>
      <c r="D56" s="939"/>
      <c r="E56" s="940"/>
      <c r="F56" s="939"/>
      <c r="G56" s="939"/>
      <c r="H56" s="939"/>
      <c r="I56" s="940"/>
      <c r="J56" s="939"/>
      <c r="K56" s="941"/>
      <c r="L56" s="630"/>
      <c r="M56" s="630"/>
      <c r="N56" s="630"/>
      <c r="O56" s="630"/>
      <c r="P56" s="1838"/>
      <c r="Q56" s="630"/>
      <c r="R56" s="630"/>
      <c r="S56" s="823"/>
      <c r="T56" s="823"/>
      <c r="U56" s="823"/>
      <c r="V56" s="823"/>
      <c r="W56" s="823"/>
      <c r="X56" s="823"/>
      <c r="Y56" s="823"/>
      <c r="Z56" s="630"/>
      <c r="AA56" s="630"/>
      <c r="AB56" s="693"/>
      <c r="AC56" s="630"/>
      <c r="AD56" s="630"/>
      <c r="AE56" s="823"/>
      <c r="AF56" s="1835"/>
      <c r="AG56" s="1835"/>
      <c r="AH56" s="630"/>
      <c r="AI56" s="630"/>
      <c r="AJ56" s="630"/>
      <c r="AK56" s="630"/>
      <c r="AL56" s="630"/>
      <c r="AM56" s="630"/>
      <c r="AN56" s="630"/>
      <c r="AO56" s="630"/>
      <c r="AP56" s="630"/>
      <c r="AQ56" s="630"/>
      <c r="AR56" s="630"/>
      <c r="AS56" s="630"/>
      <c r="AT56" s="630"/>
      <c r="AU56" s="630"/>
      <c r="AV56" s="630"/>
      <c r="AW56" s="630"/>
      <c r="AX56" s="630"/>
      <c r="AY56" s="630"/>
      <c r="AZ56" s="630"/>
      <c r="BA56" s="630"/>
      <c r="BB56" s="823"/>
      <c r="BC56" s="823"/>
      <c r="BD56" s="823"/>
      <c r="BE56" s="630"/>
      <c r="BF56" s="439"/>
      <c r="BG56" s="439"/>
      <c r="BH56" s="439"/>
    </row>
    <row r="57" spans="1:60" ht="16.5" customHeight="1" thickBot="1" x14ac:dyDescent="0.25">
      <c r="A57" s="856"/>
      <c r="B57" s="469"/>
      <c r="C57" s="464"/>
      <c r="D57" s="464"/>
      <c r="E57" s="674"/>
      <c r="F57" s="674"/>
      <c r="G57" s="674"/>
      <c r="H57" s="674"/>
      <c r="I57" s="674"/>
      <c r="J57" s="674"/>
      <c r="K57" s="465"/>
      <c r="L57" s="856"/>
      <c r="M57" s="856"/>
      <c r="N57" s="856"/>
      <c r="O57" s="856"/>
      <c r="P57" s="1838"/>
      <c r="Q57" s="856"/>
      <c r="R57" s="856"/>
      <c r="S57" s="823"/>
      <c r="T57" s="823"/>
      <c r="U57" s="823"/>
      <c r="V57" s="823"/>
      <c r="W57" s="823"/>
      <c r="X57" s="823"/>
      <c r="Y57" s="823"/>
      <c r="Z57" s="630"/>
      <c r="AA57" s="630"/>
      <c r="AB57" s="693"/>
      <c r="AC57" s="630"/>
      <c r="AD57" s="630"/>
      <c r="AE57" s="823"/>
      <c r="AF57" s="1835"/>
      <c r="AG57" s="1835"/>
      <c r="AH57" s="630"/>
      <c r="AI57" s="630"/>
      <c r="AJ57" s="630"/>
      <c r="AK57" s="630"/>
      <c r="AL57" s="630"/>
      <c r="AM57" s="630"/>
      <c r="AN57" s="630"/>
      <c r="AO57" s="630"/>
      <c r="AP57" s="630"/>
      <c r="AQ57" s="630"/>
      <c r="AR57" s="630"/>
      <c r="AS57" s="630"/>
      <c r="AT57" s="630"/>
      <c r="AU57" s="630"/>
      <c r="AV57" s="630"/>
      <c r="AW57" s="630"/>
      <c r="AX57" s="630"/>
      <c r="AY57" s="630"/>
      <c r="AZ57" s="630"/>
      <c r="BA57" s="630"/>
      <c r="BB57" s="823"/>
      <c r="BC57" s="823"/>
      <c r="BD57" s="823"/>
      <c r="BE57" s="630"/>
      <c r="BF57" s="439"/>
      <c r="BG57" s="439"/>
      <c r="BH57" s="439"/>
    </row>
    <row r="58" spans="1:60" ht="16.5" customHeight="1" thickBot="1" x14ac:dyDescent="0.25">
      <c r="A58" s="856"/>
      <c r="B58" s="761"/>
      <c r="C58" s="764" t="s">
        <v>1348</v>
      </c>
      <c r="D58" s="765"/>
      <c r="E58" s="764"/>
      <c r="F58" s="766" t="e">
        <f>+H44/F44</f>
        <v>#DIV/0!</v>
      </c>
      <c r="G58" s="766"/>
      <c r="H58" s="766"/>
      <c r="I58" s="762"/>
      <c r="J58" s="762"/>
      <c r="K58" s="763"/>
      <c r="L58" s="630"/>
      <c r="M58" s="630"/>
      <c r="N58" s="630"/>
      <c r="O58" s="630"/>
      <c r="P58" s="1838"/>
      <c r="Q58" s="630"/>
      <c r="R58" s="630"/>
      <c r="S58" s="630"/>
      <c r="T58" s="630"/>
      <c r="U58" s="630"/>
      <c r="V58" s="630"/>
      <c r="W58" s="630"/>
      <c r="X58" s="630"/>
      <c r="Y58" s="630"/>
      <c r="Z58" s="630"/>
      <c r="AA58" s="630"/>
      <c r="AB58" s="693"/>
      <c r="AC58" s="630"/>
      <c r="AD58" s="630"/>
      <c r="AE58" s="823"/>
      <c r="AF58" s="1835"/>
      <c r="AG58" s="1835"/>
      <c r="AH58" s="630"/>
      <c r="AI58" s="630"/>
      <c r="AJ58" s="630"/>
      <c r="AK58" s="630"/>
      <c r="AL58" s="630"/>
      <c r="AM58" s="630"/>
      <c r="AN58" s="630"/>
      <c r="AO58" s="630"/>
      <c r="AP58" s="630"/>
      <c r="AQ58" s="630"/>
      <c r="AR58" s="630"/>
      <c r="AS58" s="630"/>
      <c r="AT58" s="630"/>
      <c r="AU58" s="630"/>
      <c r="AV58" s="630"/>
      <c r="AW58" s="630"/>
      <c r="AX58" s="630"/>
      <c r="AY58" s="630"/>
      <c r="AZ58" s="630"/>
      <c r="BA58" s="630"/>
      <c r="BB58" s="823"/>
      <c r="BC58" s="823"/>
      <c r="BD58" s="823"/>
      <c r="BE58" s="630"/>
      <c r="BF58" s="439"/>
      <c r="BG58" s="439"/>
      <c r="BH58" s="439"/>
    </row>
    <row r="59" spans="1:60" ht="16.5" customHeight="1" x14ac:dyDescent="0.2">
      <c r="A59" s="856"/>
      <c r="B59" s="856"/>
      <c r="C59" s="856"/>
      <c r="D59" s="856"/>
      <c r="E59" s="1834"/>
      <c r="F59" s="1834"/>
      <c r="G59" s="1834"/>
      <c r="H59" s="1834"/>
      <c r="I59" s="1834"/>
      <c r="J59" s="1834"/>
      <c r="K59" s="856"/>
      <c r="L59" s="630"/>
      <c r="M59" s="630"/>
      <c r="N59" s="630"/>
      <c r="O59" s="630"/>
      <c r="P59" s="630"/>
      <c r="Q59" s="630"/>
      <c r="R59" s="630"/>
      <c r="S59" s="630"/>
      <c r="T59" s="630"/>
      <c r="U59" s="630"/>
      <c r="V59" s="630"/>
      <c r="W59" s="630"/>
      <c r="X59" s="630"/>
      <c r="Y59" s="630"/>
      <c r="Z59" s="630"/>
      <c r="AA59" s="630"/>
      <c r="AB59" s="693"/>
      <c r="AC59" s="630"/>
      <c r="AD59" s="630"/>
      <c r="AE59" s="823"/>
      <c r="AF59" s="1835"/>
      <c r="AG59" s="1835"/>
      <c r="AH59" s="630"/>
      <c r="AI59" s="630"/>
      <c r="AJ59" s="630"/>
      <c r="AK59" s="630"/>
      <c r="AL59" s="630"/>
      <c r="AM59" s="630"/>
      <c r="AN59" s="630"/>
      <c r="AO59" s="630"/>
      <c r="AP59" s="630"/>
      <c r="AQ59" s="630"/>
      <c r="AR59" s="630"/>
      <c r="AS59" s="630"/>
      <c r="AT59" s="630"/>
      <c r="AU59" s="630"/>
      <c r="AV59" s="630"/>
      <c r="AW59" s="630"/>
      <c r="AX59" s="630"/>
      <c r="AY59" s="630"/>
      <c r="AZ59" s="630"/>
      <c r="BA59" s="630"/>
      <c r="BB59" s="823"/>
      <c r="BC59" s="823"/>
      <c r="BD59" s="823"/>
      <c r="BE59" s="630"/>
      <c r="BF59" s="439"/>
      <c r="BG59" s="439"/>
      <c r="BH59" s="439"/>
    </row>
    <row r="60" spans="1:60" ht="16.5" customHeight="1" x14ac:dyDescent="0.2">
      <c r="L60" s="439"/>
      <c r="M60" s="439"/>
      <c r="N60" s="439"/>
      <c r="O60" s="439"/>
      <c r="P60" s="439"/>
      <c r="Q60" s="439"/>
      <c r="R60" s="439"/>
      <c r="S60" s="468"/>
      <c r="T60" s="468"/>
      <c r="U60" s="468"/>
      <c r="V60" s="468"/>
      <c r="W60" s="468"/>
      <c r="X60" s="468"/>
      <c r="Y60" s="468"/>
      <c r="Z60" s="468"/>
      <c r="AA60" s="468"/>
      <c r="AB60" s="929"/>
      <c r="AC60" s="468"/>
      <c r="AD60" s="468"/>
      <c r="AE60" s="830"/>
      <c r="AF60" s="470"/>
      <c r="AG60" s="470"/>
      <c r="AH60" s="468"/>
      <c r="AI60" s="468"/>
      <c r="AJ60" s="468"/>
      <c r="AK60" s="468"/>
      <c r="AL60" s="468"/>
      <c r="AM60" s="468"/>
      <c r="AN60" s="468"/>
      <c r="AO60" s="468"/>
      <c r="AP60" s="468"/>
      <c r="AQ60" s="468"/>
      <c r="AR60" s="468"/>
      <c r="AS60" s="468"/>
      <c r="AT60" s="468"/>
      <c r="AU60" s="468"/>
      <c r="AV60" s="468"/>
      <c r="AW60" s="468"/>
      <c r="AX60" s="468"/>
      <c r="AY60" s="468"/>
      <c r="AZ60" s="439"/>
      <c r="BA60" s="439"/>
      <c r="BB60" s="831"/>
      <c r="BC60" s="831"/>
      <c r="BD60" s="831"/>
      <c r="BE60" s="439"/>
      <c r="BF60" s="439"/>
      <c r="BG60" s="439"/>
      <c r="BH60" s="439"/>
    </row>
    <row r="61" spans="1:60" ht="16.5" customHeight="1" x14ac:dyDescent="0.2">
      <c r="L61" s="439"/>
      <c r="M61" s="439"/>
      <c r="N61" s="439"/>
      <c r="O61" s="439"/>
      <c r="P61" s="439"/>
      <c r="Q61" s="439"/>
      <c r="R61" s="439"/>
      <c r="S61" s="468"/>
      <c r="T61" s="468"/>
      <c r="U61" s="468"/>
      <c r="V61" s="468"/>
      <c r="W61" s="468"/>
      <c r="X61" s="468"/>
      <c r="Y61" s="468"/>
      <c r="Z61" s="468"/>
      <c r="AA61" s="468"/>
      <c r="AB61" s="929"/>
      <c r="AC61" s="468"/>
      <c r="AD61" s="468"/>
      <c r="AE61" s="830"/>
      <c r="AF61" s="470"/>
      <c r="AG61" s="470"/>
      <c r="AH61" s="468"/>
      <c r="AI61" s="468"/>
      <c r="AJ61" s="468"/>
      <c r="AK61" s="468"/>
      <c r="AL61" s="468"/>
      <c r="AM61" s="468"/>
      <c r="AN61" s="468"/>
      <c r="AO61" s="468"/>
      <c r="AP61" s="468"/>
      <c r="AQ61" s="468"/>
      <c r="AR61" s="468"/>
      <c r="AS61" s="468"/>
      <c r="AT61" s="468"/>
      <c r="AU61" s="468"/>
      <c r="AV61" s="468"/>
      <c r="AW61" s="468"/>
      <c r="AX61" s="468"/>
      <c r="AY61" s="468"/>
      <c r="AZ61" s="439"/>
      <c r="BA61" s="439"/>
      <c r="BB61" s="831"/>
      <c r="BC61" s="831"/>
      <c r="BD61" s="831"/>
      <c r="BE61" s="439"/>
      <c r="BF61" s="439"/>
      <c r="BG61" s="439"/>
      <c r="BH61" s="439"/>
    </row>
    <row r="62" spans="1:60" ht="16.5" customHeight="1" x14ac:dyDescent="0.2">
      <c r="S62" s="468"/>
      <c r="T62" s="468"/>
      <c r="U62" s="468"/>
      <c r="V62" s="468"/>
      <c r="W62" s="468"/>
      <c r="X62" s="468"/>
      <c r="Y62" s="468"/>
      <c r="Z62" s="468"/>
      <c r="AA62" s="468"/>
      <c r="AB62" s="929"/>
      <c r="AC62" s="468"/>
      <c r="AD62" s="468"/>
      <c r="AE62" s="830"/>
      <c r="AF62" s="470"/>
      <c r="AG62" s="470"/>
      <c r="AH62" s="468"/>
      <c r="AI62" s="468"/>
      <c r="AJ62" s="468"/>
      <c r="AK62" s="468"/>
      <c r="AL62" s="468"/>
      <c r="AM62" s="468"/>
      <c r="AN62" s="468"/>
      <c r="AO62" s="468"/>
      <c r="AP62" s="468"/>
      <c r="AQ62" s="468"/>
      <c r="AR62" s="468"/>
      <c r="AS62" s="468"/>
      <c r="AT62" s="468"/>
      <c r="AU62" s="468"/>
      <c r="AV62" s="468"/>
      <c r="AW62" s="468"/>
      <c r="AX62" s="468"/>
      <c r="AY62" s="468"/>
      <c r="AZ62" s="439"/>
      <c r="BA62" s="439"/>
      <c r="BB62" s="831"/>
      <c r="BC62" s="831"/>
      <c r="BD62" s="831"/>
      <c r="BE62" s="439"/>
      <c r="BF62" s="439"/>
      <c r="BG62" s="439"/>
      <c r="BH62" s="439"/>
    </row>
    <row r="63" spans="1:60" ht="16.5" customHeight="1" x14ac:dyDescent="0.2">
      <c r="S63" s="468"/>
      <c r="T63" s="468"/>
      <c r="U63" s="468"/>
      <c r="V63" s="468"/>
      <c r="W63" s="468"/>
      <c r="X63" s="468"/>
      <c r="Y63" s="468"/>
      <c r="Z63" s="468"/>
      <c r="AA63" s="468"/>
      <c r="AB63" s="929"/>
      <c r="AC63" s="468"/>
      <c r="AD63" s="468"/>
      <c r="AE63" s="830"/>
      <c r="AF63" s="470"/>
      <c r="AG63" s="470"/>
      <c r="AH63" s="468"/>
      <c r="AI63" s="468"/>
      <c r="AJ63" s="468"/>
      <c r="AK63" s="468"/>
      <c r="AL63" s="468"/>
      <c r="AM63" s="468"/>
      <c r="AN63" s="468"/>
      <c r="AO63" s="468"/>
      <c r="AP63" s="468"/>
      <c r="AQ63" s="468"/>
      <c r="AR63" s="468"/>
      <c r="AS63" s="468"/>
      <c r="AT63" s="468"/>
      <c r="AU63" s="468"/>
      <c r="AV63" s="468"/>
      <c r="AW63" s="468"/>
      <c r="AX63" s="468"/>
      <c r="AY63" s="468"/>
      <c r="AZ63" s="439"/>
      <c r="BA63" s="439"/>
      <c r="BB63" s="831"/>
      <c r="BC63" s="831"/>
      <c r="BD63" s="831"/>
      <c r="BE63" s="439"/>
      <c r="BF63" s="439"/>
      <c r="BG63" s="439"/>
      <c r="BH63" s="439"/>
    </row>
    <row r="64" spans="1:60" ht="16.5" customHeight="1" x14ac:dyDescent="0.2">
      <c r="L64" s="439"/>
      <c r="M64" s="439"/>
      <c r="N64" s="439"/>
      <c r="O64" s="439"/>
      <c r="P64" s="439"/>
      <c r="Q64" s="439"/>
      <c r="R64" s="439"/>
      <c r="S64" s="468"/>
      <c r="T64" s="468"/>
      <c r="U64" s="468"/>
      <c r="V64" s="468"/>
      <c r="W64" s="468"/>
      <c r="X64" s="468"/>
      <c r="Y64" s="468"/>
      <c r="Z64" s="468"/>
      <c r="AA64" s="468"/>
      <c r="AB64" s="929"/>
      <c r="AC64" s="468"/>
      <c r="AD64" s="468"/>
      <c r="AE64" s="830"/>
      <c r="AF64" s="470"/>
      <c r="AG64" s="470"/>
      <c r="AH64" s="468"/>
      <c r="AI64" s="468"/>
      <c r="AJ64" s="468"/>
      <c r="AK64" s="468"/>
      <c r="AL64" s="468"/>
      <c r="AM64" s="468"/>
      <c r="AN64" s="468"/>
      <c r="AO64" s="468"/>
      <c r="AP64" s="468"/>
      <c r="AQ64" s="468"/>
      <c r="AR64" s="468"/>
      <c r="AS64" s="468"/>
      <c r="AT64" s="468"/>
      <c r="AU64" s="468"/>
      <c r="AV64" s="468"/>
      <c r="AW64" s="468"/>
      <c r="AX64" s="468"/>
      <c r="AY64" s="468"/>
      <c r="AZ64" s="439"/>
      <c r="BA64" s="439"/>
      <c r="BB64" s="831"/>
      <c r="BC64" s="831"/>
      <c r="BD64" s="831"/>
      <c r="BE64" s="439"/>
      <c r="BF64" s="439"/>
      <c r="BG64" s="439"/>
      <c r="BH64" s="439"/>
    </row>
    <row r="65" spans="19:51" ht="16.5" customHeight="1" x14ac:dyDescent="0.2">
      <c r="S65" s="468"/>
      <c r="T65" s="468"/>
      <c r="U65" s="468"/>
      <c r="V65" s="468"/>
      <c r="W65" s="468"/>
      <c r="X65" s="468"/>
      <c r="Y65" s="468"/>
      <c r="Z65" s="468"/>
      <c r="AA65" s="468"/>
      <c r="AB65" s="468"/>
      <c r="AC65" s="470"/>
      <c r="AD65" s="470"/>
      <c r="AE65" s="851"/>
      <c r="AF65" s="468"/>
      <c r="AG65" s="468"/>
      <c r="AH65" s="468"/>
      <c r="AI65" s="468"/>
      <c r="AJ65" s="468"/>
      <c r="AK65" s="468"/>
      <c r="AL65" s="468"/>
      <c r="AM65" s="468"/>
      <c r="AN65" s="468"/>
      <c r="AO65" s="468"/>
      <c r="AP65" s="468"/>
      <c r="AQ65" s="468"/>
      <c r="AR65" s="468"/>
      <c r="AS65" s="468"/>
      <c r="AT65" s="468"/>
      <c r="AU65" s="468"/>
      <c r="AV65" s="468"/>
      <c r="AW65" s="468"/>
      <c r="AX65" s="468"/>
      <c r="AY65" s="468"/>
    </row>
    <row r="66" spans="19:51" ht="16.5" customHeight="1" x14ac:dyDescent="0.2">
      <c r="S66" s="468"/>
      <c r="T66" s="468"/>
      <c r="U66" s="468"/>
      <c r="V66" s="468"/>
      <c r="W66" s="468"/>
      <c r="X66" s="468"/>
      <c r="Y66" s="468"/>
      <c r="Z66" s="468"/>
      <c r="AA66" s="468"/>
      <c r="AB66" s="468"/>
      <c r="AC66" s="468"/>
      <c r="AD66" s="468"/>
      <c r="AE66" s="830"/>
      <c r="AF66" s="468"/>
      <c r="AG66" s="468"/>
      <c r="AH66" s="468"/>
      <c r="AI66" s="468"/>
      <c r="AJ66" s="468"/>
      <c r="AK66" s="468"/>
      <c r="AL66" s="468"/>
      <c r="AM66" s="468"/>
      <c r="AN66" s="468"/>
      <c r="AO66" s="468"/>
      <c r="AP66" s="468"/>
      <c r="AQ66" s="468"/>
      <c r="AR66" s="468"/>
      <c r="AS66" s="468"/>
      <c r="AT66" s="468"/>
      <c r="AU66" s="468"/>
      <c r="AV66" s="468"/>
    </row>
    <row r="67" spans="19:51" ht="16.5" customHeight="1" x14ac:dyDescent="0.2"/>
    <row r="72" spans="19:51" x14ac:dyDescent="0.2">
      <c r="Z72" s="439"/>
    </row>
  </sheetData>
  <pageMargins left="0.75" right="0.75" top="1" bottom="1" header="0.5" footer="0.5"/>
  <pageSetup paperSize="9" scale="64"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29" r:id="rId4" name="Drop Down 1">
              <controlPr defaultSize="0" autoLine="0" autoPict="0">
                <anchor moveWithCells="1">
                  <from>
                    <xdr:col>26</xdr:col>
                    <xdr:colOff>219075</xdr:colOff>
                    <xdr:row>3</xdr:row>
                    <xdr:rowOff>28575</xdr:rowOff>
                  </from>
                  <to>
                    <xdr:col>28</xdr:col>
                    <xdr:colOff>114300</xdr:colOff>
                    <xdr:row>4</xdr:row>
                    <xdr:rowOff>19050</xdr:rowOff>
                  </to>
                </anchor>
              </controlPr>
            </control>
          </mc:Choice>
        </mc:AlternateContent>
        <mc:AlternateContent xmlns:mc="http://schemas.openxmlformats.org/markup-compatibility/2006">
          <mc:Choice Requires="x14">
            <control shapeId="22530" r:id="rId5" name="Spinner 2">
              <controlPr defaultSize="0" autoPict="0">
                <anchor moveWithCells="1" sizeWithCells="1">
                  <from>
                    <xdr:col>50</xdr:col>
                    <xdr:colOff>323850</xdr:colOff>
                    <xdr:row>11</xdr:row>
                    <xdr:rowOff>57150</xdr:rowOff>
                  </from>
                  <to>
                    <xdr:col>50</xdr:col>
                    <xdr:colOff>581025</xdr:colOff>
                    <xdr:row>12</xdr:row>
                    <xdr:rowOff>95250</xdr:rowOff>
                  </to>
                </anchor>
              </controlPr>
            </control>
          </mc:Choice>
        </mc:AlternateContent>
        <mc:AlternateContent xmlns:mc="http://schemas.openxmlformats.org/markup-compatibility/2006">
          <mc:Choice Requires="x14">
            <control shapeId="22531" r:id="rId6" name="Spinner 3">
              <controlPr defaultSize="0" autoPict="0">
                <anchor moveWithCells="1" sizeWithCells="1">
                  <from>
                    <xdr:col>50</xdr:col>
                    <xdr:colOff>333375</xdr:colOff>
                    <xdr:row>14</xdr:row>
                    <xdr:rowOff>180975</xdr:rowOff>
                  </from>
                  <to>
                    <xdr:col>50</xdr:col>
                    <xdr:colOff>590550</xdr:colOff>
                    <xdr:row>16</xdr:row>
                    <xdr:rowOff>9525</xdr:rowOff>
                  </to>
                </anchor>
              </controlPr>
            </control>
          </mc:Choice>
        </mc:AlternateContent>
        <mc:AlternateContent xmlns:mc="http://schemas.openxmlformats.org/markup-compatibility/2006">
          <mc:Choice Requires="x14">
            <control shapeId="22532" r:id="rId7" name="Spinner 4">
              <controlPr defaultSize="0" autoPict="0">
                <anchor moveWithCells="1" sizeWithCells="1">
                  <from>
                    <xdr:col>50</xdr:col>
                    <xdr:colOff>333375</xdr:colOff>
                    <xdr:row>19</xdr:row>
                    <xdr:rowOff>19050</xdr:rowOff>
                  </from>
                  <to>
                    <xdr:col>50</xdr:col>
                    <xdr:colOff>590550</xdr:colOff>
                    <xdr:row>20</xdr:row>
                    <xdr:rowOff>57150</xdr:rowOff>
                  </to>
                </anchor>
              </controlPr>
            </control>
          </mc:Choice>
        </mc:AlternateContent>
        <mc:AlternateContent xmlns:mc="http://schemas.openxmlformats.org/markup-compatibility/2006">
          <mc:Choice Requires="x14">
            <control shapeId="22543" r:id="rId8" name="Spinner 15">
              <controlPr defaultSize="0" autoPict="0">
                <anchor moveWithCells="1" sizeWithCells="1">
                  <from>
                    <xdr:col>26</xdr:col>
                    <xdr:colOff>123825</xdr:colOff>
                    <xdr:row>10</xdr:row>
                    <xdr:rowOff>180975</xdr:rowOff>
                  </from>
                  <to>
                    <xdr:col>26</xdr:col>
                    <xdr:colOff>381000</xdr:colOff>
                    <xdr:row>12</xdr:row>
                    <xdr:rowOff>9525</xdr:rowOff>
                  </to>
                </anchor>
              </controlPr>
            </control>
          </mc:Choice>
        </mc:AlternateContent>
        <mc:AlternateContent xmlns:mc="http://schemas.openxmlformats.org/markup-compatibility/2006">
          <mc:Choice Requires="x14">
            <control shapeId="22544" r:id="rId9" name="Spinner 16">
              <controlPr defaultSize="0" autoPict="0">
                <anchor moveWithCells="1" sizeWithCells="1">
                  <from>
                    <xdr:col>26</xdr:col>
                    <xdr:colOff>133350</xdr:colOff>
                    <xdr:row>23</xdr:row>
                    <xdr:rowOff>190500</xdr:rowOff>
                  </from>
                  <to>
                    <xdr:col>26</xdr:col>
                    <xdr:colOff>390525</xdr:colOff>
                    <xdr:row>25</xdr:row>
                    <xdr:rowOff>19050</xdr:rowOff>
                  </to>
                </anchor>
              </controlPr>
            </control>
          </mc:Choice>
        </mc:AlternateContent>
        <mc:AlternateContent xmlns:mc="http://schemas.openxmlformats.org/markup-compatibility/2006">
          <mc:Choice Requires="x14">
            <control shapeId="22546" r:id="rId10" name="Spinner 18">
              <controlPr defaultSize="0" autoPict="0">
                <anchor moveWithCells="1" sizeWithCells="1">
                  <from>
                    <xdr:col>26</xdr:col>
                    <xdr:colOff>95250</xdr:colOff>
                    <xdr:row>19</xdr:row>
                    <xdr:rowOff>0</xdr:rowOff>
                  </from>
                  <to>
                    <xdr:col>26</xdr:col>
                    <xdr:colOff>352425</xdr:colOff>
                    <xdr:row>20</xdr:row>
                    <xdr:rowOff>38100</xdr:rowOff>
                  </to>
                </anchor>
              </controlPr>
            </control>
          </mc:Choice>
        </mc:AlternateContent>
        <mc:AlternateContent xmlns:mc="http://schemas.openxmlformats.org/markup-compatibility/2006">
          <mc:Choice Requires="x14">
            <control shapeId="22547" r:id="rId11" name="Spinner 19">
              <controlPr defaultSize="0" autoPict="0">
                <anchor moveWithCells="1" sizeWithCells="1">
                  <from>
                    <xdr:col>50</xdr:col>
                    <xdr:colOff>342900</xdr:colOff>
                    <xdr:row>31</xdr:row>
                    <xdr:rowOff>171450</xdr:rowOff>
                  </from>
                  <to>
                    <xdr:col>50</xdr:col>
                    <xdr:colOff>600075</xdr:colOff>
                    <xdr:row>33</xdr:row>
                    <xdr:rowOff>0</xdr:rowOff>
                  </to>
                </anchor>
              </controlPr>
            </control>
          </mc:Choice>
        </mc:AlternateContent>
        <mc:AlternateContent xmlns:mc="http://schemas.openxmlformats.org/markup-compatibility/2006">
          <mc:Choice Requires="x14">
            <control shapeId="22549" r:id="rId12" name="Spinner 21">
              <controlPr defaultSize="0" autoPict="0">
                <anchor moveWithCells="1" sizeWithCells="1">
                  <from>
                    <xdr:col>26</xdr:col>
                    <xdr:colOff>104775</xdr:colOff>
                    <xdr:row>32</xdr:row>
                    <xdr:rowOff>180975</xdr:rowOff>
                  </from>
                  <to>
                    <xdr:col>26</xdr:col>
                    <xdr:colOff>361950</xdr:colOff>
                    <xdr:row>34</xdr:row>
                    <xdr:rowOff>9525</xdr:rowOff>
                  </to>
                </anchor>
              </controlPr>
            </control>
          </mc:Choice>
        </mc:AlternateContent>
        <mc:AlternateContent xmlns:mc="http://schemas.openxmlformats.org/markup-compatibility/2006">
          <mc:Choice Requires="x14">
            <control shapeId="22552" r:id="rId13" name="Spinner 24">
              <controlPr defaultSize="0" autoPict="0">
                <anchor moveWithCells="1" sizeWithCells="1">
                  <from>
                    <xdr:col>1</xdr:col>
                    <xdr:colOff>219075</xdr:colOff>
                    <xdr:row>5</xdr:row>
                    <xdr:rowOff>142875</xdr:rowOff>
                  </from>
                  <to>
                    <xdr:col>1</xdr:col>
                    <xdr:colOff>476250</xdr:colOff>
                    <xdr:row>7</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2">
    <tabColor rgb="FF92D050"/>
  </sheetPr>
  <dimension ref="A1:AM1350"/>
  <sheetViews>
    <sheetView zoomScale="70" zoomScaleNormal="70" workbookViewId="0">
      <selection activeCell="G15" sqref="G15"/>
    </sheetView>
  </sheetViews>
  <sheetFormatPr defaultRowHeight="12.75" outlineLevelRow="1" outlineLevelCol="1" x14ac:dyDescent="0.2"/>
  <cols>
    <col min="1" max="1" width="3.85546875" style="23" customWidth="1"/>
    <col min="2" max="2" width="49.28515625" style="23" customWidth="1"/>
    <col min="3" max="3" width="24" style="23" customWidth="1"/>
    <col min="4" max="4" width="15.28515625" style="41" customWidth="1"/>
    <col min="5" max="7" width="12.28515625" style="41" customWidth="1" outlineLevel="1"/>
    <col min="8" max="8" width="12.28515625" style="905" customWidth="1" outlineLevel="1"/>
    <col min="9" max="9" width="8.5703125" style="41" customWidth="1"/>
    <col min="10" max="10" width="10.85546875" style="41" customWidth="1"/>
    <col min="11" max="14" width="9.5703125" style="41" customWidth="1"/>
    <col min="15" max="15" width="32.42578125" style="23" customWidth="1"/>
    <col min="16" max="16" width="22" style="1356" customWidth="1"/>
    <col min="17" max="17" width="9.140625" style="1356"/>
    <col min="18" max="29" width="9.5703125" style="41" customWidth="1"/>
    <col min="30" max="30" width="9.140625" style="1356"/>
    <col min="31" max="34" width="9.140625" style="23"/>
    <col min="35" max="35" width="8" style="23" customWidth="1"/>
    <col min="36" max="36" width="32" style="23" customWidth="1"/>
    <col min="37" max="16384" width="9.140625" style="23"/>
  </cols>
  <sheetData>
    <row r="1" spans="1:36" x14ac:dyDescent="0.2">
      <c r="B1" s="1636" t="s">
        <v>53</v>
      </c>
      <c r="C1" s="1640" t="s">
        <v>2303</v>
      </c>
      <c r="D1" s="1641" t="str">
        <f ca="1">MID(CELL("filename"),SEARCH("[",CELL("filename"))+1, SEARCH("]",CELL("filename"))-SEARCH("[",CELL("filename"))-1)</f>
        <v>ISO_DIS_52000-1_SS_2015_05_13.xlsm</v>
      </c>
      <c r="E1" s="1642"/>
      <c r="F1" s="1642"/>
      <c r="G1" s="1642"/>
      <c r="H1" s="1642"/>
      <c r="I1" s="1643"/>
      <c r="J1" s="1633"/>
      <c r="K1" s="1633"/>
      <c r="L1" s="1633"/>
      <c r="M1" s="1633"/>
      <c r="N1" s="1631"/>
      <c r="O1" s="1356"/>
      <c r="R1" s="1633"/>
      <c r="S1" s="1633"/>
      <c r="T1" s="1633"/>
      <c r="U1" s="1633"/>
      <c r="V1" s="1633"/>
      <c r="W1" s="1633"/>
      <c r="X1" s="1633"/>
      <c r="Y1" s="1633"/>
      <c r="Z1" s="1633"/>
      <c r="AA1" s="1633"/>
      <c r="AB1" s="1633"/>
      <c r="AC1" s="1633"/>
    </row>
    <row r="2" spans="1:36" ht="13.5" thickBot="1" x14ac:dyDescent="0.25">
      <c r="B2" s="1637" t="s">
        <v>1359</v>
      </c>
      <c r="C2" s="1644"/>
      <c r="D2" s="1645"/>
      <c r="E2" s="1645"/>
      <c r="F2" s="1645"/>
      <c r="G2" s="1645"/>
      <c r="H2" s="1645"/>
      <c r="I2" s="1646"/>
      <c r="J2" s="1633"/>
      <c r="K2" s="1633"/>
      <c r="L2" s="1633"/>
      <c r="M2" s="1633"/>
      <c r="N2" s="1631"/>
      <c r="O2" s="1356"/>
      <c r="R2" s="1633"/>
      <c r="S2" s="1633"/>
      <c r="T2" s="1633"/>
      <c r="U2" s="1633"/>
      <c r="V2" s="1633"/>
      <c r="W2" s="1633"/>
      <c r="X2" s="1633"/>
      <c r="Y2" s="1633"/>
      <c r="Z2" s="1633"/>
      <c r="AA2" s="1633"/>
      <c r="AB2" s="1633"/>
      <c r="AC2" s="1633"/>
    </row>
    <row r="3" spans="1:36" x14ac:dyDescent="0.2">
      <c r="A3" s="39"/>
      <c r="B3" s="1626" t="str">
        <f>INDEX(Language!$D$169:$M$169,1,_language)</f>
        <v>Worked out example of</v>
      </c>
      <c r="C3" s="1638" t="str">
        <f>INDEX(Language!$D$164:$M$164,1,_language)</f>
        <v>red: input (unlocked)</v>
      </c>
      <c r="D3" s="1639"/>
      <c r="E3" s="1639"/>
      <c r="F3" s="1639"/>
      <c r="G3" s="1639"/>
      <c r="H3" s="1639"/>
      <c r="I3" s="150"/>
      <c r="J3" s="1631"/>
      <c r="K3" s="1631"/>
      <c r="L3" s="1631"/>
      <c r="M3" s="1631"/>
      <c r="N3" s="1631"/>
      <c r="O3" s="1356"/>
      <c r="R3" s="1631"/>
      <c r="S3" s="1631"/>
      <c r="T3" s="1631"/>
      <c r="U3" s="1631"/>
      <c r="V3" s="1631"/>
      <c r="W3" s="1631"/>
      <c r="X3" s="1631"/>
      <c r="Y3" s="1631"/>
      <c r="Z3" s="1631"/>
      <c r="AA3" s="1631"/>
      <c r="AB3" s="1631"/>
      <c r="AC3" s="1631"/>
    </row>
    <row r="4" spans="1:36" x14ac:dyDescent="0.2">
      <c r="A4" s="39"/>
      <c r="B4" s="1626" t="str">
        <f>INDEX(Language!$D$170:$M$170,1,_language)</f>
        <v xml:space="preserve"> full set of equations overall energy performance</v>
      </c>
      <c r="C4" s="1630" t="s">
        <v>2302</v>
      </c>
      <c r="D4" s="1628"/>
      <c r="E4" s="1628"/>
      <c r="F4" s="1628"/>
      <c r="G4" s="1628"/>
      <c r="H4" s="1628"/>
      <c r="I4" s="1629"/>
      <c r="J4" s="1631"/>
      <c r="K4" s="1631"/>
      <c r="L4" s="1631"/>
      <c r="M4" s="1631"/>
      <c r="N4" s="1631"/>
      <c r="O4" s="1356"/>
      <c r="R4" s="1631"/>
      <c r="S4" s="1631"/>
      <c r="T4" s="1631"/>
      <c r="U4" s="1631"/>
      <c r="V4" s="1631"/>
      <c r="W4" s="1631"/>
      <c r="X4" s="1631"/>
      <c r="Y4" s="1631"/>
      <c r="Z4" s="1631"/>
      <c r="AA4" s="1631"/>
      <c r="AB4" s="1631"/>
      <c r="AC4" s="1631"/>
    </row>
    <row r="5" spans="1:36" x14ac:dyDescent="0.2">
      <c r="A5" s="39"/>
      <c r="B5" s="1627"/>
      <c r="C5" s="1625" t="str">
        <f>INDEX(Language!$D$166:$M$166,1,_language)</f>
        <v>black: calculated using the equations</v>
      </c>
      <c r="D5" s="190"/>
      <c r="E5" s="190"/>
      <c r="F5" s="190"/>
      <c r="G5" s="190"/>
      <c r="H5" s="190"/>
      <c r="I5" s="191"/>
      <c r="J5" s="1631"/>
      <c r="K5" s="1631"/>
      <c r="L5" s="1631"/>
      <c r="M5" s="1631"/>
      <c r="N5" s="1631"/>
      <c r="O5" s="1356"/>
      <c r="R5" s="1631"/>
      <c r="S5" s="1631"/>
      <c r="T5" s="1631"/>
      <c r="U5" s="1631"/>
      <c r="V5" s="1631"/>
      <c r="W5" s="1631"/>
      <c r="X5" s="1631"/>
      <c r="Y5" s="1631"/>
      <c r="Z5" s="1631"/>
      <c r="AA5" s="1631"/>
      <c r="AB5" s="1631"/>
      <c r="AC5" s="1631"/>
    </row>
    <row r="6" spans="1:36" x14ac:dyDescent="0.2">
      <c r="A6" s="39"/>
      <c r="B6" s="188" t="s">
        <v>59</v>
      </c>
      <c r="C6" s="192" t="str">
        <f>INDEX(Language!$D$167:$M$167,1,_language)</f>
        <v>Energy unit</v>
      </c>
      <c r="D6" s="40" t="str">
        <f>INDEX(AM19:AM20,I6)</f>
        <v>kWh</v>
      </c>
      <c r="E6" s="40"/>
      <c r="F6" s="40"/>
      <c r="G6" s="40"/>
      <c r="H6" s="40"/>
      <c r="I6" s="148">
        <v>2</v>
      </c>
      <c r="J6" s="1631"/>
      <c r="K6" s="1631"/>
      <c r="L6" s="1631"/>
      <c r="M6" s="1631"/>
      <c r="N6" s="1631"/>
      <c r="O6" s="1356"/>
      <c r="R6" s="1631"/>
      <c r="S6" s="1631"/>
      <c r="T6" s="1631"/>
      <c r="U6" s="1631"/>
      <c r="V6" s="1631"/>
      <c r="W6" s="1631"/>
      <c r="X6" s="1631"/>
      <c r="Y6" s="1631"/>
      <c r="Z6" s="1631"/>
      <c r="AA6" s="1631"/>
      <c r="AB6" s="1631"/>
      <c r="AC6" s="1631"/>
    </row>
    <row r="7" spans="1:36" x14ac:dyDescent="0.2">
      <c r="A7" s="39"/>
      <c r="B7" s="189">
        <v>1</v>
      </c>
      <c r="C7" s="193"/>
      <c r="D7" s="187"/>
      <c r="E7" s="187"/>
      <c r="F7" s="187"/>
      <c r="G7" s="187"/>
      <c r="H7" s="904"/>
      <c r="I7" s="150"/>
      <c r="J7" s="1631"/>
      <c r="K7" s="1631"/>
      <c r="L7" s="1631"/>
      <c r="M7" s="1631"/>
      <c r="N7" s="1631"/>
      <c r="O7" s="1356"/>
      <c r="R7" s="1631"/>
      <c r="S7" s="1631"/>
      <c r="T7" s="1631"/>
      <c r="U7" s="1631"/>
      <c r="V7" s="1631"/>
      <c r="W7" s="1631"/>
      <c r="X7" s="1631"/>
      <c r="Y7" s="1631"/>
      <c r="Z7" s="1631"/>
      <c r="AA7" s="1631"/>
      <c r="AB7" s="1631"/>
      <c r="AC7" s="1631"/>
      <c r="AD7" s="1527"/>
      <c r="AE7" s="26"/>
      <c r="AF7" s="26"/>
    </row>
    <row r="8" spans="1:36" x14ac:dyDescent="0.2">
      <c r="A8" s="39"/>
      <c r="B8" s="1848" t="s">
        <v>2410</v>
      </c>
      <c r="C8" s="1356"/>
      <c r="D8" s="1631"/>
      <c r="E8" s="1631"/>
      <c r="F8" s="1631"/>
      <c r="G8" s="1631"/>
      <c r="H8" s="1632"/>
      <c r="I8" s="1631"/>
      <c r="J8" s="1615"/>
      <c r="K8" s="1495"/>
      <c r="L8" s="1634"/>
      <c r="M8" s="1631"/>
      <c r="N8" s="1631"/>
      <c r="O8" s="1356"/>
      <c r="R8" s="1631"/>
      <c r="S8" s="1631"/>
      <c r="T8" s="1631"/>
      <c r="U8" s="1631"/>
      <c r="V8" s="1631"/>
      <c r="W8" s="1631"/>
      <c r="X8" s="1631"/>
      <c r="Y8" s="1631"/>
      <c r="Z8" s="1631"/>
      <c r="AA8" s="1631"/>
      <c r="AB8" s="1631"/>
      <c r="AC8" s="1631"/>
    </row>
    <row r="9" spans="1:36" ht="15" customHeight="1" x14ac:dyDescent="0.2">
      <c r="A9" s="39"/>
      <c r="B9" s="28" t="str">
        <f>INDEX(Language!$D$136:$M$136,1,_language)</f>
        <v>OK</v>
      </c>
      <c r="C9" s="1860" t="str">
        <f>INDEX(Language!$D$168:$M$168,1,_language)</f>
        <v>Case shown</v>
      </c>
      <c r="D9" s="40"/>
      <c r="E9" s="981" t="s">
        <v>1760</v>
      </c>
      <c r="F9" s="40"/>
      <c r="G9" s="40"/>
      <c r="H9" s="40"/>
      <c r="I9" s="148"/>
      <c r="J9" s="1615"/>
      <c r="K9" s="1495"/>
      <c r="L9" s="1495"/>
      <c r="M9" s="1631"/>
      <c r="N9" s="1631"/>
      <c r="O9" s="1356"/>
      <c r="R9" s="1631"/>
      <c r="S9" s="1631"/>
      <c r="T9" s="1631"/>
      <c r="U9" s="1631"/>
      <c r="V9" s="1631"/>
      <c r="W9" s="1631"/>
      <c r="X9" s="1631"/>
      <c r="Y9" s="1631"/>
      <c r="Z9" s="1631"/>
      <c r="AA9" s="1631"/>
      <c r="AB9" s="1631"/>
      <c r="AC9" s="1631"/>
    </row>
    <row r="10" spans="1:36" x14ac:dyDescent="0.2">
      <c r="A10" s="39"/>
      <c r="B10" s="24"/>
      <c r="C10" s="1861"/>
      <c r="D10" s="149"/>
      <c r="E10" s="149"/>
      <c r="F10" s="616"/>
      <c r="G10" s="149"/>
      <c r="H10" s="983" t="s">
        <v>1761</v>
      </c>
      <c r="I10" s="982">
        <v>4</v>
      </c>
      <c r="J10" s="1615"/>
      <c r="K10" s="1495"/>
      <c r="L10" s="1495"/>
      <c r="M10" s="1631"/>
      <c r="N10" s="1631"/>
      <c r="O10" s="1356"/>
      <c r="R10" s="1631"/>
      <c r="S10" s="1631"/>
      <c r="T10" s="1631"/>
      <c r="U10" s="1631"/>
      <c r="V10" s="1631"/>
      <c r="W10" s="1631"/>
      <c r="X10" s="1631"/>
      <c r="Y10" s="1631"/>
      <c r="Z10" s="1631"/>
      <c r="AA10" s="1631"/>
      <c r="AB10" s="1631"/>
      <c r="AC10" s="1631"/>
    </row>
    <row r="11" spans="1:36" ht="15.75" x14ac:dyDescent="0.2">
      <c r="A11" s="39"/>
      <c r="B11" s="29" t="e">
        <f>+HLOOKUP(Lan,Language!$D$3:$I$211,85)</f>
        <v>#N/A</v>
      </c>
      <c r="C11" s="1513" t="str">
        <f>IF(_case_en=4,"Calculation example shown","NOT RELEVANT")</f>
        <v>Calculation example shown</v>
      </c>
      <c r="D11" s="1508"/>
      <c r="E11" s="1508"/>
      <c r="F11" s="1508"/>
      <c r="G11" s="1508"/>
      <c r="H11" s="1509"/>
      <c r="I11" s="148"/>
      <c r="J11" s="1631"/>
      <c r="K11" s="1631"/>
      <c r="L11" s="1631"/>
      <c r="M11" s="1631"/>
      <c r="N11" s="1631"/>
      <c r="O11" s="1356"/>
      <c r="R11" s="1631"/>
      <c r="S11" s="1631"/>
      <c r="T11" s="1631"/>
      <c r="U11" s="1631"/>
      <c r="V11" s="1631"/>
      <c r="W11" s="1631"/>
      <c r="X11" s="1631"/>
      <c r="Y11" s="1631"/>
      <c r="Z11" s="1631"/>
      <c r="AA11" s="1631"/>
      <c r="AB11" s="1631"/>
      <c r="AC11" s="1631"/>
    </row>
    <row r="12" spans="1:36" ht="15.75" x14ac:dyDescent="0.2">
      <c r="A12" s="39"/>
      <c r="B12" s="124" t="s">
        <v>386</v>
      </c>
      <c r="C12" s="1510" t="str">
        <f>IF(_case_en=4,"from the diagram","")</f>
        <v>from the diagram</v>
      </c>
      <c r="D12" s="1511"/>
      <c r="E12" s="187"/>
      <c r="F12" s="187"/>
      <c r="G12" s="187"/>
      <c r="H12" s="904"/>
      <c r="I12" s="150"/>
      <c r="J12" s="1631"/>
      <c r="K12" s="1631"/>
      <c r="L12" s="1631"/>
      <c r="M12" s="1631"/>
      <c r="N12" s="1631"/>
      <c r="O12" s="1356"/>
      <c r="R12" s="1631"/>
      <c r="S12" s="1631"/>
      <c r="T12" s="1631"/>
      <c r="U12" s="1631"/>
      <c r="V12" s="1631"/>
      <c r="W12" s="1631"/>
      <c r="X12" s="1631"/>
      <c r="Y12" s="1631"/>
      <c r="Z12" s="1631"/>
      <c r="AA12" s="1631"/>
      <c r="AB12" s="1631"/>
      <c r="AC12" s="1631"/>
    </row>
    <row r="13" spans="1:36" ht="13.5" thickBot="1" x14ac:dyDescent="0.25">
      <c r="A13" s="39"/>
      <c r="B13" s="126"/>
      <c r="C13" s="125"/>
      <c r="D13" s="151"/>
      <c r="E13" s="151"/>
      <c r="F13" s="151"/>
      <c r="G13" s="151"/>
      <c r="H13" s="151"/>
      <c r="I13" s="128"/>
      <c r="J13" s="1631"/>
      <c r="K13" s="1631"/>
      <c r="L13" s="1631"/>
      <c r="M13" s="1631"/>
      <c r="N13" s="1631"/>
      <c r="O13" s="1356"/>
      <c r="R13" s="1631"/>
      <c r="S13" s="1631"/>
      <c r="T13" s="1631"/>
      <c r="U13" s="1631"/>
      <c r="V13" s="1631"/>
      <c r="W13" s="1631"/>
      <c r="X13" s="1631"/>
      <c r="Y13" s="1631"/>
      <c r="Z13" s="1631"/>
      <c r="AA13" s="1631"/>
      <c r="AB13" s="1631"/>
      <c r="AC13" s="1631"/>
    </row>
    <row r="14" spans="1:36" x14ac:dyDescent="0.2">
      <c r="A14" s="39"/>
      <c r="B14" s="30" t="str">
        <f>INDEX(Language!$D$102:$N$102,1,_language)</f>
        <v>Description</v>
      </c>
      <c r="C14" s="31" t="str">
        <f>INDEX(Language!$D$103:$N$103,1,_language)</f>
        <v>Symbol</v>
      </c>
      <c r="D14" s="58" t="str">
        <f>INDEX(Language!$D$110:$N$110,1,_language)</f>
        <v>Energy carrier</v>
      </c>
      <c r="E14" s="395" t="s">
        <v>1396</v>
      </c>
      <c r="F14" s="395" t="s">
        <v>1397</v>
      </c>
      <c r="G14" s="395"/>
      <c r="H14" s="395"/>
      <c r="I14" s="59" t="str">
        <f>INDEX(Language!$D$105:$N$105,1,_language)</f>
        <v>Unit</v>
      </c>
      <c r="J14" s="129" t="str">
        <f>INDEX(Language!$D$106:$N$106,1,_language)</f>
        <v>Value</v>
      </c>
      <c r="K14" s="1053" t="str">
        <f>INDEX(Language!$D$106:$N$106,1,_language)</f>
        <v>Value</v>
      </c>
      <c r="L14" s="1054" t="str">
        <f>INDEX(Language!$D$106:$N$106,1,_language)</f>
        <v>Value</v>
      </c>
      <c r="M14" s="1054" t="str">
        <f>INDEX(Language!$D$106:$N$106,1,_language)</f>
        <v>Value</v>
      </c>
      <c r="N14" s="1051" t="str">
        <f>INDEX(Language!$D$106:$N$106,1,_language)</f>
        <v>Value</v>
      </c>
      <c r="O14" s="84" t="str">
        <f>INDEX(Language!$D$107:$N$107,1,_language)</f>
        <v>Comments</v>
      </c>
      <c r="R14" s="58" t="s">
        <v>4</v>
      </c>
      <c r="S14" s="58" t="s">
        <v>4</v>
      </c>
      <c r="T14" s="58" t="s">
        <v>4</v>
      </c>
      <c r="U14" s="58"/>
      <c r="V14" s="58"/>
      <c r="W14" s="58"/>
      <c r="X14" s="58"/>
      <c r="Y14" s="58"/>
      <c r="Z14" s="58"/>
      <c r="AA14" s="58"/>
      <c r="AB14" s="58"/>
      <c r="AC14" s="58"/>
    </row>
    <row r="15" spans="1:36" ht="92.25" customHeight="1" thickBot="1" x14ac:dyDescent="0.25">
      <c r="A15" s="39"/>
      <c r="B15" s="94"/>
      <c r="C15" s="25"/>
      <c r="D15" s="147"/>
      <c r="E15" s="396"/>
      <c r="F15" s="396"/>
      <c r="G15" s="396"/>
      <c r="H15" s="396"/>
      <c r="I15" s="62"/>
      <c r="J15" s="146" t="str">
        <f>INDEX(K15:N15,,_case_en)</f>
        <v>Boiler + thermal solar + cooling</v>
      </c>
      <c r="K15" s="1055" t="str">
        <f>+Language!O132</f>
        <v>Test calculation 1</v>
      </c>
      <c r="L15" s="1056" t="str">
        <f>+Language!O133</f>
        <v>Test calculation 2</v>
      </c>
      <c r="M15" s="1056" t="str">
        <f>+Language!O134</f>
        <v>Test calculation 3</v>
      </c>
      <c r="N15" s="1052" t="str">
        <f>INDEX(R15:AC15,1,N$16)</f>
        <v>Boiler + thermal solar + cooling</v>
      </c>
      <c r="O15" s="205"/>
      <c r="R15" s="1521" t="s">
        <v>1362</v>
      </c>
      <c r="S15" s="1521" t="s">
        <v>1363</v>
      </c>
      <c r="T15" s="1521" t="s">
        <v>1364</v>
      </c>
      <c r="U15" s="1521" t="s">
        <v>1349</v>
      </c>
      <c r="V15" s="1521" t="s">
        <v>1349</v>
      </c>
      <c r="W15" s="1521" t="s">
        <v>1349</v>
      </c>
      <c r="X15" s="1521" t="s">
        <v>1349</v>
      </c>
      <c r="Y15" s="1521" t="s">
        <v>1349</v>
      </c>
      <c r="Z15" s="1521" t="s">
        <v>1349</v>
      </c>
      <c r="AA15" s="1521" t="s">
        <v>1349</v>
      </c>
      <c r="AB15" s="1521" t="s">
        <v>1349</v>
      </c>
      <c r="AC15" s="1521" t="s">
        <v>1260</v>
      </c>
      <c r="AJ15" s="1512" t="s">
        <v>2227</v>
      </c>
    </row>
    <row r="16" spans="1:36" ht="31.5" customHeight="1" thickBot="1" x14ac:dyDescent="0.25">
      <c r="A16" s="39"/>
      <c r="B16" s="199" t="str">
        <f>INDEX(Language!$D$115:$M$115,1,_language)</f>
        <v>Input data</v>
      </c>
      <c r="C16" s="200"/>
      <c r="D16" s="201"/>
      <c r="E16" s="397"/>
      <c r="F16" s="397"/>
      <c r="G16" s="397"/>
      <c r="H16" s="397"/>
      <c r="I16" s="168"/>
      <c r="J16" s="202"/>
      <c r="K16" s="203"/>
      <c r="L16" s="204"/>
      <c r="M16" s="613"/>
      <c r="N16" s="614">
        <v>1</v>
      </c>
      <c r="O16" s="615" t="s">
        <v>1259</v>
      </c>
      <c r="R16" s="1057">
        <v>1</v>
      </c>
      <c r="S16" s="1057">
        <f>COLUMNS($R$16:S16)</f>
        <v>2</v>
      </c>
      <c r="T16" s="1057">
        <f>COLUMNS($R$16:T16)</f>
        <v>3</v>
      </c>
      <c r="U16" s="1057">
        <f>COLUMNS($R$16:U16)</f>
        <v>4</v>
      </c>
      <c r="V16" s="1057">
        <f>COLUMNS($R$16:V16)</f>
        <v>5</v>
      </c>
      <c r="W16" s="1057">
        <f>COLUMNS($R$16:W16)</f>
        <v>6</v>
      </c>
      <c r="X16" s="1057">
        <f>COLUMNS($R$16:X16)</f>
        <v>7</v>
      </c>
      <c r="Y16" s="1057">
        <f>COLUMNS($R$16:Y16)</f>
        <v>8</v>
      </c>
      <c r="Z16" s="1057">
        <f>COLUMNS($R$16:Z16)</f>
        <v>9</v>
      </c>
      <c r="AA16" s="1057">
        <f>COLUMNS($R$16:AA16)</f>
        <v>10</v>
      </c>
      <c r="AB16" s="1057">
        <f>COLUMNS($R$16:AB16)</f>
        <v>11</v>
      </c>
      <c r="AC16" s="1057">
        <f>COLUMNS($R$16:AC16)</f>
        <v>12</v>
      </c>
    </row>
    <row r="17" spans="1:39" ht="20.25" customHeight="1" thickBot="1" x14ac:dyDescent="0.25">
      <c r="A17" s="39"/>
      <c r="B17" s="326" t="str">
        <f>INDEX(Language!$D$7:$M$7,1,_language)</f>
        <v>energy needs</v>
      </c>
      <c r="C17" s="327"/>
      <c r="D17" s="328"/>
      <c r="E17" s="398"/>
      <c r="F17" s="398"/>
      <c r="G17" s="398"/>
      <c r="H17" s="398"/>
      <c r="I17" s="329"/>
      <c r="J17" s="330"/>
      <c r="K17" s="331"/>
      <c r="L17" s="328"/>
      <c r="M17" s="328"/>
      <c r="N17" s="332"/>
      <c r="O17" s="333"/>
      <c r="R17" s="328"/>
      <c r="S17" s="328"/>
      <c r="T17" s="328"/>
      <c r="U17" s="328"/>
      <c r="V17" s="328"/>
      <c r="W17" s="328"/>
      <c r="X17" s="328"/>
      <c r="Y17" s="328"/>
      <c r="Z17" s="328"/>
      <c r="AA17" s="328"/>
      <c r="AB17" s="328"/>
      <c r="AC17" s="328"/>
    </row>
    <row r="18" spans="1:39" ht="15.75" customHeight="1" x14ac:dyDescent="0.2">
      <c r="A18" s="1058"/>
      <c r="B18" s="212" t="str">
        <f>"      "&amp;INDEX(Language!$D$237:$M$237,1,_language)</f>
        <v xml:space="preserve">      Heating need</v>
      </c>
      <c r="C18" s="213" t="s">
        <v>60</v>
      </c>
      <c r="D18" s="214" t="str">
        <f t="shared" ref="D18:D49" si="0">INDEX(E18:H18,,_case_en)</f>
        <v>th_y</v>
      </c>
      <c r="E18" s="424" t="s">
        <v>899</v>
      </c>
      <c r="F18" s="424" t="s">
        <v>899</v>
      </c>
      <c r="G18" s="424" t="s">
        <v>899</v>
      </c>
      <c r="H18" s="399" t="s">
        <v>899</v>
      </c>
      <c r="I18" s="215" t="str">
        <f t="shared" ref="I18:I87" si="1">+_En_unit</f>
        <v>kWh</v>
      </c>
      <c r="J18" s="248">
        <f t="shared" ref="J18:J49" si="2">INDEX(K18:N18,,_case_en)</f>
        <v>8500</v>
      </c>
      <c r="K18" s="216">
        <f>SUM(K19:K30)</f>
        <v>8500</v>
      </c>
      <c r="L18" s="217">
        <f>SUM(L19:L30)</f>
        <v>8500</v>
      </c>
      <c r="M18" s="217">
        <f>SUM(M19:M30)</f>
        <v>8500</v>
      </c>
      <c r="N18" s="218">
        <f>SUM(N19:N30)</f>
        <v>8500</v>
      </c>
      <c r="O18" s="256"/>
      <c r="R18" s="217"/>
      <c r="S18" s="217"/>
      <c r="T18" s="217"/>
      <c r="U18" s="217"/>
      <c r="V18" s="217"/>
      <c r="W18" s="217"/>
      <c r="X18" s="217"/>
      <c r="Y18" s="217"/>
      <c r="Z18" s="217"/>
      <c r="AA18" s="217"/>
      <c r="AB18" s="217"/>
      <c r="AC18" s="217"/>
      <c r="AF18" s="1076" t="s">
        <v>938</v>
      </c>
    </row>
    <row r="19" spans="1:39" outlineLevel="1" x14ac:dyDescent="0.2">
      <c r="A19" s="1058"/>
      <c r="B19" s="96"/>
      <c r="C19" s="37" t="s">
        <v>417</v>
      </c>
      <c r="D19" s="152" t="str">
        <f t="shared" si="0"/>
        <v>th_t1</v>
      </c>
      <c r="E19" s="425" t="s">
        <v>902</v>
      </c>
      <c r="F19" s="425" t="s">
        <v>902</v>
      </c>
      <c r="G19" s="425" t="s">
        <v>902</v>
      </c>
      <c r="H19" s="400" t="s">
        <v>902</v>
      </c>
      <c r="I19" s="62" t="str">
        <f t="shared" si="1"/>
        <v>kWh</v>
      </c>
      <c r="J19" s="249">
        <f t="shared" si="2"/>
        <v>2000</v>
      </c>
      <c r="K19" s="177">
        <v>2000</v>
      </c>
      <c r="L19" s="178">
        <v>2000</v>
      </c>
      <c r="M19" s="178">
        <v>2000</v>
      </c>
      <c r="N19" s="272">
        <f>INDEX(R19:AC19,1,N$16)*Diagram_NEW!$BB$13</f>
        <v>2000</v>
      </c>
      <c r="O19" s="86"/>
      <c r="R19" s="178">
        <v>2000</v>
      </c>
      <c r="S19" s="178">
        <v>2000</v>
      </c>
      <c r="T19" s="178">
        <v>2000</v>
      </c>
      <c r="U19" s="178">
        <v>2000</v>
      </c>
      <c r="V19" s="178">
        <v>2000</v>
      </c>
      <c r="W19" s="178">
        <v>2000</v>
      </c>
      <c r="X19" s="178">
        <v>2000</v>
      </c>
      <c r="Y19" s="178">
        <v>2000</v>
      </c>
      <c r="Z19" s="178">
        <v>2000</v>
      </c>
      <c r="AA19" s="178">
        <v>2000</v>
      </c>
      <c r="AB19" s="178">
        <v>2000</v>
      </c>
      <c r="AC19" s="178">
        <v>2000</v>
      </c>
      <c r="AF19" s="1077" t="s">
        <v>939</v>
      </c>
      <c r="AI19" s="1514" t="str">
        <f t="shared" ref="AI19:AI30" si="3">IF(_case_en=4,AJ19,"NOT RELEVANT")</f>
        <v>Boiler + thermal solar + cooling</v>
      </c>
      <c r="AJ19" s="1515" t="str">
        <f>+R15</f>
        <v>Boiler + thermal solar + cooling</v>
      </c>
      <c r="AK19" s="1516"/>
      <c r="AM19" s="194" t="s">
        <v>62</v>
      </c>
    </row>
    <row r="20" spans="1:39" outlineLevel="1" x14ac:dyDescent="0.2">
      <c r="A20" s="1058"/>
      <c r="B20" s="96"/>
      <c r="C20" s="37" t="s">
        <v>418</v>
      </c>
      <c r="D20" s="152" t="str">
        <f t="shared" si="0"/>
        <v>th_t2</v>
      </c>
      <c r="E20" s="425" t="s">
        <v>903</v>
      </c>
      <c r="F20" s="425" t="s">
        <v>903</v>
      </c>
      <c r="G20" s="425" t="s">
        <v>903</v>
      </c>
      <c r="H20" s="400" t="s">
        <v>903</v>
      </c>
      <c r="I20" s="62" t="str">
        <f t="shared" si="1"/>
        <v>kWh</v>
      </c>
      <c r="J20" s="249">
        <f t="shared" si="2"/>
        <v>1500</v>
      </c>
      <c r="K20" s="177">
        <v>1500</v>
      </c>
      <c r="L20" s="178">
        <v>1500</v>
      </c>
      <c r="M20" s="178">
        <v>1500</v>
      </c>
      <c r="N20" s="272">
        <f>INDEX(R20:AC20,1,N$16)*Diagram_NEW!$BB$13</f>
        <v>1500</v>
      </c>
      <c r="O20" s="86"/>
      <c r="R20" s="178">
        <v>1500</v>
      </c>
      <c r="S20" s="178">
        <v>1500</v>
      </c>
      <c r="T20" s="178">
        <v>1500</v>
      </c>
      <c r="U20" s="178">
        <v>1500</v>
      </c>
      <c r="V20" s="178">
        <v>1500</v>
      </c>
      <c r="W20" s="178">
        <v>1500</v>
      </c>
      <c r="X20" s="178">
        <v>1500</v>
      </c>
      <c r="Y20" s="178">
        <v>1500</v>
      </c>
      <c r="Z20" s="178">
        <v>1500</v>
      </c>
      <c r="AA20" s="178">
        <v>1500</v>
      </c>
      <c r="AB20" s="178">
        <v>1500</v>
      </c>
      <c r="AC20" s="178">
        <v>1500</v>
      </c>
      <c r="AF20" s="1077" t="s">
        <v>940</v>
      </c>
      <c r="AI20" s="1514" t="str">
        <f t="shared" si="3"/>
        <v>Heat pump and PV with cooling</v>
      </c>
      <c r="AJ20" s="1517" t="str">
        <f>+S15</f>
        <v>Heat pump and PV with cooling</v>
      </c>
      <c r="AK20" s="1518"/>
      <c r="AM20" s="184" t="s">
        <v>8</v>
      </c>
    </row>
    <row r="21" spans="1:39" outlineLevel="1" x14ac:dyDescent="0.2">
      <c r="A21" s="1058"/>
      <c r="B21" s="96"/>
      <c r="C21" s="37" t="s">
        <v>419</v>
      </c>
      <c r="D21" s="152" t="str">
        <f t="shared" si="0"/>
        <v>th_t3</v>
      </c>
      <c r="E21" s="425" t="s">
        <v>904</v>
      </c>
      <c r="F21" s="425" t="s">
        <v>904</v>
      </c>
      <c r="G21" s="425" t="s">
        <v>904</v>
      </c>
      <c r="H21" s="400" t="s">
        <v>904</v>
      </c>
      <c r="I21" s="62" t="str">
        <f t="shared" si="1"/>
        <v>kWh</v>
      </c>
      <c r="J21" s="249">
        <f t="shared" si="2"/>
        <v>1000</v>
      </c>
      <c r="K21" s="177">
        <v>1000</v>
      </c>
      <c r="L21" s="178">
        <v>1000</v>
      </c>
      <c r="M21" s="178">
        <v>1000</v>
      </c>
      <c r="N21" s="272">
        <f>INDEX(R21:AC21,1,N$16)*Diagram_NEW!$BB$13</f>
        <v>1000</v>
      </c>
      <c r="O21" s="86"/>
      <c r="R21" s="178">
        <v>1000</v>
      </c>
      <c r="S21" s="178">
        <v>1000</v>
      </c>
      <c r="T21" s="178">
        <v>1000</v>
      </c>
      <c r="U21" s="178">
        <v>1000</v>
      </c>
      <c r="V21" s="178">
        <v>1000</v>
      </c>
      <c r="W21" s="178">
        <v>1000</v>
      </c>
      <c r="X21" s="178">
        <v>1000</v>
      </c>
      <c r="Y21" s="178">
        <v>1000</v>
      </c>
      <c r="Z21" s="178">
        <v>1000</v>
      </c>
      <c r="AA21" s="178">
        <v>1000</v>
      </c>
      <c r="AB21" s="178">
        <v>1000</v>
      </c>
      <c r="AC21" s="178">
        <v>1000</v>
      </c>
      <c r="AF21" s="1077" t="s">
        <v>941</v>
      </c>
      <c r="AI21" s="1514" t="str">
        <f t="shared" si="3"/>
        <v>Cogen without cooling</v>
      </c>
      <c r="AJ21" s="1517" t="str">
        <f>+T15</f>
        <v>Cogen without cooling</v>
      </c>
      <c r="AK21" s="1518"/>
    </row>
    <row r="22" spans="1:39" outlineLevel="1" x14ac:dyDescent="0.2">
      <c r="A22" s="1058"/>
      <c r="B22" s="96"/>
      <c r="C22" s="37" t="s">
        <v>420</v>
      </c>
      <c r="D22" s="152" t="str">
        <f t="shared" si="0"/>
        <v>th_t4</v>
      </c>
      <c r="E22" s="425" t="s">
        <v>905</v>
      </c>
      <c r="F22" s="425" t="s">
        <v>905</v>
      </c>
      <c r="G22" s="425" t="s">
        <v>905</v>
      </c>
      <c r="H22" s="400" t="s">
        <v>905</v>
      </c>
      <c r="I22" s="62" t="str">
        <f t="shared" si="1"/>
        <v>kWh</v>
      </c>
      <c r="J22" s="249">
        <f t="shared" si="2"/>
        <v>500</v>
      </c>
      <c r="K22" s="177">
        <v>500</v>
      </c>
      <c r="L22" s="178">
        <v>500</v>
      </c>
      <c r="M22" s="178">
        <v>500</v>
      </c>
      <c r="N22" s="272">
        <f>INDEX(R22:AC22,1,N$16)*Diagram_NEW!$BB$13</f>
        <v>500</v>
      </c>
      <c r="O22" s="86"/>
      <c r="R22" s="178">
        <v>500</v>
      </c>
      <c r="S22" s="178">
        <v>500</v>
      </c>
      <c r="T22" s="178">
        <v>500</v>
      </c>
      <c r="U22" s="178">
        <v>500</v>
      </c>
      <c r="V22" s="178">
        <v>500</v>
      </c>
      <c r="W22" s="178">
        <v>500</v>
      </c>
      <c r="X22" s="178">
        <v>500</v>
      </c>
      <c r="Y22" s="178">
        <v>500</v>
      </c>
      <c r="Z22" s="178">
        <v>500</v>
      </c>
      <c r="AA22" s="178">
        <v>500</v>
      </c>
      <c r="AB22" s="178">
        <v>500</v>
      </c>
      <c r="AC22" s="178">
        <v>500</v>
      </c>
      <c r="AF22" s="1077" t="s">
        <v>942</v>
      </c>
      <c r="AI22" s="1514" t="str">
        <f t="shared" si="3"/>
        <v>CASEx</v>
      </c>
      <c r="AJ22" s="1517" t="str">
        <f>+U15</f>
        <v>CASEx</v>
      </c>
      <c r="AK22" s="1518"/>
    </row>
    <row r="23" spans="1:39" outlineLevel="1" x14ac:dyDescent="0.2">
      <c r="A23" s="1058"/>
      <c r="B23" s="96"/>
      <c r="C23" s="37" t="s">
        <v>421</v>
      </c>
      <c r="D23" s="152" t="str">
        <f t="shared" si="0"/>
        <v>th_t5</v>
      </c>
      <c r="E23" s="425" t="s">
        <v>906</v>
      </c>
      <c r="F23" s="425" t="s">
        <v>906</v>
      </c>
      <c r="G23" s="425" t="s">
        <v>906</v>
      </c>
      <c r="H23" s="400" t="s">
        <v>906</v>
      </c>
      <c r="I23" s="62" t="str">
        <f t="shared" si="1"/>
        <v>kWh</v>
      </c>
      <c r="J23" s="249">
        <f t="shared" si="2"/>
        <v>0</v>
      </c>
      <c r="K23" s="177"/>
      <c r="L23" s="178"/>
      <c r="M23" s="178"/>
      <c r="N23" s="272">
        <f>INDEX(R23:AC23,1,N$16)*Diagram_NEW!$BB$13</f>
        <v>0</v>
      </c>
      <c r="O23" s="86"/>
      <c r="R23" s="178"/>
      <c r="S23" s="178"/>
      <c r="T23" s="178"/>
      <c r="U23" s="178"/>
      <c r="V23" s="178"/>
      <c r="W23" s="178"/>
      <c r="X23" s="178"/>
      <c r="Y23" s="178"/>
      <c r="Z23" s="178"/>
      <c r="AA23" s="178"/>
      <c r="AB23" s="178"/>
      <c r="AC23" s="178"/>
      <c r="AF23" s="1077" t="s">
        <v>943</v>
      </c>
      <c r="AI23" s="1514" t="str">
        <f t="shared" si="3"/>
        <v>CASEx</v>
      </c>
      <c r="AJ23" s="1517" t="str">
        <f>+V15</f>
        <v>CASEx</v>
      </c>
      <c r="AK23" s="1518"/>
    </row>
    <row r="24" spans="1:39" outlineLevel="1" x14ac:dyDescent="0.2">
      <c r="A24" s="1058"/>
      <c r="B24" s="96"/>
      <c r="C24" s="37" t="s">
        <v>422</v>
      </c>
      <c r="D24" s="152" t="str">
        <f t="shared" si="0"/>
        <v>th_t6</v>
      </c>
      <c r="E24" s="425" t="s">
        <v>907</v>
      </c>
      <c r="F24" s="425" t="s">
        <v>907</v>
      </c>
      <c r="G24" s="425" t="s">
        <v>907</v>
      </c>
      <c r="H24" s="400" t="s">
        <v>907</v>
      </c>
      <c r="I24" s="62" t="str">
        <f t="shared" si="1"/>
        <v>kWh</v>
      </c>
      <c r="J24" s="249">
        <f t="shared" si="2"/>
        <v>0</v>
      </c>
      <c r="K24" s="177"/>
      <c r="L24" s="178"/>
      <c r="M24" s="178"/>
      <c r="N24" s="272">
        <f>INDEX(R24:AC24,1,N$16)*Diagram_NEW!$BB$13</f>
        <v>0</v>
      </c>
      <c r="O24" s="86"/>
      <c r="R24" s="178"/>
      <c r="S24" s="178"/>
      <c r="T24" s="178"/>
      <c r="U24" s="178"/>
      <c r="V24" s="178"/>
      <c r="W24" s="178"/>
      <c r="X24" s="178"/>
      <c r="Y24" s="178"/>
      <c r="Z24" s="178"/>
      <c r="AA24" s="178"/>
      <c r="AB24" s="178"/>
      <c r="AC24" s="178"/>
      <c r="AF24" s="1077" t="s">
        <v>944</v>
      </c>
      <c r="AI24" s="1514" t="str">
        <f t="shared" si="3"/>
        <v>CASEx</v>
      </c>
      <c r="AJ24" s="1517" t="str">
        <f>+W15</f>
        <v>CASEx</v>
      </c>
      <c r="AK24" s="1518"/>
    </row>
    <row r="25" spans="1:39" outlineLevel="1" x14ac:dyDescent="0.2">
      <c r="A25" s="1058"/>
      <c r="B25" s="96"/>
      <c r="C25" s="37" t="s">
        <v>423</v>
      </c>
      <c r="D25" s="152" t="str">
        <f t="shared" si="0"/>
        <v>th_t7</v>
      </c>
      <c r="E25" s="425" t="s">
        <v>908</v>
      </c>
      <c r="F25" s="425" t="s">
        <v>908</v>
      </c>
      <c r="G25" s="425" t="s">
        <v>908</v>
      </c>
      <c r="H25" s="400" t="s">
        <v>908</v>
      </c>
      <c r="I25" s="62" t="str">
        <f t="shared" si="1"/>
        <v>kWh</v>
      </c>
      <c r="J25" s="249">
        <f t="shared" si="2"/>
        <v>0</v>
      </c>
      <c r="K25" s="177"/>
      <c r="L25" s="178"/>
      <c r="M25" s="178"/>
      <c r="N25" s="272">
        <f>INDEX(R25:AC25,1,N$16)*Diagram_NEW!$BB$13</f>
        <v>0</v>
      </c>
      <c r="O25" s="86"/>
      <c r="R25" s="178"/>
      <c r="S25" s="178"/>
      <c r="T25" s="178"/>
      <c r="U25" s="178"/>
      <c r="V25" s="178"/>
      <c r="W25" s="178"/>
      <c r="X25" s="178"/>
      <c r="Y25" s="178"/>
      <c r="Z25" s="178"/>
      <c r="AA25" s="178"/>
      <c r="AB25" s="178"/>
      <c r="AC25" s="178"/>
      <c r="AF25" s="1077" t="s">
        <v>945</v>
      </c>
      <c r="AI25" s="1514" t="str">
        <f t="shared" si="3"/>
        <v>CASEx</v>
      </c>
      <c r="AJ25" s="1517" t="str">
        <f>+X15</f>
        <v>CASEx</v>
      </c>
      <c r="AK25" s="1518"/>
    </row>
    <row r="26" spans="1:39" outlineLevel="1" x14ac:dyDescent="0.2">
      <c r="A26" s="1058"/>
      <c r="B26" s="96"/>
      <c r="C26" s="37" t="s">
        <v>424</v>
      </c>
      <c r="D26" s="152" t="str">
        <f t="shared" si="0"/>
        <v>th_t8</v>
      </c>
      <c r="E26" s="425" t="s">
        <v>909</v>
      </c>
      <c r="F26" s="425" t="s">
        <v>909</v>
      </c>
      <c r="G26" s="425" t="s">
        <v>909</v>
      </c>
      <c r="H26" s="400" t="s">
        <v>909</v>
      </c>
      <c r="I26" s="62" t="str">
        <f t="shared" si="1"/>
        <v>kWh</v>
      </c>
      <c r="J26" s="249">
        <f t="shared" si="2"/>
        <v>0</v>
      </c>
      <c r="K26" s="177"/>
      <c r="L26" s="178"/>
      <c r="M26" s="178"/>
      <c r="N26" s="272">
        <f>INDEX(R26:AC26,1,N$16)*Diagram_NEW!$BB$13</f>
        <v>0</v>
      </c>
      <c r="O26" s="86"/>
      <c r="R26" s="178"/>
      <c r="S26" s="178"/>
      <c r="T26" s="178"/>
      <c r="U26" s="178"/>
      <c r="V26" s="178"/>
      <c r="W26" s="178"/>
      <c r="X26" s="178"/>
      <c r="Y26" s="178"/>
      <c r="Z26" s="178"/>
      <c r="AA26" s="178"/>
      <c r="AB26" s="178"/>
      <c r="AC26" s="178"/>
      <c r="AF26" s="1077" t="s">
        <v>946</v>
      </c>
      <c r="AI26" s="1514" t="str">
        <f t="shared" si="3"/>
        <v>CASEx</v>
      </c>
      <c r="AJ26" s="1517" t="str">
        <f>+Y15</f>
        <v>CASEx</v>
      </c>
      <c r="AK26" s="1518"/>
    </row>
    <row r="27" spans="1:39" outlineLevel="1" x14ac:dyDescent="0.2">
      <c r="A27" s="1058"/>
      <c r="B27" s="96"/>
      <c r="C27" s="37" t="s">
        <v>425</v>
      </c>
      <c r="D27" s="152" t="str">
        <f t="shared" si="0"/>
        <v>th_t9</v>
      </c>
      <c r="E27" s="425" t="s">
        <v>910</v>
      </c>
      <c r="F27" s="425" t="s">
        <v>910</v>
      </c>
      <c r="G27" s="425" t="s">
        <v>910</v>
      </c>
      <c r="H27" s="400" t="s">
        <v>910</v>
      </c>
      <c r="I27" s="62" t="str">
        <f t="shared" si="1"/>
        <v>kWh</v>
      </c>
      <c r="J27" s="249">
        <f t="shared" si="2"/>
        <v>0</v>
      </c>
      <c r="K27" s="177"/>
      <c r="L27" s="178"/>
      <c r="M27" s="178"/>
      <c r="N27" s="272">
        <f>INDEX(R27:AC27,1,N$16)*Diagram_NEW!$BB$13</f>
        <v>0</v>
      </c>
      <c r="O27" s="86"/>
      <c r="R27" s="178"/>
      <c r="S27" s="178"/>
      <c r="T27" s="178"/>
      <c r="U27" s="178"/>
      <c r="V27" s="178"/>
      <c r="W27" s="178"/>
      <c r="X27" s="178"/>
      <c r="Y27" s="178"/>
      <c r="Z27" s="178"/>
      <c r="AA27" s="178"/>
      <c r="AB27" s="178"/>
      <c r="AC27" s="178"/>
      <c r="AF27" s="1077" t="s">
        <v>947</v>
      </c>
      <c r="AI27" s="1514" t="str">
        <f t="shared" si="3"/>
        <v>CASEx</v>
      </c>
      <c r="AJ27" s="1517" t="str">
        <f>+Z15</f>
        <v>CASEx</v>
      </c>
      <c r="AK27" s="1518"/>
    </row>
    <row r="28" spans="1:39" outlineLevel="1" x14ac:dyDescent="0.2">
      <c r="A28" s="1058"/>
      <c r="B28" s="96"/>
      <c r="C28" s="37" t="s">
        <v>426</v>
      </c>
      <c r="D28" s="152" t="str">
        <f t="shared" si="0"/>
        <v>th_t10</v>
      </c>
      <c r="E28" s="425" t="s">
        <v>911</v>
      </c>
      <c r="F28" s="425" t="s">
        <v>911</v>
      </c>
      <c r="G28" s="425" t="s">
        <v>911</v>
      </c>
      <c r="H28" s="400" t="s">
        <v>911</v>
      </c>
      <c r="I28" s="62" t="str">
        <f t="shared" si="1"/>
        <v>kWh</v>
      </c>
      <c r="J28" s="249">
        <f t="shared" si="2"/>
        <v>600</v>
      </c>
      <c r="K28" s="177">
        <v>600</v>
      </c>
      <c r="L28" s="178">
        <v>600</v>
      </c>
      <c r="M28" s="178">
        <v>600</v>
      </c>
      <c r="N28" s="272">
        <f>INDEX(R28:AC28,1,N$16)*Diagram_NEW!$BB$13</f>
        <v>600</v>
      </c>
      <c r="O28" s="86"/>
      <c r="R28" s="178">
        <v>600</v>
      </c>
      <c r="S28" s="178">
        <v>600</v>
      </c>
      <c r="T28" s="178">
        <v>600</v>
      </c>
      <c r="U28" s="178">
        <v>600</v>
      </c>
      <c r="V28" s="178">
        <v>600</v>
      </c>
      <c r="W28" s="178">
        <v>600</v>
      </c>
      <c r="X28" s="178">
        <v>600</v>
      </c>
      <c r="Y28" s="178">
        <v>600</v>
      </c>
      <c r="Z28" s="178">
        <v>600</v>
      </c>
      <c r="AA28" s="178">
        <v>600</v>
      </c>
      <c r="AB28" s="178">
        <v>600</v>
      </c>
      <c r="AC28" s="178">
        <v>600</v>
      </c>
      <c r="AF28" s="1077" t="s">
        <v>948</v>
      </c>
      <c r="AI28" s="1514" t="str">
        <f t="shared" si="3"/>
        <v>CASEx</v>
      </c>
      <c r="AJ28" s="1517" t="str">
        <f>+AA15</f>
        <v>CASEx</v>
      </c>
      <c r="AK28" s="1518"/>
    </row>
    <row r="29" spans="1:39" outlineLevel="1" x14ac:dyDescent="0.2">
      <c r="A29" s="1058"/>
      <c r="B29" s="96"/>
      <c r="C29" s="37" t="s">
        <v>427</v>
      </c>
      <c r="D29" s="152" t="str">
        <f t="shared" si="0"/>
        <v>th_t11</v>
      </c>
      <c r="E29" s="425" t="s">
        <v>912</v>
      </c>
      <c r="F29" s="425" t="s">
        <v>912</v>
      </c>
      <c r="G29" s="425" t="s">
        <v>912</v>
      </c>
      <c r="H29" s="400" t="s">
        <v>912</v>
      </c>
      <c r="I29" s="62" t="str">
        <f t="shared" si="1"/>
        <v>kWh</v>
      </c>
      <c r="J29" s="249">
        <f t="shared" si="2"/>
        <v>1300</v>
      </c>
      <c r="K29" s="177">
        <v>1300</v>
      </c>
      <c r="L29" s="178">
        <v>1300</v>
      </c>
      <c r="M29" s="178">
        <v>1300</v>
      </c>
      <c r="N29" s="272">
        <f>INDEX(R29:AC29,1,N$16)*Diagram_NEW!$BB$13</f>
        <v>1300</v>
      </c>
      <c r="O29" s="86"/>
      <c r="R29" s="178">
        <v>1300</v>
      </c>
      <c r="S29" s="178">
        <v>1300</v>
      </c>
      <c r="T29" s="178">
        <v>1300</v>
      </c>
      <c r="U29" s="178">
        <v>1300</v>
      </c>
      <c r="V29" s="178">
        <v>1300</v>
      </c>
      <c r="W29" s="178">
        <v>1300</v>
      </c>
      <c r="X29" s="178">
        <v>1300</v>
      </c>
      <c r="Y29" s="178">
        <v>1300</v>
      </c>
      <c r="Z29" s="178">
        <v>1300</v>
      </c>
      <c r="AA29" s="178">
        <v>1300</v>
      </c>
      <c r="AB29" s="178">
        <v>1300</v>
      </c>
      <c r="AC29" s="178">
        <v>1300</v>
      </c>
      <c r="AF29" s="1077" t="s">
        <v>949</v>
      </c>
      <c r="AI29" s="1514" t="str">
        <f t="shared" si="3"/>
        <v>CASEx</v>
      </c>
      <c r="AJ29" s="1517" t="str">
        <f>+AB15</f>
        <v>CASEx</v>
      </c>
      <c r="AK29" s="1518"/>
    </row>
    <row r="30" spans="1:39" ht="13.5" outlineLevel="1" thickBot="1" x14ac:dyDescent="0.25">
      <c r="A30" s="1058"/>
      <c r="B30" s="220"/>
      <c r="C30" s="221" t="s">
        <v>428</v>
      </c>
      <c r="D30" s="152" t="str">
        <f t="shared" si="0"/>
        <v>th_t12</v>
      </c>
      <c r="E30" s="426" t="s">
        <v>913</v>
      </c>
      <c r="F30" s="426" t="s">
        <v>913</v>
      </c>
      <c r="G30" s="426" t="s">
        <v>913</v>
      </c>
      <c r="H30" s="401" t="s">
        <v>913</v>
      </c>
      <c r="I30" s="223" t="str">
        <f t="shared" si="1"/>
        <v>kWh</v>
      </c>
      <c r="J30" s="250">
        <f t="shared" si="2"/>
        <v>1600</v>
      </c>
      <c r="K30" s="224">
        <v>1600</v>
      </c>
      <c r="L30" s="225">
        <v>1600</v>
      </c>
      <c r="M30" s="225">
        <v>1600</v>
      </c>
      <c r="N30" s="279">
        <f>INDEX(R30:AC30,1,N$16)*Diagram_NEW!$BB$13</f>
        <v>1600</v>
      </c>
      <c r="O30" s="280"/>
      <c r="R30" s="225">
        <v>1600</v>
      </c>
      <c r="S30" s="225">
        <v>1600</v>
      </c>
      <c r="T30" s="225">
        <v>1600</v>
      </c>
      <c r="U30" s="225">
        <v>1600</v>
      </c>
      <c r="V30" s="225">
        <v>1600</v>
      </c>
      <c r="W30" s="225">
        <v>1600</v>
      </c>
      <c r="X30" s="225">
        <v>1600</v>
      </c>
      <c r="Y30" s="225">
        <v>1600</v>
      </c>
      <c r="Z30" s="225">
        <v>1600</v>
      </c>
      <c r="AA30" s="225">
        <v>1600</v>
      </c>
      <c r="AB30" s="225">
        <v>1600</v>
      </c>
      <c r="AC30" s="225">
        <v>1600</v>
      </c>
      <c r="AF30" s="1078" t="s">
        <v>950</v>
      </c>
      <c r="AI30" s="1514" t="str">
        <f t="shared" si="3"/>
        <v>Last case</v>
      </c>
      <c r="AJ30" s="1517" t="str">
        <f>+AC15</f>
        <v>Last case</v>
      </c>
      <c r="AK30" s="1518"/>
    </row>
    <row r="31" spans="1:39" ht="15.75" customHeight="1" x14ac:dyDescent="0.2">
      <c r="A31" s="1058"/>
      <c r="B31" s="212" t="str">
        <f>"      "&amp;INDEX(Language!$D$10:$M$10,1,_language)</f>
        <v xml:space="preserve">      hot water</v>
      </c>
      <c r="C31" s="213" t="s">
        <v>63</v>
      </c>
      <c r="D31" s="214" t="str">
        <f t="shared" si="0"/>
        <v>th_y</v>
      </c>
      <c r="E31" s="424" t="s">
        <v>899</v>
      </c>
      <c r="F31" s="424" t="s">
        <v>899</v>
      </c>
      <c r="G31" s="424" t="s">
        <v>899</v>
      </c>
      <c r="H31" s="399" t="s">
        <v>899</v>
      </c>
      <c r="I31" s="215" t="str">
        <f t="shared" si="1"/>
        <v>kWh</v>
      </c>
      <c r="J31" s="248">
        <f t="shared" si="2"/>
        <v>1800</v>
      </c>
      <c r="K31" s="216">
        <f>SUM(K32:K43)</f>
        <v>6000</v>
      </c>
      <c r="L31" s="217">
        <f>SUM(L32:L43)</f>
        <v>6000</v>
      </c>
      <c r="M31" s="217">
        <f>SUM(M32:M43)</f>
        <v>6000</v>
      </c>
      <c r="N31" s="218">
        <f>SUM(N32:N43)</f>
        <v>1800</v>
      </c>
      <c r="O31" s="256"/>
      <c r="R31" s="217"/>
      <c r="S31" s="217"/>
      <c r="T31" s="217"/>
      <c r="U31" s="217"/>
      <c r="V31" s="217"/>
      <c r="W31" s="217"/>
      <c r="X31" s="217"/>
      <c r="Y31" s="217"/>
      <c r="Z31" s="217"/>
      <c r="AA31" s="217"/>
      <c r="AB31" s="217"/>
      <c r="AC31" s="217"/>
      <c r="AI31" s="1519"/>
      <c r="AJ31" s="1519"/>
      <c r="AK31" s="1520"/>
    </row>
    <row r="32" spans="1:39" outlineLevel="1" x14ac:dyDescent="0.2">
      <c r="A32" s="1058"/>
      <c r="B32" s="96"/>
      <c r="C32" s="37" t="s">
        <v>416</v>
      </c>
      <c r="D32" s="152" t="str">
        <f t="shared" si="0"/>
        <v>th_t1</v>
      </c>
      <c r="E32" s="425" t="s">
        <v>902</v>
      </c>
      <c r="F32" s="425" t="s">
        <v>902</v>
      </c>
      <c r="G32" s="425" t="s">
        <v>902</v>
      </c>
      <c r="H32" s="400" t="s">
        <v>902</v>
      </c>
      <c r="I32" s="62" t="str">
        <f t="shared" si="1"/>
        <v>kWh</v>
      </c>
      <c r="J32" s="249">
        <f t="shared" si="2"/>
        <v>150</v>
      </c>
      <c r="K32" s="609">
        <v>500</v>
      </c>
      <c r="L32" s="608">
        <v>500</v>
      </c>
      <c r="M32" s="608">
        <v>500</v>
      </c>
      <c r="N32" s="272">
        <f>INDEX(R32:AC32,1,N$16)*Diagram_NEW!$BB$17</f>
        <v>150</v>
      </c>
      <c r="O32" s="86"/>
      <c r="R32" s="178">
        <v>150</v>
      </c>
      <c r="S32" s="178">
        <v>150</v>
      </c>
      <c r="T32" s="178">
        <v>150</v>
      </c>
      <c r="U32" s="178">
        <v>150</v>
      </c>
      <c r="V32" s="178">
        <v>150</v>
      </c>
      <c r="W32" s="178">
        <v>150</v>
      </c>
      <c r="X32" s="178">
        <v>150</v>
      </c>
      <c r="Y32" s="178">
        <v>150</v>
      </c>
      <c r="Z32" s="178">
        <v>150</v>
      </c>
      <c r="AA32" s="178">
        <v>150</v>
      </c>
      <c r="AB32" s="178">
        <v>150</v>
      </c>
      <c r="AC32" s="178">
        <v>150</v>
      </c>
      <c r="AI32" s="180"/>
    </row>
    <row r="33" spans="1:35" outlineLevel="1" x14ac:dyDescent="0.2">
      <c r="A33" s="1058"/>
      <c r="B33" s="96"/>
      <c r="C33" s="37" t="s">
        <v>429</v>
      </c>
      <c r="D33" s="152" t="str">
        <f t="shared" si="0"/>
        <v>th_t2</v>
      </c>
      <c r="E33" s="425" t="s">
        <v>903</v>
      </c>
      <c r="F33" s="425" t="s">
        <v>903</v>
      </c>
      <c r="G33" s="425" t="s">
        <v>903</v>
      </c>
      <c r="H33" s="400" t="s">
        <v>903</v>
      </c>
      <c r="I33" s="62" t="str">
        <f t="shared" si="1"/>
        <v>kWh</v>
      </c>
      <c r="J33" s="249">
        <f t="shared" si="2"/>
        <v>150</v>
      </c>
      <c r="K33" s="177">
        <f t="shared" ref="K33:K43" si="4">+K32</f>
        <v>500</v>
      </c>
      <c r="L33" s="178">
        <f t="shared" ref="L33:L43" si="5">+L32</f>
        <v>500</v>
      </c>
      <c r="M33" s="178">
        <f t="shared" ref="M33:M43" si="6">+M32</f>
        <v>500</v>
      </c>
      <c r="N33" s="272">
        <f>INDEX(R33:AC33,1,N$16)*Diagram_NEW!$BB$17</f>
        <v>150</v>
      </c>
      <c r="O33" s="86"/>
      <c r="R33" s="178">
        <v>150</v>
      </c>
      <c r="S33" s="178">
        <v>150</v>
      </c>
      <c r="T33" s="178">
        <v>150</v>
      </c>
      <c r="U33" s="178">
        <v>150</v>
      </c>
      <c r="V33" s="178">
        <v>150</v>
      </c>
      <c r="W33" s="178">
        <v>150</v>
      </c>
      <c r="X33" s="178">
        <v>150</v>
      </c>
      <c r="Y33" s="178">
        <v>150</v>
      </c>
      <c r="Z33" s="178">
        <v>150</v>
      </c>
      <c r="AA33" s="178">
        <v>150</v>
      </c>
      <c r="AB33" s="178">
        <v>150</v>
      </c>
      <c r="AC33" s="178">
        <v>150</v>
      </c>
      <c r="AI33" s="180"/>
    </row>
    <row r="34" spans="1:35" outlineLevel="1" x14ac:dyDescent="0.2">
      <c r="A34" s="1058"/>
      <c r="B34" s="96"/>
      <c r="C34" s="37" t="s">
        <v>430</v>
      </c>
      <c r="D34" s="152" t="str">
        <f t="shared" si="0"/>
        <v>th_t3</v>
      </c>
      <c r="E34" s="425" t="s">
        <v>904</v>
      </c>
      <c r="F34" s="425" t="s">
        <v>904</v>
      </c>
      <c r="G34" s="425" t="s">
        <v>904</v>
      </c>
      <c r="H34" s="400" t="s">
        <v>904</v>
      </c>
      <c r="I34" s="62" t="str">
        <f t="shared" si="1"/>
        <v>kWh</v>
      </c>
      <c r="J34" s="249">
        <f t="shared" si="2"/>
        <v>150</v>
      </c>
      <c r="K34" s="177">
        <f t="shared" si="4"/>
        <v>500</v>
      </c>
      <c r="L34" s="178">
        <f t="shared" si="5"/>
        <v>500</v>
      </c>
      <c r="M34" s="178">
        <f t="shared" si="6"/>
        <v>500</v>
      </c>
      <c r="N34" s="272">
        <f>INDEX(R34:AC34,1,N$16)*Diagram_NEW!$BB$17</f>
        <v>150</v>
      </c>
      <c r="O34" s="86"/>
      <c r="R34" s="178">
        <v>150</v>
      </c>
      <c r="S34" s="178">
        <v>150</v>
      </c>
      <c r="T34" s="178">
        <v>150</v>
      </c>
      <c r="U34" s="178">
        <v>150</v>
      </c>
      <c r="V34" s="178">
        <v>150</v>
      </c>
      <c r="W34" s="178">
        <v>150</v>
      </c>
      <c r="X34" s="178">
        <v>150</v>
      </c>
      <c r="Y34" s="178">
        <v>150</v>
      </c>
      <c r="Z34" s="178">
        <v>150</v>
      </c>
      <c r="AA34" s="178">
        <v>150</v>
      </c>
      <c r="AB34" s="178">
        <v>150</v>
      </c>
      <c r="AC34" s="178">
        <v>150</v>
      </c>
      <c r="AI34" s="180"/>
    </row>
    <row r="35" spans="1:35" outlineLevel="1" x14ac:dyDescent="0.2">
      <c r="A35" s="1058"/>
      <c r="B35" s="96"/>
      <c r="C35" s="37" t="s">
        <v>431</v>
      </c>
      <c r="D35" s="152" t="str">
        <f t="shared" si="0"/>
        <v>th_t4</v>
      </c>
      <c r="E35" s="425" t="s">
        <v>905</v>
      </c>
      <c r="F35" s="425" t="s">
        <v>905</v>
      </c>
      <c r="G35" s="425" t="s">
        <v>905</v>
      </c>
      <c r="H35" s="400" t="s">
        <v>905</v>
      </c>
      <c r="I35" s="62" t="str">
        <f t="shared" si="1"/>
        <v>kWh</v>
      </c>
      <c r="J35" s="249">
        <f t="shared" si="2"/>
        <v>150</v>
      </c>
      <c r="K35" s="177">
        <f t="shared" si="4"/>
        <v>500</v>
      </c>
      <c r="L35" s="178">
        <f t="shared" si="5"/>
        <v>500</v>
      </c>
      <c r="M35" s="178">
        <f t="shared" si="6"/>
        <v>500</v>
      </c>
      <c r="N35" s="272">
        <f>INDEX(R35:AC35,1,N$16)*Diagram_NEW!$BB$17</f>
        <v>150</v>
      </c>
      <c r="O35" s="86"/>
      <c r="R35" s="178">
        <v>150</v>
      </c>
      <c r="S35" s="178">
        <v>150</v>
      </c>
      <c r="T35" s="178">
        <v>150</v>
      </c>
      <c r="U35" s="178">
        <v>150</v>
      </c>
      <c r="V35" s="178">
        <v>150</v>
      </c>
      <c r="W35" s="178">
        <v>150</v>
      </c>
      <c r="X35" s="178">
        <v>150</v>
      </c>
      <c r="Y35" s="178">
        <v>150</v>
      </c>
      <c r="Z35" s="178">
        <v>150</v>
      </c>
      <c r="AA35" s="178">
        <v>150</v>
      </c>
      <c r="AB35" s="178">
        <v>150</v>
      </c>
      <c r="AC35" s="178">
        <v>150</v>
      </c>
      <c r="AI35" s="180"/>
    </row>
    <row r="36" spans="1:35" outlineLevel="1" x14ac:dyDescent="0.2">
      <c r="A36" s="1058"/>
      <c r="B36" s="96"/>
      <c r="C36" s="37" t="s">
        <v>432</v>
      </c>
      <c r="D36" s="152" t="str">
        <f t="shared" si="0"/>
        <v>th_t5</v>
      </c>
      <c r="E36" s="425" t="s">
        <v>906</v>
      </c>
      <c r="F36" s="425" t="s">
        <v>906</v>
      </c>
      <c r="G36" s="425" t="s">
        <v>906</v>
      </c>
      <c r="H36" s="400" t="s">
        <v>906</v>
      </c>
      <c r="I36" s="62" t="str">
        <f t="shared" si="1"/>
        <v>kWh</v>
      </c>
      <c r="J36" s="249">
        <f t="shared" si="2"/>
        <v>150</v>
      </c>
      <c r="K36" s="177">
        <f t="shared" si="4"/>
        <v>500</v>
      </c>
      <c r="L36" s="178">
        <f t="shared" si="5"/>
        <v>500</v>
      </c>
      <c r="M36" s="178">
        <f t="shared" si="6"/>
        <v>500</v>
      </c>
      <c r="N36" s="272">
        <f>INDEX(R36:AC36,1,N$16)*Diagram_NEW!$BB$17</f>
        <v>150</v>
      </c>
      <c r="O36" s="86"/>
      <c r="R36" s="178">
        <v>150</v>
      </c>
      <c r="S36" s="178">
        <v>150</v>
      </c>
      <c r="T36" s="178">
        <v>150</v>
      </c>
      <c r="U36" s="178">
        <v>150</v>
      </c>
      <c r="V36" s="178">
        <v>150</v>
      </c>
      <c r="W36" s="178">
        <v>150</v>
      </c>
      <c r="X36" s="178">
        <v>150</v>
      </c>
      <c r="Y36" s="178">
        <v>150</v>
      </c>
      <c r="Z36" s="178">
        <v>150</v>
      </c>
      <c r="AA36" s="178">
        <v>150</v>
      </c>
      <c r="AB36" s="178">
        <v>150</v>
      </c>
      <c r="AC36" s="178">
        <v>150</v>
      </c>
      <c r="AI36" s="180"/>
    </row>
    <row r="37" spans="1:35" outlineLevel="1" x14ac:dyDescent="0.2">
      <c r="A37" s="1058"/>
      <c r="B37" s="96"/>
      <c r="C37" s="37" t="s">
        <v>433</v>
      </c>
      <c r="D37" s="152" t="str">
        <f t="shared" si="0"/>
        <v>th_t6</v>
      </c>
      <c r="E37" s="425" t="s">
        <v>907</v>
      </c>
      <c r="F37" s="425" t="s">
        <v>907</v>
      </c>
      <c r="G37" s="425" t="s">
        <v>907</v>
      </c>
      <c r="H37" s="400" t="s">
        <v>907</v>
      </c>
      <c r="I37" s="62" t="str">
        <f t="shared" si="1"/>
        <v>kWh</v>
      </c>
      <c r="J37" s="249">
        <f t="shared" si="2"/>
        <v>150</v>
      </c>
      <c r="K37" s="177">
        <f t="shared" si="4"/>
        <v>500</v>
      </c>
      <c r="L37" s="178">
        <f t="shared" si="5"/>
        <v>500</v>
      </c>
      <c r="M37" s="178">
        <f t="shared" si="6"/>
        <v>500</v>
      </c>
      <c r="N37" s="272">
        <f>INDEX(R37:AC37,1,N$16)*Diagram_NEW!$BB$17</f>
        <v>150</v>
      </c>
      <c r="O37" s="86"/>
      <c r="R37" s="178">
        <v>150</v>
      </c>
      <c r="S37" s="178">
        <v>150</v>
      </c>
      <c r="T37" s="178">
        <v>150</v>
      </c>
      <c r="U37" s="178">
        <v>150</v>
      </c>
      <c r="V37" s="178">
        <v>150</v>
      </c>
      <c r="W37" s="178">
        <v>150</v>
      </c>
      <c r="X37" s="178">
        <v>150</v>
      </c>
      <c r="Y37" s="178">
        <v>150</v>
      </c>
      <c r="Z37" s="178">
        <v>150</v>
      </c>
      <c r="AA37" s="178">
        <v>150</v>
      </c>
      <c r="AB37" s="178">
        <v>150</v>
      </c>
      <c r="AC37" s="178">
        <v>150</v>
      </c>
      <c r="AI37" s="180"/>
    </row>
    <row r="38" spans="1:35" outlineLevel="1" x14ac:dyDescent="0.2">
      <c r="A38" s="1058"/>
      <c r="B38" s="96"/>
      <c r="C38" s="37" t="s">
        <v>434</v>
      </c>
      <c r="D38" s="152" t="str">
        <f t="shared" si="0"/>
        <v>th_t7</v>
      </c>
      <c r="E38" s="425" t="s">
        <v>908</v>
      </c>
      <c r="F38" s="425" t="s">
        <v>908</v>
      </c>
      <c r="G38" s="425" t="s">
        <v>908</v>
      </c>
      <c r="H38" s="400" t="s">
        <v>908</v>
      </c>
      <c r="I38" s="62" t="str">
        <f t="shared" si="1"/>
        <v>kWh</v>
      </c>
      <c r="J38" s="249">
        <f t="shared" si="2"/>
        <v>150</v>
      </c>
      <c r="K38" s="177">
        <f t="shared" si="4"/>
        <v>500</v>
      </c>
      <c r="L38" s="178">
        <f t="shared" si="5"/>
        <v>500</v>
      </c>
      <c r="M38" s="178">
        <f t="shared" si="6"/>
        <v>500</v>
      </c>
      <c r="N38" s="272">
        <f>INDEX(R38:AC38,1,N$16)*Diagram_NEW!$BB$17</f>
        <v>150</v>
      </c>
      <c r="O38" s="86"/>
      <c r="R38" s="178">
        <v>150</v>
      </c>
      <c r="S38" s="178">
        <v>150</v>
      </c>
      <c r="T38" s="178">
        <v>150</v>
      </c>
      <c r="U38" s="178">
        <v>150</v>
      </c>
      <c r="V38" s="178">
        <v>150</v>
      </c>
      <c r="W38" s="178">
        <v>150</v>
      </c>
      <c r="X38" s="178">
        <v>150</v>
      </c>
      <c r="Y38" s="178">
        <v>150</v>
      </c>
      <c r="Z38" s="178">
        <v>150</v>
      </c>
      <c r="AA38" s="178">
        <v>150</v>
      </c>
      <c r="AB38" s="178">
        <v>150</v>
      </c>
      <c r="AC38" s="178">
        <v>150</v>
      </c>
      <c r="AI38" s="180"/>
    </row>
    <row r="39" spans="1:35" outlineLevel="1" x14ac:dyDescent="0.2">
      <c r="A39" s="1058"/>
      <c r="B39" s="96"/>
      <c r="C39" s="37" t="s">
        <v>435</v>
      </c>
      <c r="D39" s="152" t="str">
        <f t="shared" si="0"/>
        <v>th_t8</v>
      </c>
      <c r="E39" s="425" t="s">
        <v>909</v>
      </c>
      <c r="F39" s="425" t="s">
        <v>909</v>
      </c>
      <c r="G39" s="425" t="s">
        <v>909</v>
      </c>
      <c r="H39" s="400" t="s">
        <v>909</v>
      </c>
      <c r="I39" s="62" t="str">
        <f t="shared" si="1"/>
        <v>kWh</v>
      </c>
      <c r="J39" s="249">
        <f t="shared" si="2"/>
        <v>150</v>
      </c>
      <c r="K39" s="177">
        <f t="shared" si="4"/>
        <v>500</v>
      </c>
      <c r="L39" s="178">
        <f t="shared" si="5"/>
        <v>500</v>
      </c>
      <c r="M39" s="178">
        <f t="shared" si="6"/>
        <v>500</v>
      </c>
      <c r="N39" s="272">
        <f>INDEX(R39:AC39,1,N$16)*Diagram_NEW!$BB$17</f>
        <v>150</v>
      </c>
      <c r="O39" s="86"/>
      <c r="R39" s="178">
        <v>150</v>
      </c>
      <c r="S39" s="178">
        <v>150</v>
      </c>
      <c r="T39" s="178">
        <v>150</v>
      </c>
      <c r="U39" s="178">
        <v>150</v>
      </c>
      <c r="V39" s="178">
        <v>150</v>
      </c>
      <c r="W39" s="178">
        <v>150</v>
      </c>
      <c r="X39" s="178">
        <v>150</v>
      </c>
      <c r="Y39" s="178">
        <v>150</v>
      </c>
      <c r="Z39" s="178">
        <v>150</v>
      </c>
      <c r="AA39" s="178">
        <v>150</v>
      </c>
      <c r="AB39" s="178">
        <v>150</v>
      </c>
      <c r="AC39" s="178">
        <v>150</v>
      </c>
      <c r="AI39" s="180"/>
    </row>
    <row r="40" spans="1:35" outlineLevel="1" x14ac:dyDescent="0.2">
      <c r="A40" s="1058"/>
      <c r="B40" s="96"/>
      <c r="C40" s="37" t="s">
        <v>436</v>
      </c>
      <c r="D40" s="152" t="str">
        <f t="shared" si="0"/>
        <v>th_t9</v>
      </c>
      <c r="E40" s="425" t="s">
        <v>910</v>
      </c>
      <c r="F40" s="425" t="s">
        <v>910</v>
      </c>
      <c r="G40" s="425" t="s">
        <v>910</v>
      </c>
      <c r="H40" s="400" t="s">
        <v>910</v>
      </c>
      <c r="I40" s="62" t="str">
        <f t="shared" si="1"/>
        <v>kWh</v>
      </c>
      <c r="J40" s="249">
        <f t="shared" si="2"/>
        <v>150</v>
      </c>
      <c r="K40" s="177">
        <f t="shared" si="4"/>
        <v>500</v>
      </c>
      <c r="L40" s="178">
        <f t="shared" si="5"/>
        <v>500</v>
      </c>
      <c r="M40" s="178">
        <f t="shared" si="6"/>
        <v>500</v>
      </c>
      <c r="N40" s="272">
        <f>INDEX(R40:AC40,1,N$16)*Diagram_NEW!$BB$17</f>
        <v>150</v>
      </c>
      <c r="O40" s="86"/>
      <c r="R40" s="178">
        <v>150</v>
      </c>
      <c r="S40" s="178">
        <v>150</v>
      </c>
      <c r="T40" s="178">
        <v>150</v>
      </c>
      <c r="U40" s="178">
        <v>150</v>
      </c>
      <c r="V40" s="178">
        <v>150</v>
      </c>
      <c r="W40" s="178">
        <v>150</v>
      </c>
      <c r="X40" s="178">
        <v>150</v>
      </c>
      <c r="Y40" s="178">
        <v>150</v>
      </c>
      <c r="Z40" s="178">
        <v>150</v>
      </c>
      <c r="AA40" s="178">
        <v>150</v>
      </c>
      <c r="AB40" s="178">
        <v>150</v>
      </c>
      <c r="AC40" s="178">
        <v>150</v>
      </c>
      <c r="AI40" s="180"/>
    </row>
    <row r="41" spans="1:35" outlineLevel="1" x14ac:dyDescent="0.2">
      <c r="A41" s="1058"/>
      <c r="B41" s="96"/>
      <c r="C41" s="37" t="s">
        <v>437</v>
      </c>
      <c r="D41" s="152" t="str">
        <f t="shared" si="0"/>
        <v>th_t10</v>
      </c>
      <c r="E41" s="425" t="s">
        <v>911</v>
      </c>
      <c r="F41" s="425" t="s">
        <v>911</v>
      </c>
      <c r="G41" s="425" t="s">
        <v>911</v>
      </c>
      <c r="H41" s="400" t="s">
        <v>911</v>
      </c>
      <c r="I41" s="62" t="str">
        <f t="shared" si="1"/>
        <v>kWh</v>
      </c>
      <c r="J41" s="249">
        <f t="shared" si="2"/>
        <v>150</v>
      </c>
      <c r="K41" s="177">
        <f t="shared" si="4"/>
        <v>500</v>
      </c>
      <c r="L41" s="178">
        <f t="shared" si="5"/>
        <v>500</v>
      </c>
      <c r="M41" s="178">
        <f t="shared" si="6"/>
        <v>500</v>
      </c>
      <c r="N41" s="272">
        <f>INDEX(R41:AC41,1,N$16)*Diagram_NEW!$BB$17</f>
        <v>150</v>
      </c>
      <c r="O41" s="86"/>
      <c r="R41" s="178">
        <v>150</v>
      </c>
      <c r="S41" s="178">
        <v>150</v>
      </c>
      <c r="T41" s="178">
        <v>150</v>
      </c>
      <c r="U41" s="178">
        <v>150</v>
      </c>
      <c r="V41" s="178">
        <v>150</v>
      </c>
      <c r="W41" s="178">
        <v>150</v>
      </c>
      <c r="X41" s="178">
        <v>150</v>
      </c>
      <c r="Y41" s="178">
        <v>150</v>
      </c>
      <c r="Z41" s="178">
        <v>150</v>
      </c>
      <c r="AA41" s="178">
        <v>150</v>
      </c>
      <c r="AB41" s="178">
        <v>150</v>
      </c>
      <c r="AC41" s="178">
        <v>150</v>
      </c>
      <c r="AI41" s="180"/>
    </row>
    <row r="42" spans="1:35" outlineLevel="1" x14ac:dyDescent="0.2">
      <c r="A42" s="1058"/>
      <c r="B42" s="96"/>
      <c r="C42" s="37" t="s">
        <v>438</v>
      </c>
      <c r="D42" s="152" t="str">
        <f t="shared" si="0"/>
        <v>th_t11</v>
      </c>
      <c r="E42" s="425" t="s">
        <v>912</v>
      </c>
      <c r="F42" s="425" t="s">
        <v>912</v>
      </c>
      <c r="G42" s="425" t="s">
        <v>912</v>
      </c>
      <c r="H42" s="400" t="s">
        <v>912</v>
      </c>
      <c r="I42" s="62" t="str">
        <f t="shared" si="1"/>
        <v>kWh</v>
      </c>
      <c r="J42" s="249">
        <f t="shared" si="2"/>
        <v>150</v>
      </c>
      <c r="K42" s="177">
        <f t="shared" si="4"/>
        <v>500</v>
      </c>
      <c r="L42" s="178">
        <f t="shared" si="5"/>
        <v>500</v>
      </c>
      <c r="M42" s="178">
        <f t="shared" si="6"/>
        <v>500</v>
      </c>
      <c r="N42" s="272">
        <f>INDEX(R42:AC42,1,N$16)*Diagram_NEW!$BB$17</f>
        <v>150</v>
      </c>
      <c r="O42" s="86"/>
      <c r="R42" s="178">
        <v>150</v>
      </c>
      <c r="S42" s="178">
        <v>150</v>
      </c>
      <c r="T42" s="178">
        <v>150</v>
      </c>
      <c r="U42" s="178">
        <v>150</v>
      </c>
      <c r="V42" s="178">
        <v>150</v>
      </c>
      <c r="W42" s="178">
        <v>150</v>
      </c>
      <c r="X42" s="178">
        <v>150</v>
      </c>
      <c r="Y42" s="178">
        <v>150</v>
      </c>
      <c r="Z42" s="178">
        <v>150</v>
      </c>
      <c r="AA42" s="178">
        <v>150</v>
      </c>
      <c r="AB42" s="178">
        <v>150</v>
      </c>
      <c r="AC42" s="178">
        <v>150</v>
      </c>
      <c r="AI42" s="180"/>
    </row>
    <row r="43" spans="1:35" ht="13.5" outlineLevel="1" thickBot="1" x14ac:dyDescent="0.25">
      <c r="A43" s="1058"/>
      <c r="B43" s="220"/>
      <c r="C43" s="221" t="s">
        <v>439</v>
      </c>
      <c r="D43" s="152" t="str">
        <f t="shared" si="0"/>
        <v>th_t12</v>
      </c>
      <c r="E43" s="426" t="s">
        <v>913</v>
      </c>
      <c r="F43" s="426" t="s">
        <v>913</v>
      </c>
      <c r="G43" s="426" t="s">
        <v>913</v>
      </c>
      <c r="H43" s="401" t="s">
        <v>913</v>
      </c>
      <c r="I43" s="223" t="str">
        <f t="shared" si="1"/>
        <v>kWh</v>
      </c>
      <c r="J43" s="250">
        <f t="shared" si="2"/>
        <v>150</v>
      </c>
      <c r="K43" s="224">
        <f t="shared" si="4"/>
        <v>500</v>
      </c>
      <c r="L43" s="225">
        <f t="shared" si="5"/>
        <v>500</v>
      </c>
      <c r="M43" s="225">
        <f t="shared" si="6"/>
        <v>500</v>
      </c>
      <c r="N43" s="279">
        <f>INDEX(R43:AC43,1,N$16)*Diagram_NEW!$BB$17</f>
        <v>150</v>
      </c>
      <c r="O43" s="280"/>
      <c r="R43" s="225">
        <v>150</v>
      </c>
      <c r="S43" s="225">
        <v>150</v>
      </c>
      <c r="T43" s="225">
        <v>150</v>
      </c>
      <c r="U43" s="225">
        <v>150</v>
      </c>
      <c r="V43" s="225">
        <v>150</v>
      </c>
      <c r="W43" s="225">
        <v>150</v>
      </c>
      <c r="X43" s="225">
        <v>150</v>
      </c>
      <c r="Y43" s="225">
        <v>150</v>
      </c>
      <c r="Z43" s="225">
        <v>150</v>
      </c>
      <c r="AA43" s="225">
        <v>150</v>
      </c>
      <c r="AB43" s="225">
        <v>150</v>
      </c>
      <c r="AC43" s="225">
        <v>150</v>
      </c>
      <c r="AI43" s="180"/>
    </row>
    <row r="44" spans="1:35" ht="21" customHeight="1" x14ac:dyDescent="0.2">
      <c r="A44" s="1058"/>
      <c r="B44" s="212" t="str">
        <f>"      "&amp;INDEX(Language!$D$11:$M$11,1,_language)&amp;" "&amp;INDEX(Language!$D$18:$M$18,1,_language)</f>
        <v xml:space="preserve">      humidification if not included in heating</v>
      </c>
      <c r="C44" s="105" t="s">
        <v>64</v>
      </c>
      <c r="D44" s="214" t="str">
        <f t="shared" si="0"/>
        <v>th_y</v>
      </c>
      <c r="E44" s="214" t="s">
        <v>899</v>
      </c>
      <c r="F44" s="214" t="s">
        <v>899</v>
      </c>
      <c r="G44" s="214" t="s">
        <v>899</v>
      </c>
      <c r="H44" s="214" t="s">
        <v>899</v>
      </c>
      <c r="I44" s="207" t="str">
        <f t="shared" si="1"/>
        <v>kWh</v>
      </c>
      <c r="J44" s="251">
        <f t="shared" si="2"/>
        <v>0</v>
      </c>
      <c r="K44" s="208">
        <f>SUM(K45:K56)</f>
        <v>0</v>
      </c>
      <c r="L44" s="209">
        <f>SUM(L45:L56)</f>
        <v>0</v>
      </c>
      <c r="M44" s="209">
        <f>SUM(M45:M56)</f>
        <v>0</v>
      </c>
      <c r="N44" s="210">
        <f>SUM(N45:N56)</f>
        <v>0</v>
      </c>
      <c r="O44" s="227"/>
      <c r="R44" s="209"/>
      <c r="S44" s="209"/>
      <c r="T44" s="209"/>
      <c r="U44" s="209"/>
      <c r="V44" s="209"/>
      <c r="W44" s="209"/>
      <c r="X44" s="209"/>
      <c r="Y44" s="209"/>
      <c r="Z44" s="209"/>
      <c r="AA44" s="209"/>
      <c r="AB44" s="209"/>
      <c r="AC44" s="209"/>
      <c r="AI44" s="180"/>
    </row>
    <row r="45" spans="1:35" outlineLevel="1" x14ac:dyDescent="0.2">
      <c r="A45" s="1058"/>
      <c r="B45" s="96"/>
      <c r="C45" s="37" t="s">
        <v>440</v>
      </c>
      <c r="D45" s="152" t="str">
        <f t="shared" si="0"/>
        <v>th_t1</v>
      </c>
      <c r="E45" s="425" t="s">
        <v>902</v>
      </c>
      <c r="F45" s="425" t="s">
        <v>902</v>
      </c>
      <c r="G45" s="425" t="s">
        <v>902</v>
      </c>
      <c r="H45" s="400" t="s">
        <v>902</v>
      </c>
      <c r="I45" s="62" t="str">
        <f t="shared" si="1"/>
        <v>kWh</v>
      </c>
      <c r="J45" s="249">
        <f t="shared" si="2"/>
        <v>0</v>
      </c>
      <c r="K45" s="609">
        <v>0</v>
      </c>
      <c r="L45" s="608">
        <v>0</v>
      </c>
      <c r="M45" s="608">
        <v>0</v>
      </c>
      <c r="N45" s="272">
        <f t="shared" ref="N45:N56" si="7">INDEX(R45:AC45,1,N$16)</f>
        <v>0</v>
      </c>
      <c r="O45" s="86"/>
      <c r="R45" s="608">
        <v>0</v>
      </c>
      <c r="S45" s="608">
        <v>0</v>
      </c>
      <c r="T45" s="178">
        <v>0</v>
      </c>
      <c r="U45" s="178">
        <v>0</v>
      </c>
      <c r="V45" s="178">
        <v>0</v>
      </c>
      <c r="W45" s="178">
        <v>0</v>
      </c>
      <c r="X45" s="178">
        <v>0</v>
      </c>
      <c r="Y45" s="178">
        <v>0</v>
      </c>
      <c r="Z45" s="178">
        <v>0</v>
      </c>
      <c r="AA45" s="178">
        <v>0</v>
      </c>
      <c r="AB45" s="178">
        <v>0</v>
      </c>
      <c r="AC45" s="178">
        <v>0</v>
      </c>
      <c r="AI45" s="180"/>
    </row>
    <row r="46" spans="1:35" outlineLevel="1" x14ac:dyDescent="0.2">
      <c r="A46" s="1058"/>
      <c r="B46" s="96"/>
      <c r="C46" s="37" t="s">
        <v>441</v>
      </c>
      <c r="D46" s="152" t="str">
        <f t="shared" si="0"/>
        <v>th_t2</v>
      </c>
      <c r="E46" s="425" t="s">
        <v>903</v>
      </c>
      <c r="F46" s="425" t="s">
        <v>903</v>
      </c>
      <c r="G46" s="425" t="s">
        <v>903</v>
      </c>
      <c r="H46" s="400" t="s">
        <v>903</v>
      </c>
      <c r="I46" s="62" t="str">
        <f t="shared" si="1"/>
        <v>kWh</v>
      </c>
      <c r="J46" s="249">
        <f t="shared" si="2"/>
        <v>0</v>
      </c>
      <c r="K46" s="177">
        <f t="shared" ref="K46:K56" si="8">+K45</f>
        <v>0</v>
      </c>
      <c r="L46" s="178">
        <f t="shared" ref="L46:L56" si="9">+L45</f>
        <v>0</v>
      </c>
      <c r="M46" s="178">
        <f t="shared" ref="M46:M56" si="10">+M45</f>
        <v>0</v>
      </c>
      <c r="N46" s="272">
        <f t="shared" si="7"/>
        <v>0</v>
      </c>
      <c r="O46" s="86"/>
      <c r="R46" s="178">
        <f t="shared" ref="R46:R56" si="11">+R45</f>
        <v>0</v>
      </c>
      <c r="S46" s="178">
        <f t="shared" ref="S46:S56" si="12">+S45</f>
        <v>0</v>
      </c>
      <c r="T46" s="178">
        <v>0</v>
      </c>
      <c r="U46" s="178">
        <v>0</v>
      </c>
      <c r="V46" s="178">
        <v>0</v>
      </c>
      <c r="W46" s="178">
        <v>0</v>
      </c>
      <c r="X46" s="178">
        <v>0</v>
      </c>
      <c r="Y46" s="178">
        <v>0</v>
      </c>
      <c r="Z46" s="178">
        <v>0</v>
      </c>
      <c r="AA46" s="178">
        <v>0</v>
      </c>
      <c r="AB46" s="178">
        <v>0</v>
      </c>
      <c r="AC46" s="178">
        <v>0</v>
      </c>
      <c r="AI46" s="180"/>
    </row>
    <row r="47" spans="1:35" outlineLevel="1" x14ac:dyDescent="0.2">
      <c r="A47" s="1058"/>
      <c r="B47" s="96"/>
      <c r="C47" s="37" t="s">
        <v>442</v>
      </c>
      <c r="D47" s="152" t="str">
        <f t="shared" si="0"/>
        <v>th_t3</v>
      </c>
      <c r="E47" s="425" t="s">
        <v>904</v>
      </c>
      <c r="F47" s="425" t="s">
        <v>904</v>
      </c>
      <c r="G47" s="425" t="s">
        <v>904</v>
      </c>
      <c r="H47" s="400" t="s">
        <v>904</v>
      </c>
      <c r="I47" s="62" t="str">
        <f t="shared" si="1"/>
        <v>kWh</v>
      </c>
      <c r="J47" s="249">
        <f t="shared" si="2"/>
        <v>0</v>
      </c>
      <c r="K47" s="177">
        <f t="shared" si="8"/>
        <v>0</v>
      </c>
      <c r="L47" s="178">
        <f t="shared" si="9"/>
        <v>0</v>
      </c>
      <c r="M47" s="178">
        <f t="shared" si="10"/>
        <v>0</v>
      </c>
      <c r="N47" s="272">
        <f t="shared" si="7"/>
        <v>0</v>
      </c>
      <c r="O47" s="86"/>
      <c r="R47" s="178">
        <f t="shared" si="11"/>
        <v>0</v>
      </c>
      <c r="S47" s="178">
        <f t="shared" si="12"/>
        <v>0</v>
      </c>
      <c r="T47" s="178">
        <v>0</v>
      </c>
      <c r="U47" s="178">
        <v>0</v>
      </c>
      <c r="V47" s="178">
        <v>0</v>
      </c>
      <c r="W47" s="178">
        <v>0</v>
      </c>
      <c r="X47" s="178">
        <v>0</v>
      </c>
      <c r="Y47" s="178">
        <v>0</v>
      </c>
      <c r="Z47" s="178">
        <v>0</v>
      </c>
      <c r="AA47" s="178">
        <v>0</v>
      </c>
      <c r="AB47" s="178">
        <v>0</v>
      </c>
      <c r="AC47" s="178">
        <v>0</v>
      </c>
      <c r="AI47" s="180"/>
    </row>
    <row r="48" spans="1:35" outlineLevel="1" x14ac:dyDescent="0.2">
      <c r="A48" s="1058"/>
      <c r="B48" s="96"/>
      <c r="C48" s="37" t="s">
        <v>443</v>
      </c>
      <c r="D48" s="152" t="str">
        <f t="shared" si="0"/>
        <v>th_t4</v>
      </c>
      <c r="E48" s="425" t="s">
        <v>905</v>
      </c>
      <c r="F48" s="425" t="s">
        <v>905</v>
      </c>
      <c r="G48" s="425" t="s">
        <v>905</v>
      </c>
      <c r="H48" s="400" t="s">
        <v>905</v>
      </c>
      <c r="I48" s="62" t="str">
        <f t="shared" si="1"/>
        <v>kWh</v>
      </c>
      <c r="J48" s="249">
        <f t="shared" si="2"/>
        <v>0</v>
      </c>
      <c r="K48" s="177">
        <f t="shared" si="8"/>
        <v>0</v>
      </c>
      <c r="L48" s="178">
        <f t="shared" si="9"/>
        <v>0</v>
      </c>
      <c r="M48" s="178">
        <f t="shared" si="10"/>
        <v>0</v>
      </c>
      <c r="N48" s="272">
        <f t="shared" si="7"/>
        <v>0</v>
      </c>
      <c r="O48" s="86"/>
      <c r="R48" s="178">
        <f t="shared" si="11"/>
        <v>0</v>
      </c>
      <c r="S48" s="178">
        <f t="shared" si="12"/>
        <v>0</v>
      </c>
      <c r="T48" s="178">
        <v>0</v>
      </c>
      <c r="U48" s="178">
        <v>0</v>
      </c>
      <c r="V48" s="178">
        <v>0</v>
      </c>
      <c r="W48" s="178">
        <v>0</v>
      </c>
      <c r="X48" s="178">
        <v>0</v>
      </c>
      <c r="Y48" s="178">
        <v>0</v>
      </c>
      <c r="Z48" s="178">
        <v>0</v>
      </c>
      <c r="AA48" s="178">
        <v>0</v>
      </c>
      <c r="AB48" s="178">
        <v>0</v>
      </c>
      <c r="AC48" s="178">
        <v>0</v>
      </c>
      <c r="AI48" s="180"/>
    </row>
    <row r="49" spans="1:35" outlineLevel="1" x14ac:dyDescent="0.2">
      <c r="A49" s="1058"/>
      <c r="B49" s="96"/>
      <c r="C49" s="37" t="s">
        <v>444</v>
      </c>
      <c r="D49" s="152" t="str">
        <f t="shared" si="0"/>
        <v>th_t5</v>
      </c>
      <c r="E49" s="425" t="s">
        <v>906</v>
      </c>
      <c r="F49" s="425" t="s">
        <v>906</v>
      </c>
      <c r="G49" s="425" t="s">
        <v>906</v>
      </c>
      <c r="H49" s="400" t="s">
        <v>906</v>
      </c>
      <c r="I49" s="62" t="str">
        <f t="shared" si="1"/>
        <v>kWh</v>
      </c>
      <c r="J49" s="249">
        <f t="shared" si="2"/>
        <v>0</v>
      </c>
      <c r="K49" s="177">
        <f t="shared" si="8"/>
        <v>0</v>
      </c>
      <c r="L49" s="178">
        <f t="shared" si="9"/>
        <v>0</v>
      </c>
      <c r="M49" s="178">
        <f t="shared" si="10"/>
        <v>0</v>
      </c>
      <c r="N49" s="272">
        <f t="shared" si="7"/>
        <v>0</v>
      </c>
      <c r="O49" s="86"/>
      <c r="R49" s="178">
        <f t="shared" si="11"/>
        <v>0</v>
      </c>
      <c r="S49" s="178">
        <f t="shared" si="12"/>
        <v>0</v>
      </c>
      <c r="T49" s="178">
        <v>0</v>
      </c>
      <c r="U49" s="178">
        <v>0</v>
      </c>
      <c r="V49" s="178">
        <v>0</v>
      </c>
      <c r="W49" s="178">
        <v>0</v>
      </c>
      <c r="X49" s="178">
        <v>0</v>
      </c>
      <c r="Y49" s="178">
        <v>0</v>
      </c>
      <c r="Z49" s="178">
        <v>0</v>
      </c>
      <c r="AA49" s="178">
        <v>0</v>
      </c>
      <c r="AB49" s="178">
        <v>0</v>
      </c>
      <c r="AC49" s="178">
        <v>0</v>
      </c>
      <c r="AI49" s="180"/>
    </row>
    <row r="50" spans="1:35" outlineLevel="1" x14ac:dyDescent="0.2">
      <c r="A50" s="1058"/>
      <c r="B50" s="96"/>
      <c r="C50" s="37" t="s">
        <v>445</v>
      </c>
      <c r="D50" s="152" t="str">
        <f t="shared" ref="D50:D81" si="13">INDEX(E50:H50,,_case_en)</f>
        <v>th_t6</v>
      </c>
      <c r="E50" s="425" t="s">
        <v>907</v>
      </c>
      <c r="F50" s="425" t="s">
        <v>907</v>
      </c>
      <c r="G50" s="425" t="s">
        <v>907</v>
      </c>
      <c r="H50" s="400" t="s">
        <v>907</v>
      </c>
      <c r="I50" s="62" t="str">
        <f t="shared" si="1"/>
        <v>kWh</v>
      </c>
      <c r="J50" s="249">
        <f t="shared" ref="J50:J81" si="14">INDEX(K50:N50,,_case_en)</f>
        <v>0</v>
      </c>
      <c r="K50" s="177">
        <f t="shared" si="8"/>
        <v>0</v>
      </c>
      <c r="L50" s="178">
        <f t="shared" si="9"/>
        <v>0</v>
      </c>
      <c r="M50" s="178">
        <f t="shared" si="10"/>
        <v>0</v>
      </c>
      <c r="N50" s="272">
        <f t="shared" si="7"/>
        <v>0</v>
      </c>
      <c r="O50" s="86"/>
      <c r="R50" s="178">
        <f t="shared" si="11"/>
        <v>0</v>
      </c>
      <c r="S50" s="178">
        <f t="shared" si="12"/>
        <v>0</v>
      </c>
      <c r="T50" s="178">
        <v>0</v>
      </c>
      <c r="U50" s="178">
        <v>0</v>
      </c>
      <c r="V50" s="178">
        <v>0</v>
      </c>
      <c r="W50" s="178">
        <v>0</v>
      </c>
      <c r="X50" s="178">
        <v>0</v>
      </c>
      <c r="Y50" s="178">
        <v>0</v>
      </c>
      <c r="Z50" s="178">
        <v>0</v>
      </c>
      <c r="AA50" s="178">
        <v>0</v>
      </c>
      <c r="AB50" s="178">
        <v>0</v>
      </c>
      <c r="AC50" s="178">
        <v>0</v>
      </c>
      <c r="AI50" s="180"/>
    </row>
    <row r="51" spans="1:35" outlineLevel="1" x14ac:dyDescent="0.2">
      <c r="A51" s="1058"/>
      <c r="B51" s="96"/>
      <c r="C51" s="37" t="s">
        <v>446</v>
      </c>
      <c r="D51" s="152" t="str">
        <f t="shared" si="13"/>
        <v>th_t7</v>
      </c>
      <c r="E51" s="425" t="s">
        <v>908</v>
      </c>
      <c r="F51" s="425" t="s">
        <v>908</v>
      </c>
      <c r="G51" s="425" t="s">
        <v>908</v>
      </c>
      <c r="H51" s="400" t="s">
        <v>908</v>
      </c>
      <c r="I51" s="62" t="str">
        <f t="shared" si="1"/>
        <v>kWh</v>
      </c>
      <c r="J51" s="249">
        <f t="shared" si="14"/>
        <v>0</v>
      </c>
      <c r="K51" s="177">
        <f t="shared" si="8"/>
        <v>0</v>
      </c>
      <c r="L51" s="178">
        <f t="shared" si="9"/>
        <v>0</v>
      </c>
      <c r="M51" s="178">
        <f t="shared" si="10"/>
        <v>0</v>
      </c>
      <c r="N51" s="272">
        <f t="shared" si="7"/>
        <v>0</v>
      </c>
      <c r="O51" s="86"/>
      <c r="R51" s="178">
        <f t="shared" si="11"/>
        <v>0</v>
      </c>
      <c r="S51" s="178">
        <f t="shared" si="12"/>
        <v>0</v>
      </c>
      <c r="T51" s="178">
        <v>0</v>
      </c>
      <c r="U51" s="178">
        <v>0</v>
      </c>
      <c r="V51" s="178">
        <v>0</v>
      </c>
      <c r="W51" s="178">
        <v>0</v>
      </c>
      <c r="X51" s="178">
        <v>0</v>
      </c>
      <c r="Y51" s="178">
        <v>0</v>
      </c>
      <c r="Z51" s="178">
        <v>0</v>
      </c>
      <c r="AA51" s="178">
        <v>0</v>
      </c>
      <c r="AB51" s="178">
        <v>0</v>
      </c>
      <c r="AC51" s="178">
        <v>0</v>
      </c>
    </row>
    <row r="52" spans="1:35" outlineLevel="1" x14ac:dyDescent="0.2">
      <c r="A52" s="1058"/>
      <c r="B52" s="96"/>
      <c r="C52" s="37" t="s">
        <v>447</v>
      </c>
      <c r="D52" s="152" t="str">
        <f t="shared" si="13"/>
        <v>th_t8</v>
      </c>
      <c r="E52" s="425" t="s">
        <v>909</v>
      </c>
      <c r="F52" s="425" t="s">
        <v>909</v>
      </c>
      <c r="G52" s="425" t="s">
        <v>909</v>
      </c>
      <c r="H52" s="400" t="s">
        <v>909</v>
      </c>
      <c r="I52" s="62" t="str">
        <f t="shared" si="1"/>
        <v>kWh</v>
      </c>
      <c r="J52" s="249">
        <f t="shared" si="14"/>
        <v>0</v>
      </c>
      <c r="K52" s="177">
        <f t="shared" si="8"/>
        <v>0</v>
      </c>
      <c r="L52" s="178">
        <f t="shared" si="9"/>
        <v>0</v>
      </c>
      <c r="M52" s="178">
        <f t="shared" si="10"/>
        <v>0</v>
      </c>
      <c r="N52" s="272">
        <f t="shared" si="7"/>
        <v>0</v>
      </c>
      <c r="O52" s="86"/>
      <c r="R52" s="178">
        <f t="shared" si="11"/>
        <v>0</v>
      </c>
      <c r="S52" s="178">
        <f t="shared" si="12"/>
        <v>0</v>
      </c>
      <c r="T52" s="178">
        <v>0</v>
      </c>
      <c r="U52" s="178">
        <v>0</v>
      </c>
      <c r="V52" s="178">
        <v>0</v>
      </c>
      <c r="W52" s="178">
        <v>0</v>
      </c>
      <c r="X52" s="178">
        <v>0</v>
      </c>
      <c r="Y52" s="178">
        <v>0</v>
      </c>
      <c r="Z52" s="178">
        <v>0</v>
      </c>
      <c r="AA52" s="178">
        <v>0</v>
      </c>
      <c r="AB52" s="178">
        <v>0</v>
      </c>
      <c r="AC52" s="178">
        <v>0</v>
      </c>
    </row>
    <row r="53" spans="1:35" outlineLevel="1" x14ac:dyDescent="0.2">
      <c r="A53" s="1058"/>
      <c r="B53" s="96"/>
      <c r="C53" s="37" t="s">
        <v>448</v>
      </c>
      <c r="D53" s="152" t="str">
        <f t="shared" si="13"/>
        <v>th_t9</v>
      </c>
      <c r="E53" s="425" t="s">
        <v>910</v>
      </c>
      <c r="F53" s="425" t="s">
        <v>910</v>
      </c>
      <c r="G53" s="425" t="s">
        <v>910</v>
      </c>
      <c r="H53" s="400" t="s">
        <v>910</v>
      </c>
      <c r="I53" s="62" t="str">
        <f t="shared" si="1"/>
        <v>kWh</v>
      </c>
      <c r="J53" s="249">
        <f t="shared" si="14"/>
        <v>0</v>
      </c>
      <c r="K53" s="177">
        <f t="shared" si="8"/>
        <v>0</v>
      </c>
      <c r="L53" s="178">
        <f t="shared" si="9"/>
        <v>0</v>
      </c>
      <c r="M53" s="178">
        <f t="shared" si="10"/>
        <v>0</v>
      </c>
      <c r="N53" s="272">
        <f t="shared" si="7"/>
        <v>0</v>
      </c>
      <c r="O53" s="86"/>
      <c r="R53" s="178">
        <f t="shared" si="11"/>
        <v>0</v>
      </c>
      <c r="S53" s="178">
        <f t="shared" si="12"/>
        <v>0</v>
      </c>
      <c r="T53" s="178">
        <v>0</v>
      </c>
      <c r="U53" s="178">
        <v>0</v>
      </c>
      <c r="V53" s="178">
        <v>0</v>
      </c>
      <c r="W53" s="178">
        <v>0</v>
      </c>
      <c r="X53" s="178">
        <v>0</v>
      </c>
      <c r="Y53" s="178">
        <v>0</v>
      </c>
      <c r="Z53" s="178">
        <v>0</v>
      </c>
      <c r="AA53" s="178">
        <v>0</v>
      </c>
      <c r="AB53" s="178">
        <v>0</v>
      </c>
      <c r="AC53" s="178">
        <v>0</v>
      </c>
    </row>
    <row r="54" spans="1:35" outlineLevel="1" x14ac:dyDescent="0.2">
      <c r="A54" s="1058"/>
      <c r="B54" s="96"/>
      <c r="C54" s="37" t="s">
        <v>449</v>
      </c>
      <c r="D54" s="152" t="str">
        <f t="shared" si="13"/>
        <v>th_t10</v>
      </c>
      <c r="E54" s="425" t="s">
        <v>911</v>
      </c>
      <c r="F54" s="425" t="s">
        <v>911</v>
      </c>
      <c r="G54" s="425" t="s">
        <v>911</v>
      </c>
      <c r="H54" s="400" t="s">
        <v>911</v>
      </c>
      <c r="I54" s="62" t="str">
        <f t="shared" si="1"/>
        <v>kWh</v>
      </c>
      <c r="J54" s="249">
        <f t="shared" si="14"/>
        <v>0</v>
      </c>
      <c r="K54" s="177">
        <f t="shared" si="8"/>
        <v>0</v>
      </c>
      <c r="L54" s="178">
        <f t="shared" si="9"/>
        <v>0</v>
      </c>
      <c r="M54" s="178">
        <f t="shared" si="10"/>
        <v>0</v>
      </c>
      <c r="N54" s="272">
        <f t="shared" si="7"/>
        <v>0</v>
      </c>
      <c r="O54" s="86"/>
      <c r="R54" s="178">
        <f t="shared" si="11"/>
        <v>0</v>
      </c>
      <c r="S54" s="178">
        <f t="shared" si="12"/>
        <v>0</v>
      </c>
      <c r="T54" s="178">
        <v>0</v>
      </c>
      <c r="U54" s="178">
        <v>0</v>
      </c>
      <c r="V54" s="178">
        <v>0</v>
      </c>
      <c r="W54" s="178">
        <v>0</v>
      </c>
      <c r="X54" s="178">
        <v>0</v>
      </c>
      <c r="Y54" s="178">
        <v>0</v>
      </c>
      <c r="Z54" s="178">
        <v>0</v>
      </c>
      <c r="AA54" s="178">
        <v>0</v>
      </c>
      <c r="AB54" s="178">
        <v>0</v>
      </c>
      <c r="AC54" s="178">
        <v>0</v>
      </c>
    </row>
    <row r="55" spans="1:35" outlineLevel="1" x14ac:dyDescent="0.2">
      <c r="A55" s="1058"/>
      <c r="B55" s="96"/>
      <c r="C55" s="37" t="s">
        <v>450</v>
      </c>
      <c r="D55" s="152" t="str">
        <f t="shared" si="13"/>
        <v>th_t11</v>
      </c>
      <c r="E55" s="425" t="s">
        <v>912</v>
      </c>
      <c r="F55" s="425" t="s">
        <v>912</v>
      </c>
      <c r="G55" s="425" t="s">
        <v>912</v>
      </c>
      <c r="H55" s="400" t="s">
        <v>912</v>
      </c>
      <c r="I55" s="62" t="str">
        <f t="shared" si="1"/>
        <v>kWh</v>
      </c>
      <c r="J55" s="249">
        <f t="shared" si="14"/>
        <v>0</v>
      </c>
      <c r="K55" s="177">
        <f t="shared" si="8"/>
        <v>0</v>
      </c>
      <c r="L55" s="178">
        <f t="shared" si="9"/>
        <v>0</v>
      </c>
      <c r="M55" s="178">
        <f t="shared" si="10"/>
        <v>0</v>
      </c>
      <c r="N55" s="272">
        <f t="shared" si="7"/>
        <v>0</v>
      </c>
      <c r="O55" s="86"/>
      <c r="R55" s="178">
        <f t="shared" si="11"/>
        <v>0</v>
      </c>
      <c r="S55" s="178">
        <f t="shared" si="12"/>
        <v>0</v>
      </c>
      <c r="T55" s="178">
        <v>0</v>
      </c>
      <c r="U55" s="178">
        <v>0</v>
      </c>
      <c r="V55" s="178">
        <v>0</v>
      </c>
      <c r="W55" s="178">
        <v>0</v>
      </c>
      <c r="X55" s="178">
        <v>0</v>
      </c>
      <c r="Y55" s="178">
        <v>0</v>
      </c>
      <c r="Z55" s="178">
        <v>0</v>
      </c>
      <c r="AA55" s="178">
        <v>0</v>
      </c>
      <c r="AB55" s="178">
        <v>0</v>
      </c>
      <c r="AC55" s="178">
        <v>0</v>
      </c>
    </row>
    <row r="56" spans="1:35" ht="13.5" outlineLevel="1" thickBot="1" x14ac:dyDescent="0.25">
      <c r="A56" s="1058"/>
      <c r="B56" s="106"/>
      <c r="C56" s="228" t="s">
        <v>451</v>
      </c>
      <c r="D56" s="152" t="str">
        <f t="shared" si="13"/>
        <v>th_t12</v>
      </c>
      <c r="E56" s="426" t="s">
        <v>913</v>
      </c>
      <c r="F56" s="426" t="s">
        <v>913</v>
      </c>
      <c r="G56" s="426" t="s">
        <v>913</v>
      </c>
      <c r="H56" s="401" t="s">
        <v>913</v>
      </c>
      <c r="I56" s="168" t="str">
        <f t="shared" si="1"/>
        <v>kWh</v>
      </c>
      <c r="J56" s="252">
        <f t="shared" si="14"/>
        <v>0</v>
      </c>
      <c r="K56" s="230">
        <f t="shared" si="8"/>
        <v>0</v>
      </c>
      <c r="L56" s="231">
        <f t="shared" si="9"/>
        <v>0</v>
      </c>
      <c r="M56" s="231">
        <f t="shared" si="10"/>
        <v>0</v>
      </c>
      <c r="N56" s="288">
        <f t="shared" si="7"/>
        <v>0</v>
      </c>
      <c r="O56" s="232"/>
      <c r="R56" s="231">
        <f t="shared" si="11"/>
        <v>0</v>
      </c>
      <c r="S56" s="231">
        <f t="shared" si="12"/>
        <v>0</v>
      </c>
      <c r="T56" s="231">
        <v>0</v>
      </c>
      <c r="U56" s="231">
        <v>0</v>
      </c>
      <c r="V56" s="231">
        <v>0</v>
      </c>
      <c r="W56" s="231">
        <v>0</v>
      </c>
      <c r="X56" s="231">
        <v>0</v>
      </c>
      <c r="Y56" s="231">
        <v>0</v>
      </c>
      <c r="Z56" s="231">
        <v>0</v>
      </c>
      <c r="AA56" s="231">
        <v>0</v>
      </c>
      <c r="AB56" s="231">
        <v>0</v>
      </c>
      <c r="AC56" s="231">
        <v>0</v>
      </c>
    </row>
    <row r="57" spans="1:35" ht="21" customHeight="1" x14ac:dyDescent="0.2">
      <c r="A57" s="1058"/>
      <c r="B57" s="212" t="str">
        <f>"      "&amp;INDEX(Language!$D$12:$M$12,1,_language)</f>
        <v xml:space="preserve">      cooling</v>
      </c>
      <c r="C57" s="213" t="s">
        <v>65</v>
      </c>
      <c r="D57" s="214" t="str">
        <f t="shared" si="13"/>
        <v>th_y</v>
      </c>
      <c r="E57" s="424" t="s">
        <v>899</v>
      </c>
      <c r="F57" s="424" t="s">
        <v>899</v>
      </c>
      <c r="G57" s="424" t="s">
        <v>899</v>
      </c>
      <c r="H57" s="399" t="s">
        <v>899</v>
      </c>
      <c r="I57" s="215" t="str">
        <f t="shared" si="1"/>
        <v>kWh</v>
      </c>
      <c r="J57" s="248">
        <f t="shared" si="14"/>
        <v>950</v>
      </c>
      <c r="K57" s="216">
        <f>SUM(K58:K69)</f>
        <v>2200</v>
      </c>
      <c r="L57" s="217">
        <f>SUM(L58:L69)</f>
        <v>2200</v>
      </c>
      <c r="M57" s="217">
        <f>SUM(M58:M69)</f>
        <v>2200</v>
      </c>
      <c r="N57" s="218">
        <f>SUM(N58:N69)</f>
        <v>950</v>
      </c>
      <c r="O57" s="256"/>
      <c r="R57" s="217"/>
      <c r="S57" s="217"/>
      <c r="T57" s="217"/>
      <c r="U57" s="217"/>
      <c r="V57" s="217"/>
      <c r="W57" s="217"/>
      <c r="X57" s="217"/>
      <c r="Y57" s="217"/>
      <c r="Z57" s="217"/>
      <c r="AA57" s="217"/>
      <c r="AB57" s="217"/>
      <c r="AC57" s="217"/>
    </row>
    <row r="58" spans="1:35" outlineLevel="1" x14ac:dyDescent="0.2">
      <c r="A58" s="1058"/>
      <c r="B58" s="96"/>
      <c r="C58" s="37" t="s">
        <v>452</v>
      </c>
      <c r="D58" s="152" t="str">
        <f t="shared" si="13"/>
        <v>th_t1</v>
      </c>
      <c r="E58" s="425" t="s">
        <v>902</v>
      </c>
      <c r="F58" s="425" t="s">
        <v>902</v>
      </c>
      <c r="G58" s="425" t="s">
        <v>902</v>
      </c>
      <c r="H58" s="400" t="s">
        <v>902</v>
      </c>
      <c r="I58" s="62" t="str">
        <f t="shared" si="1"/>
        <v>kWh</v>
      </c>
      <c r="J58" s="249">
        <f t="shared" si="14"/>
        <v>0</v>
      </c>
      <c r="K58" s="177">
        <v>0</v>
      </c>
      <c r="L58" s="178">
        <v>0</v>
      </c>
      <c r="M58" s="178">
        <v>0</v>
      </c>
      <c r="N58" s="272">
        <f>INDEX(R58:AC58,1,N$16)*Diagram_NEW!$BB$21</f>
        <v>0</v>
      </c>
      <c r="O58" s="86"/>
      <c r="R58" s="178">
        <v>0</v>
      </c>
      <c r="S58" s="178">
        <v>0</v>
      </c>
      <c r="T58" s="178">
        <v>0</v>
      </c>
      <c r="U58" s="178">
        <v>0</v>
      </c>
      <c r="V58" s="178">
        <v>0</v>
      </c>
      <c r="W58" s="178">
        <v>0</v>
      </c>
      <c r="X58" s="178">
        <v>0</v>
      </c>
      <c r="Y58" s="178">
        <v>0</v>
      </c>
      <c r="Z58" s="178">
        <v>0</v>
      </c>
      <c r="AA58" s="178">
        <v>0</v>
      </c>
      <c r="AB58" s="178">
        <v>0</v>
      </c>
      <c r="AC58" s="178">
        <v>0</v>
      </c>
    </row>
    <row r="59" spans="1:35" outlineLevel="1" x14ac:dyDescent="0.2">
      <c r="A59" s="1058"/>
      <c r="B59" s="96"/>
      <c r="C59" s="37" t="s">
        <v>453</v>
      </c>
      <c r="D59" s="152" t="str">
        <f t="shared" si="13"/>
        <v>th_t2</v>
      </c>
      <c r="E59" s="425" t="s">
        <v>903</v>
      </c>
      <c r="F59" s="425" t="s">
        <v>903</v>
      </c>
      <c r="G59" s="425" t="s">
        <v>903</v>
      </c>
      <c r="H59" s="400" t="s">
        <v>903</v>
      </c>
      <c r="I59" s="62" t="str">
        <f t="shared" si="1"/>
        <v>kWh</v>
      </c>
      <c r="J59" s="249">
        <f t="shared" si="14"/>
        <v>0</v>
      </c>
      <c r="K59" s="177">
        <v>0</v>
      </c>
      <c r="L59" s="178">
        <v>0</v>
      </c>
      <c r="M59" s="178">
        <v>0</v>
      </c>
      <c r="N59" s="272">
        <f>INDEX(R59:AC59,1,N$16)*Diagram_NEW!$BB$21</f>
        <v>0</v>
      </c>
      <c r="O59" s="86"/>
      <c r="R59" s="178">
        <v>0</v>
      </c>
      <c r="S59" s="178">
        <v>0</v>
      </c>
      <c r="T59" s="178">
        <v>0</v>
      </c>
      <c r="U59" s="178">
        <v>0</v>
      </c>
      <c r="V59" s="178">
        <v>0</v>
      </c>
      <c r="W59" s="178">
        <v>0</v>
      </c>
      <c r="X59" s="178">
        <v>0</v>
      </c>
      <c r="Y59" s="178">
        <v>0</v>
      </c>
      <c r="Z59" s="178">
        <v>0</v>
      </c>
      <c r="AA59" s="178">
        <v>0</v>
      </c>
      <c r="AB59" s="178">
        <v>0</v>
      </c>
      <c r="AC59" s="178">
        <v>0</v>
      </c>
    </row>
    <row r="60" spans="1:35" outlineLevel="1" x14ac:dyDescent="0.2">
      <c r="A60" s="1058"/>
      <c r="B60" s="96"/>
      <c r="C60" s="37" t="s">
        <v>454</v>
      </c>
      <c r="D60" s="152" t="str">
        <f t="shared" si="13"/>
        <v>th_t3</v>
      </c>
      <c r="E60" s="425" t="s">
        <v>904</v>
      </c>
      <c r="F60" s="425" t="s">
        <v>904</v>
      </c>
      <c r="G60" s="425" t="s">
        <v>904</v>
      </c>
      <c r="H60" s="400" t="s">
        <v>904</v>
      </c>
      <c r="I60" s="62" t="str">
        <f t="shared" si="1"/>
        <v>kWh</v>
      </c>
      <c r="J60" s="249">
        <f t="shared" si="14"/>
        <v>0</v>
      </c>
      <c r="K60" s="177">
        <v>0</v>
      </c>
      <c r="L60" s="178">
        <v>0</v>
      </c>
      <c r="M60" s="178">
        <v>0</v>
      </c>
      <c r="N60" s="272">
        <f>INDEX(R60:AC60,1,N$16)*Diagram_NEW!$BB$21</f>
        <v>0</v>
      </c>
      <c r="O60" s="86"/>
      <c r="R60" s="178">
        <v>0</v>
      </c>
      <c r="S60" s="178">
        <v>0</v>
      </c>
      <c r="T60" s="178">
        <v>0</v>
      </c>
      <c r="U60" s="178">
        <v>0</v>
      </c>
      <c r="V60" s="178">
        <v>0</v>
      </c>
      <c r="W60" s="178">
        <v>0</v>
      </c>
      <c r="X60" s="178">
        <v>0</v>
      </c>
      <c r="Y60" s="178">
        <v>0</v>
      </c>
      <c r="Z60" s="178">
        <v>0</v>
      </c>
      <c r="AA60" s="178">
        <v>0</v>
      </c>
      <c r="AB60" s="178">
        <v>0</v>
      </c>
      <c r="AC60" s="178">
        <v>0</v>
      </c>
    </row>
    <row r="61" spans="1:35" outlineLevel="1" x14ac:dyDescent="0.2">
      <c r="A61" s="1058"/>
      <c r="B61" s="96"/>
      <c r="C61" s="37" t="s">
        <v>455</v>
      </c>
      <c r="D61" s="152" t="str">
        <f t="shared" si="13"/>
        <v>th_t4</v>
      </c>
      <c r="E61" s="425" t="s">
        <v>905</v>
      </c>
      <c r="F61" s="425" t="s">
        <v>905</v>
      </c>
      <c r="G61" s="425" t="s">
        <v>905</v>
      </c>
      <c r="H61" s="400" t="s">
        <v>905</v>
      </c>
      <c r="I61" s="62" t="str">
        <f t="shared" si="1"/>
        <v>kWh</v>
      </c>
      <c r="J61" s="249">
        <f t="shared" si="14"/>
        <v>0</v>
      </c>
      <c r="K61" s="177">
        <v>100</v>
      </c>
      <c r="L61" s="178">
        <v>100</v>
      </c>
      <c r="M61" s="178">
        <v>100</v>
      </c>
      <c r="N61" s="272">
        <f>INDEX(R61:AC61,1,N$16)*Diagram_NEW!$BB$21</f>
        <v>0</v>
      </c>
      <c r="O61" s="86"/>
      <c r="R61" s="178">
        <v>0</v>
      </c>
      <c r="S61" s="178">
        <v>0</v>
      </c>
      <c r="T61" s="178">
        <v>0</v>
      </c>
      <c r="U61" s="178">
        <v>0</v>
      </c>
      <c r="V61" s="178">
        <v>0</v>
      </c>
      <c r="W61" s="178">
        <v>0</v>
      </c>
      <c r="X61" s="178">
        <v>0</v>
      </c>
      <c r="Y61" s="178">
        <v>0</v>
      </c>
      <c r="Z61" s="178">
        <v>0</v>
      </c>
      <c r="AA61" s="178">
        <v>0</v>
      </c>
      <c r="AB61" s="178">
        <v>0</v>
      </c>
      <c r="AC61" s="178">
        <v>0</v>
      </c>
    </row>
    <row r="62" spans="1:35" outlineLevel="1" x14ac:dyDescent="0.2">
      <c r="A62" s="1058"/>
      <c r="B62" s="96"/>
      <c r="C62" s="37" t="s">
        <v>456</v>
      </c>
      <c r="D62" s="152" t="str">
        <f t="shared" si="13"/>
        <v>th_t5</v>
      </c>
      <c r="E62" s="425" t="s">
        <v>906</v>
      </c>
      <c r="F62" s="425" t="s">
        <v>906</v>
      </c>
      <c r="G62" s="425" t="s">
        <v>906</v>
      </c>
      <c r="H62" s="400" t="s">
        <v>906</v>
      </c>
      <c r="I62" s="62" t="str">
        <f t="shared" si="1"/>
        <v>kWh</v>
      </c>
      <c r="J62" s="249">
        <f t="shared" si="14"/>
        <v>50</v>
      </c>
      <c r="K62" s="177">
        <v>200</v>
      </c>
      <c r="L62" s="178">
        <v>200</v>
      </c>
      <c r="M62" s="178">
        <v>200</v>
      </c>
      <c r="N62" s="272">
        <f>INDEX(R62:AC62,1,N$16)*Diagram_NEW!$BB$21</f>
        <v>50</v>
      </c>
      <c r="O62" s="86"/>
      <c r="R62" s="178">
        <v>50</v>
      </c>
      <c r="S62" s="178">
        <v>50</v>
      </c>
      <c r="T62" s="178">
        <v>0</v>
      </c>
      <c r="U62" s="178">
        <v>0</v>
      </c>
      <c r="V62" s="178">
        <v>0</v>
      </c>
      <c r="W62" s="178">
        <v>0</v>
      </c>
      <c r="X62" s="178">
        <v>0</v>
      </c>
      <c r="Y62" s="178">
        <v>0</v>
      </c>
      <c r="Z62" s="178">
        <v>0</v>
      </c>
      <c r="AA62" s="178">
        <v>0</v>
      </c>
      <c r="AB62" s="178">
        <v>0</v>
      </c>
      <c r="AC62" s="178">
        <v>0</v>
      </c>
    </row>
    <row r="63" spans="1:35" outlineLevel="1" x14ac:dyDescent="0.2">
      <c r="A63" s="1058"/>
      <c r="B63" s="96"/>
      <c r="C63" s="37" t="s">
        <v>457</v>
      </c>
      <c r="D63" s="152" t="str">
        <f t="shared" si="13"/>
        <v>th_t6</v>
      </c>
      <c r="E63" s="425" t="s">
        <v>907</v>
      </c>
      <c r="F63" s="425" t="s">
        <v>907</v>
      </c>
      <c r="G63" s="425" t="s">
        <v>907</v>
      </c>
      <c r="H63" s="400" t="s">
        <v>907</v>
      </c>
      <c r="I63" s="62" t="str">
        <f t="shared" si="1"/>
        <v>kWh</v>
      </c>
      <c r="J63" s="249">
        <f t="shared" si="14"/>
        <v>200</v>
      </c>
      <c r="K63" s="177">
        <v>500</v>
      </c>
      <c r="L63" s="178">
        <v>500</v>
      </c>
      <c r="M63" s="178">
        <v>500</v>
      </c>
      <c r="N63" s="272">
        <f>INDEX(R63:AC63,1,N$16)*Diagram_NEW!$BB$21</f>
        <v>200</v>
      </c>
      <c r="O63" s="86"/>
      <c r="R63" s="178">
        <v>200</v>
      </c>
      <c r="S63" s="178">
        <v>200</v>
      </c>
      <c r="T63" s="178">
        <v>0</v>
      </c>
      <c r="U63" s="178">
        <v>0</v>
      </c>
      <c r="V63" s="178">
        <v>0</v>
      </c>
      <c r="W63" s="178">
        <v>0</v>
      </c>
      <c r="X63" s="178">
        <v>0</v>
      </c>
      <c r="Y63" s="178">
        <v>0</v>
      </c>
      <c r="Z63" s="178">
        <v>0</v>
      </c>
      <c r="AA63" s="178">
        <v>0</v>
      </c>
      <c r="AB63" s="178">
        <v>0</v>
      </c>
      <c r="AC63" s="178">
        <v>0</v>
      </c>
    </row>
    <row r="64" spans="1:35" outlineLevel="1" x14ac:dyDescent="0.2">
      <c r="A64" s="1058"/>
      <c r="B64" s="96"/>
      <c r="C64" s="37" t="s">
        <v>458</v>
      </c>
      <c r="D64" s="152" t="str">
        <f t="shared" si="13"/>
        <v>th_t7</v>
      </c>
      <c r="E64" s="425" t="s">
        <v>908</v>
      </c>
      <c r="F64" s="425" t="s">
        <v>908</v>
      </c>
      <c r="G64" s="425" t="s">
        <v>908</v>
      </c>
      <c r="H64" s="400" t="s">
        <v>908</v>
      </c>
      <c r="I64" s="62" t="str">
        <f t="shared" si="1"/>
        <v>kWh</v>
      </c>
      <c r="J64" s="249">
        <f t="shared" si="14"/>
        <v>300</v>
      </c>
      <c r="K64" s="177">
        <v>600</v>
      </c>
      <c r="L64" s="178">
        <v>600</v>
      </c>
      <c r="M64" s="178">
        <v>600</v>
      </c>
      <c r="N64" s="272">
        <f>INDEX(R64:AC64,1,N$16)*Diagram_NEW!$BB$21</f>
        <v>300</v>
      </c>
      <c r="O64" s="86"/>
      <c r="R64" s="178">
        <v>300</v>
      </c>
      <c r="S64" s="178">
        <v>300</v>
      </c>
      <c r="T64" s="178">
        <v>0</v>
      </c>
      <c r="U64" s="178">
        <v>0</v>
      </c>
      <c r="V64" s="178">
        <v>0</v>
      </c>
      <c r="W64" s="178">
        <v>0</v>
      </c>
      <c r="X64" s="178">
        <v>0</v>
      </c>
      <c r="Y64" s="178">
        <v>0</v>
      </c>
      <c r="Z64" s="178">
        <v>0</v>
      </c>
      <c r="AA64" s="178">
        <v>0</v>
      </c>
      <c r="AB64" s="178">
        <v>0</v>
      </c>
      <c r="AC64" s="178">
        <v>0</v>
      </c>
    </row>
    <row r="65" spans="1:29" outlineLevel="1" x14ac:dyDescent="0.2">
      <c r="A65" s="1058"/>
      <c r="B65" s="96"/>
      <c r="C65" s="37" t="s">
        <v>459</v>
      </c>
      <c r="D65" s="152" t="str">
        <f t="shared" si="13"/>
        <v>th_t8</v>
      </c>
      <c r="E65" s="425" t="s">
        <v>909</v>
      </c>
      <c r="F65" s="425" t="s">
        <v>909</v>
      </c>
      <c r="G65" s="425" t="s">
        <v>909</v>
      </c>
      <c r="H65" s="400" t="s">
        <v>909</v>
      </c>
      <c r="I65" s="62" t="str">
        <f t="shared" si="1"/>
        <v>kWh</v>
      </c>
      <c r="J65" s="249">
        <f t="shared" si="14"/>
        <v>250</v>
      </c>
      <c r="K65" s="177">
        <v>550</v>
      </c>
      <c r="L65" s="178">
        <v>550</v>
      </c>
      <c r="M65" s="178">
        <v>550</v>
      </c>
      <c r="N65" s="272">
        <f>INDEX(R65:AC65,1,N$16)*Diagram_NEW!$BB$21</f>
        <v>250</v>
      </c>
      <c r="O65" s="86"/>
      <c r="R65" s="178">
        <v>250</v>
      </c>
      <c r="S65" s="178">
        <v>250</v>
      </c>
      <c r="T65" s="178">
        <v>0</v>
      </c>
      <c r="U65" s="178">
        <v>0</v>
      </c>
      <c r="V65" s="178">
        <v>0</v>
      </c>
      <c r="W65" s="178">
        <v>0</v>
      </c>
      <c r="X65" s="178">
        <v>0</v>
      </c>
      <c r="Y65" s="178">
        <v>0</v>
      </c>
      <c r="Z65" s="178">
        <v>0</v>
      </c>
      <c r="AA65" s="178">
        <v>0</v>
      </c>
      <c r="AB65" s="178">
        <v>0</v>
      </c>
      <c r="AC65" s="178">
        <v>0</v>
      </c>
    </row>
    <row r="66" spans="1:29" outlineLevel="1" x14ac:dyDescent="0.2">
      <c r="A66" s="1058"/>
      <c r="B66" s="96"/>
      <c r="C66" s="37" t="s">
        <v>460</v>
      </c>
      <c r="D66" s="152" t="str">
        <f t="shared" si="13"/>
        <v>th_t9</v>
      </c>
      <c r="E66" s="425" t="s">
        <v>910</v>
      </c>
      <c r="F66" s="425" t="s">
        <v>910</v>
      </c>
      <c r="G66" s="425" t="s">
        <v>910</v>
      </c>
      <c r="H66" s="400" t="s">
        <v>910</v>
      </c>
      <c r="I66" s="62" t="str">
        <f t="shared" si="1"/>
        <v>kWh</v>
      </c>
      <c r="J66" s="249">
        <f t="shared" si="14"/>
        <v>150</v>
      </c>
      <c r="K66" s="177">
        <v>250</v>
      </c>
      <c r="L66" s="178">
        <v>250</v>
      </c>
      <c r="M66" s="178">
        <v>250</v>
      </c>
      <c r="N66" s="272">
        <f>INDEX(R66:AC66,1,N$16)*Diagram_NEW!$BB$21</f>
        <v>150</v>
      </c>
      <c r="O66" s="86"/>
      <c r="R66" s="178">
        <v>150</v>
      </c>
      <c r="S66" s="178">
        <v>150</v>
      </c>
      <c r="T66" s="178">
        <v>0</v>
      </c>
      <c r="U66" s="178">
        <v>0</v>
      </c>
      <c r="V66" s="178">
        <v>0</v>
      </c>
      <c r="W66" s="178">
        <v>0</v>
      </c>
      <c r="X66" s="178">
        <v>0</v>
      </c>
      <c r="Y66" s="178">
        <v>0</v>
      </c>
      <c r="Z66" s="178">
        <v>0</v>
      </c>
      <c r="AA66" s="178">
        <v>0</v>
      </c>
      <c r="AB66" s="178">
        <v>0</v>
      </c>
      <c r="AC66" s="178">
        <v>0</v>
      </c>
    </row>
    <row r="67" spans="1:29" outlineLevel="1" x14ac:dyDescent="0.2">
      <c r="A67" s="1058"/>
      <c r="B67" s="96"/>
      <c r="C67" s="37" t="s">
        <v>461</v>
      </c>
      <c r="D67" s="152" t="str">
        <f t="shared" si="13"/>
        <v>th_t10</v>
      </c>
      <c r="E67" s="425" t="s">
        <v>911</v>
      </c>
      <c r="F67" s="425" t="s">
        <v>911</v>
      </c>
      <c r="G67" s="425" t="s">
        <v>911</v>
      </c>
      <c r="H67" s="400" t="s">
        <v>911</v>
      </c>
      <c r="I67" s="62" t="str">
        <f t="shared" si="1"/>
        <v>kWh</v>
      </c>
      <c r="J67" s="249">
        <f t="shared" si="14"/>
        <v>0</v>
      </c>
      <c r="K67" s="177">
        <v>0</v>
      </c>
      <c r="L67" s="178">
        <v>0</v>
      </c>
      <c r="M67" s="178">
        <v>0</v>
      </c>
      <c r="N67" s="272">
        <f>INDEX(R67:AC67,1,N$16)*Diagram_NEW!$BB$21</f>
        <v>0</v>
      </c>
      <c r="O67" s="86"/>
      <c r="R67" s="178">
        <v>0</v>
      </c>
      <c r="S67" s="178">
        <v>0</v>
      </c>
      <c r="T67" s="178">
        <v>0</v>
      </c>
      <c r="U67" s="178">
        <v>0</v>
      </c>
      <c r="V67" s="178">
        <v>0</v>
      </c>
      <c r="W67" s="178">
        <v>0</v>
      </c>
      <c r="X67" s="178">
        <v>0</v>
      </c>
      <c r="Y67" s="178">
        <v>0</v>
      </c>
      <c r="Z67" s="178">
        <v>0</v>
      </c>
      <c r="AA67" s="178">
        <v>0</v>
      </c>
      <c r="AB67" s="178">
        <v>0</v>
      </c>
      <c r="AC67" s="178">
        <v>0</v>
      </c>
    </row>
    <row r="68" spans="1:29" outlineLevel="1" x14ac:dyDescent="0.2">
      <c r="A68" s="1058"/>
      <c r="B68" s="96"/>
      <c r="C68" s="37" t="s">
        <v>462</v>
      </c>
      <c r="D68" s="152" t="str">
        <f t="shared" si="13"/>
        <v>th_t11</v>
      </c>
      <c r="E68" s="425" t="s">
        <v>912</v>
      </c>
      <c r="F68" s="425" t="s">
        <v>912</v>
      </c>
      <c r="G68" s="425" t="s">
        <v>912</v>
      </c>
      <c r="H68" s="400" t="s">
        <v>912</v>
      </c>
      <c r="I68" s="62" t="str">
        <f t="shared" si="1"/>
        <v>kWh</v>
      </c>
      <c r="J68" s="249">
        <f t="shared" si="14"/>
        <v>0</v>
      </c>
      <c r="K68" s="177">
        <v>0</v>
      </c>
      <c r="L68" s="178">
        <v>0</v>
      </c>
      <c r="M68" s="178">
        <v>0</v>
      </c>
      <c r="N68" s="272">
        <f>INDEX(R68:AC68,1,N$16)*Diagram_NEW!$BB$21</f>
        <v>0</v>
      </c>
      <c r="O68" s="86"/>
      <c r="R68" s="178">
        <v>0</v>
      </c>
      <c r="S68" s="178">
        <v>0</v>
      </c>
      <c r="T68" s="178">
        <v>0</v>
      </c>
      <c r="U68" s="178">
        <v>0</v>
      </c>
      <c r="V68" s="178">
        <v>0</v>
      </c>
      <c r="W68" s="178">
        <v>0</v>
      </c>
      <c r="X68" s="178">
        <v>0</v>
      </c>
      <c r="Y68" s="178">
        <v>0</v>
      </c>
      <c r="Z68" s="178">
        <v>0</v>
      </c>
      <c r="AA68" s="178">
        <v>0</v>
      </c>
      <c r="AB68" s="178">
        <v>0</v>
      </c>
      <c r="AC68" s="178">
        <v>0</v>
      </c>
    </row>
    <row r="69" spans="1:29" ht="13.5" outlineLevel="1" thickBot="1" x14ac:dyDescent="0.25">
      <c r="A69" s="1058"/>
      <c r="B69" s="220"/>
      <c r="C69" s="221" t="s">
        <v>463</v>
      </c>
      <c r="D69" s="152" t="str">
        <f t="shared" si="13"/>
        <v>th_t12</v>
      </c>
      <c r="E69" s="426" t="s">
        <v>913</v>
      </c>
      <c r="F69" s="426" t="s">
        <v>913</v>
      </c>
      <c r="G69" s="426" t="s">
        <v>913</v>
      </c>
      <c r="H69" s="401" t="s">
        <v>913</v>
      </c>
      <c r="I69" s="223" t="str">
        <f t="shared" si="1"/>
        <v>kWh</v>
      </c>
      <c r="J69" s="250">
        <f t="shared" si="14"/>
        <v>0</v>
      </c>
      <c r="K69" s="224">
        <v>0</v>
      </c>
      <c r="L69" s="225">
        <v>0</v>
      </c>
      <c r="M69" s="225">
        <v>0</v>
      </c>
      <c r="N69" s="279">
        <f>INDEX(R69:AC69,1,N$16)*Diagram_NEW!$BB$21</f>
        <v>0</v>
      </c>
      <c r="O69" s="280"/>
      <c r="R69" s="225">
        <v>0</v>
      </c>
      <c r="S69" s="225">
        <v>0</v>
      </c>
      <c r="T69" s="225">
        <v>0</v>
      </c>
      <c r="U69" s="225">
        <v>0</v>
      </c>
      <c r="V69" s="225">
        <v>0</v>
      </c>
      <c r="W69" s="225">
        <v>0</v>
      </c>
      <c r="X69" s="225">
        <v>0</v>
      </c>
      <c r="Y69" s="225">
        <v>0</v>
      </c>
      <c r="Z69" s="225">
        <v>0</v>
      </c>
      <c r="AA69" s="225">
        <v>0</v>
      </c>
      <c r="AB69" s="225">
        <v>0</v>
      </c>
      <c r="AC69" s="225">
        <v>0</v>
      </c>
    </row>
    <row r="70" spans="1:29" ht="21" customHeight="1" x14ac:dyDescent="0.2">
      <c r="A70" s="1058"/>
      <c r="B70" s="212" t="str">
        <f>"      "&amp;INDEX(Language!$D$13:$M$13,1,_language)&amp;" "&amp;INDEX(Language!$D$19:$M$19,1,_language)</f>
        <v xml:space="preserve">      dehumidification if not included in cooling</v>
      </c>
      <c r="C70" s="213" t="s">
        <v>66</v>
      </c>
      <c r="D70" s="214" t="str">
        <f t="shared" si="13"/>
        <v>th_y</v>
      </c>
      <c r="E70" s="424" t="s">
        <v>899</v>
      </c>
      <c r="F70" s="424" t="s">
        <v>899</v>
      </c>
      <c r="G70" s="424" t="s">
        <v>899</v>
      </c>
      <c r="H70" s="399" t="s">
        <v>899</v>
      </c>
      <c r="I70" s="215" t="str">
        <f t="shared" si="1"/>
        <v>kWh</v>
      </c>
      <c r="J70" s="248">
        <f t="shared" si="14"/>
        <v>0</v>
      </c>
      <c r="K70" s="216">
        <f>SUM(K71:K82)</f>
        <v>0</v>
      </c>
      <c r="L70" s="217">
        <f>SUM(L71:L82)</f>
        <v>0</v>
      </c>
      <c r="M70" s="217">
        <f>SUM(M71:M82)</f>
        <v>0</v>
      </c>
      <c r="N70" s="218">
        <f>SUM(N71:N82)</f>
        <v>0</v>
      </c>
      <c r="O70" s="256"/>
      <c r="R70" s="217"/>
      <c r="S70" s="217"/>
      <c r="T70" s="217"/>
      <c r="U70" s="217"/>
      <c r="V70" s="217"/>
      <c r="W70" s="217"/>
      <c r="X70" s="217"/>
      <c r="Y70" s="217"/>
      <c r="Z70" s="217"/>
      <c r="AA70" s="217"/>
      <c r="AB70" s="217"/>
      <c r="AC70" s="217"/>
    </row>
    <row r="71" spans="1:29" outlineLevel="1" x14ac:dyDescent="0.2">
      <c r="A71" s="1058"/>
      <c r="B71" s="96"/>
      <c r="C71" s="37" t="s">
        <v>464</v>
      </c>
      <c r="D71" s="152" t="str">
        <f t="shared" si="13"/>
        <v>th_t1</v>
      </c>
      <c r="E71" s="425" t="s">
        <v>902</v>
      </c>
      <c r="F71" s="425" t="s">
        <v>902</v>
      </c>
      <c r="G71" s="425" t="s">
        <v>902</v>
      </c>
      <c r="H71" s="400" t="s">
        <v>902</v>
      </c>
      <c r="I71" s="62" t="str">
        <f t="shared" si="1"/>
        <v>kWh</v>
      </c>
      <c r="J71" s="249">
        <f t="shared" si="14"/>
        <v>0</v>
      </c>
      <c r="K71" s="177">
        <v>0</v>
      </c>
      <c r="L71" s="178">
        <v>0</v>
      </c>
      <c r="M71" s="178">
        <v>0</v>
      </c>
      <c r="N71" s="272">
        <f t="shared" ref="N71:N82" si="15">INDEX(R71:AC71,1,N$16)</f>
        <v>0</v>
      </c>
      <c r="O71" s="86"/>
      <c r="R71" s="608">
        <v>0</v>
      </c>
      <c r="S71" s="608">
        <v>0</v>
      </c>
      <c r="T71" s="178">
        <v>0</v>
      </c>
      <c r="U71" s="178">
        <v>0</v>
      </c>
      <c r="V71" s="178">
        <v>0</v>
      </c>
      <c r="W71" s="178">
        <v>0</v>
      </c>
      <c r="X71" s="178">
        <v>0</v>
      </c>
      <c r="Y71" s="178">
        <v>0</v>
      </c>
      <c r="Z71" s="178">
        <v>0</v>
      </c>
      <c r="AA71" s="178">
        <v>0</v>
      </c>
      <c r="AB71" s="178">
        <v>0</v>
      </c>
      <c r="AC71" s="178">
        <v>0</v>
      </c>
    </row>
    <row r="72" spans="1:29" outlineLevel="1" x14ac:dyDescent="0.2">
      <c r="A72" s="1058"/>
      <c r="B72" s="96"/>
      <c r="C72" s="37" t="s">
        <v>465</v>
      </c>
      <c r="D72" s="152" t="str">
        <f t="shared" si="13"/>
        <v>th_t2</v>
      </c>
      <c r="E72" s="425" t="s">
        <v>903</v>
      </c>
      <c r="F72" s="425" t="s">
        <v>903</v>
      </c>
      <c r="G72" s="425" t="s">
        <v>903</v>
      </c>
      <c r="H72" s="400" t="s">
        <v>903</v>
      </c>
      <c r="I72" s="62" t="str">
        <f t="shared" si="1"/>
        <v>kWh</v>
      </c>
      <c r="J72" s="249">
        <f t="shared" si="14"/>
        <v>0</v>
      </c>
      <c r="K72" s="177">
        <v>0</v>
      </c>
      <c r="L72" s="178">
        <v>0</v>
      </c>
      <c r="M72" s="178">
        <v>0</v>
      </c>
      <c r="N72" s="272">
        <f t="shared" si="15"/>
        <v>0</v>
      </c>
      <c r="O72" s="86"/>
      <c r="R72" s="178">
        <f t="shared" ref="R72:R82" si="16">+R71</f>
        <v>0</v>
      </c>
      <c r="S72" s="178">
        <f t="shared" ref="S72:S82" si="17">+S71</f>
        <v>0</v>
      </c>
      <c r="T72" s="178">
        <v>0</v>
      </c>
      <c r="U72" s="178">
        <v>0</v>
      </c>
      <c r="V72" s="178">
        <v>0</v>
      </c>
      <c r="W72" s="178">
        <v>0</v>
      </c>
      <c r="X72" s="178">
        <v>0</v>
      </c>
      <c r="Y72" s="178">
        <v>0</v>
      </c>
      <c r="Z72" s="178">
        <v>0</v>
      </c>
      <c r="AA72" s="178">
        <v>0</v>
      </c>
      <c r="AB72" s="178">
        <v>0</v>
      </c>
      <c r="AC72" s="178">
        <v>0</v>
      </c>
    </row>
    <row r="73" spans="1:29" outlineLevel="1" x14ac:dyDescent="0.2">
      <c r="A73" s="1058"/>
      <c r="B73" s="96"/>
      <c r="C73" s="37" t="s">
        <v>466</v>
      </c>
      <c r="D73" s="152" t="str">
        <f t="shared" si="13"/>
        <v>th_t3</v>
      </c>
      <c r="E73" s="425" t="s">
        <v>904</v>
      </c>
      <c r="F73" s="425" t="s">
        <v>904</v>
      </c>
      <c r="G73" s="425" t="s">
        <v>904</v>
      </c>
      <c r="H73" s="400" t="s">
        <v>904</v>
      </c>
      <c r="I73" s="62" t="str">
        <f t="shared" si="1"/>
        <v>kWh</v>
      </c>
      <c r="J73" s="249">
        <f t="shared" si="14"/>
        <v>0</v>
      </c>
      <c r="K73" s="177">
        <v>0</v>
      </c>
      <c r="L73" s="178">
        <v>0</v>
      </c>
      <c r="M73" s="178">
        <v>0</v>
      </c>
      <c r="N73" s="272">
        <f t="shared" si="15"/>
        <v>0</v>
      </c>
      <c r="O73" s="86"/>
      <c r="R73" s="178">
        <f t="shared" si="16"/>
        <v>0</v>
      </c>
      <c r="S73" s="178">
        <f t="shared" si="17"/>
        <v>0</v>
      </c>
      <c r="T73" s="178">
        <v>0</v>
      </c>
      <c r="U73" s="178">
        <v>0</v>
      </c>
      <c r="V73" s="178">
        <v>0</v>
      </c>
      <c r="W73" s="178">
        <v>0</v>
      </c>
      <c r="X73" s="178">
        <v>0</v>
      </c>
      <c r="Y73" s="178">
        <v>0</v>
      </c>
      <c r="Z73" s="178">
        <v>0</v>
      </c>
      <c r="AA73" s="178">
        <v>0</v>
      </c>
      <c r="AB73" s="178">
        <v>0</v>
      </c>
      <c r="AC73" s="178">
        <v>0</v>
      </c>
    </row>
    <row r="74" spans="1:29" outlineLevel="1" x14ac:dyDescent="0.2">
      <c r="A74" s="1058"/>
      <c r="B74" s="96"/>
      <c r="C74" s="37" t="s">
        <v>467</v>
      </c>
      <c r="D74" s="152" t="str">
        <f t="shared" si="13"/>
        <v>th_t4</v>
      </c>
      <c r="E74" s="425" t="s">
        <v>905</v>
      </c>
      <c r="F74" s="425" t="s">
        <v>905</v>
      </c>
      <c r="G74" s="425" t="s">
        <v>905</v>
      </c>
      <c r="H74" s="400" t="s">
        <v>905</v>
      </c>
      <c r="I74" s="62" t="str">
        <f t="shared" si="1"/>
        <v>kWh</v>
      </c>
      <c r="J74" s="249">
        <f t="shared" si="14"/>
        <v>0</v>
      </c>
      <c r="K74" s="177">
        <v>0</v>
      </c>
      <c r="L74" s="178">
        <v>0</v>
      </c>
      <c r="M74" s="178">
        <v>0</v>
      </c>
      <c r="N74" s="272">
        <f t="shared" si="15"/>
        <v>0</v>
      </c>
      <c r="O74" s="86"/>
      <c r="R74" s="178">
        <f t="shared" si="16"/>
        <v>0</v>
      </c>
      <c r="S74" s="178">
        <f t="shared" si="17"/>
        <v>0</v>
      </c>
      <c r="T74" s="178">
        <v>0</v>
      </c>
      <c r="U74" s="178">
        <v>0</v>
      </c>
      <c r="V74" s="178">
        <v>0</v>
      </c>
      <c r="W74" s="178">
        <v>0</v>
      </c>
      <c r="X74" s="178">
        <v>0</v>
      </c>
      <c r="Y74" s="178">
        <v>0</v>
      </c>
      <c r="Z74" s="178">
        <v>0</v>
      </c>
      <c r="AA74" s="178">
        <v>0</v>
      </c>
      <c r="AB74" s="178">
        <v>0</v>
      </c>
      <c r="AC74" s="178">
        <v>0</v>
      </c>
    </row>
    <row r="75" spans="1:29" outlineLevel="1" x14ac:dyDescent="0.2">
      <c r="A75" s="1058"/>
      <c r="B75" s="96"/>
      <c r="C75" s="37" t="s">
        <v>468</v>
      </c>
      <c r="D75" s="152" t="str">
        <f t="shared" si="13"/>
        <v>th_t5</v>
      </c>
      <c r="E75" s="425" t="s">
        <v>906</v>
      </c>
      <c r="F75" s="425" t="s">
        <v>906</v>
      </c>
      <c r="G75" s="425" t="s">
        <v>906</v>
      </c>
      <c r="H75" s="400" t="s">
        <v>906</v>
      </c>
      <c r="I75" s="62" t="str">
        <f t="shared" si="1"/>
        <v>kWh</v>
      </c>
      <c r="J75" s="249">
        <f t="shared" si="14"/>
        <v>0</v>
      </c>
      <c r="K75" s="177">
        <v>0</v>
      </c>
      <c r="L75" s="178">
        <v>0</v>
      </c>
      <c r="M75" s="178">
        <v>0</v>
      </c>
      <c r="N75" s="272">
        <f t="shared" si="15"/>
        <v>0</v>
      </c>
      <c r="O75" s="86"/>
      <c r="R75" s="178">
        <f t="shared" si="16"/>
        <v>0</v>
      </c>
      <c r="S75" s="178">
        <f t="shared" si="17"/>
        <v>0</v>
      </c>
      <c r="T75" s="178">
        <v>0</v>
      </c>
      <c r="U75" s="178">
        <v>0</v>
      </c>
      <c r="V75" s="178">
        <v>0</v>
      </c>
      <c r="W75" s="178">
        <v>0</v>
      </c>
      <c r="X75" s="178">
        <v>0</v>
      </c>
      <c r="Y75" s="178">
        <v>0</v>
      </c>
      <c r="Z75" s="178">
        <v>0</v>
      </c>
      <c r="AA75" s="178">
        <v>0</v>
      </c>
      <c r="AB75" s="178">
        <v>0</v>
      </c>
      <c r="AC75" s="178">
        <v>0</v>
      </c>
    </row>
    <row r="76" spans="1:29" outlineLevel="1" x14ac:dyDescent="0.2">
      <c r="A76" s="1058"/>
      <c r="B76" s="96"/>
      <c r="C76" s="37" t="s">
        <v>469</v>
      </c>
      <c r="D76" s="152" t="str">
        <f t="shared" si="13"/>
        <v>th_t6</v>
      </c>
      <c r="E76" s="425" t="s">
        <v>907</v>
      </c>
      <c r="F76" s="425" t="s">
        <v>907</v>
      </c>
      <c r="G76" s="425" t="s">
        <v>907</v>
      </c>
      <c r="H76" s="400" t="s">
        <v>907</v>
      </c>
      <c r="I76" s="62" t="str">
        <f t="shared" si="1"/>
        <v>kWh</v>
      </c>
      <c r="J76" s="249">
        <f t="shared" si="14"/>
        <v>0</v>
      </c>
      <c r="K76" s="177">
        <v>0</v>
      </c>
      <c r="L76" s="178">
        <v>0</v>
      </c>
      <c r="M76" s="178">
        <v>0</v>
      </c>
      <c r="N76" s="272">
        <f t="shared" si="15"/>
        <v>0</v>
      </c>
      <c r="O76" s="86"/>
      <c r="R76" s="178">
        <f t="shared" si="16"/>
        <v>0</v>
      </c>
      <c r="S76" s="178">
        <f t="shared" si="17"/>
        <v>0</v>
      </c>
      <c r="T76" s="178">
        <v>0</v>
      </c>
      <c r="U76" s="178">
        <v>0</v>
      </c>
      <c r="V76" s="178">
        <v>0</v>
      </c>
      <c r="W76" s="178">
        <v>0</v>
      </c>
      <c r="X76" s="178">
        <v>0</v>
      </c>
      <c r="Y76" s="178">
        <v>0</v>
      </c>
      <c r="Z76" s="178">
        <v>0</v>
      </c>
      <c r="AA76" s="178">
        <v>0</v>
      </c>
      <c r="AB76" s="178">
        <v>0</v>
      </c>
      <c r="AC76" s="178">
        <v>0</v>
      </c>
    </row>
    <row r="77" spans="1:29" outlineLevel="1" x14ac:dyDescent="0.2">
      <c r="A77" s="1058"/>
      <c r="B77" s="96"/>
      <c r="C77" s="37" t="s">
        <v>470</v>
      </c>
      <c r="D77" s="152" t="str">
        <f t="shared" si="13"/>
        <v>th_t7</v>
      </c>
      <c r="E77" s="425" t="s">
        <v>908</v>
      </c>
      <c r="F77" s="425" t="s">
        <v>908</v>
      </c>
      <c r="G77" s="425" t="s">
        <v>908</v>
      </c>
      <c r="H77" s="400" t="s">
        <v>908</v>
      </c>
      <c r="I77" s="62" t="str">
        <f t="shared" si="1"/>
        <v>kWh</v>
      </c>
      <c r="J77" s="249">
        <f t="shared" si="14"/>
        <v>0</v>
      </c>
      <c r="K77" s="177">
        <v>0</v>
      </c>
      <c r="L77" s="178">
        <v>0</v>
      </c>
      <c r="M77" s="178">
        <v>0</v>
      </c>
      <c r="N77" s="272">
        <f t="shared" si="15"/>
        <v>0</v>
      </c>
      <c r="O77" s="86"/>
      <c r="R77" s="178">
        <f t="shared" si="16"/>
        <v>0</v>
      </c>
      <c r="S77" s="178">
        <f t="shared" si="17"/>
        <v>0</v>
      </c>
      <c r="T77" s="178">
        <v>0</v>
      </c>
      <c r="U77" s="178">
        <v>0</v>
      </c>
      <c r="V77" s="178">
        <v>0</v>
      </c>
      <c r="W77" s="178">
        <v>0</v>
      </c>
      <c r="X77" s="178">
        <v>0</v>
      </c>
      <c r="Y77" s="178">
        <v>0</v>
      </c>
      <c r="Z77" s="178">
        <v>0</v>
      </c>
      <c r="AA77" s="178">
        <v>0</v>
      </c>
      <c r="AB77" s="178">
        <v>0</v>
      </c>
      <c r="AC77" s="178">
        <v>0</v>
      </c>
    </row>
    <row r="78" spans="1:29" outlineLevel="1" x14ac:dyDescent="0.2">
      <c r="A78" s="1058"/>
      <c r="B78" s="96"/>
      <c r="C78" s="37" t="s">
        <v>471</v>
      </c>
      <c r="D78" s="152" t="str">
        <f t="shared" si="13"/>
        <v>th_t8</v>
      </c>
      <c r="E78" s="425" t="s">
        <v>909</v>
      </c>
      <c r="F78" s="425" t="s">
        <v>909</v>
      </c>
      <c r="G78" s="425" t="s">
        <v>909</v>
      </c>
      <c r="H78" s="400" t="s">
        <v>909</v>
      </c>
      <c r="I78" s="62" t="str">
        <f t="shared" si="1"/>
        <v>kWh</v>
      </c>
      <c r="J78" s="249">
        <f t="shared" si="14"/>
        <v>0</v>
      </c>
      <c r="K78" s="177">
        <v>0</v>
      </c>
      <c r="L78" s="178">
        <v>0</v>
      </c>
      <c r="M78" s="178">
        <v>0</v>
      </c>
      <c r="N78" s="272">
        <f t="shared" si="15"/>
        <v>0</v>
      </c>
      <c r="O78" s="86"/>
      <c r="R78" s="178">
        <f t="shared" si="16"/>
        <v>0</v>
      </c>
      <c r="S78" s="178">
        <f t="shared" si="17"/>
        <v>0</v>
      </c>
      <c r="T78" s="178">
        <v>0</v>
      </c>
      <c r="U78" s="178">
        <v>0</v>
      </c>
      <c r="V78" s="178">
        <v>0</v>
      </c>
      <c r="W78" s="178">
        <v>0</v>
      </c>
      <c r="X78" s="178">
        <v>0</v>
      </c>
      <c r="Y78" s="178">
        <v>0</v>
      </c>
      <c r="Z78" s="178">
        <v>0</v>
      </c>
      <c r="AA78" s="178">
        <v>0</v>
      </c>
      <c r="AB78" s="178">
        <v>0</v>
      </c>
      <c r="AC78" s="178">
        <v>0</v>
      </c>
    </row>
    <row r="79" spans="1:29" outlineLevel="1" x14ac:dyDescent="0.2">
      <c r="A79" s="1058"/>
      <c r="B79" s="96"/>
      <c r="C79" s="37" t="s">
        <v>472</v>
      </c>
      <c r="D79" s="152" t="str">
        <f t="shared" si="13"/>
        <v>th_t9</v>
      </c>
      <c r="E79" s="425" t="s">
        <v>910</v>
      </c>
      <c r="F79" s="425" t="s">
        <v>910</v>
      </c>
      <c r="G79" s="425" t="s">
        <v>910</v>
      </c>
      <c r="H79" s="400" t="s">
        <v>910</v>
      </c>
      <c r="I79" s="62" t="str">
        <f t="shared" si="1"/>
        <v>kWh</v>
      </c>
      <c r="J79" s="249">
        <f t="shared" si="14"/>
        <v>0</v>
      </c>
      <c r="K79" s="177">
        <v>0</v>
      </c>
      <c r="L79" s="178">
        <v>0</v>
      </c>
      <c r="M79" s="178">
        <v>0</v>
      </c>
      <c r="N79" s="272">
        <f t="shared" si="15"/>
        <v>0</v>
      </c>
      <c r="O79" s="86"/>
      <c r="R79" s="178">
        <f t="shared" si="16"/>
        <v>0</v>
      </c>
      <c r="S79" s="178">
        <f t="shared" si="17"/>
        <v>0</v>
      </c>
      <c r="T79" s="178">
        <v>0</v>
      </c>
      <c r="U79" s="178">
        <v>0</v>
      </c>
      <c r="V79" s="178">
        <v>0</v>
      </c>
      <c r="W79" s="178">
        <v>0</v>
      </c>
      <c r="X79" s="178">
        <v>0</v>
      </c>
      <c r="Y79" s="178">
        <v>0</v>
      </c>
      <c r="Z79" s="178">
        <v>0</v>
      </c>
      <c r="AA79" s="178">
        <v>0</v>
      </c>
      <c r="AB79" s="178">
        <v>0</v>
      </c>
      <c r="AC79" s="178">
        <v>0</v>
      </c>
    </row>
    <row r="80" spans="1:29" outlineLevel="1" x14ac:dyDescent="0.2">
      <c r="A80" s="1058"/>
      <c r="B80" s="96"/>
      <c r="C80" s="37" t="s">
        <v>473</v>
      </c>
      <c r="D80" s="152" t="str">
        <f t="shared" si="13"/>
        <v>th_t10</v>
      </c>
      <c r="E80" s="425" t="s">
        <v>911</v>
      </c>
      <c r="F80" s="425" t="s">
        <v>911</v>
      </c>
      <c r="G80" s="425" t="s">
        <v>911</v>
      </c>
      <c r="H80" s="400" t="s">
        <v>911</v>
      </c>
      <c r="I80" s="62" t="str">
        <f t="shared" si="1"/>
        <v>kWh</v>
      </c>
      <c r="J80" s="249">
        <f t="shared" si="14"/>
        <v>0</v>
      </c>
      <c r="K80" s="177">
        <v>0</v>
      </c>
      <c r="L80" s="178">
        <v>0</v>
      </c>
      <c r="M80" s="178">
        <v>0</v>
      </c>
      <c r="N80" s="272">
        <f t="shared" si="15"/>
        <v>0</v>
      </c>
      <c r="O80" s="86"/>
      <c r="R80" s="178">
        <f t="shared" si="16"/>
        <v>0</v>
      </c>
      <c r="S80" s="178">
        <f t="shared" si="17"/>
        <v>0</v>
      </c>
      <c r="T80" s="178">
        <v>0</v>
      </c>
      <c r="U80" s="178">
        <v>0</v>
      </c>
      <c r="V80" s="178">
        <v>0</v>
      </c>
      <c r="W80" s="178">
        <v>0</v>
      </c>
      <c r="X80" s="178">
        <v>0</v>
      </c>
      <c r="Y80" s="178">
        <v>0</v>
      </c>
      <c r="Z80" s="178">
        <v>0</v>
      </c>
      <c r="AA80" s="178">
        <v>0</v>
      </c>
      <c r="AB80" s="178">
        <v>0</v>
      </c>
      <c r="AC80" s="178">
        <v>0</v>
      </c>
    </row>
    <row r="81" spans="1:29" outlineLevel="1" x14ac:dyDescent="0.2">
      <c r="A81" s="1058"/>
      <c r="B81" s="96"/>
      <c r="C81" s="37" t="s">
        <v>474</v>
      </c>
      <c r="D81" s="152" t="str">
        <f t="shared" si="13"/>
        <v>th_t11</v>
      </c>
      <c r="E81" s="425" t="s">
        <v>912</v>
      </c>
      <c r="F81" s="425" t="s">
        <v>912</v>
      </c>
      <c r="G81" s="425" t="s">
        <v>912</v>
      </c>
      <c r="H81" s="400" t="s">
        <v>912</v>
      </c>
      <c r="I81" s="62" t="str">
        <f t="shared" si="1"/>
        <v>kWh</v>
      </c>
      <c r="J81" s="249">
        <f t="shared" si="14"/>
        <v>0</v>
      </c>
      <c r="K81" s="177">
        <v>0</v>
      </c>
      <c r="L81" s="178">
        <v>0</v>
      </c>
      <c r="M81" s="178">
        <v>0</v>
      </c>
      <c r="N81" s="272">
        <f t="shared" si="15"/>
        <v>0</v>
      </c>
      <c r="O81" s="86"/>
      <c r="R81" s="178">
        <f t="shared" si="16"/>
        <v>0</v>
      </c>
      <c r="S81" s="178">
        <f t="shared" si="17"/>
        <v>0</v>
      </c>
      <c r="T81" s="178">
        <v>0</v>
      </c>
      <c r="U81" s="178">
        <v>0</v>
      </c>
      <c r="V81" s="178">
        <v>0</v>
      </c>
      <c r="W81" s="178">
        <v>0</v>
      </c>
      <c r="X81" s="178">
        <v>0</v>
      </c>
      <c r="Y81" s="178">
        <v>0</v>
      </c>
      <c r="Z81" s="178">
        <v>0</v>
      </c>
      <c r="AA81" s="178">
        <v>0</v>
      </c>
      <c r="AB81" s="178">
        <v>0</v>
      </c>
      <c r="AC81" s="178">
        <v>0</v>
      </c>
    </row>
    <row r="82" spans="1:29" ht="13.5" outlineLevel="1" thickBot="1" x14ac:dyDescent="0.25">
      <c r="A82" s="1058"/>
      <c r="B82" s="220"/>
      <c r="C82" s="221" t="s">
        <v>475</v>
      </c>
      <c r="D82" s="152" t="str">
        <f t="shared" ref="D82" si="18">INDEX(E82:H82,,_case_en)</f>
        <v>th_t12</v>
      </c>
      <c r="E82" s="426" t="s">
        <v>913</v>
      </c>
      <c r="F82" s="426" t="s">
        <v>913</v>
      </c>
      <c r="G82" s="426" t="s">
        <v>913</v>
      </c>
      <c r="H82" s="401" t="s">
        <v>913</v>
      </c>
      <c r="I82" s="223" t="str">
        <f t="shared" si="1"/>
        <v>kWh</v>
      </c>
      <c r="J82" s="250">
        <f t="shared" ref="J82" si="19">INDEX(K82:N82,,_case_en)</f>
        <v>0</v>
      </c>
      <c r="K82" s="224">
        <v>0</v>
      </c>
      <c r="L82" s="225">
        <v>0</v>
      </c>
      <c r="M82" s="225">
        <v>0</v>
      </c>
      <c r="N82" s="279">
        <f t="shared" si="15"/>
        <v>0</v>
      </c>
      <c r="O82" s="280"/>
      <c r="R82" s="225">
        <f t="shared" si="16"/>
        <v>0</v>
      </c>
      <c r="S82" s="225">
        <f t="shared" si="17"/>
        <v>0</v>
      </c>
      <c r="T82" s="225">
        <v>0</v>
      </c>
      <c r="U82" s="225">
        <v>0</v>
      </c>
      <c r="V82" s="225">
        <v>0</v>
      </c>
      <c r="W82" s="225">
        <v>0</v>
      </c>
      <c r="X82" s="225">
        <v>0</v>
      </c>
      <c r="Y82" s="225">
        <v>0</v>
      </c>
      <c r="Z82" s="225">
        <v>0</v>
      </c>
      <c r="AA82" s="225">
        <v>0</v>
      </c>
      <c r="AB82" s="225">
        <v>0</v>
      </c>
      <c r="AC82" s="225">
        <v>0</v>
      </c>
    </row>
    <row r="83" spans="1:29" ht="25.5" x14ac:dyDescent="0.2">
      <c r="A83" s="1058"/>
      <c r="B83" s="238" t="str">
        <f>"      "&amp;INDEX(Language!$D$14:$M$14,1,_language)&amp;" "&amp;INDEX(Language!$D$29:$M$29,1,_language)</f>
        <v xml:space="preserve">      ventilation air transport and -circulation</v>
      </c>
      <c r="C83" s="239" t="s">
        <v>67</v>
      </c>
      <c r="D83" s="214"/>
      <c r="E83" s="399"/>
      <c r="F83" s="399"/>
      <c r="G83" s="399"/>
      <c r="H83" s="399"/>
      <c r="I83" s="215" t="str">
        <f t="shared" si="1"/>
        <v>kWh</v>
      </c>
      <c r="J83" s="240" t="s">
        <v>68</v>
      </c>
      <c r="K83" s="241" t="s">
        <v>68</v>
      </c>
      <c r="L83" s="242" t="s">
        <v>68</v>
      </c>
      <c r="M83" s="242" t="s">
        <v>68</v>
      </c>
      <c r="N83" s="215" t="s">
        <v>68</v>
      </c>
      <c r="O83" s="219" t="s">
        <v>69</v>
      </c>
      <c r="R83" s="242"/>
      <c r="S83" s="242"/>
      <c r="T83" s="242"/>
      <c r="U83" s="242"/>
      <c r="V83" s="242"/>
      <c r="W83" s="242"/>
      <c r="X83" s="242"/>
      <c r="Y83" s="242"/>
      <c r="Z83" s="242"/>
      <c r="AA83" s="242"/>
      <c r="AB83" s="242"/>
      <c r="AC83" s="242"/>
    </row>
    <row r="84" spans="1:29" ht="25.5" x14ac:dyDescent="0.2">
      <c r="A84" s="1058"/>
      <c r="B84" s="97" t="str">
        <f>"      "&amp;INDEX(Language!$D$15:$M$15,1,_language)</f>
        <v xml:space="preserve">      lighting</v>
      </c>
      <c r="C84" s="98" t="s">
        <v>70</v>
      </c>
      <c r="D84" s="152"/>
      <c r="E84" s="400"/>
      <c r="F84" s="400"/>
      <c r="G84" s="400"/>
      <c r="H84" s="400"/>
      <c r="I84" s="62" t="str">
        <f t="shared" si="1"/>
        <v>kWh</v>
      </c>
      <c r="J84" s="131" t="s">
        <v>68</v>
      </c>
      <c r="K84" s="61" t="s">
        <v>68</v>
      </c>
      <c r="L84" s="44" t="s">
        <v>68</v>
      </c>
      <c r="M84" s="44" t="s">
        <v>68</v>
      </c>
      <c r="N84" s="62" t="s">
        <v>68</v>
      </c>
      <c r="O84" s="85" t="s">
        <v>69</v>
      </c>
      <c r="R84" s="44"/>
      <c r="S84" s="44"/>
      <c r="T84" s="44"/>
      <c r="U84" s="44"/>
      <c r="V84" s="44"/>
      <c r="W84" s="44"/>
      <c r="X84" s="44"/>
      <c r="Y84" s="44"/>
      <c r="Z84" s="44"/>
      <c r="AA84" s="44"/>
      <c r="AB84" s="44"/>
      <c r="AC84" s="44"/>
    </row>
    <row r="85" spans="1:29" ht="38.25" x14ac:dyDescent="0.2">
      <c r="A85" s="1058"/>
      <c r="B85" s="97" t="str">
        <f>"      "&amp;INDEX(Language!$D$16:$M$16,1,_language)</f>
        <v xml:space="preserve">      transport (people) in bldng</v>
      </c>
      <c r="C85" s="98" t="s">
        <v>71</v>
      </c>
      <c r="D85" s="152"/>
      <c r="E85" s="400"/>
      <c r="F85" s="400"/>
      <c r="G85" s="400"/>
      <c r="H85" s="400"/>
      <c r="I85" s="62" t="str">
        <f t="shared" si="1"/>
        <v>kWh</v>
      </c>
      <c r="J85" s="131" t="s">
        <v>68</v>
      </c>
      <c r="K85" s="61" t="s">
        <v>68</v>
      </c>
      <c r="L85" s="44" t="s">
        <v>68</v>
      </c>
      <c r="M85" s="44" t="s">
        <v>68</v>
      </c>
      <c r="N85" s="62" t="s">
        <v>68</v>
      </c>
      <c r="O85" s="85" t="s">
        <v>72</v>
      </c>
      <c r="R85" s="44"/>
      <c r="S85" s="44"/>
      <c r="T85" s="44"/>
      <c r="U85" s="44"/>
      <c r="V85" s="44"/>
      <c r="W85" s="44"/>
      <c r="X85" s="44"/>
      <c r="Y85" s="44"/>
      <c r="Z85" s="44"/>
      <c r="AA85" s="44"/>
      <c r="AB85" s="44"/>
      <c r="AC85" s="44"/>
    </row>
    <row r="86" spans="1:29" ht="25.5" x14ac:dyDescent="0.2">
      <c r="A86" s="1058"/>
      <c r="B86" s="97" t="str">
        <f>"      "&amp;INDEX(Language!$D$17:$M$17,1,_language)&amp;" "&amp;INDEX(Language!$D$20:$M$20,1,_language)</f>
        <v xml:space="preserve">      appliances if part of EP</v>
      </c>
      <c r="C86" s="98" t="s">
        <v>73</v>
      </c>
      <c r="D86" s="152"/>
      <c r="E86" s="400"/>
      <c r="F86" s="400"/>
      <c r="G86" s="400"/>
      <c r="H86" s="400"/>
      <c r="I86" s="62" t="str">
        <f t="shared" si="1"/>
        <v>kWh</v>
      </c>
      <c r="J86" s="131" t="s">
        <v>68</v>
      </c>
      <c r="K86" s="61" t="s">
        <v>68</v>
      </c>
      <c r="L86" s="44" t="s">
        <v>68</v>
      </c>
      <c r="M86" s="44" t="s">
        <v>68</v>
      </c>
      <c r="N86" s="62" t="s">
        <v>68</v>
      </c>
      <c r="O86" s="85" t="s">
        <v>69</v>
      </c>
      <c r="R86" s="44"/>
      <c r="S86" s="44"/>
      <c r="T86" s="44"/>
      <c r="U86" s="44"/>
      <c r="V86" s="44"/>
      <c r="W86" s="44"/>
      <c r="X86" s="44"/>
      <c r="Y86" s="44"/>
      <c r="Z86" s="44"/>
      <c r="AA86" s="44"/>
      <c r="AB86" s="44"/>
      <c r="AC86" s="44"/>
    </row>
    <row r="87" spans="1:29" ht="26.25" thickBot="1" x14ac:dyDescent="0.25">
      <c r="A87" s="1058"/>
      <c r="B87" s="243" t="str">
        <f>"      "&amp;INDEX(Language!$D$21:$M$21,1,_language)&amp;" "&amp;INDEX(Language!$D$22:$M$22,1,_language)</f>
        <v xml:space="preserve">      other appliances not included in the energy performance</v>
      </c>
      <c r="C87" s="244" t="s">
        <v>74</v>
      </c>
      <c r="D87" s="222"/>
      <c r="E87" s="403"/>
      <c r="F87" s="403"/>
      <c r="G87" s="403"/>
      <c r="H87" s="403"/>
      <c r="I87" s="223" t="str">
        <f t="shared" si="1"/>
        <v>kWh</v>
      </c>
      <c r="J87" s="245" t="s">
        <v>68</v>
      </c>
      <c r="K87" s="246" t="s">
        <v>68</v>
      </c>
      <c r="L87" s="247" t="s">
        <v>68</v>
      </c>
      <c r="M87" s="247" t="s">
        <v>68</v>
      </c>
      <c r="N87" s="223" t="s">
        <v>68</v>
      </c>
      <c r="O87" s="226" t="s">
        <v>69</v>
      </c>
      <c r="R87" s="247"/>
      <c r="S87" s="247"/>
      <c r="T87" s="247"/>
      <c r="U87" s="247"/>
      <c r="V87" s="247"/>
      <c r="W87" s="247"/>
      <c r="X87" s="247"/>
      <c r="Y87" s="247"/>
      <c r="Z87" s="247"/>
      <c r="AA87" s="247"/>
      <c r="AB87" s="247"/>
      <c r="AC87" s="247"/>
    </row>
    <row r="88" spans="1:29" ht="30.75" customHeight="1" thickBot="1" x14ac:dyDescent="0.25">
      <c r="A88" s="1058"/>
      <c r="B88" s="326" t="str">
        <f>INDEX(Language!$D$97:$M$97,1,_language)</f>
        <v>Technical systems, without generation</v>
      </c>
      <c r="C88" s="990" t="s">
        <v>1763</v>
      </c>
      <c r="D88" s="330"/>
      <c r="E88" s="330"/>
      <c r="F88" s="330"/>
      <c r="G88" s="330"/>
      <c r="H88" s="330"/>
      <c r="I88" s="987"/>
      <c r="J88" s="330"/>
      <c r="K88" s="330"/>
      <c r="L88" s="330"/>
      <c r="M88" s="330"/>
      <c r="N88" s="989"/>
      <c r="O88" s="333"/>
      <c r="R88" s="328"/>
      <c r="S88" s="328"/>
      <c r="T88" s="328"/>
      <c r="U88" s="328"/>
      <c r="V88" s="328"/>
      <c r="W88" s="328"/>
      <c r="X88" s="328"/>
      <c r="Y88" s="328"/>
      <c r="Z88" s="328"/>
      <c r="AA88" s="328"/>
      <c r="AB88" s="328"/>
      <c r="AC88" s="328"/>
    </row>
    <row r="89" spans="1:29" ht="38.25" x14ac:dyDescent="0.2">
      <c r="A89" s="1058"/>
      <c r="B89" s="253" t="str">
        <f>INDEX(Language!D182:M182,1,_language)</f>
        <v>Heating system efficiency except generation</v>
      </c>
      <c r="C89" s="254" t="s">
        <v>477</v>
      </c>
      <c r="D89" s="214"/>
      <c r="E89" s="399"/>
      <c r="F89" s="399"/>
      <c r="G89" s="399"/>
      <c r="H89" s="399"/>
      <c r="I89" s="215" t="s">
        <v>10</v>
      </c>
      <c r="J89" s="255">
        <f>INDEX(K89:N89,,_case_en)</f>
        <v>80</v>
      </c>
      <c r="K89" s="266">
        <v>80</v>
      </c>
      <c r="L89" s="267">
        <v>80</v>
      </c>
      <c r="M89" s="267">
        <v>80</v>
      </c>
      <c r="N89" s="215">
        <f>INDEX(R89:AC89,1,N$16)</f>
        <v>80</v>
      </c>
      <c r="O89" s="256" t="s">
        <v>1327</v>
      </c>
      <c r="R89" s="267">
        <v>80</v>
      </c>
      <c r="S89" s="267">
        <v>80</v>
      </c>
      <c r="T89" s="267">
        <v>80</v>
      </c>
      <c r="U89" s="267">
        <v>80</v>
      </c>
      <c r="V89" s="267">
        <v>80</v>
      </c>
      <c r="W89" s="267">
        <v>80</v>
      </c>
      <c r="X89" s="267">
        <v>80</v>
      </c>
      <c r="Y89" s="267">
        <v>80</v>
      </c>
      <c r="Z89" s="267">
        <v>80</v>
      </c>
      <c r="AA89" s="267">
        <v>80</v>
      </c>
      <c r="AB89" s="267">
        <v>80</v>
      </c>
      <c r="AC89" s="267">
        <v>80</v>
      </c>
    </row>
    <row r="90" spans="1:29" x14ac:dyDescent="0.2">
      <c r="A90" s="1058"/>
      <c r="B90" s="36" t="str">
        <f>INDEX(Language!D183:M183,1,_language)</f>
        <v>Cooling system efficiency except generation</v>
      </c>
      <c r="C90" s="38" t="s">
        <v>482</v>
      </c>
      <c r="D90" s="152"/>
      <c r="E90" s="400"/>
      <c r="F90" s="400"/>
      <c r="G90" s="400"/>
      <c r="H90" s="400"/>
      <c r="I90" s="62" t="s">
        <v>10</v>
      </c>
      <c r="J90" s="257">
        <f>INDEX(K90:N90,,_case_en)</f>
        <v>70</v>
      </c>
      <c r="K90" s="268">
        <v>75</v>
      </c>
      <c r="L90" s="269">
        <v>75</v>
      </c>
      <c r="M90" s="269">
        <v>75</v>
      </c>
      <c r="N90" s="62">
        <f>INDEX(R90:AC90,1,N$16)</f>
        <v>70</v>
      </c>
      <c r="O90" s="86"/>
      <c r="R90" s="269">
        <v>70</v>
      </c>
      <c r="S90" s="269">
        <v>70</v>
      </c>
      <c r="T90" s="269">
        <v>70</v>
      </c>
      <c r="U90" s="269">
        <v>70</v>
      </c>
      <c r="V90" s="269">
        <v>70</v>
      </c>
      <c r="W90" s="269">
        <v>70</v>
      </c>
      <c r="X90" s="269">
        <v>70</v>
      </c>
      <c r="Y90" s="269">
        <v>70</v>
      </c>
      <c r="Z90" s="269">
        <v>70</v>
      </c>
      <c r="AA90" s="269">
        <v>70</v>
      </c>
      <c r="AB90" s="269">
        <v>70</v>
      </c>
      <c r="AC90" s="269">
        <v>70</v>
      </c>
    </row>
    <row r="91" spans="1:29" ht="13.5" thickBot="1" x14ac:dyDescent="0.25">
      <c r="A91" s="1058"/>
      <c r="B91" s="263" t="str">
        <f>INDEX(Language!D184:M184,1,_language)</f>
        <v>Dhw system efficiency except generation</v>
      </c>
      <c r="C91" s="264" t="s">
        <v>483</v>
      </c>
      <c r="D91" s="222"/>
      <c r="E91" s="403"/>
      <c r="F91" s="403"/>
      <c r="G91" s="403"/>
      <c r="H91" s="403"/>
      <c r="I91" s="223" t="s">
        <v>10</v>
      </c>
      <c r="J91" s="265">
        <f>INDEX(K91:N91,,_case_en)</f>
        <v>75</v>
      </c>
      <c r="K91" s="284">
        <v>75</v>
      </c>
      <c r="L91" s="285">
        <v>75</v>
      </c>
      <c r="M91" s="285">
        <v>75</v>
      </c>
      <c r="N91" s="223">
        <f>INDEX(R91:AC91,1,N$16)</f>
        <v>75</v>
      </c>
      <c r="O91" s="280"/>
      <c r="R91" s="285">
        <v>75</v>
      </c>
      <c r="S91" s="285">
        <v>75</v>
      </c>
      <c r="T91" s="285">
        <v>75</v>
      </c>
      <c r="U91" s="285">
        <v>75</v>
      </c>
      <c r="V91" s="285">
        <v>75</v>
      </c>
      <c r="W91" s="285">
        <v>75</v>
      </c>
      <c r="X91" s="285">
        <v>75</v>
      </c>
      <c r="Y91" s="285">
        <v>75</v>
      </c>
      <c r="Z91" s="285">
        <v>75</v>
      </c>
      <c r="AA91" s="285">
        <v>75</v>
      </c>
      <c r="AB91" s="285">
        <v>75</v>
      </c>
      <c r="AC91" s="285">
        <v>75</v>
      </c>
    </row>
    <row r="92" spans="1:29" ht="21.75" customHeight="1" x14ac:dyDescent="0.2">
      <c r="A92" s="1058"/>
      <c r="B92" s="253" t="str">
        <f>INDEX(Language!D198:M198,1,_language)</f>
        <v>Heating generation output for heating and hum</v>
      </c>
      <c r="C92" s="254" t="s">
        <v>512</v>
      </c>
      <c r="D92" s="214"/>
      <c r="E92" s="399"/>
      <c r="F92" s="399"/>
      <c r="G92" s="399"/>
      <c r="H92" s="399"/>
      <c r="I92" s="215" t="str">
        <f t="shared" ref="I92:I267" si="20">+_En_unit</f>
        <v>kWh</v>
      </c>
      <c r="J92" s="248">
        <f>SUM(J93:J104)</f>
        <v>10625</v>
      </c>
      <c r="K92" s="216">
        <f>SUM(K93:K104)</f>
        <v>10625</v>
      </c>
      <c r="L92" s="217">
        <f>SUM(L93:L104)</f>
        <v>10625</v>
      </c>
      <c r="M92" s="217">
        <f>SUM(M93:M104)</f>
        <v>10625</v>
      </c>
      <c r="N92" s="218">
        <f>SUM(N93:N104)</f>
        <v>10625</v>
      </c>
      <c r="O92" s="256"/>
      <c r="R92" s="217"/>
      <c r="S92" s="217"/>
      <c r="T92" s="217"/>
      <c r="U92" s="217"/>
      <c r="V92" s="217"/>
      <c r="W92" s="217"/>
      <c r="X92" s="217"/>
      <c r="Y92" s="217"/>
      <c r="Z92" s="217"/>
      <c r="AA92" s="217"/>
      <c r="AB92" s="217"/>
      <c r="AC92" s="217"/>
    </row>
    <row r="93" spans="1:29" outlineLevel="1" x14ac:dyDescent="0.2">
      <c r="A93" s="1058"/>
      <c r="B93" s="104"/>
      <c r="C93" s="38" t="s">
        <v>513</v>
      </c>
      <c r="D93" s="206"/>
      <c r="E93" s="402"/>
      <c r="F93" s="402"/>
      <c r="G93" s="402"/>
      <c r="H93" s="402"/>
      <c r="I93" s="62" t="str">
        <f t="shared" si="20"/>
        <v>kWh</v>
      </c>
      <c r="J93" s="249">
        <f t="shared" ref="J93:J105" si="21">INDEX(K93:N93,,_case_en)</f>
        <v>2500</v>
      </c>
      <c r="K93" s="208">
        <f t="shared" ref="K93:N104" si="22">+(K19+K45)*100/K$89</f>
        <v>2500</v>
      </c>
      <c r="L93" s="209">
        <f t="shared" si="22"/>
        <v>2500</v>
      </c>
      <c r="M93" s="209">
        <f t="shared" si="22"/>
        <v>2500</v>
      </c>
      <c r="N93" s="210">
        <f t="shared" si="22"/>
        <v>2500</v>
      </c>
      <c r="O93" s="227"/>
      <c r="R93" s="209"/>
      <c r="S93" s="209"/>
      <c r="T93" s="209"/>
      <c r="U93" s="209"/>
      <c r="V93" s="209"/>
      <c r="W93" s="209"/>
      <c r="X93" s="209"/>
      <c r="Y93" s="209"/>
      <c r="Z93" s="209"/>
      <c r="AA93" s="209"/>
      <c r="AB93" s="209"/>
      <c r="AC93" s="209"/>
    </row>
    <row r="94" spans="1:29" outlineLevel="1" x14ac:dyDescent="0.2">
      <c r="A94" s="1058"/>
      <c r="B94" s="104"/>
      <c r="C94" s="38" t="s">
        <v>514</v>
      </c>
      <c r="D94" s="206"/>
      <c r="E94" s="402"/>
      <c r="F94" s="402"/>
      <c r="G94" s="402"/>
      <c r="H94" s="402"/>
      <c r="I94" s="62" t="str">
        <f t="shared" si="20"/>
        <v>kWh</v>
      </c>
      <c r="J94" s="249">
        <f t="shared" si="21"/>
        <v>1875</v>
      </c>
      <c r="K94" s="208">
        <f t="shared" si="22"/>
        <v>1875</v>
      </c>
      <c r="L94" s="209">
        <f t="shared" si="22"/>
        <v>1875</v>
      </c>
      <c r="M94" s="209">
        <f t="shared" si="22"/>
        <v>1875</v>
      </c>
      <c r="N94" s="210">
        <f t="shared" si="22"/>
        <v>1875</v>
      </c>
      <c r="O94" s="227"/>
      <c r="R94" s="209"/>
      <c r="S94" s="209"/>
      <c r="T94" s="209"/>
      <c r="U94" s="209"/>
      <c r="V94" s="209"/>
      <c r="W94" s="209"/>
      <c r="X94" s="209"/>
      <c r="Y94" s="209"/>
      <c r="Z94" s="209"/>
      <c r="AA94" s="209"/>
      <c r="AB94" s="209"/>
      <c r="AC94" s="209"/>
    </row>
    <row r="95" spans="1:29" outlineLevel="1" x14ac:dyDescent="0.2">
      <c r="A95" s="1058"/>
      <c r="B95" s="104"/>
      <c r="C95" s="38" t="s">
        <v>515</v>
      </c>
      <c r="D95" s="206"/>
      <c r="E95" s="402"/>
      <c r="F95" s="402"/>
      <c r="G95" s="402"/>
      <c r="H95" s="402"/>
      <c r="I95" s="62" t="str">
        <f t="shared" si="20"/>
        <v>kWh</v>
      </c>
      <c r="J95" s="249">
        <f t="shared" si="21"/>
        <v>1250</v>
      </c>
      <c r="K95" s="208">
        <f t="shared" si="22"/>
        <v>1250</v>
      </c>
      <c r="L95" s="209">
        <f t="shared" si="22"/>
        <v>1250</v>
      </c>
      <c r="M95" s="209">
        <f t="shared" si="22"/>
        <v>1250</v>
      </c>
      <c r="N95" s="210">
        <f t="shared" si="22"/>
        <v>1250</v>
      </c>
      <c r="O95" s="227"/>
      <c r="R95" s="209"/>
      <c r="S95" s="209"/>
      <c r="T95" s="209"/>
      <c r="U95" s="209"/>
      <c r="V95" s="209"/>
      <c r="W95" s="209"/>
      <c r="X95" s="209"/>
      <c r="Y95" s="209"/>
      <c r="Z95" s="209"/>
      <c r="AA95" s="209"/>
      <c r="AB95" s="209"/>
      <c r="AC95" s="209"/>
    </row>
    <row r="96" spans="1:29" outlineLevel="1" x14ac:dyDescent="0.2">
      <c r="A96" s="1058"/>
      <c r="B96" s="104"/>
      <c r="C96" s="38" t="s">
        <v>516</v>
      </c>
      <c r="D96" s="206"/>
      <c r="E96" s="402"/>
      <c r="F96" s="402"/>
      <c r="G96" s="402"/>
      <c r="H96" s="402"/>
      <c r="I96" s="62" t="str">
        <f t="shared" si="20"/>
        <v>kWh</v>
      </c>
      <c r="J96" s="249">
        <f t="shared" si="21"/>
        <v>625</v>
      </c>
      <c r="K96" s="208">
        <f t="shared" si="22"/>
        <v>625</v>
      </c>
      <c r="L96" s="209">
        <f t="shared" si="22"/>
        <v>625</v>
      </c>
      <c r="M96" s="209">
        <f t="shared" si="22"/>
        <v>625</v>
      </c>
      <c r="N96" s="210">
        <f t="shared" si="22"/>
        <v>625</v>
      </c>
      <c r="O96" s="227"/>
      <c r="R96" s="209"/>
      <c r="S96" s="209"/>
      <c r="T96" s="209"/>
      <c r="U96" s="209"/>
      <c r="V96" s="209"/>
      <c r="W96" s="209"/>
      <c r="X96" s="209"/>
      <c r="Y96" s="209"/>
      <c r="Z96" s="209"/>
      <c r="AA96" s="209"/>
      <c r="AB96" s="209"/>
      <c r="AC96" s="209"/>
    </row>
    <row r="97" spans="1:29" outlineLevel="1" x14ac:dyDescent="0.2">
      <c r="A97" s="1058"/>
      <c r="B97" s="104"/>
      <c r="C97" s="38" t="s">
        <v>517</v>
      </c>
      <c r="D97" s="206"/>
      <c r="E97" s="402"/>
      <c r="F97" s="402"/>
      <c r="G97" s="402"/>
      <c r="H97" s="402"/>
      <c r="I97" s="62" t="str">
        <f t="shared" si="20"/>
        <v>kWh</v>
      </c>
      <c r="J97" s="249">
        <f t="shared" si="21"/>
        <v>0</v>
      </c>
      <c r="K97" s="208">
        <f t="shared" si="22"/>
        <v>0</v>
      </c>
      <c r="L97" s="209">
        <f t="shared" si="22"/>
        <v>0</v>
      </c>
      <c r="M97" s="209">
        <f t="shared" si="22"/>
        <v>0</v>
      </c>
      <c r="N97" s="210">
        <f t="shared" si="22"/>
        <v>0</v>
      </c>
      <c r="O97" s="227"/>
      <c r="R97" s="209"/>
      <c r="S97" s="209"/>
      <c r="T97" s="209"/>
      <c r="U97" s="209"/>
      <c r="V97" s="209"/>
      <c r="W97" s="209"/>
      <c r="X97" s="209"/>
      <c r="Y97" s="209"/>
      <c r="Z97" s="209"/>
      <c r="AA97" s="209"/>
      <c r="AB97" s="209"/>
      <c r="AC97" s="209"/>
    </row>
    <row r="98" spans="1:29" outlineLevel="1" x14ac:dyDescent="0.2">
      <c r="A98" s="1058"/>
      <c r="B98" s="104"/>
      <c r="C98" s="38" t="s">
        <v>518</v>
      </c>
      <c r="D98" s="206"/>
      <c r="E98" s="402"/>
      <c r="F98" s="402"/>
      <c r="G98" s="402"/>
      <c r="H98" s="402"/>
      <c r="I98" s="62" t="str">
        <f t="shared" si="20"/>
        <v>kWh</v>
      </c>
      <c r="J98" s="249">
        <f t="shared" si="21"/>
        <v>0</v>
      </c>
      <c r="K98" s="208">
        <f t="shared" si="22"/>
        <v>0</v>
      </c>
      <c r="L98" s="209">
        <f t="shared" si="22"/>
        <v>0</v>
      </c>
      <c r="M98" s="209">
        <f t="shared" si="22"/>
        <v>0</v>
      </c>
      <c r="N98" s="210">
        <f t="shared" si="22"/>
        <v>0</v>
      </c>
      <c r="O98" s="227"/>
      <c r="R98" s="209"/>
      <c r="S98" s="209"/>
      <c r="T98" s="209"/>
      <c r="U98" s="209"/>
      <c r="V98" s="209"/>
      <c r="W98" s="209"/>
      <c r="X98" s="209"/>
      <c r="Y98" s="209"/>
      <c r="Z98" s="209"/>
      <c r="AA98" s="209"/>
      <c r="AB98" s="209"/>
      <c r="AC98" s="209"/>
    </row>
    <row r="99" spans="1:29" outlineLevel="1" x14ac:dyDescent="0.2">
      <c r="A99" s="1058"/>
      <c r="B99" s="104"/>
      <c r="C99" s="38" t="s">
        <v>519</v>
      </c>
      <c r="D99" s="206"/>
      <c r="E99" s="402"/>
      <c r="F99" s="402"/>
      <c r="G99" s="402"/>
      <c r="H99" s="402"/>
      <c r="I99" s="62" t="str">
        <f t="shared" si="20"/>
        <v>kWh</v>
      </c>
      <c r="J99" s="249">
        <f t="shared" si="21"/>
        <v>0</v>
      </c>
      <c r="K99" s="208">
        <f t="shared" si="22"/>
        <v>0</v>
      </c>
      <c r="L99" s="209">
        <f t="shared" si="22"/>
        <v>0</v>
      </c>
      <c r="M99" s="209">
        <f t="shared" si="22"/>
        <v>0</v>
      </c>
      <c r="N99" s="210">
        <f t="shared" si="22"/>
        <v>0</v>
      </c>
      <c r="O99" s="227"/>
      <c r="R99" s="209"/>
      <c r="S99" s="209"/>
      <c r="T99" s="209"/>
      <c r="U99" s="209"/>
      <c r="V99" s="209"/>
      <c r="W99" s="209"/>
      <c r="X99" s="209"/>
      <c r="Y99" s="209"/>
      <c r="Z99" s="209"/>
      <c r="AA99" s="209"/>
      <c r="AB99" s="209"/>
      <c r="AC99" s="209"/>
    </row>
    <row r="100" spans="1:29" outlineLevel="1" x14ac:dyDescent="0.2">
      <c r="A100" s="1058"/>
      <c r="B100" s="104"/>
      <c r="C100" s="38" t="s">
        <v>520</v>
      </c>
      <c r="D100" s="206"/>
      <c r="E100" s="402"/>
      <c r="F100" s="402"/>
      <c r="G100" s="402"/>
      <c r="H100" s="402"/>
      <c r="I100" s="62" t="str">
        <f t="shared" si="20"/>
        <v>kWh</v>
      </c>
      <c r="J100" s="249">
        <f t="shared" si="21"/>
        <v>0</v>
      </c>
      <c r="K100" s="208">
        <f t="shared" si="22"/>
        <v>0</v>
      </c>
      <c r="L100" s="209">
        <f t="shared" si="22"/>
        <v>0</v>
      </c>
      <c r="M100" s="209">
        <f t="shared" si="22"/>
        <v>0</v>
      </c>
      <c r="N100" s="210">
        <f t="shared" si="22"/>
        <v>0</v>
      </c>
      <c r="O100" s="227"/>
      <c r="R100" s="209"/>
      <c r="S100" s="209"/>
      <c r="T100" s="209"/>
      <c r="U100" s="209"/>
      <c r="V100" s="209"/>
      <c r="W100" s="209"/>
      <c r="X100" s="209"/>
      <c r="Y100" s="209"/>
      <c r="Z100" s="209"/>
      <c r="AA100" s="209"/>
      <c r="AB100" s="209"/>
      <c r="AC100" s="209"/>
    </row>
    <row r="101" spans="1:29" outlineLevel="1" x14ac:dyDescent="0.2">
      <c r="A101" s="1058"/>
      <c r="B101" s="104"/>
      <c r="C101" s="38" t="s">
        <v>521</v>
      </c>
      <c r="D101" s="206"/>
      <c r="E101" s="402"/>
      <c r="F101" s="402"/>
      <c r="G101" s="402"/>
      <c r="H101" s="402"/>
      <c r="I101" s="62" t="str">
        <f t="shared" si="20"/>
        <v>kWh</v>
      </c>
      <c r="J101" s="249">
        <f t="shared" si="21"/>
        <v>0</v>
      </c>
      <c r="K101" s="208">
        <f t="shared" si="22"/>
        <v>0</v>
      </c>
      <c r="L101" s="209">
        <f t="shared" si="22"/>
        <v>0</v>
      </c>
      <c r="M101" s="209">
        <f t="shared" si="22"/>
        <v>0</v>
      </c>
      <c r="N101" s="210">
        <f t="shared" si="22"/>
        <v>0</v>
      </c>
      <c r="O101" s="227"/>
      <c r="R101" s="209"/>
      <c r="S101" s="209"/>
      <c r="T101" s="209"/>
      <c r="U101" s="209"/>
      <c r="V101" s="209"/>
      <c r="W101" s="209"/>
      <c r="X101" s="209"/>
      <c r="Y101" s="209"/>
      <c r="Z101" s="209"/>
      <c r="AA101" s="209"/>
      <c r="AB101" s="209"/>
      <c r="AC101" s="209"/>
    </row>
    <row r="102" spans="1:29" outlineLevel="1" x14ac:dyDescent="0.2">
      <c r="A102" s="1058"/>
      <c r="B102" s="36"/>
      <c r="C102" s="38" t="s">
        <v>522</v>
      </c>
      <c r="D102" s="152"/>
      <c r="E102" s="400"/>
      <c r="F102" s="400"/>
      <c r="G102" s="400"/>
      <c r="H102" s="400"/>
      <c r="I102" s="62" t="str">
        <f t="shared" si="20"/>
        <v>kWh</v>
      </c>
      <c r="J102" s="249">
        <f t="shared" si="21"/>
        <v>750</v>
      </c>
      <c r="K102" s="208">
        <f t="shared" si="22"/>
        <v>750</v>
      </c>
      <c r="L102" s="271">
        <f t="shared" si="22"/>
        <v>750</v>
      </c>
      <c r="M102" s="271">
        <f t="shared" si="22"/>
        <v>750</v>
      </c>
      <c r="N102" s="272">
        <f t="shared" si="22"/>
        <v>750</v>
      </c>
      <c r="O102" s="86"/>
      <c r="R102" s="271"/>
      <c r="S102" s="271"/>
      <c r="T102" s="271"/>
      <c r="U102" s="271"/>
      <c r="V102" s="271"/>
      <c r="W102" s="271"/>
      <c r="X102" s="271"/>
      <c r="Y102" s="271"/>
      <c r="Z102" s="271"/>
      <c r="AA102" s="271"/>
      <c r="AB102" s="271"/>
      <c r="AC102" s="271"/>
    </row>
    <row r="103" spans="1:29" outlineLevel="1" x14ac:dyDescent="0.2">
      <c r="A103" s="1058"/>
      <c r="B103" s="36"/>
      <c r="C103" s="38" t="s">
        <v>523</v>
      </c>
      <c r="D103" s="152"/>
      <c r="E103" s="400"/>
      <c r="F103" s="400"/>
      <c r="G103" s="400"/>
      <c r="H103" s="400"/>
      <c r="I103" s="62" t="str">
        <f t="shared" si="20"/>
        <v>kWh</v>
      </c>
      <c r="J103" s="249">
        <f t="shared" si="21"/>
        <v>1625</v>
      </c>
      <c r="K103" s="208">
        <f t="shared" si="22"/>
        <v>1625</v>
      </c>
      <c r="L103" s="271">
        <f t="shared" si="22"/>
        <v>1625</v>
      </c>
      <c r="M103" s="271">
        <f t="shared" si="22"/>
        <v>1625</v>
      </c>
      <c r="N103" s="272">
        <f t="shared" si="22"/>
        <v>1625</v>
      </c>
      <c r="O103" s="86"/>
      <c r="R103" s="271"/>
      <c r="S103" s="271"/>
      <c r="T103" s="271"/>
      <c r="U103" s="271"/>
      <c r="V103" s="271"/>
      <c r="W103" s="271"/>
      <c r="X103" s="271"/>
      <c r="Y103" s="271"/>
      <c r="Z103" s="271"/>
      <c r="AA103" s="271"/>
      <c r="AB103" s="271"/>
      <c r="AC103" s="271"/>
    </row>
    <row r="104" spans="1:29" ht="13.5" outlineLevel="1" thickBot="1" x14ac:dyDescent="0.25">
      <c r="A104" s="1058"/>
      <c r="B104" s="263"/>
      <c r="C104" s="264" t="s">
        <v>524</v>
      </c>
      <c r="D104" s="222"/>
      <c r="E104" s="401"/>
      <c r="F104" s="401"/>
      <c r="G104" s="401"/>
      <c r="H104" s="401"/>
      <c r="I104" s="62" t="str">
        <f t="shared" si="20"/>
        <v>kWh</v>
      </c>
      <c r="J104" s="250">
        <f t="shared" si="21"/>
        <v>2000</v>
      </c>
      <c r="K104" s="281">
        <f t="shared" si="22"/>
        <v>2000</v>
      </c>
      <c r="L104" s="278">
        <f t="shared" si="22"/>
        <v>2000</v>
      </c>
      <c r="M104" s="278">
        <f t="shared" si="22"/>
        <v>2000</v>
      </c>
      <c r="N104" s="279">
        <f t="shared" si="22"/>
        <v>2000</v>
      </c>
      <c r="O104" s="280"/>
      <c r="R104" s="278"/>
      <c r="S104" s="278"/>
      <c r="T104" s="278"/>
      <c r="U104" s="278"/>
      <c r="V104" s="278"/>
      <c r="W104" s="278"/>
      <c r="X104" s="278"/>
      <c r="Y104" s="278"/>
      <c r="Z104" s="278"/>
      <c r="AA104" s="278"/>
      <c r="AB104" s="278"/>
      <c r="AC104" s="278"/>
    </row>
    <row r="105" spans="1:29" ht="17.25" customHeight="1" x14ac:dyDescent="0.2">
      <c r="A105" s="1058"/>
      <c r="B105" s="253" t="str">
        <f>INDEX(Language!D200:M200,1,_language)</f>
        <v>Heating system auxiliaries except generation</v>
      </c>
      <c r="C105" s="345"/>
      <c r="D105" s="347"/>
      <c r="E105" s="404"/>
      <c r="F105" s="404"/>
      <c r="G105" s="404"/>
      <c r="H105" s="906"/>
      <c r="I105" s="215" t="s">
        <v>10</v>
      </c>
      <c r="J105" s="260">
        <f t="shared" si="21"/>
        <v>3</v>
      </c>
      <c r="K105" s="289">
        <v>3</v>
      </c>
      <c r="L105" s="290">
        <v>3</v>
      </c>
      <c r="M105" s="290">
        <v>3</v>
      </c>
      <c r="N105" s="804">
        <f>INDEX(R105:AC105,1,N$16)</f>
        <v>3</v>
      </c>
      <c r="O105" s="256" t="s">
        <v>1401</v>
      </c>
      <c r="R105" s="290">
        <v>3</v>
      </c>
      <c r="S105" s="290">
        <v>3</v>
      </c>
      <c r="T105" s="290">
        <v>3</v>
      </c>
      <c r="U105" s="290">
        <v>3</v>
      </c>
      <c r="V105" s="290">
        <v>3</v>
      </c>
      <c r="W105" s="290">
        <v>3</v>
      </c>
      <c r="X105" s="290">
        <v>3</v>
      </c>
      <c r="Y105" s="290">
        <v>3</v>
      </c>
      <c r="Z105" s="290">
        <v>3</v>
      </c>
      <c r="AA105" s="290">
        <v>3</v>
      </c>
      <c r="AB105" s="290">
        <v>3</v>
      </c>
      <c r="AC105" s="290">
        <v>3</v>
      </c>
    </row>
    <row r="106" spans="1:29" ht="17.25" customHeight="1" x14ac:dyDescent="0.2">
      <c r="A106" s="1058"/>
      <c r="B106" s="36"/>
      <c r="C106" s="38" t="s">
        <v>542</v>
      </c>
      <c r="D106" s="152" t="str">
        <f t="shared" ref="D106:D118" si="23">INDEX(E106:H106,,_case_en)</f>
        <v>el_us_y</v>
      </c>
      <c r="E106" s="400" t="s">
        <v>900</v>
      </c>
      <c r="F106" s="400" t="s">
        <v>900</v>
      </c>
      <c r="G106" s="400" t="s">
        <v>900</v>
      </c>
      <c r="H106" s="400" t="s">
        <v>900</v>
      </c>
      <c r="I106" s="62" t="str">
        <f t="shared" si="20"/>
        <v>kWh</v>
      </c>
      <c r="J106" s="346">
        <f>SUM(J107:J118)</f>
        <v>318.75</v>
      </c>
      <c r="K106" s="270">
        <f>SUM(K107:K118)</f>
        <v>318.75</v>
      </c>
      <c r="L106" s="271">
        <f>SUM(L107:L118)</f>
        <v>318.75</v>
      </c>
      <c r="M106" s="271">
        <f>SUM(M107:M118)</f>
        <v>318.75</v>
      </c>
      <c r="N106" s="272">
        <f>SUM(N107:N118)</f>
        <v>318.75</v>
      </c>
      <c r="O106" s="991" t="s">
        <v>1762</v>
      </c>
      <c r="P106" s="1356" t="s">
        <v>1809</v>
      </c>
      <c r="R106" s="271"/>
      <c r="S106" s="271"/>
      <c r="T106" s="271"/>
      <c r="U106" s="271"/>
      <c r="V106" s="271"/>
      <c r="W106" s="271"/>
      <c r="X106" s="271"/>
      <c r="Y106" s="271"/>
      <c r="Z106" s="271"/>
      <c r="AA106" s="271"/>
      <c r="AB106" s="271"/>
      <c r="AC106" s="271"/>
    </row>
    <row r="107" spans="1:29" outlineLevel="1" x14ac:dyDescent="0.2">
      <c r="A107" s="1058"/>
      <c r="B107" s="36"/>
      <c r="C107" s="38" t="s">
        <v>545</v>
      </c>
      <c r="D107" s="152" t="str">
        <f t="shared" si="23"/>
        <v>el_us_t1</v>
      </c>
      <c r="E107" s="400" t="s">
        <v>914</v>
      </c>
      <c r="F107" s="400" t="s">
        <v>914</v>
      </c>
      <c r="G107" s="400" t="s">
        <v>914</v>
      </c>
      <c r="H107" s="400" t="s">
        <v>914</v>
      </c>
      <c r="I107" s="62" t="str">
        <f t="shared" si="20"/>
        <v>kWh</v>
      </c>
      <c r="J107" s="249">
        <f t="shared" ref="J107:J118" si="24">INDEX(K107:N107,,_case_en)</f>
        <v>75</v>
      </c>
      <c r="K107" s="270">
        <f t="shared" ref="K107:N118" si="25">+K93*K$105/100</f>
        <v>75</v>
      </c>
      <c r="L107" s="271">
        <f t="shared" si="25"/>
        <v>75</v>
      </c>
      <c r="M107" s="271">
        <f t="shared" si="25"/>
        <v>75</v>
      </c>
      <c r="N107" s="272">
        <f t="shared" si="25"/>
        <v>75</v>
      </c>
      <c r="O107" s="86"/>
      <c r="R107" s="271"/>
      <c r="S107" s="271"/>
      <c r="T107" s="271"/>
      <c r="U107" s="271"/>
      <c r="V107" s="271"/>
      <c r="W107" s="271"/>
      <c r="X107" s="271"/>
      <c r="Y107" s="271"/>
      <c r="Z107" s="271"/>
      <c r="AA107" s="271"/>
      <c r="AB107" s="271"/>
      <c r="AC107" s="271"/>
    </row>
    <row r="108" spans="1:29" outlineLevel="1" x14ac:dyDescent="0.2">
      <c r="A108" s="1058"/>
      <c r="B108" s="36"/>
      <c r="C108" s="38" t="s">
        <v>546</v>
      </c>
      <c r="D108" s="152" t="str">
        <f t="shared" si="23"/>
        <v>el_us_t2</v>
      </c>
      <c r="E108" s="400" t="s">
        <v>915</v>
      </c>
      <c r="F108" s="400" t="s">
        <v>915</v>
      </c>
      <c r="G108" s="400" t="s">
        <v>915</v>
      </c>
      <c r="H108" s="400" t="s">
        <v>915</v>
      </c>
      <c r="I108" s="62" t="str">
        <f t="shared" si="20"/>
        <v>kWh</v>
      </c>
      <c r="J108" s="249">
        <f t="shared" si="24"/>
        <v>56.25</v>
      </c>
      <c r="K108" s="270">
        <f t="shared" si="25"/>
        <v>56.25</v>
      </c>
      <c r="L108" s="271">
        <f t="shared" si="25"/>
        <v>56.25</v>
      </c>
      <c r="M108" s="271">
        <f t="shared" si="25"/>
        <v>56.25</v>
      </c>
      <c r="N108" s="272">
        <f t="shared" si="25"/>
        <v>56.25</v>
      </c>
      <c r="O108" s="86"/>
      <c r="R108" s="271"/>
      <c r="S108" s="271"/>
      <c r="T108" s="271"/>
      <c r="U108" s="271"/>
      <c r="V108" s="271"/>
      <c r="W108" s="271"/>
      <c r="X108" s="271"/>
      <c r="Y108" s="271"/>
      <c r="Z108" s="271"/>
      <c r="AA108" s="271"/>
      <c r="AB108" s="271"/>
      <c r="AC108" s="271"/>
    </row>
    <row r="109" spans="1:29" outlineLevel="1" x14ac:dyDescent="0.2">
      <c r="A109" s="1058"/>
      <c r="B109" s="36"/>
      <c r="C109" s="38" t="s">
        <v>547</v>
      </c>
      <c r="D109" s="152" t="str">
        <f t="shared" si="23"/>
        <v>el_us_t3</v>
      </c>
      <c r="E109" s="400" t="s">
        <v>916</v>
      </c>
      <c r="F109" s="400" t="s">
        <v>916</v>
      </c>
      <c r="G109" s="400" t="s">
        <v>916</v>
      </c>
      <c r="H109" s="400" t="s">
        <v>916</v>
      </c>
      <c r="I109" s="62" t="str">
        <f t="shared" si="20"/>
        <v>kWh</v>
      </c>
      <c r="J109" s="249">
        <f t="shared" si="24"/>
        <v>37.5</v>
      </c>
      <c r="K109" s="270">
        <f t="shared" si="25"/>
        <v>37.5</v>
      </c>
      <c r="L109" s="271">
        <f t="shared" si="25"/>
        <v>37.5</v>
      </c>
      <c r="M109" s="271">
        <f t="shared" si="25"/>
        <v>37.5</v>
      </c>
      <c r="N109" s="272">
        <f t="shared" si="25"/>
        <v>37.5</v>
      </c>
      <c r="O109" s="86"/>
      <c r="R109" s="271"/>
      <c r="S109" s="271"/>
      <c r="T109" s="271"/>
      <c r="U109" s="271"/>
      <c r="V109" s="271"/>
      <c r="W109" s="271"/>
      <c r="X109" s="271"/>
      <c r="Y109" s="271"/>
      <c r="Z109" s="271"/>
      <c r="AA109" s="271"/>
      <c r="AB109" s="271"/>
      <c r="AC109" s="271"/>
    </row>
    <row r="110" spans="1:29" outlineLevel="1" x14ac:dyDescent="0.2">
      <c r="A110" s="1058"/>
      <c r="B110" s="36"/>
      <c r="C110" s="38" t="s">
        <v>548</v>
      </c>
      <c r="D110" s="152" t="str">
        <f t="shared" si="23"/>
        <v>el_us_t4</v>
      </c>
      <c r="E110" s="400" t="s">
        <v>917</v>
      </c>
      <c r="F110" s="400" t="s">
        <v>917</v>
      </c>
      <c r="G110" s="400" t="s">
        <v>917</v>
      </c>
      <c r="H110" s="400" t="s">
        <v>917</v>
      </c>
      <c r="I110" s="62" t="str">
        <f t="shared" si="20"/>
        <v>kWh</v>
      </c>
      <c r="J110" s="249">
        <f t="shared" si="24"/>
        <v>18.75</v>
      </c>
      <c r="K110" s="270">
        <f t="shared" si="25"/>
        <v>18.75</v>
      </c>
      <c r="L110" s="271">
        <f t="shared" si="25"/>
        <v>18.75</v>
      </c>
      <c r="M110" s="271">
        <f t="shared" si="25"/>
        <v>18.75</v>
      </c>
      <c r="N110" s="272">
        <f t="shared" si="25"/>
        <v>18.75</v>
      </c>
      <c r="O110" s="86"/>
      <c r="R110" s="271"/>
      <c r="S110" s="271"/>
      <c r="T110" s="271"/>
      <c r="U110" s="271"/>
      <c r="V110" s="271"/>
      <c r="W110" s="271"/>
      <c r="X110" s="271"/>
      <c r="Y110" s="271"/>
      <c r="Z110" s="271"/>
      <c r="AA110" s="271"/>
      <c r="AB110" s="271"/>
      <c r="AC110" s="271"/>
    </row>
    <row r="111" spans="1:29" outlineLevel="1" x14ac:dyDescent="0.2">
      <c r="A111" s="1058"/>
      <c r="B111" s="36"/>
      <c r="C111" s="38" t="s">
        <v>549</v>
      </c>
      <c r="D111" s="152" t="str">
        <f t="shared" si="23"/>
        <v>el_us_t5</v>
      </c>
      <c r="E111" s="400" t="s">
        <v>918</v>
      </c>
      <c r="F111" s="400" t="s">
        <v>918</v>
      </c>
      <c r="G111" s="400" t="s">
        <v>918</v>
      </c>
      <c r="H111" s="400" t="s">
        <v>918</v>
      </c>
      <c r="I111" s="62" t="str">
        <f t="shared" si="20"/>
        <v>kWh</v>
      </c>
      <c r="J111" s="249">
        <f t="shared" si="24"/>
        <v>0</v>
      </c>
      <c r="K111" s="270">
        <f t="shared" si="25"/>
        <v>0</v>
      </c>
      <c r="L111" s="271">
        <f t="shared" si="25"/>
        <v>0</v>
      </c>
      <c r="M111" s="271">
        <f t="shared" si="25"/>
        <v>0</v>
      </c>
      <c r="N111" s="272">
        <f t="shared" si="25"/>
        <v>0</v>
      </c>
      <c r="O111" s="86"/>
      <c r="R111" s="271"/>
      <c r="S111" s="271"/>
      <c r="T111" s="271"/>
      <c r="U111" s="271"/>
      <c r="V111" s="271"/>
      <c r="W111" s="271"/>
      <c r="X111" s="271"/>
      <c r="Y111" s="271"/>
      <c r="Z111" s="271"/>
      <c r="AA111" s="271"/>
      <c r="AB111" s="271"/>
      <c r="AC111" s="271"/>
    </row>
    <row r="112" spans="1:29" outlineLevel="1" x14ac:dyDescent="0.2">
      <c r="A112" s="1058"/>
      <c r="B112" s="36"/>
      <c r="C112" s="38" t="s">
        <v>550</v>
      </c>
      <c r="D112" s="152" t="str">
        <f t="shared" si="23"/>
        <v>el_us_t6</v>
      </c>
      <c r="E112" s="400" t="s">
        <v>919</v>
      </c>
      <c r="F112" s="400" t="s">
        <v>919</v>
      </c>
      <c r="G112" s="400" t="s">
        <v>919</v>
      </c>
      <c r="H112" s="400" t="s">
        <v>919</v>
      </c>
      <c r="I112" s="62" t="str">
        <f t="shared" si="20"/>
        <v>kWh</v>
      </c>
      <c r="J112" s="249">
        <f t="shared" si="24"/>
        <v>0</v>
      </c>
      <c r="K112" s="270">
        <f t="shared" si="25"/>
        <v>0</v>
      </c>
      <c r="L112" s="271">
        <f t="shared" si="25"/>
        <v>0</v>
      </c>
      <c r="M112" s="271">
        <f t="shared" si="25"/>
        <v>0</v>
      </c>
      <c r="N112" s="272">
        <f t="shared" si="25"/>
        <v>0</v>
      </c>
      <c r="O112" s="86"/>
      <c r="R112" s="271"/>
      <c r="S112" s="271"/>
      <c r="T112" s="271"/>
      <c r="U112" s="271"/>
      <c r="V112" s="271"/>
      <c r="W112" s="271"/>
      <c r="X112" s="271"/>
      <c r="Y112" s="271"/>
      <c r="Z112" s="271"/>
      <c r="AA112" s="271"/>
      <c r="AB112" s="271"/>
      <c r="AC112" s="271"/>
    </row>
    <row r="113" spans="1:29" outlineLevel="1" x14ac:dyDescent="0.2">
      <c r="A113" s="1058"/>
      <c r="B113" s="36"/>
      <c r="C113" s="38" t="s">
        <v>551</v>
      </c>
      <c r="D113" s="152" t="str">
        <f t="shared" si="23"/>
        <v>el_us_t7</v>
      </c>
      <c r="E113" s="400" t="s">
        <v>920</v>
      </c>
      <c r="F113" s="400" t="s">
        <v>920</v>
      </c>
      <c r="G113" s="400" t="s">
        <v>920</v>
      </c>
      <c r="H113" s="400" t="s">
        <v>920</v>
      </c>
      <c r="I113" s="62" t="str">
        <f t="shared" si="20"/>
        <v>kWh</v>
      </c>
      <c r="J113" s="249">
        <f t="shared" si="24"/>
        <v>0</v>
      </c>
      <c r="K113" s="270">
        <f t="shared" si="25"/>
        <v>0</v>
      </c>
      <c r="L113" s="271">
        <f t="shared" si="25"/>
        <v>0</v>
      </c>
      <c r="M113" s="271">
        <f t="shared" si="25"/>
        <v>0</v>
      </c>
      <c r="N113" s="272">
        <f t="shared" si="25"/>
        <v>0</v>
      </c>
      <c r="O113" s="86"/>
      <c r="R113" s="271"/>
      <c r="S113" s="271"/>
      <c r="T113" s="271"/>
      <c r="U113" s="271"/>
      <c r="V113" s="271"/>
      <c r="W113" s="271"/>
      <c r="X113" s="271"/>
      <c r="Y113" s="271"/>
      <c r="Z113" s="271"/>
      <c r="AA113" s="271"/>
      <c r="AB113" s="271"/>
      <c r="AC113" s="271"/>
    </row>
    <row r="114" spans="1:29" outlineLevel="1" x14ac:dyDescent="0.2">
      <c r="A114" s="1058"/>
      <c r="B114" s="36"/>
      <c r="C114" s="38" t="s">
        <v>552</v>
      </c>
      <c r="D114" s="152" t="str">
        <f t="shared" si="23"/>
        <v>el_us_t8</v>
      </c>
      <c r="E114" s="400" t="s">
        <v>921</v>
      </c>
      <c r="F114" s="400" t="s">
        <v>921</v>
      </c>
      <c r="G114" s="400" t="s">
        <v>921</v>
      </c>
      <c r="H114" s="400" t="s">
        <v>921</v>
      </c>
      <c r="I114" s="62" t="str">
        <f t="shared" si="20"/>
        <v>kWh</v>
      </c>
      <c r="J114" s="249">
        <f t="shared" si="24"/>
        <v>0</v>
      </c>
      <c r="K114" s="270">
        <f t="shared" si="25"/>
        <v>0</v>
      </c>
      <c r="L114" s="271">
        <f t="shared" si="25"/>
        <v>0</v>
      </c>
      <c r="M114" s="271">
        <f t="shared" si="25"/>
        <v>0</v>
      </c>
      <c r="N114" s="272">
        <f t="shared" si="25"/>
        <v>0</v>
      </c>
      <c r="O114" s="86"/>
      <c r="R114" s="271"/>
      <c r="S114" s="271"/>
      <c r="T114" s="271"/>
      <c r="U114" s="271"/>
      <c r="V114" s="271"/>
      <c r="W114" s="271"/>
      <c r="X114" s="271"/>
      <c r="Y114" s="271"/>
      <c r="Z114" s="271"/>
      <c r="AA114" s="271"/>
      <c r="AB114" s="271"/>
      <c r="AC114" s="271"/>
    </row>
    <row r="115" spans="1:29" outlineLevel="1" x14ac:dyDescent="0.2">
      <c r="A115" s="1058"/>
      <c r="B115" s="36"/>
      <c r="C115" s="38" t="s">
        <v>553</v>
      </c>
      <c r="D115" s="152" t="str">
        <f t="shared" si="23"/>
        <v>el_us_t9</v>
      </c>
      <c r="E115" s="400" t="s">
        <v>922</v>
      </c>
      <c r="F115" s="400" t="s">
        <v>922</v>
      </c>
      <c r="G115" s="400" t="s">
        <v>922</v>
      </c>
      <c r="H115" s="400" t="s">
        <v>922</v>
      </c>
      <c r="I115" s="62" t="str">
        <f t="shared" si="20"/>
        <v>kWh</v>
      </c>
      <c r="J115" s="249">
        <f t="shared" si="24"/>
        <v>0</v>
      </c>
      <c r="K115" s="270">
        <f t="shared" si="25"/>
        <v>0</v>
      </c>
      <c r="L115" s="271">
        <f t="shared" si="25"/>
        <v>0</v>
      </c>
      <c r="M115" s="271">
        <f t="shared" si="25"/>
        <v>0</v>
      </c>
      <c r="N115" s="272">
        <f t="shared" si="25"/>
        <v>0</v>
      </c>
      <c r="O115" s="86"/>
      <c r="R115" s="271"/>
      <c r="S115" s="271"/>
      <c r="T115" s="271"/>
      <c r="U115" s="271"/>
      <c r="V115" s="271"/>
      <c r="W115" s="271"/>
      <c r="X115" s="271"/>
      <c r="Y115" s="271"/>
      <c r="Z115" s="271"/>
      <c r="AA115" s="271"/>
      <c r="AB115" s="271"/>
      <c r="AC115" s="271"/>
    </row>
    <row r="116" spans="1:29" outlineLevel="1" x14ac:dyDescent="0.2">
      <c r="A116" s="1058"/>
      <c r="B116" s="36"/>
      <c r="C116" s="38" t="s">
        <v>554</v>
      </c>
      <c r="D116" s="152" t="str">
        <f t="shared" si="23"/>
        <v>el_us_t10</v>
      </c>
      <c r="E116" s="400" t="s">
        <v>923</v>
      </c>
      <c r="F116" s="400" t="s">
        <v>923</v>
      </c>
      <c r="G116" s="400" t="s">
        <v>923</v>
      </c>
      <c r="H116" s="400" t="s">
        <v>923</v>
      </c>
      <c r="I116" s="62" t="str">
        <f t="shared" si="20"/>
        <v>kWh</v>
      </c>
      <c r="J116" s="249">
        <f t="shared" si="24"/>
        <v>22.5</v>
      </c>
      <c r="K116" s="270">
        <f t="shared" si="25"/>
        <v>22.5</v>
      </c>
      <c r="L116" s="271">
        <f t="shared" si="25"/>
        <v>22.5</v>
      </c>
      <c r="M116" s="271">
        <f t="shared" si="25"/>
        <v>22.5</v>
      </c>
      <c r="N116" s="272">
        <f t="shared" si="25"/>
        <v>22.5</v>
      </c>
      <c r="O116" s="86"/>
      <c r="R116" s="271"/>
      <c r="S116" s="271"/>
      <c r="T116" s="271"/>
      <c r="U116" s="271"/>
      <c r="V116" s="271"/>
      <c r="W116" s="271"/>
      <c r="X116" s="271"/>
      <c r="Y116" s="271"/>
      <c r="Z116" s="271"/>
      <c r="AA116" s="271"/>
      <c r="AB116" s="271"/>
      <c r="AC116" s="271"/>
    </row>
    <row r="117" spans="1:29" outlineLevel="1" x14ac:dyDescent="0.2">
      <c r="A117" s="1058"/>
      <c r="B117" s="36"/>
      <c r="C117" s="38" t="s">
        <v>555</v>
      </c>
      <c r="D117" s="152" t="str">
        <f t="shared" si="23"/>
        <v>el_us_t11</v>
      </c>
      <c r="E117" s="400" t="s">
        <v>924</v>
      </c>
      <c r="F117" s="400" t="s">
        <v>924</v>
      </c>
      <c r="G117" s="400" t="s">
        <v>924</v>
      </c>
      <c r="H117" s="400" t="s">
        <v>924</v>
      </c>
      <c r="I117" s="62" t="str">
        <f t="shared" si="20"/>
        <v>kWh</v>
      </c>
      <c r="J117" s="249">
        <f t="shared" si="24"/>
        <v>48.75</v>
      </c>
      <c r="K117" s="270">
        <f t="shared" si="25"/>
        <v>48.75</v>
      </c>
      <c r="L117" s="271">
        <f t="shared" si="25"/>
        <v>48.75</v>
      </c>
      <c r="M117" s="271">
        <f t="shared" si="25"/>
        <v>48.75</v>
      </c>
      <c r="N117" s="272">
        <f t="shared" si="25"/>
        <v>48.75</v>
      </c>
      <c r="O117" s="86"/>
      <c r="R117" s="271"/>
      <c r="S117" s="271"/>
      <c r="T117" s="271"/>
      <c r="U117" s="271"/>
      <c r="V117" s="271"/>
      <c r="W117" s="271"/>
      <c r="X117" s="271"/>
      <c r="Y117" s="271"/>
      <c r="Z117" s="271"/>
      <c r="AA117" s="271"/>
      <c r="AB117" s="271"/>
      <c r="AC117" s="271"/>
    </row>
    <row r="118" spans="1:29" ht="13.5" outlineLevel="1" thickBot="1" x14ac:dyDescent="0.25">
      <c r="A118" s="1058"/>
      <c r="B118" s="263"/>
      <c r="C118" s="264" t="s">
        <v>556</v>
      </c>
      <c r="D118" s="152" t="str">
        <f t="shared" si="23"/>
        <v>el_us_t12</v>
      </c>
      <c r="E118" s="401" t="s">
        <v>925</v>
      </c>
      <c r="F118" s="401" t="s">
        <v>925</v>
      </c>
      <c r="G118" s="401" t="s">
        <v>925</v>
      </c>
      <c r="H118" s="401" t="s">
        <v>925</v>
      </c>
      <c r="I118" s="223" t="str">
        <f t="shared" si="20"/>
        <v>kWh</v>
      </c>
      <c r="J118" s="250">
        <f t="shared" si="24"/>
        <v>60</v>
      </c>
      <c r="K118" s="277">
        <f t="shared" si="25"/>
        <v>60</v>
      </c>
      <c r="L118" s="278">
        <f t="shared" si="25"/>
        <v>60</v>
      </c>
      <c r="M118" s="278">
        <f t="shared" si="25"/>
        <v>60</v>
      </c>
      <c r="N118" s="279">
        <f t="shared" si="25"/>
        <v>60</v>
      </c>
      <c r="O118" s="280"/>
      <c r="R118" s="278"/>
      <c r="S118" s="278"/>
      <c r="T118" s="278"/>
      <c r="U118" s="278"/>
      <c r="V118" s="278"/>
      <c r="W118" s="278"/>
      <c r="X118" s="278"/>
      <c r="Y118" s="278"/>
      <c r="Z118" s="278"/>
      <c r="AA118" s="278"/>
      <c r="AB118" s="278"/>
      <c r="AC118" s="278"/>
    </row>
    <row r="119" spans="1:29" ht="19.5" customHeight="1" x14ac:dyDescent="0.2">
      <c r="A119" s="1058"/>
      <c r="B119" s="253" t="str">
        <f>INDEX(Language!D185:M185,1,_language)</f>
        <v>Generation output for dhw</v>
      </c>
      <c r="C119" s="254" t="s">
        <v>498</v>
      </c>
      <c r="D119" s="214"/>
      <c r="E119" s="399"/>
      <c r="F119" s="399"/>
      <c r="G119" s="399"/>
      <c r="H119" s="399"/>
      <c r="I119" s="215" t="str">
        <f t="shared" si="20"/>
        <v>kWh</v>
      </c>
      <c r="J119" s="248">
        <f>SUM(J120:J131)</f>
        <v>2400</v>
      </c>
      <c r="K119" s="216">
        <f>SUM(K120:K131)</f>
        <v>8000.0000000000009</v>
      </c>
      <c r="L119" s="217">
        <f>SUM(L120:L131)</f>
        <v>8000.0000000000009</v>
      </c>
      <c r="M119" s="217">
        <f>SUM(M120:M131)</f>
        <v>8000.0000000000009</v>
      </c>
      <c r="N119" s="218">
        <f>SUM(N120:N131)</f>
        <v>2400</v>
      </c>
      <c r="O119" s="256"/>
      <c r="R119" s="217"/>
      <c r="S119" s="217"/>
      <c r="T119" s="217"/>
      <c r="U119" s="217"/>
      <c r="V119" s="217"/>
      <c r="W119" s="217"/>
      <c r="X119" s="217"/>
      <c r="Y119" s="217"/>
      <c r="Z119" s="217"/>
      <c r="AA119" s="217"/>
      <c r="AB119" s="217"/>
      <c r="AC119" s="217"/>
    </row>
    <row r="120" spans="1:29" outlineLevel="1" x14ac:dyDescent="0.2">
      <c r="A120" s="1058"/>
      <c r="B120" s="36"/>
      <c r="C120" s="38" t="s">
        <v>499</v>
      </c>
      <c r="D120" s="152"/>
      <c r="E120" s="400"/>
      <c r="F120" s="400"/>
      <c r="G120" s="400"/>
      <c r="H120" s="400"/>
      <c r="I120" s="62" t="str">
        <f t="shared" si="20"/>
        <v>kWh</v>
      </c>
      <c r="J120" s="249">
        <f t="shared" ref="J120:J132" si="26">INDEX(K120:N120,,_case_en)</f>
        <v>200</v>
      </c>
      <c r="K120" s="270">
        <f t="shared" ref="K120:N131" si="27">+K32*100/K$91</f>
        <v>666.66666666666663</v>
      </c>
      <c r="L120" s="271">
        <f t="shared" si="27"/>
        <v>666.66666666666663</v>
      </c>
      <c r="M120" s="271">
        <f t="shared" si="27"/>
        <v>666.66666666666663</v>
      </c>
      <c r="N120" s="272">
        <f t="shared" si="27"/>
        <v>200</v>
      </c>
      <c r="O120" s="86"/>
      <c r="R120" s="271"/>
      <c r="S120" s="271"/>
      <c r="T120" s="271"/>
      <c r="U120" s="271"/>
      <c r="V120" s="271"/>
      <c r="W120" s="271"/>
      <c r="X120" s="271"/>
      <c r="Y120" s="271"/>
      <c r="Z120" s="271"/>
      <c r="AA120" s="271"/>
      <c r="AB120" s="271"/>
      <c r="AC120" s="271"/>
    </row>
    <row r="121" spans="1:29" outlineLevel="1" x14ac:dyDescent="0.2">
      <c r="A121" s="1058"/>
      <c r="B121" s="36"/>
      <c r="C121" s="38" t="s">
        <v>500</v>
      </c>
      <c r="D121" s="152"/>
      <c r="E121" s="400"/>
      <c r="F121" s="400"/>
      <c r="G121" s="400"/>
      <c r="H121" s="400"/>
      <c r="I121" s="62" t="str">
        <f t="shared" si="20"/>
        <v>kWh</v>
      </c>
      <c r="J121" s="249">
        <f t="shared" si="26"/>
        <v>200</v>
      </c>
      <c r="K121" s="270">
        <f t="shared" si="27"/>
        <v>666.66666666666663</v>
      </c>
      <c r="L121" s="271">
        <f t="shared" si="27"/>
        <v>666.66666666666663</v>
      </c>
      <c r="M121" s="271">
        <f t="shared" si="27"/>
        <v>666.66666666666663</v>
      </c>
      <c r="N121" s="272">
        <f t="shared" si="27"/>
        <v>200</v>
      </c>
      <c r="O121" s="86"/>
      <c r="R121" s="271"/>
      <c r="S121" s="271"/>
      <c r="T121" s="271"/>
      <c r="U121" s="271"/>
      <c r="V121" s="271"/>
      <c r="W121" s="271"/>
      <c r="X121" s="271"/>
      <c r="Y121" s="271"/>
      <c r="Z121" s="271"/>
      <c r="AA121" s="271"/>
      <c r="AB121" s="271"/>
      <c r="AC121" s="271"/>
    </row>
    <row r="122" spans="1:29" outlineLevel="1" x14ac:dyDescent="0.2">
      <c r="A122" s="1058"/>
      <c r="B122" s="36"/>
      <c r="C122" s="38" t="s">
        <v>501</v>
      </c>
      <c r="D122" s="152"/>
      <c r="E122" s="400"/>
      <c r="F122" s="400"/>
      <c r="G122" s="400"/>
      <c r="H122" s="400"/>
      <c r="I122" s="62" t="str">
        <f t="shared" si="20"/>
        <v>kWh</v>
      </c>
      <c r="J122" s="249">
        <f t="shared" si="26"/>
        <v>200</v>
      </c>
      <c r="K122" s="270">
        <f t="shared" si="27"/>
        <v>666.66666666666663</v>
      </c>
      <c r="L122" s="271">
        <f t="shared" si="27"/>
        <v>666.66666666666663</v>
      </c>
      <c r="M122" s="271">
        <f t="shared" si="27"/>
        <v>666.66666666666663</v>
      </c>
      <c r="N122" s="272">
        <f t="shared" si="27"/>
        <v>200</v>
      </c>
      <c r="O122" s="86"/>
      <c r="R122" s="271"/>
      <c r="S122" s="271"/>
      <c r="T122" s="271"/>
      <c r="U122" s="271"/>
      <c r="V122" s="271"/>
      <c r="W122" s="271"/>
      <c r="X122" s="271"/>
      <c r="Y122" s="271"/>
      <c r="Z122" s="271"/>
      <c r="AA122" s="271"/>
      <c r="AB122" s="271"/>
      <c r="AC122" s="271"/>
    </row>
    <row r="123" spans="1:29" outlineLevel="1" x14ac:dyDescent="0.2">
      <c r="A123" s="1058"/>
      <c r="B123" s="36"/>
      <c r="C123" s="38" t="s">
        <v>502</v>
      </c>
      <c r="D123" s="152"/>
      <c r="E123" s="400"/>
      <c r="F123" s="400"/>
      <c r="G123" s="400"/>
      <c r="H123" s="400"/>
      <c r="I123" s="62" t="str">
        <f t="shared" si="20"/>
        <v>kWh</v>
      </c>
      <c r="J123" s="249">
        <f t="shared" si="26"/>
        <v>200</v>
      </c>
      <c r="K123" s="270">
        <f t="shared" si="27"/>
        <v>666.66666666666663</v>
      </c>
      <c r="L123" s="271">
        <f t="shared" si="27"/>
        <v>666.66666666666663</v>
      </c>
      <c r="M123" s="271">
        <f t="shared" si="27"/>
        <v>666.66666666666663</v>
      </c>
      <c r="N123" s="272">
        <f t="shared" si="27"/>
        <v>200</v>
      </c>
      <c r="O123" s="86"/>
      <c r="R123" s="271"/>
      <c r="S123" s="271"/>
      <c r="T123" s="271"/>
      <c r="U123" s="271"/>
      <c r="V123" s="271"/>
      <c r="W123" s="271"/>
      <c r="X123" s="271"/>
      <c r="Y123" s="271"/>
      <c r="Z123" s="271"/>
      <c r="AA123" s="271"/>
      <c r="AB123" s="271"/>
      <c r="AC123" s="271"/>
    </row>
    <row r="124" spans="1:29" outlineLevel="1" x14ac:dyDescent="0.2">
      <c r="A124" s="1058"/>
      <c r="B124" s="36"/>
      <c r="C124" s="38" t="s">
        <v>503</v>
      </c>
      <c r="D124" s="152"/>
      <c r="E124" s="400"/>
      <c r="F124" s="400"/>
      <c r="G124" s="400"/>
      <c r="H124" s="400"/>
      <c r="I124" s="62" t="str">
        <f t="shared" si="20"/>
        <v>kWh</v>
      </c>
      <c r="J124" s="249">
        <f t="shared" si="26"/>
        <v>200</v>
      </c>
      <c r="K124" s="270">
        <f t="shared" si="27"/>
        <v>666.66666666666663</v>
      </c>
      <c r="L124" s="271">
        <f t="shared" si="27"/>
        <v>666.66666666666663</v>
      </c>
      <c r="M124" s="271">
        <f t="shared" si="27"/>
        <v>666.66666666666663</v>
      </c>
      <c r="N124" s="272">
        <f t="shared" si="27"/>
        <v>200</v>
      </c>
      <c r="O124" s="86"/>
      <c r="R124" s="271"/>
      <c r="S124" s="271"/>
      <c r="T124" s="271"/>
      <c r="U124" s="271"/>
      <c r="V124" s="271"/>
      <c r="W124" s="271"/>
      <c r="X124" s="271"/>
      <c r="Y124" s="271"/>
      <c r="Z124" s="271"/>
      <c r="AA124" s="271"/>
      <c r="AB124" s="271"/>
      <c r="AC124" s="271"/>
    </row>
    <row r="125" spans="1:29" outlineLevel="1" x14ac:dyDescent="0.2">
      <c r="A125" s="1058"/>
      <c r="B125" s="36"/>
      <c r="C125" s="38" t="s">
        <v>504</v>
      </c>
      <c r="D125" s="152"/>
      <c r="E125" s="400"/>
      <c r="F125" s="400"/>
      <c r="G125" s="400"/>
      <c r="H125" s="400"/>
      <c r="I125" s="62" t="str">
        <f t="shared" si="20"/>
        <v>kWh</v>
      </c>
      <c r="J125" s="249">
        <f t="shared" si="26"/>
        <v>200</v>
      </c>
      <c r="K125" s="270">
        <f t="shared" si="27"/>
        <v>666.66666666666663</v>
      </c>
      <c r="L125" s="271">
        <f t="shared" si="27"/>
        <v>666.66666666666663</v>
      </c>
      <c r="M125" s="271">
        <f t="shared" si="27"/>
        <v>666.66666666666663</v>
      </c>
      <c r="N125" s="272">
        <f t="shared" si="27"/>
        <v>200</v>
      </c>
      <c r="O125" s="86"/>
      <c r="R125" s="271"/>
      <c r="S125" s="271"/>
      <c r="T125" s="271"/>
      <c r="U125" s="271"/>
      <c r="V125" s="271"/>
      <c r="W125" s="271"/>
      <c r="X125" s="271"/>
      <c r="Y125" s="271"/>
      <c r="Z125" s="271"/>
      <c r="AA125" s="271"/>
      <c r="AB125" s="271"/>
      <c r="AC125" s="271"/>
    </row>
    <row r="126" spans="1:29" outlineLevel="1" x14ac:dyDescent="0.2">
      <c r="A126" s="1058"/>
      <c r="B126" s="36"/>
      <c r="C126" s="38" t="s">
        <v>505</v>
      </c>
      <c r="D126" s="152"/>
      <c r="E126" s="400"/>
      <c r="F126" s="400"/>
      <c r="G126" s="400"/>
      <c r="H126" s="400"/>
      <c r="I126" s="62" t="str">
        <f t="shared" si="20"/>
        <v>kWh</v>
      </c>
      <c r="J126" s="249">
        <f t="shared" si="26"/>
        <v>200</v>
      </c>
      <c r="K126" s="270">
        <f t="shared" si="27"/>
        <v>666.66666666666663</v>
      </c>
      <c r="L126" s="271">
        <f t="shared" si="27"/>
        <v>666.66666666666663</v>
      </c>
      <c r="M126" s="271">
        <f t="shared" si="27"/>
        <v>666.66666666666663</v>
      </c>
      <c r="N126" s="272">
        <f t="shared" si="27"/>
        <v>200</v>
      </c>
      <c r="O126" s="86"/>
      <c r="R126" s="271"/>
      <c r="S126" s="271"/>
      <c r="T126" s="271"/>
      <c r="U126" s="271"/>
      <c r="V126" s="271"/>
      <c r="W126" s="271"/>
      <c r="X126" s="271"/>
      <c r="Y126" s="271"/>
      <c r="Z126" s="271"/>
      <c r="AA126" s="271"/>
      <c r="AB126" s="271"/>
      <c r="AC126" s="271"/>
    </row>
    <row r="127" spans="1:29" outlineLevel="1" x14ac:dyDescent="0.2">
      <c r="A127" s="1058"/>
      <c r="B127" s="36"/>
      <c r="C127" s="38" t="s">
        <v>506</v>
      </c>
      <c r="D127" s="152"/>
      <c r="E127" s="400"/>
      <c r="F127" s="400"/>
      <c r="G127" s="400"/>
      <c r="H127" s="400"/>
      <c r="I127" s="62" t="str">
        <f t="shared" si="20"/>
        <v>kWh</v>
      </c>
      <c r="J127" s="249">
        <f t="shared" si="26"/>
        <v>200</v>
      </c>
      <c r="K127" s="270">
        <f t="shared" si="27"/>
        <v>666.66666666666663</v>
      </c>
      <c r="L127" s="271">
        <f t="shared" si="27"/>
        <v>666.66666666666663</v>
      </c>
      <c r="M127" s="271">
        <f t="shared" si="27"/>
        <v>666.66666666666663</v>
      </c>
      <c r="N127" s="272">
        <f t="shared" si="27"/>
        <v>200</v>
      </c>
      <c r="O127" s="86"/>
      <c r="R127" s="271"/>
      <c r="S127" s="271"/>
      <c r="T127" s="271"/>
      <c r="U127" s="271"/>
      <c r="V127" s="271"/>
      <c r="W127" s="271"/>
      <c r="X127" s="271"/>
      <c r="Y127" s="271"/>
      <c r="Z127" s="271"/>
      <c r="AA127" s="271"/>
      <c r="AB127" s="271"/>
      <c r="AC127" s="271"/>
    </row>
    <row r="128" spans="1:29" outlineLevel="1" x14ac:dyDescent="0.2">
      <c r="A128" s="1058"/>
      <c r="B128" s="36"/>
      <c r="C128" s="38" t="s">
        <v>507</v>
      </c>
      <c r="D128" s="152"/>
      <c r="E128" s="400"/>
      <c r="F128" s="400"/>
      <c r="G128" s="400"/>
      <c r="H128" s="400"/>
      <c r="I128" s="62" t="str">
        <f t="shared" si="20"/>
        <v>kWh</v>
      </c>
      <c r="J128" s="249">
        <f t="shared" si="26"/>
        <v>200</v>
      </c>
      <c r="K128" s="270">
        <f t="shared" si="27"/>
        <v>666.66666666666663</v>
      </c>
      <c r="L128" s="271">
        <f t="shared" si="27"/>
        <v>666.66666666666663</v>
      </c>
      <c r="M128" s="271">
        <f t="shared" si="27"/>
        <v>666.66666666666663</v>
      </c>
      <c r="N128" s="272">
        <f t="shared" si="27"/>
        <v>200</v>
      </c>
      <c r="O128" s="86"/>
      <c r="R128" s="271"/>
      <c r="S128" s="271"/>
      <c r="T128" s="271"/>
      <c r="U128" s="271"/>
      <c r="V128" s="271"/>
      <c r="W128" s="271"/>
      <c r="X128" s="271"/>
      <c r="Y128" s="271"/>
      <c r="Z128" s="271"/>
      <c r="AA128" s="271"/>
      <c r="AB128" s="271"/>
      <c r="AC128" s="271"/>
    </row>
    <row r="129" spans="1:29" outlineLevel="1" x14ac:dyDescent="0.2">
      <c r="A129" s="1058"/>
      <c r="B129" s="36"/>
      <c r="C129" s="38" t="s">
        <v>508</v>
      </c>
      <c r="D129" s="152"/>
      <c r="E129" s="400"/>
      <c r="F129" s="400"/>
      <c r="G129" s="400"/>
      <c r="H129" s="400"/>
      <c r="I129" s="62" t="str">
        <f t="shared" si="20"/>
        <v>kWh</v>
      </c>
      <c r="J129" s="249">
        <f t="shared" si="26"/>
        <v>200</v>
      </c>
      <c r="K129" s="270">
        <f t="shared" si="27"/>
        <v>666.66666666666663</v>
      </c>
      <c r="L129" s="271">
        <f t="shared" si="27"/>
        <v>666.66666666666663</v>
      </c>
      <c r="M129" s="271">
        <f t="shared" si="27"/>
        <v>666.66666666666663</v>
      </c>
      <c r="N129" s="272">
        <f t="shared" si="27"/>
        <v>200</v>
      </c>
      <c r="O129" s="86"/>
      <c r="R129" s="271"/>
      <c r="S129" s="271"/>
      <c r="T129" s="271"/>
      <c r="U129" s="271"/>
      <c r="V129" s="271"/>
      <c r="W129" s="271"/>
      <c r="X129" s="271"/>
      <c r="Y129" s="271"/>
      <c r="Z129" s="271"/>
      <c r="AA129" s="271"/>
      <c r="AB129" s="271"/>
      <c r="AC129" s="271"/>
    </row>
    <row r="130" spans="1:29" outlineLevel="1" x14ac:dyDescent="0.2">
      <c r="A130" s="1058"/>
      <c r="B130" s="36"/>
      <c r="C130" s="38" t="s">
        <v>509</v>
      </c>
      <c r="D130" s="152"/>
      <c r="E130" s="400"/>
      <c r="F130" s="400"/>
      <c r="G130" s="400"/>
      <c r="H130" s="400"/>
      <c r="I130" s="62" t="str">
        <f t="shared" si="20"/>
        <v>kWh</v>
      </c>
      <c r="J130" s="249">
        <f t="shared" si="26"/>
        <v>200</v>
      </c>
      <c r="K130" s="270">
        <f t="shared" si="27"/>
        <v>666.66666666666663</v>
      </c>
      <c r="L130" s="271">
        <f t="shared" si="27"/>
        <v>666.66666666666663</v>
      </c>
      <c r="M130" s="271">
        <f t="shared" si="27"/>
        <v>666.66666666666663</v>
      </c>
      <c r="N130" s="272">
        <f t="shared" si="27"/>
        <v>200</v>
      </c>
      <c r="O130" s="86"/>
      <c r="R130" s="271"/>
      <c r="S130" s="271"/>
      <c r="T130" s="271"/>
      <c r="U130" s="271"/>
      <c r="V130" s="271"/>
      <c r="W130" s="271"/>
      <c r="X130" s="271"/>
      <c r="Y130" s="271"/>
      <c r="Z130" s="271"/>
      <c r="AA130" s="271"/>
      <c r="AB130" s="271"/>
      <c r="AC130" s="271"/>
    </row>
    <row r="131" spans="1:29" ht="13.5" outlineLevel="1" thickBot="1" x14ac:dyDescent="0.25">
      <c r="A131" s="1058"/>
      <c r="B131" s="263"/>
      <c r="C131" s="38" t="s">
        <v>510</v>
      </c>
      <c r="D131" s="222"/>
      <c r="E131" s="401"/>
      <c r="F131" s="401"/>
      <c r="G131" s="401"/>
      <c r="H131" s="401"/>
      <c r="I131" s="62" t="str">
        <f t="shared" si="20"/>
        <v>kWh</v>
      </c>
      <c r="J131" s="250">
        <f t="shared" si="26"/>
        <v>200</v>
      </c>
      <c r="K131" s="277">
        <f t="shared" si="27"/>
        <v>666.66666666666663</v>
      </c>
      <c r="L131" s="278">
        <f t="shared" si="27"/>
        <v>666.66666666666663</v>
      </c>
      <c r="M131" s="278">
        <f t="shared" si="27"/>
        <v>666.66666666666663</v>
      </c>
      <c r="N131" s="279">
        <f t="shared" si="27"/>
        <v>200</v>
      </c>
      <c r="O131" s="280"/>
      <c r="R131" s="278"/>
      <c r="S131" s="278"/>
      <c r="T131" s="278"/>
      <c r="U131" s="278"/>
      <c r="V131" s="278"/>
      <c r="W131" s="278"/>
      <c r="X131" s="278"/>
      <c r="Y131" s="278"/>
      <c r="Z131" s="278"/>
      <c r="AA131" s="278"/>
      <c r="AB131" s="278"/>
      <c r="AC131" s="278"/>
    </row>
    <row r="132" spans="1:29" ht="17.25" customHeight="1" x14ac:dyDescent="0.2">
      <c r="A132" s="39"/>
      <c r="B132" s="253" t="str">
        <f>INDEX(Language!D202:M202,1,_language)</f>
        <v>Dhw system auxiliaries except generation</v>
      </c>
      <c r="C132" s="345"/>
      <c r="D132" s="347"/>
      <c r="E132" s="404"/>
      <c r="F132" s="404"/>
      <c r="G132" s="404"/>
      <c r="H132" s="906"/>
      <c r="I132" s="215" t="s">
        <v>10</v>
      </c>
      <c r="J132" s="260">
        <f t="shared" si="26"/>
        <v>2</v>
      </c>
      <c r="K132" s="289">
        <v>2</v>
      </c>
      <c r="L132" s="290">
        <v>2</v>
      </c>
      <c r="M132" s="290">
        <v>2</v>
      </c>
      <c r="N132" s="804">
        <f>INDEX(R132:AC132,1,N$16)</f>
        <v>2</v>
      </c>
      <c r="O132" s="256" t="s">
        <v>1401</v>
      </c>
      <c r="R132" s="290">
        <v>2</v>
      </c>
      <c r="S132" s="290">
        <v>2</v>
      </c>
      <c r="T132" s="290">
        <v>2</v>
      </c>
      <c r="U132" s="290">
        <v>2</v>
      </c>
      <c r="V132" s="290">
        <v>2</v>
      </c>
      <c r="W132" s="290">
        <v>2</v>
      </c>
      <c r="X132" s="290">
        <v>2</v>
      </c>
      <c r="Y132" s="290">
        <v>2</v>
      </c>
      <c r="Z132" s="290">
        <v>2</v>
      </c>
      <c r="AA132" s="290">
        <v>2</v>
      </c>
      <c r="AB132" s="290">
        <v>2</v>
      </c>
      <c r="AC132" s="290">
        <v>2</v>
      </c>
    </row>
    <row r="133" spans="1:29" ht="17.25" customHeight="1" x14ac:dyDescent="0.2">
      <c r="A133" s="39"/>
      <c r="B133" s="36"/>
      <c r="C133" s="38" t="s">
        <v>544</v>
      </c>
      <c r="D133" s="152" t="str">
        <f t="shared" ref="D133:D145" si="28">INDEX(E133:H133,,_case_en)</f>
        <v>el_us_y</v>
      </c>
      <c r="E133" s="400" t="s">
        <v>900</v>
      </c>
      <c r="F133" s="400" t="s">
        <v>900</v>
      </c>
      <c r="G133" s="400" t="s">
        <v>900</v>
      </c>
      <c r="H133" s="909" t="s">
        <v>900</v>
      </c>
      <c r="I133" s="62" t="str">
        <f t="shared" ref="I133:I172" si="29">+_En_unit</f>
        <v>kWh</v>
      </c>
      <c r="J133" s="346">
        <f>SUM(J134:J145)</f>
        <v>48</v>
      </c>
      <c r="K133" s="270">
        <f>SUM(K134:K145)</f>
        <v>160</v>
      </c>
      <c r="L133" s="271">
        <f>SUM(L134:L145)</f>
        <v>160</v>
      </c>
      <c r="M133" s="271">
        <f>SUM(M134:M145)</f>
        <v>160</v>
      </c>
      <c r="N133" s="272">
        <f>SUM(N134:N145)</f>
        <v>48</v>
      </c>
      <c r="O133" s="991" t="s">
        <v>1762</v>
      </c>
      <c r="P133" s="1356" t="s">
        <v>1809</v>
      </c>
      <c r="R133" s="271"/>
      <c r="S133" s="271"/>
      <c r="T133" s="271"/>
      <c r="U133" s="271"/>
      <c r="V133" s="271"/>
      <c r="W133" s="271"/>
      <c r="X133" s="271"/>
      <c r="Y133" s="271"/>
      <c r="Z133" s="271"/>
      <c r="AA133" s="271"/>
      <c r="AB133" s="271"/>
      <c r="AC133" s="271"/>
    </row>
    <row r="134" spans="1:29" outlineLevel="1" x14ac:dyDescent="0.2">
      <c r="A134" s="39"/>
      <c r="B134" s="36"/>
      <c r="C134" s="38" t="s">
        <v>557</v>
      </c>
      <c r="D134" s="206" t="str">
        <f t="shared" si="28"/>
        <v>el_us_t1</v>
      </c>
      <c r="E134" s="402" t="s">
        <v>914</v>
      </c>
      <c r="F134" s="402" t="s">
        <v>914</v>
      </c>
      <c r="G134" s="402" t="s">
        <v>914</v>
      </c>
      <c r="H134" s="402" t="s">
        <v>914</v>
      </c>
      <c r="I134" s="62" t="str">
        <f t="shared" ref="I134:I306" si="30">+_En_unit</f>
        <v>kWh</v>
      </c>
      <c r="J134" s="249">
        <f t="shared" ref="J134:J145" si="31">INDEX(K134:N134,,_case_en)</f>
        <v>4</v>
      </c>
      <c r="K134" s="270">
        <f t="shared" ref="K134:N145" si="32">+K120*K$132/100</f>
        <v>13.333333333333332</v>
      </c>
      <c r="L134" s="271">
        <f t="shared" si="32"/>
        <v>13.333333333333332</v>
      </c>
      <c r="M134" s="271">
        <f t="shared" si="32"/>
        <v>13.333333333333332</v>
      </c>
      <c r="N134" s="272">
        <f t="shared" si="32"/>
        <v>4</v>
      </c>
      <c r="O134" s="86"/>
      <c r="R134" s="271"/>
      <c r="S134" s="271"/>
      <c r="T134" s="271"/>
      <c r="U134" s="271"/>
      <c r="V134" s="271"/>
      <c r="W134" s="271"/>
      <c r="X134" s="271"/>
      <c r="Y134" s="271"/>
      <c r="Z134" s="271"/>
      <c r="AA134" s="271"/>
      <c r="AB134" s="271"/>
      <c r="AC134" s="271"/>
    </row>
    <row r="135" spans="1:29" outlineLevel="1" x14ac:dyDescent="0.2">
      <c r="A135" s="39"/>
      <c r="B135" s="36"/>
      <c r="C135" s="38" t="s">
        <v>558</v>
      </c>
      <c r="D135" s="206" t="str">
        <f t="shared" si="28"/>
        <v>el_us_t2</v>
      </c>
      <c r="E135" s="402" t="s">
        <v>915</v>
      </c>
      <c r="F135" s="402" t="s">
        <v>915</v>
      </c>
      <c r="G135" s="402" t="s">
        <v>915</v>
      </c>
      <c r="H135" s="402" t="s">
        <v>915</v>
      </c>
      <c r="I135" s="62" t="str">
        <f t="shared" si="30"/>
        <v>kWh</v>
      </c>
      <c r="J135" s="249">
        <f t="shared" si="31"/>
        <v>4</v>
      </c>
      <c r="K135" s="270">
        <f t="shared" si="32"/>
        <v>13.333333333333332</v>
      </c>
      <c r="L135" s="271">
        <f t="shared" si="32"/>
        <v>13.333333333333332</v>
      </c>
      <c r="M135" s="271">
        <f t="shared" si="32"/>
        <v>13.333333333333332</v>
      </c>
      <c r="N135" s="272">
        <f t="shared" si="32"/>
        <v>4</v>
      </c>
      <c r="O135" s="86"/>
      <c r="R135" s="271"/>
      <c r="S135" s="271"/>
      <c r="T135" s="271"/>
      <c r="U135" s="271"/>
      <c r="V135" s="271"/>
      <c r="W135" s="271"/>
      <c r="X135" s="271"/>
      <c r="Y135" s="271"/>
      <c r="Z135" s="271"/>
      <c r="AA135" s="271"/>
      <c r="AB135" s="271"/>
      <c r="AC135" s="271"/>
    </row>
    <row r="136" spans="1:29" outlineLevel="1" x14ac:dyDescent="0.2">
      <c r="A136" s="39"/>
      <c r="B136" s="36"/>
      <c r="C136" s="38" t="s">
        <v>559</v>
      </c>
      <c r="D136" s="206" t="str">
        <f t="shared" si="28"/>
        <v>el_us_t3</v>
      </c>
      <c r="E136" s="402" t="s">
        <v>916</v>
      </c>
      <c r="F136" s="402" t="s">
        <v>916</v>
      </c>
      <c r="G136" s="402" t="s">
        <v>916</v>
      </c>
      <c r="H136" s="402" t="s">
        <v>916</v>
      </c>
      <c r="I136" s="62" t="str">
        <f t="shared" si="30"/>
        <v>kWh</v>
      </c>
      <c r="J136" s="249">
        <f t="shared" si="31"/>
        <v>4</v>
      </c>
      <c r="K136" s="270">
        <f t="shared" si="32"/>
        <v>13.333333333333332</v>
      </c>
      <c r="L136" s="271">
        <f t="shared" si="32"/>
        <v>13.333333333333332</v>
      </c>
      <c r="M136" s="271">
        <f t="shared" si="32"/>
        <v>13.333333333333332</v>
      </c>
      <c r="N136" s="272">
        <f t="shared" si="32"/>
        <v>4</v>
      </c>
      <c r="O136" s="86"/>
      <c r="R136" s="271"/>
      <c r="S136" s="271"/>
      <c r="T136" s="271"/>
      <c r="U136" s="271"/>
      <c r="V136" s="271"/>
      <c r="W136" s="271"/>
      <c r="X136" s="271"/>
      <c r="Y136" s="271"/>
      <c r="Z136" s="271"/>
      <c r="AA136" s="271"/>
      <c r="AB136" s="271"/>
      <c r="AC136" s="271"/>
    </row>
    <row r="137" spans="1:29" outlineLevel="1" x14ac:dyDescent="0.2">
      <c r="A137" s="39"/>
      <c r="B137" s="36"/>
      <c r="C137" s="38" t="s">
        <v>560</v>
      </c>
      <c r="D137" s="206" t="str">
        <f t="shared" si="28"/>
        <v>el_us_t4</v>
      </c>
      <c r="E137" s="402" t="s">
        <v>917</v>
      </c>
      <c r="F137" s="402" t="s">
        <v>917</v>
      </c>
      <c r="G137" s="402" t="s">
        <v>917</v>
      </c>
      <c r="H137" s="402" t="s">
        <v>917</v>
      </c>
      <c r="I137" s="62" t="str">
        <f t="shared" si="30"/>
        <v>kWh</v>
      </c>
      <c r="J137" s="249">
        <f t="shared" si="31"/>
        <v>4</v>
      </c>
      <c r="K137" s="270">
        <f t="shared" si="32"/>
        <v>13.333333333333332</v>
      </c>
      <c r="L137" s="271">
        <f t="shared" si="32"/>
        <v>13.333333333333332</v>
      </c>
      <c r="M137" s="271">
        <f t="shared" si="32"/>
        <v>13.333333333333332</v>
      </c>
      <c r="N137" s="272">
        <f t="shared" si="32"/>
        <v>4</v>
      </c>
      <c r="O137" s="86"/>
      <c r="R137" s="271"/>
      <c r="S137" s="271"/>
      <c r="T137" s="271"/>
      <c r="U137" s="271"/>
      <c r="V137" s="271"/>
      <c r="W137" s="271"/>
      <c r="X137" s="271"/>
      <c r="Y137" s="271"/>
      <c r="Z137" s="271"/>
      <c r="AA137" s="271"/>
      <c r="AB137" s="271"/>
      <c r="AC137" s="271"/>
    </row>
    <row r="138" spans="1:29" outlineLevel="1" x14ac:dyDescent="0.2">
      <c r="A138" s="39"/>
      <c r="B138" s="36"/>
      <c r="C138" s="38" t="s">
        <v>561</v>
      </c>
      <c r="D138" s="206" t="str">
        <f t="shared" si="28"/>
        <v>el_us_t5</v>
      </c>
      <c r="E138" s="402" t="s">
        <v>918</v>
      </c>
      <c r="F138" s="402" t="s">
        <v>918</v>
      </c>
      <c r="G138" s="402" t="s">
        <v>918</v>
      </c>
      <c r="H138" s="402" t="s">
        <v>918</v>
      </c>
      <c r="I138" s="62" t="str">
        <f t="shared" si="30"/>
        <v>kWh</v>
      </c>
      <c r="J138" s="249">
        <f t="shared" si="31"/>
        <v>4</v>
      </c>
      <c r="K138" s="270">
        <f t="shared" si="32"/>
        <v>13.333333333333332</v>
      </c>
      <c r="L138" s="271">
        <f t="shared" si="32"/>
        <v>13.333333333333332</v>
      </c>
      <c r="M138" s="271">
        <f t="shared" si="32"/>
        <v>13.333333333333332</v>
      </c>
      <c r="N138" s="272">
        <f t="shared" si="32"/>
        <v>4</v>
      </c>
      <c r="O138" s="86"/>
      <c r="R138" s="271"/>
      <c r="S138" s="271"/>
      <c r="T138" s="271"/>
      <c r="U138" s="271"/>
      <c r="V138" s="271"/>
      <c r="W138" s="271"/>
      <c r="X138" s="271"/>
      <c r="Y138" s="271"/>
      <c r="Z138" s="271"/>
      <c r="AA138" s="271"/>
      <c r="AB138" s="271"/>
      <c r="AC138" s="271"/>
    </row>
    <row r="139" spans="1:29" outlineLevel="1" x14ac:dyDescent="0.2">
      <c r="A139" s="39"/>
      <c r="B139" s="36"/>
      <c r="C139" s="38" t="s">
        <v>562</v>
      </c>
      <c r="D139" s="206" t="str">
        <f t="shared" si="28"/>
        <v>el_us_t6</v>
      </c>
      <c r="E139" s="402" t="s">
        <v>919</v>
      </c>
      <c r="F139" s="402" t="s">
        <v>919</v>
      </c>
      <c r="G139" s="402" t="s">
        <v>919</v>
      </c>
      <c r="H139" s="402" t="s">
        <v>919</v>
      </c>
      <c r="I139" s="62" t="str">
        <f t="shared" si="30"/>
        <v>kWh</v>
      </c>
      <c r="J139" s="249">
        <f t="shared" si="31"/>
        <v>4</v>
      </c>
      <c r="K139" s="270">
        <f t="shared" si="32"/>
        <v>13.333333333333332</v>
      </c>
      <c r="L139" s="271">
        <f t="shared" si="32"/>
        <v>13.333333333333332</v>
      </c>
      <c r="M139" s="271">
        <f t="shared" si="32"/>
        <v>13.333333333333332</v>
      </c>
      <c r="N139" s="272">
        <f t="shared" si="32"/>
        <v>4</v>
      </c>
      <c r="O139" s="86"/>
      <c r="R139" s="271"/>
      <c r="S139" s="271"/>
      <c r="T139" s="271"/>
      <c r="U139" s="271"/>
      <c r="V139" s="271"/>
      <c r="W139" s="271"/>
      <c r="X139" s="271"/>
      <c r="Y139" s="271"/>
      <c r="Z139" s="271"/>
      <c r="AA139" s="271"/>
      <c r="AB139" s="271"/>
      <c r="AC139" s="271"/>
    </row>
    <row r="140" spans="1:29" outlineLevel="1" x14ac:dyDescent="0.2">
      <c r="A140" s="39"/>
      <c r="B140" s="36"/>
      <c r="C140" s="38" t="s">
        <v>563</v>
      </c>
      <c r="D140" s="206" t="str">
        <f t="shared" si="28"/>
        <v>el_us_t7</v>
      </c>
      <c r="E140" s="402" t="s">
        <v>920</v>
      </c>
      <c r="F140" s="402" t="s">
        <v>920</v>
      </c>
      <c r="G140" s="402" t="s">
        <v>920</v>
      </c>
      <c r="H140" s="402" t="s">
        <v>920</v>
      </c>
      <c r="I140" s="62" t="str">
        <f t="shared" si="30"/>
        <v>kWh</v>
      </c>
      <c r="J140" s="249">
        <f t="shared" si="31"/>
        <v>4</v>
      </c>
      <c r="K140" s="270">
        <f t="shared" si="32"/>
        <v>13.333333333333332</v>
      </c>
      <c r="L140" s="271">
        <f t="shared" si="32"/>
        <v>13.333333333333332</v>
      </c>
      <c r="M140" s="271">
        <f t="shared" si="32"/>
        <v>13.333333333333332</v>
      </c>
      <c r="N140" s="272">
        <f t="shared" si="32"/>
        <v>4</v>
      </c>
      <c r="O140" s="86"/>
      <c r="R140" s="271"/>
      <c r="S140" s="271"/>
      <c r="T140" s="271"/>
      <c r="U140" s="271"/>
      <c r="V140" s="271"/>
      <c r="W140" s="271"/>
      <c r="X140" s="271"/>
      <c r="Y140" s="271"/>
      <c r="Z140" s="271"/>
      <c r="AA140" s="271"/>
      <c r="AB140" s="271"/>
      <c r="AC140" s="271"/>
    </row>
    <row r="141" spans="1:29" outlineLevel="1" x14ac:dyDescent="0.2">
      <c r="A141" s="39"/>
      <c r="B141" s="36"/>
      <c r="C141" s="38" t="s">
        <v>564</v>
      </c>
      <c r="D141" s="206" t="str">
        <f t="shared" si="28"/>
        <v>el_us_t8</v>
      </c>
      <c r="E141" s="402" t="s">
        <v>921</v>
      </c>
      <c r="F141" s="402" t="s">
        <v>921</v>
      </c>
      <c r="G141" s="402" t="s">
        <v>921</v>
      </c>
      <c r="H141" s="402" t="s">
        <v>921</v>
      </c>
      <c r="I141" s="62" t="str">
        <f t="shared" si="30"/>
        <v>kWh</v>
      </c>
      <c r="J141" s="249">
        <f t="shared" si="31"/>
        <v>4</v>
      </c>
      <c r="K141" s="270">
        <f t="shared" si="32"/>
        <v>13.333333333333332</v>
      </c>
      <c r="L141" s="271">
        <f t="shared" si="32"/>
        <v>13.333333333333332</v>
      </c>
      <c r="M141" s="271">
        <f t="shared" si="32"/>
        <v>13.333333333333332</v>
      </c>
      <c r="N141" s="272">
        <f t="shared" si="32"/>
        <v>4</v>
      </c>
      <c r="O141" s="86"/>
      <c r="R141" s="271"/>
      <c r="S141" s="271"/>
      <c r="T141" s="271"/>
      <c r="U141" s="271"/>
      <c r="V141" s="271"/>
      <c r="W141" s="271"/>
      <c r="X141" s="271"/>
      <c r="Y141" s="271"/>
      <c r="Z141" s="271"/>
      <c r="AA141" s="271"/>
      <c r="AB141" s="271"/>
      <c r="AC141" s="271"/>
    </row>
    <row r="142" spans="1:29" outlineLevel="1" x14ac:dyDescent="0.2">
      <c r="A142" s="39"/>
      <c r="B142" s="36"/>
      <c r="C142" s="38" t="s">
        <v>565</v>
      </c>
      <c r="D142" s="206" t="str">
        <f t="shared" si="28"/>
        <v>el_us_t9</v>
      </c>
      <c r="E142" s="402" t="s">
        <v>922</v>
      </c>
      <c r="F142" s="402" t="s">
        <v>922</v>
      </c>
      <c r="G142" s="402" t="s">
        <v>922</v>
      </c>
      <c r="H142" s="402" t="s">
        <v>922</v>
      </c>
      <c r="I142" s="62" t="str">
        <f t="shared" si="30"/>
        <v>kWh</v>
      </c>
      <c r="J142" s="249">
        <f t="shared" si="31"/>
        <v>4</v>
      </c>
      <c r="K142" s="270">
        <f t="shared" si="32"/>
        <v>13.333333333333332</v>
      </c>
      <c r="L142" s="271">
        <f t="shared" si="32"/>
        <v>13.333333333333332</v>
      </c>
      <c r="M142" s="271">
        <f t="shared" si="32"/>
        <v>13.333333333333332</v>
      </c>
      <c r="N142" s="272">
        <f t="shared" si="32"/>
        <v>4</v>
      </c>
      <c r="O142" s="86"/>
      <c r="R142" s="271"/>
      <c r="S142" s="271"/>
      <c r="T142" s="271"/>
      <c r="U142" s="271"/>
      <c r="V142" s="271"/>
      <c r="W142" s="271"/>
      <c r="X142" s="271"/>
      <c r="Y142" s="271"/>
      <c r="Z142" s="271"/>
      <c r="AA142" s="271"/>
      <c r="AB142" s="271"/>
      <c r="AC142" s="271"/>
    </row>
    <row r="143" spans="1:29" outlineLevel="1" x14ac:dyDescent="0.2">
      <c r="A143" s="39"/>
      <c r="B143" s="36"/>
      <c r="C143" s="38" t="s">
        <v>566</v>
      </c>
      <c r="D143" s="206" t="str">
        <f t="shared" si="28"/>
        <v>el_us_t10</v>
      </c>
      <c r="E143" s="402" t="s">
        <v>923</v>
      </c>
      <c r="F143" s="402" t="s">
        <v>923</v>
      </c>
      <c r="G143" s="402" t="s">
        <v>923</v>
      </c>
      <c r="H143" s="402" t="s">
        <v>923</v>
      </c>
      <c r="I143" s="62" t="str">
        <f t="shared" si="30"/>
        <v>kWh</v>
      </c>
      <c r="J143" s="249">
        <f t="shared" si="31"/>
        <v>4</v>
      </c>
      <c r="K143" s="270">
        <f t="shared" si="32"/>
        <v>13.333333333333332</v>
      </c>
      <c r="L143" s="271">
        <f t="shared" si="32"/>
        <v>13.333333333333332</v>
      </c>
      <c r="M143" s="271">
        <f t="shared" si="32"/>
        <v>13.333333333333332</v>
      </c>
      <c r="N143" s="272">
        <f t="shared" si="32"/>
        <v>4</v>
      </c>
      <c r="O143" s="86"/>
      <c r="R143" s="271"/>
      <c r="S143" s="271"/>
      <c r="T143" s="271"/>
      <c r="U143" s="271"/>
      <c r="V143" s="271"/>
      <c r="W143" s="271"/>
      <c r="X143" s="271"/>
      <c r="Y143" s="271"/>
      <c r="Z143" s="271"/>
      <c r="AA143" s="271"/>
      <c r="AB143" s="271"/>
      <c r="AC143" s="271"/>
    </row>
    <row r="144" spans="1:29" outlineLevel="1" x14ac:dyDescent="0.2">
      <c r="A144" s="39"/>
      <c r="B144" s="36"/>
      <c r="C144" s="38" t="s">
        <v>567</v>
      </c>
      <c r="D144" s="206" t="str">
        <f t="shared" si="28"/>
        <v>el_us_t11</v>
      </c>
      <c r="E144" s="402" t="s">
        <v>924</v>
      </c>
      <c r="F144" s="402" t="s">
        <v>924</v>
      </c>
      <c r="G144" s="402" t="s">
        <v>924</v>
      </c>
      <c r="H144" s="402" t="s">
        <v>924</v>
      </c>
      <c r="I144" s="62" t="str">
        <f t="shared" si="30"/>
        <v>kWh</v>
      </c>
      <c r="J144" s="249">
        <f t="shared" si="31"/>
        <v>4</v>
      </c>
      <c r="K144" s="270">
        <f t="shared" si="32"/>
        <v>13.333333333333332</v>
      </c>
      <c r="L144" s="271">
        <f t="shared" si="32"/>
        <v>13.333333333333332</v>
      </c>
      <c r="M144" s="271">
        <f t="shared" si="32"/>
        <v>13.333333333333332</v>
      </c>
      <c r="N144" s="272">
        <f t="shared" si="32"/>
        <v>4</v>
      </c>
      <c r="O144" s="86"/>
      <c r="R144" s="271"/>
      <c r="S144" s="271"/>
      <c r="T144" s="271"/>
      <c r="U144" s="271"/>
      <c r="V144" s="271"/>
      <c r="W144" s="271"/>
      <c r="X144" s="271"/>
      <c r="Y144" s="271"/>
      <c r="Z144" s="271"/>
      <c r="AA144" s="271"/>
      <c r="AB144" s="271"/>
      <c r="AC144" s="271"/>
    </row>
    <row r="145" spans="1:29" ht="13.5" outlineLevel="1" thickBot="1" x14ac:dyDescent="0.25">
      <c r="A145" s="39"/>
      <c r="B145" s="263"/>
      <c r="C145" s="264" t="s">
        <v>568</v>
      </c>
      <c r="D145" s="206" t="str">
        <f t="shared" si="28"/>
        <v>el_us_t12</v>
      </c>
      <c r="E145" s="405" t="s">
        <v>925</v>
      </c>
      <c r="F145" s="405" t="s">
        <v>925</v>
      </c>
      <c r="G145" s="405" t="s">
        <v>925</v>
      </c>
      <c r="H145" s="405" t="s">
        <v>925</v>
      </c>
      <c r="I145" s="223" t="str">
        <f t="shared" si="30"/>
        <v>kWh</v>
      </c>
      <c r="J145" s="250">
        <f t="shared" si="31"/>
        <v>4</v>
      </c>
      <c r="K145" s="277">
        <f t="shared" si="32"/>
        <v>13.333333333333332</v>
      </c>
      <c r="L145" s="278">
        <f t="shared" si="32"/>
        <v>13.333333333333332</v>
      </c>
      <c r="M145" s="278">
        <f t="shared" si="32"/>
        <v>13.333333333333332</v>
      </c>
      <c r="N145" s="279">
        <f t="shared" si="32"/>
        <v>4</v>
      </c>
      <c r="O145" s="280"/>
      <c r="R145" s="278"/>
      <c r="S145" s="278"/>
      <c r="T145" s="278"/>
      <c r="U145" s="278"/>
      <c r="V145" s="278"/>
      <c r="W145" s="278"/>
      <c r="X145" s="278"/>
      <c r="Y145" s="278"/>
      <c r="Z145" s="278"/>
      <c r="AA145" s="278"/>
      <c r="AB145" s="278"/>
      <c r="AC145" s="278"/>
    </row>
    <row r="146" spans="1:29" ht="21.75" customHeight="1" x14ac:dyDescent="0.2">
      <c r="A146" s="39"/>
      <c r="B146" s="253" t="str">
        <f>INDEX(Language!D199:M199,1,_language)</f>
        <v>Cooling generation output for cooling and dhum</v>
      </c>
      <c r="C146" s="254" t="s">
        <v>526</v>
      </c>
      <c r="D146" s="214"/>
      <c r="E146" s="399"/>
      <c r="F146" s="399"/>
      <c r="G146" s="399"/>
      <c r="H146" s="399"/>
      <c r="I146" s="215" t="str">
        <f t="shared" si="20"/>
        <v>kWh</v>
      </c>
      <c r="J146" s="248">
        <f>SUM(J147:J158)</f>
        <v>1357.1428571428571</v>
      </c>
      <c r="K146" s="216">
        <f>SUM(K147:K158)</f>
        <v>2933.3333333333335</v>
      </c>
      <c r="L146" s="217">
        <f>SUM(L147:L158)</f>
        <v>2933.3333333333335</v>
      </c>
      <c r="M146" s="217">
        <f>SUM(M147:M158)</f>
        <v>2933.3333333333335</v>
      </c>
      <c r="N146" s="218">
        <f>SUM(N147:N158)</f>
        <v>1357.1428571428571</v>
      </c>
      <c r="O146" s="256"/>
      <c r="R146" s="217"/>
      <c r="S146" s="217"/>
      <c r="T146" s="217"/>
      <c r="U146" s="217"/>
      <c r="V146" s="217"/>
      <c r="W146" s="217"/>
      <c r="X146" s="217"/>
      <c r="Y146" s="217"/>
      <c r="Z146" s="217"/>
      <c r="AA146" s="217"/>
      <c r="AB146" s="217"/>
      <c r="AC146" s="217"/>
    </row>
    <row r="147" spans="1:29" outlineLevel="1" x14ac:dyDescent="0.2">
      <c r="A147" s="39"/>
      <c r="B147" s="36"/>
      <c r="C147" s="38" t="s">
        <v>527</v>
      </c>
      <c r="D147" s="152"/>
      <c r="E147" s="400"/>
      <c r="F147" s="400"/>
      <c r="G147" s="400"/>
      <c r="H147" s="400"/>
      <c r="I147" s="62" t="str">
        <f t="shared" si="20"/>
        <v>kWh</v>
      </c>
      <c r="J147" s="249">
        <f t="shared" ref="J147:J159" si="33">INDEX(K147:N147,,_case_en)</f>
        <v>0</v>
      </c>
      <c r="K147" s="270">
        <f t="shared" ref="K147:N158" si="34">+(K58+K71)*100/K$90</f>
        <v>0</v>
      </c>
      <c r="L147" s="271">
        <f t="shared" si="34"/>
        <v>0</v>
      </c>
      <c r="M147" s="271">
        <f t="shared" si="34"/>
        <v>0</v>
      </c>
      <c r="N147" s="272">
        <f t="shared" si="34"/>
        <v>0</v>
      </c>
      <c r="O147" s="86"/>
      <c r="R147" s="271"/>
      <c r="S147" s="271"/>
      <c r="T147" s="271"/>
      <c r="U147" s="271"/>
      <c r="V147" s="271"/>
      <c r="W147" s="271"/>
      <c r="X147" s="271"/>
      <c r="Y147" s="271"/>
      <c r="Z147" s="271"/>
      <c r="AA147" s="271"/>
      <c r="AB147" s="271"/>
      <c r="AC147" s="271"/>
    </row>
    <row r="148" spans="1:29" outlineLevel="1" x14ac:dyDescent="0.2">
      <c r="A148" s="39"/>
      <c r="B148" s="36"/>
      <c r="C148" s="38" t="s">
        <v>528</v>
      </c>
      <c r="D148" s="152"/>
      <c r="E148" s="400"/>
      <c r="F148" s="400"/>
      <c r="G148" s="400"/>
      <c r="H148" s="400"/>
      <c r="I148" s="62" t="str">
        <f t="shared" si="20"/>
        <v>kWh</v>
      </c>
      <c r="J148" s="249">
        <f t="shared" si="33"/>
        <v>0</v>
      </c>
      <c r="K148" s="270">
        <f t="shared" si="34"/>
        <v>0</v>
      </c>
      <c r="L148" s="271">
        <f t="shared" si="34"/>
        <v>0</v>
      </c>
      <c r="M148" s="271">
        <f t="shared" si="34"/>
        <v>0</v>
      </c>
      <c r="N148" s="272">
        <f t="shared" si="34"/>
        <v>0</v>
      </c>
      <c r="O148" s="86"/>
      <c r="R148" s="271"/>
      <c r="S148" s="271"/>
      <c r="T148" s="271"/>
      <c r="U148" s="271"/>
      <c r="V148" s="271"/>
      <c r="W148" s="271"/>
      <c r="X148" s="271"/>
      <c r="Y148" s="271"/>
      <c r="Z148" s="271"/>
      <c r="AA148" s="271"/>
      <c r="AB148" s="271"/>
      <c r="AC148" s="271"/>
    </row>
    <row r="149" spans="1:29" outlineLevel="1" x14ac:dyDescent="0.2">
      <c r="A149" s="39"/>
      <c r="B149" s="36"/>
      <c r="C149" s="38" t="s">
        <v>529</v>
      </c>
      <c r="D149" s="152"/>
      <c r="E149" s="400"/>
      <c r="F149" s="400"/>
      <c r="G149" s="400"/>
      <c r="H149" s="400"/>
      <c r="I149" s="62" t="str">
        <f t="shared" si="20"/>
        <v>kWh</v>
      </c>
      <c r="J149" s="249">
        <f t="shared" si="33"/>
        <v>0</v>
      </c>
      <c r="K149" s="270">
        <f t="shared" si="34"/>
        <v>0</v>
      </c>
      <c r="L149" s="271">
        <f t="shared" si="34"/>
        <v>0</v>
      </c>
      <c r="M149" s="271">
        <f t="shared" si="34"/>
        <v>0</v>
      </c>
      <c r="N149" s="272">
        <f t="shared" si="34"/>
        <v>0</v>
      </c>
      <c r="O149" s="86"/>
      <c r="R149" s="271"/>
      <c r="S149" s="271"/>
      <c r="T149" s="271"/>
      <c r="U149" s="271"/>
      <c r="V149" s="271"/>
      <c r="W149" s="271"/>
      <c r="X149" s="271"/>
      <c r="Y149" s="271"/>
      <c r="Z149" s="271"/>
      <c r="AA149" s="271"/>
      <c r="AB149" s="271"/>
      <c r="AC149" s="271"/>
    </row>
    <row r="150" spans="1:29" outlineLevel="1" x14ac:dyDescent="0.2">
      <c r="A150" s="39"/>
      <c r="B150" s="36"/>
      <c r="C150" s="38" t="s">
        <v>530</v>
      </c>
      <c r="D150" s="152"/>
      <c r="E150" s="400"/>
      <c r="F150" s="400"/>
      <c r="G150" s="400"/>
      <c r="H150" s="400"/>
      <c r="I150" s="62" t="str">
        <f t="shared" si="20"/>
        <v>kWh</v>
      </c>
      <c r="J150" s="249">
        <f t="shared" si="33"/>
        <v>0</v>
      </c>
      <c r="K150" s="270">
        <f t="shared" si="34"/>
        <v>133.33333333333334</v>
      </c>
      <c r="L150" s="271">
        <f t="shared" si="34"/>
        <v>133.33333333333334</v>
      </c>
      <c r="M150" s="271">
        <f t="shared" si="34"/>
        <v>133.33333333333334</v>
      </c>
      <c r="N150" s="272">
        <f t="shared" si="34"/>
        <v>0</v>
      </c>
      <c r="O150" s="86"/>
      <c r="R150" s="271"/>
      <c r="S150" s="271"/>
      <c r="T150" s="271"/>
      <c r="U150" s="271"/>
      <c r="V150" s="271"/>
      <c r="W150" s="271"/>
      <c r="X150" s="271"/>
      <c r="Y150" s="271"/>
      <c r="Z150" s="271"/>
      <c r="AA150" s="271"/>
      <c r="AB150" s="271"/>
      <c r="AC150" s="271"/>
    </row>
    <row r="151" spans="1:29" outlineLevel="1" x14ac:dyDescent="0.2">
      <c r="A151" s="39"/>
      <c r="B151" s="36"/>
      <c r="C151" s="38" t="s">
        <v>531</v>
      </c>
      <c r="D151" s="152"/>
      <c r="E151" s="400"/>
      <c r="F151" s="400"/>
      <c r="G151" s="400"/>
      <c r="H151" s="400"/>
      <c r="I151" s="62" t="str">
        <f t="shared" si="20"/>
        <v>kWh</v>
      </c>
      <c r="J151" s="249">
        <f t="shared" si="33"/>
        <v>71.428571428571431</v>
      </c>
      <c r="K151" s="270">
        <f t="shared" si="34"/>
        <v>266.66666666666669</v>
      </c>
      <c r="L151" s="271">
        <f t="shared" si="34"/>
        <v>266.66666666666669</v>
      </c>
      <c r="M151" s="271">
        <f t="shared" si="34"/>
        <v>266.66666666666669</v>
      </c>
      <c r="N151" s="272">
        <f t="shared" si="34"/>
        <v>71.428571428571431</v>
      </c>
      <c r="O151" s="86"/>
      <c r="R151" s="271"/>
      <c r="S151" s="271"/>
      <c r="T151" s="271"/>
      <c r="U151" s="271"/>
      <c r="V151" s="271"/>
      <c r="W151" s="271"/>
      <c r="X151" s="271"/>
      <c r="Y151" s="271"/>
      <c r="Z151" s="271"/>
      <c r="AA151" s="271"/>
      <c r="AB151" s="271"/>
      <c r="AC151" s="271"/>
    </row>
    <row r="152" spans="1:29" outlineLevel="1" x14ac:dyDescent="0.2">
      <c r="A152" s="39"/>
      <c r="B152" s="36"/>
      <c r="C152" s="38" t="s">
        <v>532</v>
      </c>
      <c r="D152" s="152"/>
      <c r="E152" s="400"/>
      <c r="F152" s="400"/>
      <c r="G152" s="400"/>
      <c r="H152" s="400"/>
      <c r="I152" s="62" t="str">
        <f t="shared" si="20"/>
        <v>kWh</v>
      </c>
      <c r="J152" s="249">
        <f t="shared" si="33"/>
        <v>285.71428571428572</v>
      </c>
      <c r="K152" s="270">
        <f t="shared" si="34"/>
        <v>666.66666666666663</v>
      </c>
      <c r="L152" s="271">
        <f t="shared" si="34"/>
        <v>666.66666666666663</v>
      </c>
      <c r="M152" s="271">
        <f t="shared" si="34"/>
        <v>666.66666666666663</v>
      </c>
      <c r="N152" s="272">
        <f t="shared" si="34"/>
        <v>285.71428571428572</v>
      </c>
      <c r="O152" s="86"/>
      <c r="R152" s="271"/>
      <c r="S152" s="271"/>
      <c r="T152" s="271"/>
      <c r="U152" s="271"/>
      <c r="V152" s="271"/>
      <c r="W152" s="271"/>
      <c r="X152" s="271"/>
      <c r="Y152" s="271"/>
      <c r="Z152" s="271"/>
      <c r="AA152" s="271"/>
      <c r="AB152" s="271"/>
      <c r="AC152" s="271"/>
    </row>
    <row r="153" spans="1:29" outlineLevel="1" x14ac:dyDescent="0.2">
      <c r="A153" s="39"/>
      <c r="B153" s="36"/>
      <c r="C153" s="38" t="s">
        <v>533</v>
      </c>
      <c r="D153" s="152"/>
      <c r="E153" s="400"/>
      <c r="F153" s="400"/>
      <c r="G153" s="400"/>
      <c r="H153" s="400"/>
      <c r="I153" s="62" t="str">
        <f t="shared" si="20"/>
        <v>kWh</v>
      </c>
      <c r="J153" s="249">
        <f t="shared" si="33"/>
        <v>428.57142857142856</v>
      </c>
      <c r="K153" s="270">
        <f t="shared" si="34"/>
        <v>800</v>
      </c>
      <c r="L153" s="271">
        <f t="shared" si="34"/>
        <v>800</v>
      </c>
      <c r="M153" s="271">
        <f t="shared" si="34"/>
        <v>800</v>
      </c>
      <c r="N153" s="272">
        <f t="shared" si="34"/>
        <v>428.57142857142856</v>
      </c>
      <c r="O153" s="86"/>
      <c r="R153" s="271"/>
      <c r="S153" s="271"/>
      <c r="T153" s="271"/>
      <c r="U153" s="271"/>
      <c r="V153" s="271"/>
      <c r="W153" s="271"/>
      <c r="X153" s="271"/>
      <c r="Y153" s="271"/>
      <c r="Z153" s="271"/>
      <c r="AA153" s="271"/>
      <c r="AB153" s="271"/>
      <c r="AC153" s="271"/>
    </row>
    <row r="154" spans="1:29" outlineLevel="1" x14ac:dyDescent="0.2">
      <c r="A154" s="39"/>
      <c r="B154" s="36"/>
      <c r="C154" s="38" t="s">
        <v>534</v>
      </c>
      <c r="D154" s="152"/>
      <c r="E154" s="400"/>
      <c r="F154" s="400"/>
      <c r="G154" s="400"/>
      <c r="H154" s="400"/>
      <c r="I154" s="62" t="str">
        <f t="shared" si="20"/>
        <v>kWh</v>
      </c>
      <c r="J154" s="249">
        <f t="shared" si="33"/>
        <v>357.14285714285717</v>
      </c>
      <c r="K154" s="270">
        <f t="shared" si="34"/>
        <v>733.33333333333337</v>
      </c>
      <c r="L154" s="271">
        <f t="shared" si="34"/>
        <v>733.33333333333337</v>
      </c>
      <c r="M154" s="271">
        <f t="shared" si="34"/>
        <v>733.33333333333337</v>
      </c>
      <c r="N154" s="272">
        <f t="shared" si="34"/>
        <v>357.14285714285717</v>
      </c>
      <c r="O154" s="86"/>
      <c r="R154" s="271"/>
      <c r="S154" s="271"/>
      <c r="T154" s="271"/>
      <c r="U154" s="271"/>
      <c r="V154" s="271"/>
      <c r="W154" s="271"/>
      <c r="X154" s="271"/>
      <c r="Y154" s="271"/>
      <c r="Z154" s="271"/>
      <c r="AA154" s="271"/>
      <c r="AB154" s="271"/>
      <c r="AC154" s="271"/>
    </row>
    <row r="155" spans="1:29" outlineLevel="1" x14ac:dyDescent="0.2">
      <c r="A155" s="39"/>
      <c r="B155" s="36"/>
      <c r="C155" s="38" t="s">
        <v>535</v>
      </c>
      <c r="D155" s="152"/>
      <c r="E155" s="400"/>
      <c r="F155" s="400"/>
      <c r="G155" s="400"/>
      <c r="H155" s="400"/>
      <c r="I155" s="62" t="str">
        <f t="shared" si="20"/>
        <v>kWh</v>
      </c>
      <c r="J155" s="249">
        <f t="shared" si="33"/>
        <v>214.28571428571428</v>
      </c>
      <c r="K155" s="270">
        <f t="shared" si="34"/>
        <v>333.33333333333331</v>
      </c>
      <c r="L155" s="271">
        <f t="shared" si="34"/>
        <v>333.33333333333331</v>
      </c>
      <c r="M155" s="271">
        <f t="shared" si="34"/>
        <v>333.33333333333331</v>
      </c>
      <c r="N155" s="272">
        <f t="shared" si="34"/>
        <v>214.28571428571428</v>
      </c>
      <c r="O155" s="86"/>
      <c r="R155" s="271"/>
      <c r="S155" s="271"/>
      <c r="T155" s="271"/>
      <c r="U155" s="271"/>
      <c r="V155" s="271"/>
      <c r="W155" s="271"/>
      <c r="X155" s="271"/>
      <c r="Y155" s="271"/>
      <c r="Z155" s="271"/>
      <c r="AA155" s="271"/>
      <c r="AB155" s="271"/>
      <c r="AC155" s="271"/>
    </row>
    <row r="156" spans="1:29" outlineLevel="1" x14ac:dyDescent="0.2">
      <c r="A156" s="39"/>
      <c r="B156" s="36"/>
      <c r="C156" s="38" t="s">
        <v>536</v>
      </c>
      <c r="D156" s="152"/>
      <c r="E156" s="400"/>
      <c r="F156" s="400"/>
      <c r="G156" s="400"/>
      <c r="H156" s="400"/>
      <c r="I156" s="62" t="str">
        <f t="shared" si="20"/>
        <v>kWh</v>
      </c>
      <c r="J156" s="249">
        <f t="shared" si="33"/>
        <v>0</v>
      </c>
      <c r="K156" s="270">
        <f t="shared" si="34"/>
        <v>0</v>
      </c>
      <c r="L156" s="271">
        <f t="shared" si="34"/>
        <v>0</v>
      </c>
      <c r="M156" s="271">
        <f t="shared" si="34"/>
        <v>0</v>
      </c>
      <c r="N156" s="272">
        <f t="shared" si="34"/>
        <v>0</v>
      </c>
      <c r="O156" s="86"/>
      <c r="R156" s="271"/>
      <c r="S156" s="271"/>
      <c r="T156" s="271"/>
      <c r="U156" s="271"/>
      <c r="V156" s="271"/>
      <c r="W156" s="271"/>
      <c r="X156" s="271"/>
      <c r="Y156" s="271"/>
      <c r="Z156" s="271"/>
      <c r="AA156" s="271"/>
      <c r="AB156" s="271"/>
      <c r="AC156" s="271"/>
    </row>
    <row r="157" spans="1:29" outlineLevel="1" x14ac:dyDescent="0.2">
      <c r="A157" s="39"/>
      <c r="B157" s="36"/>
      <c r="C157" s="38" t="s">
        <v>537</v>
      </c>
      <c r="D157" s="152"/>
      <c r="E157" s="400"/>
      <c r="F157" s="400"/>
      <c r="G157" s="400"/>
      <c r="H157" s="400"/>
      <c r="I157" s="62" t="str">
        <f t="shared" si="20"/>
        <v>kWh</v>
      </c>
      <c r="J157" s="249">
        <f t="shared" si="33"/>
        <v>0</v>
      </c>
      <c r="K157" s="270">
        <f t="shared" si="34"/>
        <v>0</v>
      </c>
      <c r="L157" s="271">
        <f t="shared" si="34"/>
        <v>0</v>
      </c>
      <c r="M157" s="271">
        <f t="shared" si="34"/>
        <v>0</v>
      </c>
      <c r="N157" s="272">
        <f t="shared" si="34"/>
        <v>0</v>
      </c>
      <c r="O157" s="86"/>
      <c r="R157" s="271"/>
      <c r="S157" s="271"/>
      <c r="T157" s="271"/>
      <c r="U157" s="271"/>
      <c r="V157" s="271"/>
      <c r="W157" s="271"/>
      <c r="X157" s="271"/>
      <c r="Y157" s="271"/>
      <c r="Z157" s="271"/>
      <c r="AA157" s="271"/>
      <c r="AB157" s="271"/>
      <c r="AC157" s="271"/>
    </row>
    <row r="158" spans="1:29" ht="13.5" outlineLevel="1" thickBot="1" x14ac:dyDescent="0.25">
      <c r="A158" s="39"/>
      <c r="B158" s="258"/>
      <c r="C158" s="197" t="s">
        <v>538</v>
      </c>
      <c r="D158" s="229"/>
      <c r="E158" s="401"/>
      <c r="F158" s="401"/>
      <c r="G158" s="401"/>
      <c r="H158" s="401"/>
      <c r="I158" s="168" t="str">
        <f t="shared" si="20"/>
        <v>kWh</v>
      </c>
      <c r="J158" s="252">
        <f t="shared" si="33"/>
        <v>0</v>
      </c>
      <c r="K158" s="286">
        <f t="shared" si="34"/>
        <v>0</v>
      </c>
      <c r="L158" s="287">
        <f t="shared" si="34"/>
        <v>0</v>
      </c>
      <c r="M158" s="287">
        <f t="shared" si="34"/>
        <v>0</v>
      </c>
      <c r="N158" s="288">
        <f t="shared" si="34"/>
        <v>0</v>
      </c>
      <c r="O158" s="232"/>
      <c r="R158" s="287"/>
      <c r="S158" s="287"/>
      <c r="T158" s="287"/>
      <c r="U158" s="287"/>
      <c r="V158" s="287"/>
      <c r="W158" s="287"/>
      <c r="X158" s="287"/>
      <c r="Y158" s="287"/>
      <c r="Z158" s="287"/>
      <c r="AA158" s="287"/>
      <c r="AB158" s="287"/>
      <c r="AC158" s="287"/>
    </row>
    <row r="159" spans="1:29" ht="25.5" x14ac:dyDescent="0.2">
      <c r="A159" s="39"/>
      <c r="B159" s="253" t="str">
        <f>INDEX(Language!D201:M201,1,_language)</f>
        <v>Cooling system auxiliaries except generation</v>
      </c>
      <c r="C159" s="345"/>
      <c r="D159" s="347"/>
      <c r="E159" s="404"/>
      <c r="F159" s="404"/>
      <c r="G159" s="404"/>
      <c r="H159" s="906"/>
      <c r="I159" s="215" t="s">
        <v>10</v>
      </c>
      <c r="J159" s="260">
        <f t="shared" si="33"/>
        <v>2</v>
      </c>
      <c r="K159" s="289">
        <v>5</v>
      </c>
      <c r="L159" s="290">
        <v>5</v>
      </c>
      <c r="M159" s="290">
        <v>5</v>
      </c>
      <c r="N159" s="804">
        <f>INDEX(R159:AC159,1,N$16)</f>
        <v>2</v>
      </c>
      <c r="O159" s="256" t="s">
        <v>1402</v>
      </c>
      <c r="R159" s="290">
        <v>2</v>
      </c>
      <c r="S159" s="290">
        <v>2</v>
      </c>
      <c r="T159" s="290">
        <v>2</v>
      </c>
      <c r="U159" s="290">
        <v>2</v>
      </c>
      <c r="V159" s="290">
        <v>2</v>
      </c>
      <c r="W159" s="290">
        <v>2</v>
      </c>
      <c r="X159" s="290">
        <v>2</v>
      </c>
      <c r="Y159" s="290">
        <v>2</v>
      </c>
      <c r="Z159" s="290">
        <v>2</v>
      </c>
      <c r="AA159" s="290">
        <v>2</v>
      </c>
      <c r="AB159" s="290">
        <v>2</v>
      </c>
      <c r="AC159" s="290">
        <v>2</v>
      </c>
    </row>
    <row r="160" spans="1:29" ht="17.25" customHeight="1" x14ac:dyDescent="0.2">
      <c r="A160" s="39"/>
      <c r="B160" s="36"/>
      <c r="C160" s="38" t="s">
        <v>543</v>
      </c>
      <c r="D160" s="152" t="str">
        <f t="shared" ref="D160:D172" si="35">INDEX(E160:H160,,_case_en)</f>
        <v>el_us_y</v>
      </c>
      <c r="E160" s="402" t="s">
        <v>900</v>
      </c>
      <c r="F160" s="402" t="s">
        <v>900</v>
      </c>
      <c r="G160" s="402" t="s">
        <v>900</v>
      </c>
      <c r="H160" s="910" t="s">
        <v>900</v>
      </c>
      <c r="I160" s="207" t="str">
        <f t="shared" si="20"/>
        <v>kWh</v>
      </c>
      <c r="J160" s="346">
        <f>SUM(J161:J172)</f>
        <v>27.142857142857142</v>
      </c>
      <c r="K160" s="270">
        <f>SUM(K161:K172)</f>
        <v>146.66666666666666</v>
      </c>
      <c r="L160" s="271">
        <f>SUM(L161:L172)</f>
        <v>146.66666666666666</v>
      </c>
      <c r="M160" s="271">
        <f>SUM(M161:M172)</f>
        <v>146.66666666666666</v>
      </c>
      <c r="N160" s="272">
        <f>SUM(N161:N172)</f>
        <v>27.142857142857142</v>
      </c>
      <c r="O160" s="991" t="s">
        <v>1762</v>
      </c>
      <c r="P160" s="1356" t="s">
        <v>1809</v>
      </c>
      <c r="R160" s="271"/>
      <c r="S160" s="271"/>
      <c r="T160" s="271"/>
      <c r="U160" s="271"/>
      <c r="V160" s="271"/>
      <c r="W160" s="271"/>
      <c r="X160" s="271"/>
      <c r="Y160" s="271"/>
      <c r="Z160" s="271"/>
      <c r="AA160" s="271"/>
      <c r="AB160" s="271"/>
      <c r="AC160" s="271"/>
    </row>
    <row r="161" spans="1:29" outlineLevel="1" x14ac:dyDescent="0.2">
      <c r="A161" s="39"/>
      <c r="B161" s="104"/>
      <c r="C161" s="259" t="s">
        <v>569</v>
      </c>
      <c r="D161" s="206" t="str">
        <f t="shared" si="35"/>
        <v>el_us_t1</v>
      </c>
      <c r="E161" s="402" t="s">
        <v>914</v>
      </c>
      <c r="F161" s="402" t="s">
        <v>914</v>
      </c>
      <c r="G161" s="402" t="s">
        <v>914</v>
      </c>
      <c r="H161" s="402" t="s">
        <v>914</v>
      </c>
      <c r="I161" s="207" t="str">
        <f t="shared" si="20"/>
        <v>kWh</v>
      </c>
      <c r="J161" s="249">
        <f t="shared" ref="J161:J172" si="36">INDEX(K161:N161,,_case_en)</f>
        <v>0</v>
      </c>
      <c r="K161" s="270">
        <f t="shared" ref="K161:N172" si="37">+K147*K$159/100</f>
        <v>0</v>
      </c>
      <c r="L161" s="209">
        <f t="shared" si="37"/>
        <v>0</v>
      </c>
      <c r="M161" s="209">
        <f t="shared" si="37"/>
        <v>0</v>
      </c>
      <c r="N161" s="210">
        <f t="shared" si="37"/>
        <v>0</v>
      </c>
      <c r="O161" s="227"/>
      <c r="R161" s="209"/>
      <c r="S161" s="209"/>
      <c r="T161" s="209"/>
      <c r="U161" s="209"/>
      <c r="V161" s="209"/>
      <c r="W161" s="209"/>
      <c r="X161" s="209"/>
      <c r="Y161" s="209"/>
      <c r="Z161" s="209"/>
      <c r="AA161" s="209"/>
      <c r="AB161" s="209"/>
      <c r="AC161" s="209"/>
    </row>
    <row r="162" spans="1:29" outlineLevel="1" x14ac:dyDescent="0.2">
      <c r="A162" s="39"/>
      <c r="B162" s="104"/>
      <c r="C162" s="259" t="s">
        <v>570</v>
      </c>
      <c r="D162" s="206" t="str">
        <f t="shared" si="35"/>
        <v>el_us_t2</v>
      </c>
      <c r="E162" s="402" t="s">
        <v>915</v>
      </c>
      <c r="F162" s="402" t="s">
        <v>915</v>
      </c>
      <c r="G162" s="402" t="s">
        <v>915</v>
      </c>
      <c r="H162" s="402" t="s">
        <v>915</v>
      </c>
      <c r="I162" s="207" t="str">
        <f t="shared" si="29"/>
        <v>kWh</v>
      </c>
      <c r="J162" s="249">
        <f t="shared" si="36"/>
        <v>0</v>
      </c>
      <c r="K162" s="208">
        <f t="shared" si="37"/>
        <v>0</v>
      </c>
      <c r="L162" s="209">
        <f t="shared" si="37"/>
        <v>0</v>
      </c>
      <c r="M162" s="209">
        <f t="shared" si="37"/>
        <v>0</v>
      </c>
      <c r="N162" s="210">
        <f t="shared" si="37"/>
        <v>0</v>
      </c>
      <c r="O162" s="227"/>
      <c r="R162" s="209"/>
      <c r="S162" s="209"/>
      <c r="T162" s="209"/>
      <c r="U162" s="209"/>
      <c r="V162" s="209"/>
      <c r="W162" s="209"/>
      <c r="X162" s="209"/>
      <c r="Y162" s="209"/>
      <c r="Z162" s="209"/>
      <c r="AA162" s="209"/>
      <c r="AB162" s="209"/>
      <c r="AC162" s="209"/>
    </row>
    <row r="163" spans="1:29" outlineLevel="1" x14ac:dyDescent="0.2">
      <c r="A163" s="39"/>
      <c r="B163" s="104"/>
      <c r="C163" s="259" t="s">
        <v>571</v>
      </c>
      <c r="D163" s="206" t="str">
        <f t="shared" si="35"/>
        <v>el_us_t3</v>
      </c>
      <c r="E163" s="402" t="s">
        <v>916</v>
      </c>
      <c r="F163" s="402" t="s">
        <v>916</v>
      </c>
      <c r="G163" s="402" t="s">
        <v>916</v>
      </c>
      <c r="H163" s="402" t="s">
        <v>916</v>
      </c>
      <c r="I163" s="207" t="str">
        <f t="shared" si="29"/>
        <v>kWh</v>
      </c>
      <c r="J163" s="249">
        <f t="shared" si="36"/>
        <v>0</v>
      </c>
      <c r="K163" s="208">
        <f t="shared" si="37"/>
        <v>0</v>
      </c>
      <c r="L163" s="209">
        <f t="shared" si="37"/>
        <v>0</v>
      </c>
      <c r="M163" s="209">
        <f t="shared" si="37"/>
        <v>0</v>
      </c>
      <c r="N163" s="210">
        <f t="shared" si="37"/>
        <v>0</v>
      </c>
      <c r="O163" s="227"/>
      <c r="R163" s="209"/>
      <c r="S163" s="209"/>
      <c r="T163" s="209"/>
      <c r="U163" s="209"/>
      <c r="V163" s="209"/>
      <c r="W163" s="209"/>
      <c r="X163" s="209"/>
      <c r="Y163" s="209"/>
      <c r="Z163" s="209"/>
      <c r="AA163" s="209"/>
      <c r="AB163" s="209"/>
      <c r="AC163" s="209"/>
    </row>
    <row r="164" spans="1:29" outlineLevel="1" x14ac:dyDescent="0.2">
      <c r="A164" s="39"/>
      <c r="B164" s="104"/>
      <c r="C164" s="259" t="s">
        <v>572</v>
      </c>
      <c r="D164" s="206" t="str">
        <f t="shared" si="35"/>
        <v>el_us_t4</v>
      </c>
      <c r="E164" s="402" t="s">
        <v>917</v>
      </c>
      <c r="F164" s="402" t="s">
        <v>917</v>
      </c>
      <c r="G164" s="402" t="s">
        <v>917</v>
      </c>
      <c r="H164" s="402" t="s">
        <v>917</v>
      </c>
      <c r="I164" s="207" t="str">
        <f t="shared" si="29"/>
        <v>kWh</v>
      </c>
      <c r="J164" s="249">
        <f t="shared" si="36"/>
        <v>0</v>
      </c>
      <c r="K164" s="208">
        <f t="shared" si="37"/>
        <v>6.6666666666666679</v>
      </c>
      <c r="L164" s="209">
        <f t="shared" si="37"/>
        <v>6.6666666666666679</v>
      </c>
      <c r="M164" s="209">
        <f t="shared" si="37"/>
        <v>6.6666666666666679</v>
      </c>
      <c r="N164" s="210">
        <f t="shared" si="37"/>
        <v>0</v>
      </c>
      <c r="O164" s="227"/>
      <c r="R164" s="209"/>
      <c r="S164" s="209"/>
      <c r="T164" s="209"/>
      <c r="U164" s="209"/>
      <c r="V164" s="209"/>
      <c r="W164" s="209"/>
      <c r="X164" s="209"/>
      <c r="Y164" s="209"/>
      <c r="Z164" s="209"/>
      <c r="AA164" s="209"/>
      <c r="AB164" s="209"/>
      <c r="AC164" s="209"/>
    </row>
    <row r="165" spans="1:29" outlineLevel="1" x14ac:dyDescent="0.2">
      <c r="A165" s="39"/>
      <c r="B165" s="104"/>
      <c r="C165" s="259" t="s">
        <v>573</v>
      </c>
      <c r="D165" s="206" t="str">
        <f t="shared" si="35"/>
        <v>el_us_t5</v>
      </c>
      <c r="E165" s="402" t="s">
        <v>918</v>
      </c>
      <c r="F165" s="402" t="s">
        <v>918</v>
      </c>
      <c r="G165" s="402" t="s">
        <v>918</v>
      </c>
      <c r="H165" s="402" t="s">
        <v>918</v>
      </c>
      <c r="I165" s="207" t="str">
        <f t="shared" si="29"/>
        <v>kWh</v>
      </c>
      <c r="J165" s="249">
        <f t="shared" si="36"/>
        <v>1.4285714285714286</v>
      </c>
      <c r="K165" s="208">
        <f t="shared" si="37"/>
        <v>13.333333333333336</v>
      </c>
      <c r="L165" s="209">
        <f t="shared" si="37"/>
        <v>13.333333333333336</v>
      </c>
      <c r="M165" s="209">
        <f t="shared" si="37"/>
        <v>13.333333333333336</v>
      </c>
      <c r="N165" s="210">
        <f t="shared" si="37"/>
        <v>1.4285714285714286</v>
      </c>
      <c r="O165" s="227"/>
      <c r="R165" s="209"/>
      <c r="S165" s="209"/>
      <c r="T165" s="209"/>
      <c r="U165" s="209"/>
      <c r="V165" s="209"/>
      <c r="W165" s="209"/>
      <c r="X165" s="209"/>
      <c r="Y165" s="209"/>
      <c r="Z165" s="209"/>
      <c r="AA165" s="209"/>
      <c r="AB165" s="209"/>
      <c r="AC165" s="209"/>
    </row>
    <row r="166" spans="1:29" outlineLevel="1" x14ac:dyDescent="0.2">
      <c r="A166" s="39"/>
      <c r="B166" s="104"/>
      <c r="C166" s="259" t="s">
        <v>574</v>
      </c>
      <c r="D166" s="206" t="str">
        <f t="shared" si="35"/>
        <v>el_us_t6</v>
      </c>
      <c r="E166" s="402" t="s">
        <v>919</v>
      </c>
      <c r="F166" s="402" t="s">
        <v>919</v>
      </c>
      <c r="G166" s="402" t="s">
        <v>919</v>
      </c>
      <c r="H166" s="402" t="s">
        <v>919</v>
      </c>
      <c r="I166" s="207" t="str">
        <f t="shared" si="29"/>
        <v>kWh</v>
      </c>
      <c r="J166" s="249">
        <f t="shared" si="36"/>
        <v>5.7142857142857144</v>
      </c>
      <c r="K166" s="208">
        <f t="shared" si="37"/>
        <v>33.333333333333329</v>
      </c>
      <c r="L166" s="209">
        <f t="shared" si="37"/>
        <v>33.333333333333329</v>
      </c>
      <c r="M166" s="209">
        <f t="shared" si="37"/>
        <v>33.333333333333329</v>
      </c>
      <c r="N166" s="210">
        <f t="shared" si="37"/>
        <v>5.7142857142857144</v>
      </c>
      <c r="O166" s="227"/>
      <c r="R166" s="209"/>
      <c r="S166" s="209"/>
      <c r="T166" s="209"/>
      <c r="U166" s="209"/>
      <c r="V166" s="209"/>
      <c r="W166" s="209"/>
      <c r="X166" s="209"/>
      <c r="Y166" s="209"/>
      <c r="Z166" s="209"/>
      <c r="AA166" s="209"/>
      <c r="AB166" s="209"/>
      <c r="AC166" s="209"/>
    </row>
    <row r="167" spans="1:29" outlineLevel="1" x14ac:dyDescent="0.2">
      <c r="A167" s="39"/>
      <c r="B167" s="104"/>
      <c r="C167" s="259" t="s">
        <v>575</v>
      </c>
      <c r="D167" s="206" t="str">
        <f t="shared" si="35"/>
        <v>el_us_t7</v>
      </c>
      <c r="E167" s="402" t="s">
        <v>920</v>
      </c>
      <c r="F167" s="402" t="s">
        <v>920</v>
      </c>
      <c r="G167" s="402" t="s">
        <v>920</v>
      </c>
      <c r="H167" s="402" t="s">
        <v>920</v>
      </c>
      <c r="I167" s="207" t="str">
        <f t="shared" si="29"/>
        <v>kWh</v>
      </c>
      <c r="J167" s="249">
        <f t="shared" si="36"/>
        <v>8.5714285714285712</v>
      </c>
      <c r="K167" s="208">
        <f t="shared" si="37"/>
        <v>40</v>
      </c>
      <c r="L167" s="209">
        <f t="shared" si="37"/>
        <v>40</v>
      </c>
      <c r="M167" s="209">
        <f t="shared" si="37"/>
        <v>40</v>
      </c>
      <c r="N167" s="210">
        <f t="shared" si="37"/>
        <v>8.5714285714285712</v>
      </c>
      <c r="O167" s="227"/>
      <c r="R167" s="209"/>
      <c r="S167" s="209"/>
      <c r="T167" s="209"/>
      <c r="U167" s="209"/>
      <c r="V167" s="209"/>
      <c r="W167" s="209"/>
      <c r="X167" s="209"/>
      <c r="Y167" s="209"/>
      <c r="Z167" s="209"/>
      <c r="AA167" s="209"/>
      <c r="AB167" s="209"/>
      <c r="AC167" s="209"/>
    </row>
    <row r="168" spans="1:29" outlineLevel="1" x14ac:dyDescent="0.2">
      <c r="A168" s="39"/>
      <c r="B168" s="104"/>
      <c r="C168" s="259" t="s">
        <v>576</v>
      </c>
      <c r="D168" s="206" t="str">
        <f t="shared" si="35"/>
        <v>el_us_t8</v>
      </c>
      <c r="E168" s="402" t="s">
        <v>921</v>
      </c>
      <c r="F168" s="402" t="s">
        <v>921</v>
      </c>
      <c r="G168" s="402" t="s">
        <v>921</v>
      </c>
      <c r="H168" s="402" t="s">
        <v>921</v>
      </c>
      <c r="I168" s="207" t="str">
        <f t="shared" si="29"/>
        <v>kWh</v>
      </c>
      <c r="J168" s="249">
        <f t="shared" si="36"/>
        <v>7.1428571428571432</v>
      </c>
      <c r="K168" s="208">
        <f t="shared" si="37"/>
        <v>36.666666666666671</v>
      </c>
      <c r="L168" s="209">
        <f t="shared" si="37"/>
        <v>36.666666666666671</v>
      </c>
      <c r="M168" s="209">
        <f t="shared" si="37"/>
        <v>36.666666666666671</v>
      </c>
      <c r="N168" s="210">
        <f t="shared" si="37"/>
        <v>7.1428571428571432</v>
      </c>
      <c r="O168" s="227"/>
      <c r="R168" s="209"/>
      <c r="S168" s="209"/>
      <c r="T168" s="209"/>
      <c r="U168" s="209"/>
      <c r="V168" s="209"/>
      <c r="W168" s="209"/>
      <c r="X168" s="209"/>
      <c r="Y168" s="209"/>
      <c r="Z168" s="209"/>
      <c r="AA168" s="209"/>
      <c r="AB168" s="209"/>
      <c r="AC168" s="209"/>
    </row>
    <row r="169" spans="1:29" outlineLevel="1" x14ac:dyDescent="0.2">
      <c r="A169" s="39"/>
      <c r="B169" s="104"/>
      <c r="C169" s="259" t="s">
        <v>577</v>
      </c>
      <c r="D169" s="206" t="str">
        <f t="shared" si="35"/>
        <v>el_us_t9</v>
      </c>
      <c r="E169" s="402" t="s">
        <v>922</v>
      </c>
      <c r="F169" s="402" t="s">
        <v>922</v>
      </c>
      <c r="G169" s="402" t="s">
        <v>922</v>
      </c>
      <c r="H169" s="402" t="s">
        <v>922</v>
      </c>
      <c r="I169" s="207" t="str">
        <f t="shared" si="29"/>
        <v>kWh</v>
      </c>
      <c r="J169" s="249">
        <f t="shared" si="36"/>
        <v>4.2857142857142856</v>
      </c>
      <c r="K169" s="208">
        <f t="shared" si="37"/>
        <v>16.666666666666664</v>
      </c>
      <c r="L169" s="209">
        <f t="shared" si="37"/>
        <v>16.666666666666664</v>
      </c>
      <c r="M169" s="209">
        <f t="shared" si="37"/>
        <v>16.666666666666664</v>
      </c>
      <c r="N169" s="210">
        <f t="shared" si="37"/>
        <v>4.2857142857142856</v>
      </c>
      <c r="O169" s="227"/>
      <c r="R169" s="209"/>
      <c r="S169" s="209"/>
      <c r="T169" s="209"/>
      <c r="U169" s="209"/>
      <c r="V169" s="209"/>
      <c r="W169" s="209"/>
      <c r="X169" s="209"/>
      <c r="Y169" s="209"/>
      <c r="Z169" s="209"/>
      <c r="AA169" s="209"/>
      <c r="AB169" s="209"/>
      <c r="AC169" s="209"/>
    </row>
    <row r="170" spans="1:29" outlineLevel="1" x14ac:dyDescent="0.2">
      <c r="A170" s="39"/>
      <c r="B170" s="104"/>
      <c r="C170" s="259" t="s">
        <v>578</v>
      </c>
      <c r="D170" s="206" t="str">
        <f t="shared" si="35"/>
        <v>el_us_t10</v>
      </c>
      <c r="E170" s="402" t="s">
        <v>923</v>
      </c>
      <c r="F170" s="402" t="s">
        <v>923</v>
      </c>
      <c r="G170" s="402" t="s">
        <v>923</v>
      </c>
      <c r="H170" s="402" t="s">
        <v>923</v>
      </c>
      <c r="I170" s="207" t="str">
        <f t="shared" si="29"/>
        <v>kWh</v>
      </c>
      <c r="J170" s="249">
        <f t="shared" si="36"/>
        <v>0</v>
      </c>
      <c r="K170" s="208">
        <f t="shared" si="37"/>
        <v>0</v>
      </c>
      <c r="L170" s="209">
        <f t="shared" si="37"/>
        <v>0</v>
      </c>
      <c r="M170" s="209">
        <f t="shared" si="37"/>
        <v>0</v>
      </c>
      <c r="N170" s="210">
        <f t="shared" si="37"/>
        <v>0</v>
      </c>
      <c r="O170" s="227"/>
      <c r="R170" s="209"/>
      <c r="S170" s="209"/>
      <c r="T170" s="209"/>
      <c r="U170" s="209"/>
      <c r="V170" s="209"/>
      <c r="W170" s="209"/>
      <c r="X170" s="209"/>
      <c r="Y170" s="209"/>
      <c r="Z170" s="209"/>
      <c r="AA170" s="209"/>
      <c r="AB170" s="209"/>
      <c r="AC170" s="209"/>
    </row>
    <row r="171" spans="1:29" outlineLevel="1" x14ac:dyDescent="0.2">
      <c r="A171" s="39"/>
      <c r="B171" s="104"/>
      <c r="C171" s="259" t="s">
        <v>579</v>
      </c>
      <c r="D171" s="206" t="str">
        <f t="shared" si="35"/>
        <v>el_us_t11</v>
      </c>
      <c r="E171" s="402" t="s">
        <v>924</v>
      </c>
      <c r="F171" s="402" t="s">
        <v>924</v>
      </c>
      <c r="G171" s="402" t="s">
        <v>924</v>
      </c>
      <c r="H171" s="402" t="s">
        <v>924</v>
      </c>
      <c r="I171" s="207" t="str">
        <f t="shared" si="29"/>
        <v>kWh</v>
      </c>
      <c r="J171" s="249">
        <f t="shared" si="36"/>
        <v>0</v>
      </c>
      <c r="K171" s="208">
        <f t="shared" si="37"/>
        <v>0</v>
      </c>
      <c r="L171" s="209">
        <f t="shared" si="37"/>
        <v>0</v>
      </c>
      <c r="M171" s="209">
        <f t="shared" si="37"/>
        <v>0</v>
      </c>
      <c r="N171" s="210">
        <f t="shared" si="37"/>
        <v>0</v>
      </c>
      <c r="O171" s="227"/>
      <c r="R171" s="209"/>
      <c r="S171" s="209"/>
      <c r="T171" s="209"/>
      <c r="U171" s="209"/>
      <c r="V171" s="209"/>
      <c r="W171" s="209"/>
      <c r="X171" s="209"/>
      <c r="Y171" s="209"/>
      <c r="Z171" s="209"/>
      <c r="AA171" s="209"/>
      <c r="AB171" s="209"/>
      <c r="AC171" s="209"/>
    </row>
    <row r="172" spans="1:29" ht="13.5" outlineLevel="1" thickBot="1" x14ac:dyDescent="0.25">
      <c r="A172" s="39"/>
      <c r="B172" s="291"/>
      <c r="C172" s="259" t="s">
        <v>580</v>
      </c>
      <c r="D172" s="206" t="str">
        <f t="shared" si="35"/>
        <v>el_us_t12</v>
      </c>
      <c r="E172" s="405" t="s">
        <v>925</v>
      </c>
      <c r="F172" s="405" t="s">
        <v>925</v>
      </c>
      <c r="G172" s="405" t="s">
        <v>925</v>
      </c>
      <c r="H172" s="405" t="s">
        <v>925</v>
      </c>
      <c r="I172" s="292" t="str">
        <f t="shared" si="29"/>
        <v>kWh</v>
      </c>
      <c r="J172" s="252">
        <f t="shared" si="36"/>
        <v>0</v>
      </c>
      <c r="K172" s="281">
        <f t="shared" si="37"/>
        <v>0</v>
      </c>
      <c r="L172" s="294">
        <f t="shared" si="37"/>
        <v>0</v>
      </c>
      <c r="M172" s="294">
        <f t="shared" si="37"/>
        <v>0</v>
      </c>
      <c r="N172" s="295">
        <f t="shared" si="37"/>
        <v>0</v>
      </c>
      <c r="O172" s="293"/>
      <c r="R172" s="294"/>
      <c r="S172" s="294"/>
      <c r="T172" s="294"/>
      <c r="U172" s="294"/>
      <c r="V172" s="294"/>
      <c r="W172" s="294"/>
      <c r="X172" s="294"/>
      <c r="Y172" s="294"/>
      <c r="Z172" s="294"/>
      <c r="AA172" s="294"/>
      <c r="AB172" s="294"/>
      <c r="AC172" s="294"/>
    </row>
    <row r="173" spans="1:29" ht="36" customHeight="1" thickBot="1" x14ac:dyDescent="0.25">
      <c r="A173" s="39"/>
      <c r="B173" s="326" t="str">
        <f>INDEX(Language!$D$98:$M$98,1,_language)</f>
        <v>Generation systems</v>
      </c>
      <c r="C173" s="992" t="s">
        <v>1764</v>
      </c>
      <c r="D173" s="330"/>
      <c r="E173" s="330"/>
      <c r="F173" s="330"/>
      <c r="G173" s="330"/>
      <c r="H173" s="330"/>
      <c r="I173" s="987"/>
      <c r="J173" s="330"/>
      <c r="K173" s="330"/>
      <c r="L173" s="330"/>
      <c r="M173" s="330"/>
      <c r="N173" s="988"/>
      <c r="O173" s="333"/>
      <c r="R173" s="328"/>
      <c r="S173" s="328"/>
      <c r="T173" s="328"/>
      <c r="U173" s="328"/>
      <c r="V173" s="328"/>
      <c r="W173" s="328"/>
      <c r="X173" s="328"/>
      <c r="Y173" s="328"/>
      <c r="Z173" s="328"/>
      <c r="AA173" s="328"/>
      <c r="AB173" s="328"/>
      <c r="AC173" s="328"/>
    </row>
    <row r="174" spans="1:29" ht="38.25" x14ac:dyDescent="0.2">
      <c r="A174" s="39"/>
      <c r="B174" s="253" t="str">
        <f>INDEX(Language!D188:M188,1,_language)</f>
        <v>Thermal solar contribution multiplier</v>
      </c>
      <c r="C174" s="254"/>
      <c r="D174" s="214"/>
      <c r="E174" s="399"/>
      <c r="F174" s="399"/>
      <c r="G174" s="399"/>
      <c r="H174" s="399"/>
      <c r="I174" s="215"/>
      <c r="J174" s="260">
        <f>INDEX(K174:N174,,_case_en)</f>
        <v>0.2</v>
      </c>
      <c r="K174" s="261">
        <v>1</v>
      </c>
      <c r="L174" s="262">
        <v>0</v>
      </c>
      <c r="M174" s="262">
        <v>2</v>
      </c>
      <c r="N174" s="803">
        <f>INDEX(R174:AC174,1,N$16)*Diagram_NEW!BD17</f>
        <v>0.2</v>
      </c>
      <c r="O174" s="227" t="s">
        <v>1403</v>
      </c>
      <c r="R174" s="262">
        <v>0.2</v>
      </c>
      <c r="S174" s="262">
        <v>0</v>
      </c>
      <c r="T174" s="262">
        <v>0</v>
      </c>
      <c r="U174" s="262">
        <v>0.2</v>
      </c>
      <c r="V174" s="262">
        <v>0.2</v>
      </c>
      <c r="W174" s="262">
        <v>0.2</v>
      </c>
      <c r="X174" s="262">
        <v>0.2</v>
      </c>
      <c r="Y174" s="262">
        <v>0.2</v>
      </c>
      <c r="Z174" s="262">
        <v>0.2</v>
      </c>
      <c r="AA174" s="262">
        <v>0.2</v>
      </c>
      <c r="AB174" s="262">
        <v>0.2</v>
      </c>
      <c r="AC174" s="262">
        <v>0.2</v>
      </c>
    </row>
    <row r="175" spans="1:29" x14ac:dyDescent="0.2">
      <c r="A175" s="39"/>
      <c r="B175" s="36" t="str">
        <f>INDEX(Language!D187:M187,1,_language)</f>
        <v>Base maximum thermal solar contribution</v>
      </c>
      <c r="C175" s="259" t="s">
        <v>1408</v>
      </c>
      <c r="D175" s="206"/>
      <c r="E175" s="402"/>
      <c r="F175" s="402"/>
      <c r="G175" s="402"/>
      <c r="H175" s="402"/>
      <c r="I175" s="207" t="str">
        <f t="shared" ref="I175:I186" si="38">+_En_unit</f>
        <v>kWh</v>
      </c>
      <c r="J175" s="249">
        <f t="shared" ref="J175:J186" si="39">INDEX(K175:N175,,_case_en)*$J$174</f>
        <v>10</v>
      </c>
      <c r="K175" s="282">
        <v>50</v>
      </c>
      <c r="L175" s="283">
        <v>50</v>
      </c>
      <c r="M175" s="283">
        <v>50</v>
      </c>
      <c r="N175" s="210">
        <f t="shared" ref="N175:N186" si="40">INDEX(R175:AC175,1,N$16)</f>
        <v>50</v>
      </c>
      <c r="O175" s="1862" t="s">
        <v>1404</v>
      </c>
      <c r="R175" s="283">
        <v>50</v>
      </c>
      <c r="S175" s="283">
        <v>50</v>
      </c>
      <c r="T175" s="283">
        <v>50</v>
      </c>
      <c r="U175" s="283">
        <v>50</v>
      </c>
      <c r="V175" s="283">
        <v>50</v>
      </c>
      <c r="W175" s="283">
        <v>50</v>
      </c>
      <c r="X175" s="283">
        <v>50</v>
      </c>
      <c r="Y175" s="283">
        <v>50</v>
      </c>
      <c r="Z175" s="283">
        <v>50</v>
      </c>
      <c r="AA175" s="283">
        <v>50</v>
      </c>
      <c r="AB175" s="283">
        <v>50</v>
      </c>
      <c r="AC175" s="283">
        <v>50</v>
      </c>
    </row>
    <row r="176" spans="1:29" outlineLevel="1" x14ac:dyDescent="0.2">
      <c r="A176" s="39"/>
      <c r="B176" s="36"/>
      <c r="C176" s="259" t="s">
        <v>1409</v>
      </c>
      <c r="D176" s="152"/>
      <c r="E176" s="400"/>
      <c r="F176" s="400"/>
      <c r="G176" s="400"/>
      <c r="H176" s="400"/>
      <c r="I176" s="62" t="str">
        <f t="shared" si="38"/>
        <v>kWh</v>
      </c>
      <c r="J176" s="249">
        <f t="shared" si="39"/>
        <v>20</v>
      </c>
      <c r="K176" s="177">
        <v>100</v>
      </c>
      <c r="L176" s="178">
        <v>100</v>
      </c>
      <c r="M176" s="178">
        <v>100</v>
      </c>
      <c r="N176" s="272">
        <f t="shared" si="40"/>
        <v>100</v>
      </c>
      <c r="O176" s="1863"/>
      <c r="R176" s="178">
        <v>100</v>
      </c>
      <c r="S176" s="178">
        <v>100</v>
      </c>
      <c r="T176" s="178">
        <v>100</v>
      </c>
      <c r="U176" s="178">
        <v>100</v>
      </c>
      <c r="V176" s="178">
        <v>100</v>
      </c>
      <c r="W176" s="178">
        <v>100</v>
      </c>
      <c r="X176" s="178">
        <v>100</v>
      </c>
      <c r="Y176" s="178">
        <v>100</v>
      </c>
      <c r="Z176" s="178">
        <v>100</v>
      </c>
      <c r="AA176" s="178">
        <v>100</v>
      </c>
      <c r="AB176" s="178">
        <v>100</v>
      </c>
      <c r="AC176" s="178">
        <v>100</v>
      </c>
    </row>
    <row r="177" spans="1:29" outlineLevel="1" x14ac:dyDescent="0.2">
      <c r="A177" s="39"/>
      <c r="B177" s="36"/>
      <c r="C177" s="259" t="s">
        <v>1410</v>
      </c>
      <c r="D177" s="152"/>
      <c r="E177" s="400"/>
      <c r="F177" s="400"/>
      <c r="G177" s="400"/>
      <c r="H177" s="400"/>
      <c r="I177" s="62" t="str">
        <f t="shared" si="38"/>
        <v>kWh</v>
      </c>
      <c r="J177" s="249">
        <f t="shared" si="39"/>
        <v>40</v>
      </c>
      <c r="K177" s="177">
        <v>200</v>
      </c>
      <c r="L177" s="178">
        <v>200</v>
      </c>
      <c r="M177" s="178">
        <v>200</v>
      </c>
      <c r="N177" s="272">
        <f t="shared" si="40"/>
        <v>200</v>
      </c>
      <c r="O177" s="1863"/>
      <c r="R177" s="178">
        <v>200</v>
      </c>
      <c r="S177" s="178">
        <v>200</v>
      </c>
      <c r="T177" s="178">
        <v>200</v>
      </c>
      <c r="U177" s="178">
        <v>200</v>
      </c>
      <c r="V177" s="178">
        <v>200</v>
      </c>
      <c r="W177" s="178">
        <v>200</v>
      </c>
      <c r="X177" s="178">
        <v>200</v>
      </c>
      <c r="Y177" s="178">
        <v>200</v>
      </c>
      <c r="Z177" s="178">
        <v>200</v>
      </c>
      <c r="AA177" s="178">
        <v>200</v>
      </c>
      <c r="AB177" s="178">
        <v>200</v>
      </c>
      <c r="AC177" s="178">
        <v>200</v>
      </c>
    </row>
    <row r="178" spans="1:29" outlineLevel="1" x14ac:dyDescent="0.2">
      <c r="A178" s="39"/>
      <c r="B178" s="36"/>
      <c r="C178" s="259" t="s">
        <v>1411</v>
      </c>
      <c r="D178" s="152"/>
      <c r="E178" s="400"/>
      <c r="F178" s="400"/>
      <c r="G178" s="400"/>
      <c r="H178" s="400"/>
      <c r="I178" s="62" t="str">
        <f t="shared" si="38"/>
        <v>kWh</v>
      </c>
      <c r="J178" s="249">
        <f t="shared" si="39"/>
        <v>80</v>
      </c>
      <c r="K178" s="177">
        <v>400</v>
      </c>
      <c r="L178" s="178">
        <v>400</v>
      </c>
      <c r="M178" s="178">
        <v>400</v>
      </c>
      <c r="N178" s="272">
        <f t="shared" si="40"/>
        <v>400</v>
      </c>
      <c r="O178" s="1863"/>
      <c r="R178" s="178">
        <v>400</v>
      </c>
      <c r="S178" s="178">
        <v>400</v>
      </c>
      <c r="T178" s="178">
        <v>400</v>
      </c>
      <c r="U178" s="178">
        <v>400</v>
      </c>
      <c r="V178" s="178">
        <v>400</v>
      </c>
      <c r="W178" s="178">
        <v>400</v>
      </c>
      <c r="X178" s="178">
        <v>400</v>
      </c>
      <c r="Y178" s="178">
        <v>400</v>
      </c>
      <c r="Z178" s="178">
        <v>400</v>
      </c>
      <c r="AA178" s="178">
        <v>400</v>
      </c>
      <c r="AB178" s="178">
        <v>400</v>
      </c>
      <c r="AC178" s="178">
        <v>400</v>
      </c>
    </row>
    <row r="179" spans="1:29" outlineLevel="1" x14ac:dyDescent="0.2">
      <c r="A179" s="39"/>
      <c r="B179" s="36"/>
      <c r="C179" s="259" t="s">
        <v>1412</v>
      </c>
      <c r="D179" s="152"/>
      <c r="E179" s="400"/>
      <c r="F179" s="400"/>
      <c r="G179" s="400"/>
      <c r="H179" s="400"/>
      <c r="I179" s="62" t="str">
        <f t="shared" si="38"/>
        <v>kWh</v>
      </c>
      <c r="J179" s="249">
        <f t="shared" si="39"/>
        <v>140</v>
      </c>
      <c r="K179" s="177">
        <v>700</v>
      </c>
      <c r="L179" s="178">
        <v>700</v>
      </c>
      <c r="M179" s="178">
        <v>700</v>
      </c>
      <c r="N179" s="272">
        <f t="shared" si="40"/>
        <v>700</v>
      </c>
      <c r="O179" s="1863"/>
      <c r="R179" s="178">
        <v>700</v>
      </c>
      <c r="S179" s="178">
        <v>700</v>
      </c>
      <c r="T179" s="178">
        <v>700</v>
      </c>
      <c r="U179" s="178">
        <v>700</v>
      </c>
      <c r="V179" s="178">
        <v>700</v>
      </c>
      <c r="W179" s="178">
        <v>700</v>
      </c>
      <c r="X179" s="178">
        <v>700</v>
      </c>
      <c r="Y179" s="178">
        <v>700</v>
      </c>
      <c r="Z179" s="178">
        <v>700</v>
      </c>
      <c r="AA179" s="178">
        <v>700</v>
      </c>
      <c r="AB179" s="178">
        <v>700</v>
      </c>
      <c r="AC179" s="178">
        <v>700</v>
      </c>
    </row>
    <row r="180" spans="1:29" outlineLevel="1" x14ac:dyDescent="0.2">
      <c r="A180" s="39"/>
      <c r="B180" s="36"/>
      <c r="C180" s="259" t="s">
        <v>1413</v>
      </c>
      <c r="D180" s="152"/>
      <c r="E180" s="400"/>
      <c r="F180" s="400"/>
      <c r="G180" s="400"/>
      <c r="H180" s="400"/>
      <c r="I180" s="62" t="str">
        <f t="shared" si="38"/>
        <v>kWh</v>
      </c>
      <c r="J180" s="249">
        <f t="shared" si="39"/>
        <v>160</v>
      </c>
      <c r="K180" s="177">
        <v>800</v>
      </c>
      <c r="L180" s="178">
        <v>800</v>
      </c>
      <c r="M180" s="178">
        <v>800</v>
      </c>
      <c r="N180" s="272">
        <f t="shared" si="40"/>
        <v>800</v>
      </c>
      <c r="O180" s="1863"/>
      <c r="R180" s="178">
        <v>800</v>
      </c>
      <c r="S180" s="178">
        <v>800</v>
      </c>
      <c r="T180" s="178">
        <v>800</v>
      </c>
      <c r="U180" s="178">
        <v>800</v>
      </c>
      <c r="V180" s="178">
        <v>800</v>
      </c>
      <c r="W180" s="178">
        <v>800</v>
      </c>
      <c r="X180" s="178">
        <v>800</v>
      </c>
      <c r="Y180" s="178">
        <v>800</v>
      </c>
      <c r="Z180" s="178">
        <v>800</v>
      </c>
      <c r="AA180" s="178">
        <v>800</v>
      </c>
      <c r="AB180" s="178">
        <v>800</v>
      </c>
      <c r="AC180" s="178">
        <v>800</v>
      </c>
    </row>
    <row r="181" spans="1:29" outlineLevel="1" x14ac:dyDescent="0.2">
      <c r="A181" s="39"/>
      <c r="B181" s="36"/>
      <c r="C181" s="259" t="s">
        <v>1414</v>
      </c>
      <c r="D181" s="152"/>
      <c r="E181" s="400"/>
      <c r="F181" s="400"/>
      <c r="G181" s="400"/>
      <c r="H181" s="400"/>
      <c r="I181" s="62" t="str">
        <f t="shared" si="38"/>
        <v>kWh</v>
      </c>
      <c r="J181" s="249">
        <f t="shared" si="39"/>
        <v>150</v>
      </c>
      <c r="K181" s="177">
        <v>750</v>
      </c>
      <c r="L181" s="178">
        <v>750</v>
      </c>
      <c r="M181" s="178">
        <v>750</v>
      </c>
      <c r="N181" s="272">
        <f t="shared" si="40"/>
        <v>750</v>
      </c>
      <c r="O181" s="1863"/>
      <c r="R181" s="178">
        <v>750</v>
      </c>
      <c r="S181" s="178">
        <v>750</v>
      </c>
      <c r="T181" s="178">
        <v>750</v>
      </c>
      <c r="U181" s="178">
        <v>750</v>
      </c>
      <c r="V181" s="178">
        <v>750</v>
      </c>
      <c r="W181" s="178">
        <v>750</v>
      </c>
      <c r="X181" s="178">
        <v>750</v>
      </c>
      <c r="Y181" s="178">
        <v>750</v>
      </c>
      <c r="Z181" s="178">
        <v>750</v>
      </c>
      <c r="AA181" s="178">
        <v>750</v>
      </c>
      <c r="AB181" s="178">
        <v>750</v>
      </c>
      <c r="AC181" s="178">
        <v>750</v>
      </c>
    </row>
    <row r="182" spans="1:29" outlineLevel="1" x14ac:dyDescent="0.2">
      <c r="A182" s="39"/>
      <c r="B182" s="36"/>
      <c r="C182" s="259" t="s">
        <v>1415</v>
      </c>
      <c r="D182" s="152"/>
      <c r="E182" s="400"/>
      <c r="F182" s="400"/>
      <c r="G182" s="400"/>
      <c r="H182" s="400"/>
      <c r="I182" s="62" t="str">
        <f t="shared" si="38"/>
        <v>kWh</v>
      </c>
      <c r="J182" s="249">
        <f t="shared" si="39"/>
        <v>140</v>
      </c>
      <c r="K182" s="177">
        <v>700</v>
      </c>
      <c r="L182" s="178">
        <v>700</v>
      </c>
      <c r="M182" s="178">
        <v>700</v>
      </c>
      <c r="N182" s="272">
        <f t="shared" si="40"/>
        <v>700</v>
      </c>
      <c r="O182" s="1863"/>
      <c r="R182" s="178">
        <v>700</v>
      </c>
      <c r="S182" s="178">
        <v>700</v>
      </c>
      <c r="T182" s="178">
        <v>700</v>
      </c>
      <c r="U182" s="178">
        <v>700</v>
      </c>
      <c r="V182" s="178">
        <v>700</v>
      </c>
      <c r="W182" s="178">
        <v>700</v>
      </c>
      <c r="X182" s="178">
        <v>700</v>
      </c>
      <c r="Y182" s="178">
        <v>700</v>
      </c>
      <c r="Z182" s="178">
        <v>700</v>
      </c>
      <c r="AA182" s="178">
        <v>700</v>
      </c>
      <c r="AB182" s="178">
        <v>700</v>
      </c>
      <c r="AC182" s="178">
        <v>700</v>
      </c>
    </row>
    <row r="183" spans="1:29" outlineLevel="1" x14ac:dyDescent="0.2">
      <c r="A183" s="39"/>
      <c r="B183" s="36"/>
      <c r="C183" s="259" t="s">
        <v>1416</v>
      </c>
      <c r="D183" s="152"/>
      <c r="E183" s="400"/>
      <c r="F183" s="400"/>
      <c r="G183" s="400"/>
      <c r="H183" s="400"/>
      <c r="I183" s="62" t="str">
        <f t="shared" si="38"/>
        <v>kWh</v>
      </c>
      <c r="J183" s="249">
        <f t="shared" si="39"/>
        <v>90</v>
      </c>
      <c r="K183" s="177">
        <v>450</v>
      </c>
      <c r="L183" s="178">
        <v>450</v>
      </c>
      <c r="M183" s="178">
        <v>450</v>
      </c>
      <c r="N183" s="272">
        <f t="shared" si="40"/>
        <v>450</v>
      </c>
      <c r="O183" s="1863"/>
      <c r="R183" s="178">
        <v>450</v>
      </c>
      <c r="S183" s="178">
        <v>450</v>
      </c>
      <c r="T183" s="178">
        <v>450</v>
      </c>
      <c r="U183" s="178">
        <v>450</v>
      </c>
      <c r="V183" s="178">
        <v>450</v>
      </c>
      <c r="W183" s="178">
        <v>450</v>
      </c>
      <c r="X183" s="178">
        <v>450</v>
      </c>
      <c r="Y183" s="178">
        <v>450</v>
      </c>
      <c r="Z183" s="178">
        <v>450</v>
      </c>
      <c r="AA183" s="178">
        <v>450</v>
      </c>
      <c r="AB183" s="178">
        <v>450</v>
      </c>
      <c r="AC183" s="178">
        <v>450</v>
      </c>
    </row>
    <row r="184" spans="1:29" outlineLevel="1" x14ac:dyDescent="0.2">
      <c r="A184" s="39"/>
      <c r="B184" s="36"/>
      <c r="C184" s="259" t="s">
        <v>1417</v>
      </c>
      <c r="D184" s="152"/>
      <c r="E184" s="400"/>
      <c r="F184" s="400"/>
      <c r="G184" s="400"/>
      <c r="H184" s="400"/>
      <c r="I184" s="62" t="str">
        <f t="shared" si="38"/>
        <v>kWh</v>
      </c>
      <c r="J184" s="249">
        <f t="shared" si="39"/>
        <v>30</v>
      </c>
      <c r="K184" s="177">
        <v>150</v>
      </c>
      <c r="L184" s="178">
        <v>150</v>
      </c>
      <c r="M184" s="178">
        <v>150</v>
      </c>
      <c r="N184" s="272">
        <f t="shared" si="40"/>
        <v>150</v>
      </c>
      <c r="O184" s="1863"/>
      <c r="R184" s="178">
        <v>150</v>
      </c>
      <c r="S184" s="178">
        <v>150</v>
      </c>
      <c r="T184" s="178">
        <v>150</v>
      </c>
      <c r="U184" s="178">
        <v>150</v>
      </c>
      <c r="V184" s="178">
        <v>150</v>
      </c>
      <c r="W184" s="178">
        <v>150</v>
      </c>
      <c r="X184" s="178">
        <v>150</v>
      </c>
      <c r="Y184" s="178">
        <v>150</v>
      </c>
      <c r="Z184" s="178">
        <v>150</v>
      </c>
      <c r="AA184" s="178">
        <v>150</v>
      </c>
      <c r="AB184" s="178">
        <v>150</v>
      </c>
      <c r="AC184" s="178">
        <v>150</v>
      </c>
    </row>
    <row r="185" spans="1:29" outlineLevel="1" x14ac:dyDescent="0.2">
      <c r="A185" s="39"/>
      <c r="B185" s="36"/>
      <c r="C185" s="259" t="s">
        <v>1418</v>
      </c>
      <c r="D185" s="152"/>
      <c r="E185" s="400"/>
      <c r="F185" s="400"/>
      <c r="G185" s="400"/>
      <c r="H185" s="400"/>
      <c r="I185" s="62" t="str">
        <f t="shared" si="38"/>
        <v>kWh</v>
      </c>
      <c r="J185" s="249">
        <f t="shared" si="39"/>
        <v>16</v>
      </c>
      <c r="K185" s="177">
        <v>80</v>
      </c>
      <c r="L185" s="178">
        <v>80</v>
      </c>
      <c r="M185" s="178">
        <v>80</v>
      </c>
      <c r="N185" s="272">
        <f t="shared" si="40"/>
        <v>80</v>
      </c>
      <c r="O185" s="1863"/>
      <c r="R185" s="178">
        <v>80</v>
      </c>
      <c r="S185" s="178">
        <v>80</v>
      </c>
      <c r="T185" s="178">
        <v>80</v>
      </c>
      <c r="U185" s="178">
        <v>80</v>
      </c>
      <c r="V185" s="178">
        <v>80</v>
      </c>
      <c r="W185" s="178">
        <v>80</v>
      </c>
      <c r="X185" s="178">
        <v>80</v>
      </c>
      <c r="Y185" s="178">
        <v>80</v>
      </c>
      <c r="Z185" s="178">
        <v>80</v>
      </c>
      <c r="AA185" s="178">
        <v>80</v>
      </c>
      <c r="AB185" s="178">
        <v>80</v>
      </c>
      <c r="AC185" s="178">
        <v>80</v>
      </c>
    </row>
    <row r="186" spans="1:29" ht="13.5" outlineLevel="1" thickBot="1" x14ac:dyDescent="0.25">
      <c r="A186" s="39"/>
      <c r="B186" s="263"/>
      <c r="C186" s="264" t="s">
        <v>1419</v>
      </c>
      <c r="D186" s="222"/>
      <c r="E186" s="403"/>
      <c r="F186" s="403"/>
      <c r="G186" s="403"/>
      <c r="H186" s="403"/>
      <c r="I186" s="223" t="str">
        <f t="shared" si="38"/>
        <v>kWh</v>
      </c>
      <c r="J186" s="249">
        <f t="shared" si="39"/>
        <v>10</v>
      </c>
      <c r="K186" s="224">
        <v>50</v>
      </c>
      <c r="L186" s="225">
        <v>50</v>
      </c>
      <c r="M186" s="225">
        <v>50</v>
      </c>
      <c r="N186" s="279">
        <f t="shared" si="40"/>
        <v>50</v>
      </c>
      <c r="O186" s="1864"/>
      <c r="R186" s="225">
        <v>50</v>
      </c>
      <c r="S186" s="225">
        <v>50</v>
      </c>
      <c r="T186" s="225">
        <v>50</v>
      </c>
      <c r="U186" s="225">
        <v>50</v>
      </c>
      <c r="V186" s="225">
        <v>50</v>
      </c>
      <c r="W186" s="225">
        <v>50</v>
      </c>
      <c r="X186" s="225">
        <v>50</v>
      </c>
      <c r="Y186" s="225">
        <v>50</v>
      </c>
      <c r="Z186" s="225">
        <v>50</v>
      </c>
      <c r="AA186" s="225">
        <v>50</v>
      </c>
      <c r="AB186" s="225">
        <v>50</v>
      </c>
      <c r="AC186" s="225">
        <v>50</v>
      </c>
    </row>
    <row r="187" spans="1:29" ht="25.5" x14ac:dyDescent="0.2">
      <c r="A187" s="39"/>
      <c r="B187" s="104" t="str">
        <f>INDEX(Language!D186:M186,1,_language)</f>
        <v xml:space="preserve">Maximum thermal solar contribution </v>
      </c>
      <c r="C187" s="259" t="s">
        <v>1420</v>
      </c>
      <c r="D187" s="206"/>
      <c r="E187" s="402"/>
      <c r="F187" s="402"/>
      <c r="G187" s="402"/>
      <c r="H187" s="402"/>
      <c r="I187" s="207"/>
      <c r="J187" s="251">
        <f>SUM(J188:J199)</f>
        <v>177.2</v>
      </c>
      <c r="K187" s="270">
        <f>SUM(K188:K199)</f>
        <v>4430</v>
      </c>
      <c r="L187" s="271">
        <f>SUM(L188:L199)</f>
        <v>0</v>
      </c>
      <c r="M187" s="271">
        <f>SUM(M188:M199)</f>
        <v>8860</v>
      </c>
      <c r="N187" s="272">
        <f>SUM(N188:N199)</f>
        <v>886</v>
      </c>
      <c r="O187" s="227" t="s">
        <v>1405</v>
      </c>
      <c r="R187" s="271"/>
      <c r="S187" s="271"/>
      <c r="T187" s="271"/>
      <c r="U187" s="271"/>
      <c r="V187" s="271"/>
      <c r="W187" s="271"/>
      <c r="X187" s="271"/>
      <c r="Y187" s="271"/>
      <c r="Z187" s="271"/>
      <c r="AA187" s="271"/>
      <c r="AB187" s="271"/>
      <c r="AC187" s="271"/>
    </row>
    <row r="188" spans="1:29" x14ac:dyDescent="0.2">
      <c r="A188" s="39"/>
      <c r="B188" s="36"/>
      <c r="C188" s="259" t="s">
        <v>1421</v>
      </c>
      <c r="D188" s="206"/>
      <c r="E188" s="402"/>
      <c r="F188" s="402"/>
      <c r="G188" s="402"/>
      <c r="H188" s="402"/>
      <c r="I188" s="207" t="str">
        <f t="shared" ref="I188:I552" si="41">+_En_unit</f>
        <v>kWh</v>
      </c>
      <c r="J188" s="249">
        <f t="shared" ref="J188:J199" si="42">INDEX(K188:N188,,_case_en)*$J$174</f>
        <v>2</v>
      </c>
      <c r="K188" s="208">
        <f t="shared" ref="K188:N199" si="43">+K175*K$174</f>
        <v>50</v>
      </c>
      <c r="L188" s="209">
        <f t="shared" si="43"/>
        <v>0</v>
      </c>
      <c r="M188" s="209">
        <f t="shared" si="43"/>
        <v>100</v>
      </c>
      <c r="N188" s="210">
        <f t="shared" si="43"/>
        <v>10</v>
      </c>
      <c r="O188" s="227"/>
      <c r="R188" s="209"/>
      <c r="S188" s="209"/>
      <c r="T188" s="209"/>
      <c r="U188" s="209"/>
      <c r="V188" s="209"/>
      <c r="W188" s="209"/>
      <c r="X188" s="209"/>
      <c r="Y188" s="209"/>
      <c r="Z188" s="209"/>
      <c r="AA188" s="209"/>
      <c r="AB188" s="209"/>
      <c r="AC188" s="209"/>
    </row>
    <row r="189" spans="1:29" outlineLevel="1" x14ac:dyDescent="0.2">
      <c r="A189" s="39"/>
      <c r="B189" s="36"/>
      <c r="C189" s="259" t="s">
        <v>1422</v>
      </c>
      <c r="D189" s="152"/>
      <c r="E189" s="400"/>
      <c r="F189" s="400"/>
      <c r="G189" s="400"/>
      <c r="H189" s="400"/>
      <c r="I189" s="62" t="str">
        <f t="shared" si="41"/>
        <v>kWh</v>
      </c>
      <c r="J189" s="249">
        <f t="shared" si="42"/>
        <v>4</v>
      </c>
      <c r="K189" s="270">
        <f t="shared" si="43"/>
        <v>100</v>
      </c>
      <c r="L189" s="271">
        <f t="shared" si="43"/>
        <v>0</v>
      </c>
      <c r="M189" s="271">
        <f t="shared" si="43"/>
        <v>200</v>
      </c>
      <c r="N189" s="272">
        <f t="shared" si="43"/>
        <v>20</v>
      </c>
      <c r="O189" s="86"/>
      <c r="R189" s="271"/>
      <c r="S189" s="271"/>
      <c r="T189" s="271"/>
      <c r="U189" s="271"/>
      <c r="V189" s="271"/>
      <c r="W189" s="271"/>
      <c r="X189" s="271"/>
      <c r="Y189" s="271"/>
      <c r="Z189" s="271"/>
      <c r="AA189" s="271"/>
      <c r="AB189" s="271"/>
      <c r="AC189" s="271"/>
    </row>
    <row r="190" spans="1:29" outlineLevel="1" x14ac:dyDescent="0.2">
      <c r="A190" s="39"/>
      <c r="B190" s="36"/>
      <c r="C190" s="259" t="s">
        <v>1423</v>
      </c>
      <c r="D190" s="152"/>
      <c r="E190" s="400"/>
      <c r="F190" s="400"/>
      <c r="G190" s="400"/>
      <c r="H190" s="400"/>
      <c r="I190" s="62" t="str">
        <f t="shared" si="41"/>
        <v>kWh</v>
      </c>
      <c r="J190" s="249">
        <f t="shared" si="42"/>
        <v>8</v>
      </c>
      <c r="K190" s="270">
        <f t="shared" si="43"/>
        <v>200</v>
      </c>
      <c r="L190" s="271">
        <f t="shared" si="43"/>
        <v>0</v>
      </c>
      <c r="M190" s="271">
        <f t="shared" si="43"/>
        <v>400</v>
      </c>
      <c r="N190" s="272">
        <f t="shared" si="43"/>
        <v>40</v>
      </c>
      <c r="O190" s="86"/>
      <c r="R190" s="271"/>
      <c r="S190" s="271"/>
      <c r="T190" s="271"/>
      <c r="U190" s="271"/>
      <c r="V190" s="271"/>
      <c r="W190" s="271"/>
      <c r="X190" s="271"/>
      <c r="Y190" s="271"/>
      <c r="Z190" s="271"/>
      <c r="AA190" s="271"/>
      <c r="AB190" s="271"/>
      <c r="AC190" s="271"/>
    </row>
    <row r="191" spans="1:29" outlineLevel="1" x14ac:dyDescent="0.2">
      <c r="A191" s="39"/>
      <c r="B191" s="36"/>
      <c r="C191" s="259" t="s">
        <v>1424</v>
      </c>
      <c r="D191" s="152"/>
      <c r="E191" s="400"/>
      <c r="F191" s="400"/>
      <c r="G191" s="400"/>
      <c r="H191" s="400"/>
      <c r="I191" s="62" t="str">
        <f t="shared" si="41"/>
        <v>kWh</v>
      </c>
      <c r="J191" s="249">
        <f t="shared" si="42"/>
        <v>16</v>
      </c>
      <c r="K191" s="270">
        <f t="shared" si="43"/>
        <v>400</v>
      </c>
      <c r="L191" s="271">
        <f t="shared" si="43"/>
        <v>0</v>
      </c>
      <c r="M191" s="271">
        <f t="shared" si="43"/>
        <v>800</v>
      </c>
      <c r="N191" s="272">
        <f t="shared" si="43"/>
        <v>80</v>
      </c>
      <c r="O191" s="86"/>
      <c r="R191" s="271"/>
      <c r="S191" s="271"/>
      <c r="T191" s="271"/>
      <c r="U191" s="271"/>
      <c r="V191" s="271"/>
      <c r="W191" s="271"/>
      <c r="X191" s="271"/>
      <c r="Y191" s="271"/>
      <c r="Z191" s="271"/>
      <c r="AA191" s="271"/>
      <c r="AB191" s="271"/>
      <c r="AC191" s="271"/>
    </row>
    <row r="192" spans="1:29" outlineLevel="1" x14ac:dyDescent="0.2">
      <c r="A192" s="39"/>
      <c r="B192" s="36"/>
      <c r="C192" s="259" t="s">
        <v>1425</v>
      </c>
      <c r="D192" s="152"/>
      <c r="E192" s="400"/>
      <c r="F192" s="400"/>
      <c r="G192" s="400"/>
      <c r="H192" s="400"/>
      <c r="I192" s="62" t="str">
        <f t="shared" si="41"/>
        <v>kWh</v>
      </c>
      <c r="J192" s="249">
        <f t="shared" si="42"/>
        <v>28</v>
      </c>
      <c r="K192" s="270">
        <f t="shared" si="43"/>
        <v>700</v>
      </c>
      <c r="L192" s="271">
        <f t="shared" si="43"/>
        <v>0</v>
      </c>
      <c r="M192" s="271">
        <f t="shared" si="43"/>
        <v>1400</v>
      </c>
      <c r="N192" s="272">
        <f t="shared" si="43"/>
        <v>140</v>
      </c>
      <c r="O192" s="86"/>
      <c r="R192" s="271"/>
      <c r="S192" s="271"/>
      <c r="T192" s="271"/>
      <c r="U192" s="271"/>
      <c r="V192" s="271"/>
      <c r="W192" s="271"/>
      <c r="X192" s="271"/>
      <c r="Y192" s="271"/>
      <c r="Z192" s="271"/>
      <c r="AA192" s="271"/>
      <c r="AB192" s="271"/>
      <c r="AC192" s="271"/>
    </row>
    <row r="193" spans="1:29" outlineLevel="1" x14ac:dyDescent="0.2">
      <c r="A193" s="39"/>
      <c r="B193" s="36"/>
      <c r="C193" s="259" t="s">
        <v>1426</v>
      </c>
      <c r="D193" s="152"/>
      <c r="E193" s="400"/>
      <c r="F193" s="400"/>
      <c r="G193" s="400"/>
      <c r="H193" s="400"/>
      <c r="I193" s="62" t="str">
        <f t="shared" si="41"/>
        <v>kWh</v>
      </c>
      <c r="J193" s="249">
        <f t="shared" si="42"/>
        <v>32</v>
      </c>
      <c r="K193" s="270">
        <f t="shared" si="43"/>
        <v>800</v>
      </c>
      <c r="L193" s="271">
        <f t="shared" si="43"/>
        <v>0</v>
      </c>
      <c r="M193" s="271">
        <f t="shared" si="43"/>
        <v>1600</v>
      </c>
      <c r="N193" s="272">
        <f t="shared" si="43"/>
        <v>160</v>
      </c>
      <c r="O193" s="86"/>
      <c r="R193" s="271"/>
      <c r="S193" s="271"/>
      <c r="T193" s="271"/>
      <c r="U193" s="271"/>
      <c r="V193" s="271"/>
      <c r="W193" s="271"/>
      <c r="X193" s="271"/>
      <c r="Y193" s="271"/>
      <c r="Z193" s="271"/>
      <c r="AA193" s="271"/>
      <c r="AB193" s="271"/>
      <c r="AC193" s="271"/>
    </row>
    <row r="194" spans="1:29" outlineLevel="1" x14ac:dyDescent="0.2">
      <c r="A194" s="39"/>
      <c r="B194" s="36"/>
      <c r="C194" s="259" t="s">
        <v>1427</v>
      </c>
      <c r="D194" s="152"/>
      <c r="E194" s="400"/>
      <c r="F194" s="400"/>
      <c r="G194" s="400"/>
      <c r="H194" s="400"/>
      <c r="I194" s="62" t="str">
        <f t="shared" si="41"/>
        <v>kWh</v>
      </c>
      <c r="J194" s="249">
        <f t="shared" si="42"/>
        <v>30</v>
      </c>
      <c r="K194" s="270">
        <f t="shared" si="43"/>
        <v>750</v>
      </c>
      <c r="L194" s="271">
        <f t="shared" si="43"/>
        <v>0</v>
      </c>
      <c r="M194" s="271">
        <f t="shared" si="43"/>
        <v>1500</v>
      </c>
      <c r="N194" s="272">
        <f t="shared" si="43"/>
        <v>150</v>
      </c>
      <c r="O194" s="86"/>
      <c r="R194" s="271"/>
      <c r="S194" s="271"/>
      <c r="T194" s="271"/>
      <c r="U194" s="271"/>
      <c r="V194" s="271"/>
      <c r="W194" s="271"/>
      <c r="X194" s="271"/>
      <c r="Y194" s="271"/>
      <c r="Z194" s="271"/>
      <c r="AA194" s="271"/>
      <c r="AB194" s="271"/>
      <c r="AC194" s="271"/>
    </row>
    <row r="195" spans="1:29" outlineLevel="1" x14ac:dyDescent="0.2">
      <c r="A195" s="39"/>
      <c r="B195" s="36"/>
      <c r="C195" s="259" t="s">
        <v>1428</v>
      </c>
      <c r="D195" s="152"/>
      <c r="E195" s="400"/>
      <c r="F195" s="400"/>
      <c r="G195" s="400"/>
      <c r="H195" s="400"/>
      <c r="I195" s="62" t="str">
        <f t="shared" si="41"/>
        <v>kWh</v>
      </c>
      <c r="J195" s="249">
        <f t="shared" si="42"/>
        <v>28</v>
      </c>
      <c r="K195" s="270">
        <f t="shared" si="43"/>
        <v>700</v>
      </c>
      <c r="L195" s="271">
        <f t="shared" si="43"/>
        <v>0</v>
      </c>
      <c r="M195" s="271">
        <f t="shared" si="43"/>
        <v>1400</v>
      </c>
      <c r="N195" s="272">
        <f t="shared" si="43"/>
        <v>140</v>
      </c>
      <c r="O195" s="86"/>
      <c r="R195" s="271"/>
      <c r="S195" s="271"/>
      <c r="T195" s="271"/>
      <c r="U195" s="271"/>
      <c r="V195" s="271"/>
      <c r="W195" s="271"/>
      <c r="X195" s="271"/>
      <c r="Y195" s="271"/>
      <c r="Z195" s="271"/>
      <c r="AA195" s="271"/>
      <c r="AB195" s="271"/>
      <c r="AC195" s="271"/>
    </row>
    <row r="196" spans="1:29" outlineLevel="1" x14ac:dyDescent="0.2">
      <c r="A196" s="39"/>
      <c r="B196" s="36"/>
      <c r="C196" s="259" t="s">
        <v>1429</v>
      </c>
      <c r="D196" s="152"/>
      <c r="E196" s="400"/>
      <c r="F196" s="400"/>
      <c r="G196" s="400"/>
      <c r="H196" s="400"/>
      <c r="I196" s="62" t="str">
        <f t="shared" si="41"/>
        <v>kWh</v>
      </c>
      <c r="J196" s="249">
        <f t="shared" si="42"/>
        <v>18</v>
      </c>
      <c r="K196" s="270">
        <f t="shared" si="43"/>
        <v>450</v>
      </c>
      <c r="L196" s="271">
        <f t="shared" si="43"/>
        <v>0</v>
      </c>
      <c r="M196" s="271">
        <f t="shared" si="43"/>
        <v>900</v>
      </c>
      <c r="N196" s="272">
        <f t="shared" si="43"/>
        <v>90</v>
      </c>
      <c r="O196" s="86"/>
      <c r="R196" s="271"/>
      <c r="S196" s="271"/>
      <c r="T196" s="271"/>
      <c r="U196" s="271"/>
      <c r="V196" s="271"/>
      <c r="W196" s="271"/>
      <c r="X196" s="271"/>
      <c r="Y196" s="271"/>
      <c r="Z196" s="271"/>
      <c r="AA196" s="271"/>
      <c r="AB196" s="271"/>
      <c r="AC196" s="271"/>
    </row>
    <row r="197" spans="1:29" outlineLevel="1" x14ac:dyDescent="0.2">
      <c r="A197" s="39"/>
      <c r="B197" s="36"/>
      <c r="C197" s="259" t="s">
        <v>1430</v>
      </c>
      <c r="D197" s="152"/>
      <c r="E197" s="400"/>
      <c r="F197" s="400"/>
      <c r="G197" s="400"/>
      <c r="H197" s="400"/>
      <c r="I197" s="62" t="str">
        <f t="shared" si="41"/>
        <v>kWh</v>
      </c>
      <c r="J197" s="249">
        <f t="shared" si="42"/>
        <v>6</v>
      </c>
      <c r="K197" s="270">
        <f t="shared" si="43"/>
        <v>150</v>
      </c>
      <c r="L197" s="271">
        <f t="shared" si="43"/>
        <v>0</v>
      </c>
      <c r="M197" s="271">
        <f t="shared" si="43"/>
        <v>300</v>
      </c>
      <c r="N197" s="272">
        <f t="shared" si="43"/>
        <v>30</v>
      </c>
      <c r="O197" s="86"/>
      <c r="R197" s="271"/>
      <c r="S197" s="271"/>
      <c r="T197" s="271"/>
      <c r="U197" s="271"/>
      <c r="V197" s="271"/>
      <c r="W197" s="271"/>
      <c r="X197" s="271"/>
      <c r="Y197" s="271"/>
      <c r="Z197" s="271"/>
      <c r="AA197" s="271"/>
      <c r="AB197" s="271"/>
      <c r="AC197" s="271"/>
    </row>
    <row r="198" spans="1:29" outlineLevel="1" x14ac:dyDescent="0.2">
      <c r="A198" s="39"/>
      <c r="B198" s="36"/>
      <c r="C198" s="259" t="s">
        <v>1431</v>
      </c>
      <c r="D198" s="152"/>
      <c r="E198" s="400"/>
      <c r="F198" s="400"/>
      <c r="G198" s="400"/>
      <c r="H198" s="400"/>
      <c r="I198" s="62" t="str">
        <f t="shared" si="41"/>
        <v>kWh</v>
      </c>
      <c r="J198" s="249">
        <f t="shared" si="42"/>
        <v>3.2</v>
      </c>
      <c r="K198" s="270">
        <f t="shared" si="43"/>
        <v>80</v>
      </c>
      <c r="L198" s="271">
        <f t="shared" si="43"/>
        <v>0</v>
      </c>
      <c r="M198" s="271">
        <f t="shared" si="43"/>
        <v>160</v>
      </c>
      <c r="N198" s="272">
        <f t="shared" si="43"/>
        <v>16</v>
      </c>
      <c r="O198" s="86"/>
      <c r="R198" s="271"/>
      <c r="S198" s="271"/>
      <c r="T198" s="271"/>
      <c r="U198" s="271"/>
      <c r="V198" s="271"/>
      <c r="W198" s="271"/>
      <c r="X198" s="271"/>
      <c r="Y198" s="271"/>
      <c r="Z198" s="271"/>
      <c r="AA198" s="271"/>
      <c r="AB198" s="271"/>
      <c r="AC198" s="271"/>
    </row>
    <row r="199" spans="1:29" ht="13.5" outlineLevel="1" thickBot="1" x14ac:dyDescent="0.25">
      <c r="A199" s="39"/>
      <c r="B199" s="263"/>
      <c r="C199" s="259" t="s">
        <v>1432</v>
      </c>
      <c r="D199" s="222"/>
      <c r="E199" s="403"/>
      <c r="F199" s="403"/>
      <c r="G199" s="403"/>
      <c r="H199" s="403"/>
      <c r="I199" s="223" t="str">
        <f t="shared" si="41"/>
        <v>kWh</v>
      </c>
      <c r="J199" s="249">
        <f t="shared" si="42"/>
        <v>2</v>
      </c>
      <c r="K199" s="277">
        <f t="shared" si="43"/>
        <v>50</v>
      </c>
      <c r="L199" s="278">
        <f t="shared" si="43"/>
        <v>0</v>
      </c>
      <c r="M199" s="278">
        <f t="shared" si="43"/>
        <v>100</v>
      </c>
      <c r="N199" s="279">
        <f t="shared" si="43"/>
        <v>10</v>
      </c>
      <c r="O199" s="86"/>
      <c r="R199" s="278"/>
      <c r="S199" s="278"/>
      <c r="T199" s="278"/>
      <c r="U199" s="278"/>
      <c r="V199" s="278"/>
      <c r="W199" s="278"/>
      <c r="X199" s="278"/>
      <c r="Y199" s="278"/>
      <c r="Z199" s="278"/>
      <c r="AA199" s="278"/>
      <c r="AB199" s="278"/>
      <c r="AC199" s="278"/>
    </row>
    <row r="200" spans="1:29" ht="19.5" customHeight="1" x14ac:dyDescent="0.2">
      <c r="A200" s="39"/>
      <c r="B200" s="253" t="str">
        <f>INDEX(Language!D196:M196,1,_language)</f>
        <v xml:space="preserve">Thermal solar output to dhw </v>
      </c>
      <c r="C200" s="254" t="s">
        <v>1433</v>
      </c>
      <c r="D200" s="214"/>
      <c r="E200" s="399"/>
      <c r="F200" s="399"/>
      <c r="G200" s="399"/>
      <c r="H200" s="399"/>
      <c r="I200" s="215" t="str">
        <f t="shared" ref="I200" si="44">+_En_unit</f>
        <v>kWh</v>
      </c>
      <c r="J200" s="248">
        <f>SUM(J201:J212)</f>
        <v>886</v>
      </c>
      <c r="K200" s="216">
        <f>SUM(K201:K212)</f>
        <v>4146.6666666666661</v>
      </c>
      <c r="L200" s="217">
        <f>SUM(L201:L212)</f>
        <v>0</v>
      </c>
      <c r="M200" s="217">
        <f>SUM(M201:M212)</f>
        <v>5259.9999999999991</v>
      </c>
      <c r="N200" s="218">
        <f>SUM(N201:N212)</f>
        <v>886</v>
      </c>
      <c r="O200" s="1074" t="s">
        <v>1814</v>
      </c>
      <c r="R200" s="217"/>
      <c r="S200" s="217"/>
      <c r="T200" s="217"/>
      <c r="U200" s="217"/>
      <c r="V200" s="217"/>
      <c r="W200" s="217"/>
      <c r="X200" s="217"/>
      <c r="Y200" s="217"/>
      <c r="Z200" s="217"/>
      <c r="AA200" s="217"/>
      <c r="AB200" s="217"/>
      <c r="AC200" s="217"/>
    </row>
    <row r="201" spans="1:29" outlineLevel="1" x14ac:dyDescent="0.2">
      <c r="A201" s="39"/>
      <c r="B201" s="36"/>
      <c r="C201" s="38" t="s">
        <v>1434</v>
      </c>
      <c r="D201" s="152"/>
      <c r="E201" s="400"/>
      <c r="F201" s="400"/>
      <c r="G201" s="400"/>
      <c r="H201" s="400"/>
      <c r="I201" s="62" t="str">
        <f t="shared" si="20"/>
        <v>kWh</v>
      </c>
      <c r="J201" s="249">
        <f t="shared" ref="J201:J213" si="45">INDEX(K201:N201,,_case_en)</f>
        <v>10</v>
      </c>
      <c r="K201" s="270">
        <f t="shared" ref="K201:N212" si="46">MIN(K188,K120)</f>
        <v>50</v>
      </c>
      <c r="L201" s="271">
        <f t="shared" si="46"/>
        <v>0</v>
      </c>
      <c r="M201" s="271">
        <f t="shared" si="46"/>
        <v>100</v>
      </c>
      <c r="N201" s="272">
        <f t="shared" si="46"/>
        <v>10</v>
      </c>
      <c r="O201" s="86"/>
      <c r="R201" s="271"/>
      <c r="S201" s="271"/>
      <c r="T201" s="271"/>
      <c r="U201" s="271"/>
      <c r="V201" s="271"/>
      <c r="W201" s="271"/>
      <c r="X201" s="271"/>
      <c r="Y201" s="271"/>
      <c r="Z201" s="271"/>
      <c r="AA201" s="271"/>
      <c r="AB201" s="271"/>
      <c r="AC201" s="271"/>
    </row>
    <row r="202" spans="1:29" outlineLevel="1" x14ac:dyDescent="0.2">
      <c r="A202" s="39"/>
      <c r="B202" s="36"/>
      <c r="C202" s="38" t="s">
        <v>1435</v>
      </c>
      <c r="D202" s="152"/>
      <c r="E202" s="400"/>
      <c r="F202" s="400"/>
      <c r="G202" s="400"/>
      <c r="H202" s="400"/>
      <c r="I202" s="62" t="str">
        <f t="shared" si="20"/>
        <v>kWh</v>
      </c>
      <c r="J202" s="249">
        <f t="shared" si="45"/>
        <v>20</v>
      </c>
      <c r="K202" s="270">
        <f t="shared" si="46"/>
        <v>100</v>
      </c>
      <c r="L202" s="271">
        <f t="shared" si="46"/>
        <v>0</v>
      </c>
      <c r="M202" s="271">
        <f t="shared" si="46"/>
        <v>200</v>
      </c>
      <c r="N202" s="272">
        <f t="shared" si="46"/>
        <v>20</v>
      </c>
      <c r="O202" s="86"/>
      <c r="R202" s="271"/>
      <c r="S202" s="271"/>
      <c r="T202" s="271"/>
      <c r="U202" s="271"/>
      <c r="V202" s="271"/>
      <c r="W202" s="271"/>
      <c r="X202" s="271"/>
      <c r="Y202" s="271"/>
      <c r="Z202" s="271"/>
      <c r="AA202" s="271"/>
      <c r="AB202" s="271"/>
      <c r="AC202" s="271"/>
    </row>
    <row r="203" spans="1:29" outlineLevel="1" x14ac:dyDescent="0.2">
      <c r="A203" s="39"/>
      <c r="B203" s="36"/>
      <c r="C203" s="38" t="s">
        <v>1436</v>
      </c>
      <c r="D203" s="152"/>
      <c r="E203" s="400"/>
      <c r="F203" s="400"/>
      <c r="G203" s="400"/>
      <c r="H203" s="400"/>
      <c r="I203" s="62" t="str">
        <f t="shared" si="20"/>
        <v>kWh</v>
      </c>
      <c r="J203" s="249">
        <f t="shared" si="45"/>
        <v>40</v>
      </c>
      <c r="K203" s="270">
        <f t="shared" si="46"/>
        <v>200</v>
      </c>
      <c r="L203" s="271">
        <f t="shared" si="46"/>
        <v>0</v>
      </c>
      <c r="M203" s="271">
        <f t="shared" si="46"/>
        <v>400</v>
      </c>
      <c r="N203" s="272">
        <f t="shared" si="46"/>
        <v>40</v>
      </c>
      <c r="O203" s="86"/>
      <c r="R203" s="271"/>
      <c r="S203" s="271"/>
      <c r="T203" s="271"/>
      <c r="U203" s="271"/>
      <c r="V203" s="271"/>
      <c r="W203" s="271"/>
      <c r="X203" s="271"/>
      <c r="Y203" s="271"/>
      <c r="Z203" s="271"/>
      <c r="AA203" s="271"/>
      <c r="AB203" s="271"/>
      <c r="AC203" s="271"/>
    </row>
    <row r="204" spans="1:29" outlineLevel="1" x14ac:dyDescent="0.2">
      <c r="A204" s="39"/>
      <c r="B204" s="36"/>
      <c r="C204" s="38" t="s">
        <v>1437</v>
      </c>
      <c r="D204" s="152"/>
      <c r="E204" s="400"/>
      <c r="F204" s="400"/>
      <c r="G204" s="400"/>
      <c r="H204" s="400"/>
      <c r="I204" s="62" t="str">
        <f t="shared" si="20"/>
        <v>kWh</v>
      </c>
      <c r="J204" s="249">
        <f t="shared" si="45"/>
        <v>80</v>
      </c>
      <c r="K204" s="270">
        <f t="shared" si="46"/>
        <v>400</v>
      </c>
      <c r="L204" s="271">
        <f t="shared" si="46"/>
        <v>0</v>
      </c>
      <c r="M204" s="271">
        <f t="shared" si="46"/>
        <v>666.66666666666663</v>
      </c>
      <c r="N204" s="272">
        <f t="shared" si="46"/>
        <v>80</v>
      </c>
      <c r="O204" s="86"/>
      <c r="R204" s="271"/>
      <c r="S204" s="271"/>
      <c r="T204" s="271"/>
      <c r="U204" s="271"/>
      <c r="V204" s="271"/>
      <c r="W204" s="271"/>
      <c r="X204" s="271"/>
      <c r="Y204" s="271"/>
      <c r="Z204" s="271"/>
      <c r="AA204" s="271"/>
      <c r="AB204" s="271"/>
      <c r="AC204" s="271"/>
    </row>
    <row r="205" spans="1:29" outlineLevel="1" x14ac:dyDescent="0.2">
      <c r="A205" s="39"/>
      <c r="B205" s="36"/>
      <c r="C205" s="38" t="s">
        <v>1438</v>
      </c>
      <c r="D205" s="152"/>
      <c r="E205" s="400"/>
      <c r="F205" s="400"/>
      <c r="G205" s="400"/>
      <c r="H205" s="400"/>
      <c r="I205" s="62" t="str">
        <f t="shared" si="20"/>
        <v>kWh</v>
      </c>
      <c r="J205" s="249">
        <f t="shared" si="45"/>
        <v>140</v>
      </c>
      <c r="K205" s="270">
        <f t="shared" si="46"/>
        <v>666.66666666666663</v>
      </c>
      <c r="L205" s="271">
        <f t="shared" si="46"/>
        <v>0</v>
      </c>
      <c r="M205" s="271">
        <f t="shared" si="46"/>
        <v>666.66666666666663</v>
      </c>
      <c r="N205" s="272">
        <f t="shared" si="46"/>
        <v>140</v>
      </c>
      <c r="O205" s="86"/>
      <c r="R205" s="271"/>
      <c r="S205" s="271"/>
      <c r="T205" s="271"/>
      <c r="U205" s="271"/>
      <c r="V205" s="271"/>
      <c r="W205" s="271"/>
      <c r="X205" s="271"/>
      <c r="Y205" s="271"/>
      <c r="Z205" s="271"/>
      <c r="AA205" s="271"/>
      <c r="AB205" s="271"/>
      <c r="AC205" s="271"/>
    </row>
    <row r="206" spans="1:29" outlineLevel="1" x14ac:dyDescent="0.2">
      <c r="A206" s="39"/>
      <c r="B206" s="36"/>
      <c r="C206" s="38" t="s">
        <v>1439</v>
      </c>
      <c r="D206" s="152"/>
      <c r="E206" s="400"/>
      <c r="F206" s="400"/>
      <c r="G206" s="400"/>
      <c r="H206" s="400"/>
      <c r="I206" s="62" t="str">
        <f t="shared" si="20"/>
        <v>kWh</v>
      </c>
      <c r="J206" s="249">
        <f t="shared" si="45"/>
        <v>160</v>
      </c>
      <c r="K206" s="270">
        <f t="shared" si="46"/>
        <v>666.66666666666663</v>
      </c>
      <c r="L206" s="271">
        <f t="shared" si="46"/>
        <v>0</v>
      </c>
      <c r="M206" s="271">
        <f t="shared" si="46"/>
        <v>666.66666666666663</v>
      </c>
      <c r="N206" s="272">
        <f t="shared" si="46"/>
        <v>160</v>
      </c>
      <c r="O206" s="86"/>
      <c r="R206" s="271"/>
      <c r="S206" s="271"/>
      <c r="T206" s="271"/>
      <c r="U206" s="271"/>
      <c r="V206" s="271"/>
      <c r="W206" s="271"/>
      <c r="X206" s="271"/>
      <c r="Y206" s="271"/>
      <c r="Z206" s="271"/>
      <c r="AA206" s="271"/>
      <c r="AB206" s="271"/>
      <c r="AC206" s="271"/>
    </row>
    <row r="207" spans="1:29" outlineLevel="1" x14ac:dyDescent="0.2">
      <c r="A207" s="39"/>
      <c r="B207" s="36"/>
      <c r="C207" s="38" t="s">
        <v>1440</v>
      </c>
      <c r="D207" s="152"/>
      <c r="E207" s="400"/>
      <c r="F207" s="400"/>
      <c r="G207" s="400"/>
      <c r="H207" s="400"/>
      <c r="I207" s="62" t="str">
        <f t="shared" si="20"/>
        <v>kWh</v>
      </c>
      <c r="J207" s="249">
        <f t="shared" si="45"/>
        <v>150</v>
      </c>
      <c r="K207" s="270">
        <f t="shared" si="46"/>
        <v>666.66666666666663</v>
      </c>
      <c r="L207" s="271">
        <f t="shared" si="46"/>
        <v>0</v>
      </c>
      <c r="M207" s="271">
        <f t="shared" si="46"/>
        <v>666.66666666666663</v>
      </c>
      <c r="N207" s="272">
        <f t="shared" si="46"/>
        <v>150</v>
      </c>
      <c r="O207" s="86"/>
      <c r="R207" s="271"/>
      <c r="S207" s="271"/>
      <c r="T207" s="271"/>
      <c r="U207" s="271"/>
      <c r="V207" s="271"/>
      <c r="W207" s="271"/>
      <c r="X207" s="271"/>
      <c r="Y207" s="271"/>
      <c r="Z207" s="271"/>
      <c r="AA207" s="271"/>
      <c r="AB207" s="271"/>
      <c r="AC207" s="271"/>
    </row>
    <row r="208" spans="1:29" outlineLevel="1" x14ac:dyDescent="0.2">
      <c r="A208" s="39"/>
      <c r="B208" s="36"/>
      <c r="C208" s="38" t="s">
        <v>1441</v>
      </c>
      <c r="D208" s="152"/>
      <c r="E208" s="400"/>
      <c r="F208" s="400"/>
      <c r="G208" s="400"/>
      <c r="H208" s="400"/>
      <c r="I208" s="62" t="str">
        <f t="shared" si="20"/>
        <v>kWh</v>
      </c>
      <c r="J208" s="249">
        <f t="shared" si="45"/>
        <v>140</v>
      </c>
      <c r="K208" s="270">
        <f t="shared" si="46"/>
        <v>666.66666666666663</v>
      </c>
      <c r="L208" s="271">
        <f t="shared" si="46"/>
        <v>0</v>
      </c>
      <c r="M208" s="271">
        <f t="shared" si="46"/>
        <v>666.66666666666663</v>
      </c>
      <c r="N208" s="272">
        <f t="shared" si="46"/>
        <v>140</v>
      </c>
      <c r="O208" s="86"/>
      <c r="R208" s="271"/>
      <c r="S208" s="271"/>
      <c r="T208" s="271"/>
      <c r="U208" s="271"/>
      <c r="V208" s="271"/>
      <c r="W208" s="271"/>
      <c r="X208" s="271"/>
      <c r="Y208" s="271"/>
      <c r="Z208" s="271"/>
      <c r="AA208" s="271"/>
      <c r="AB208" s="271"/>
      <c r="AC208" s="271"/>
    </row>
    <row r="209" spans="1:29" outlineLevel="1" x14ac:dyDescent="0.2">
      <c r="A209" s="39"/>
      <c r="B209" s="36"/>
      <c r="C209" s="38" t="s">
        <v>1442</v>
      </c>
      <c r="D209" s="152"/>
      <c r="E209" s="400"/>
      <c r="F209" s="400"/>
      <c r="G209" s="400"/>
      <c r="H209" s="400"/>
      <c r="I209" s="62" t="str">
        <f t="shared" si="20"/>
        <v>kWh</v>
      </c>
      <c r="J209" s="249">
        <f t="shared" si="45"/>
        <v>90</v>
      </c>
      <c r="K209" s="270">
        <f t="shared" si="46"/>
        <v>450</v>
      </c>
      <c r="L209" s="271">
        <f t="shared" si="46"/>
        <v>0</v>
      </c>
      <c r="M209" s="271">
        <f t="shared" si="46"/>
        <v>666.66666666666663</v>
      </c>
      <c r="N209" s="272">
        <f t="shared" si="46"/>
        <v>90</v>
      </c>
      <c r="O209" s="86"/>
      <c r="R209" s="271"/>
      <c r="S209" s="271"/>
      <c r="T209" s="271"/>
      <c r="U209" s="271"/>
      <c r="V209" s="271"/>
      <c r="W209" s="271"/>
      <c r="X209" s="271"/>
      <c r="Y209" s="271"/>
      <c r="Z209" s="271"/>
      <c r="AA209" s="271"/>
      <c r="AB209" s="271"/>
      <c r="AC209" s="271"/>
    </row>
    <row r="210" spans="1:29" outlineLevel="1" x14ac:dyDescent="0.2">
      <c r="A210" s="39"/>
      <c r="B210" s="36"/>
      <c r="C210" s="38" t="s">
        <v>1443</v>
      </c>
      <c r="D210" s="152"/>
      <c r="E210" s="400"/>
      <c r="F210" s="400"/>
      <c r="G210" s="400"/>
      <c r="H210" s="400"/>
      <c r="I210" s="62" t="str">
        <f t="shared" si="20"/>
        <v>kWh</v>
      </c>
      <c r="J210" s="249">
        <f t="shared" si="45"/>
        <v>30</v>
      </c>
      <c r="K210" s="270">
        <f t="shared" si="46"/>
        <v>150</v>
      </c>
      <c r="L210" s="271">
        <f t="shared" si="46"/>
        <v>0</v>
      </c>
      <c r="M210" s="271">
        <f t="shared" si="46"/>
        <v>300</v>
      </c>
      <c r="N210" s="272">
        <f t="shared" si="46"/>
        <v>30</v>
      </c>
      <c r="O210" s="86"/>
      <c r="R210" s="271"/>
      <c r="S210" s="271"/>
      <c r="T210" s="271"/>
      <c r="U210" s="271"/>
      <c r="V210" s="271"/>
      <c r="W210" s="271"/>
      <c r="X210" s="271"/>
      <c r="Y210" s="271"/>
      <c r="Z210" s="271"/>
      <c r="AA210" s="271"/>
      <c r="AB210" s="271"/>
      <c r="AC210" s="271"/>
    </row>
    <row r="211" spans="1:29" outlineLevel="1" x14ac:dyDescent="0.2">
      <c r="A211" s="39"/>
      <c r="B211" s="36"/>
      <c r="C211" s="38" t="s">
        <v>1444</v>
      </c>
      <c r="D211" s="152"/>
      <c r="E211" s="400"/>
      <c r="F211" s="400"/>
      <c r="G211" s="400"/>
      <c r="H211" s="400"/>
      <c r="I211" s="62" t="str">
        <f t="shared" si="20"/>
        <v>kWh</v>
      </c>
      <c r="J211" s="249">
        <f t="shared" si="45"/>
        <v>16</v>
      </c>
      <c r="K211" s="270">
        <f t="shared" si="46"/>
        <v>80</v>
      </c>
      <c r="L211" s="271">
        <f t="shared" si="46"/>
        <v>0</v>
      </c>
      <c r="M211" s="271">
        <f t="shared" si="46"/>
        <v>160</v>
      </c>
      <c r="N211" s="272">
        <f t="shared" si="46"/>
        <v>16</v>
      </c>
      <c r="O211" s="86"/>
      <c r="R211" s="271"/>
      <c r="S211" s="271"/>
      <c r="T211" s="271"/>
      <c r="U211" s="271"/>
      <c r="V211" s="271"/>
      <c r="W211" s="271"/>
      <c r="X211" s="271"/>
      <c r="Y211" s="271"/>
      <c r="Z211" s="271"/>
      <c r="AA211" s="271"/>
      <c r="AB211" s="271"/>
      <c r="AC211" s="271"/>
    </row>
    <row r="212" spans="1:29" ht="13.5" outlineLevel="1" thickBot="1" x14ac:dyDescent="0.25">
      <c r="A212" s="39"/>
      <c r="B212" s="263"/>
      <c r="C212" s="38" t="s">
        <v>1445</v>
      </c>
      <c r="D212" s="152"/>
      <c r="E212" s="400"/>
      <c r="F212" s="400"/>
      <c r="G212" s="400"/>
      <c r="H212" s="400"/>
      <c r="I212" s="62" t="str">
        <f t="shared" si="20"/>
        <v>kWh</v>
      </c>
      <c r="J212" s="250">
        <f t="shared" si="45"/>
        <v>10</v>
      </c>
      <c r="K212" s="277">
        <f t="shared" si="46"/>
        <v>50</v>
      </c>
      <c r="L212" s="278">
        <f t="shared" si="46"/>
        <v>0</v>
      </c>
      <c r="M212" s="278">
        <f t="shared" si="46"/>
        <v>100</v>
      </c>
      <c r="N212" s="279">
        <f t="shared" si="46"/>
        <v>10</v>
      </c>
      <c r="O212" s="280"/>
      <c r="R212" s="278"/>
      <c r="S212" s="278"/>
      <c r="T212" s="278"/>
      <c r="U212" s="278"/>
      <c r="V212" s="278"/>
      <c r="W212" s="278"/>
      <c r="X212" s="278"/>
      <c r="Y212" s="278"/>
      <c r="Z212" s="278"/>
      <c r="AA212" s="278"/>
      <c r="AB212" s="278"/>
      <c r="AC212" s="278"/>
    </row>
    <row r="213" spans="1:29" ht="20.25" customHeight="1" x14ac:dyDescent="0.2">
      <c r="A213" s="39"/>
      <c r="B213" s="253" t="str">
        <f>INDEX(Language!D203:M203,1,_language)</f>
        <v>Thermal solar auxiliaries</v>
      </c>
      <c r="C213" s="345"/>
      <c r="D213" s="347"/>
      <c r="E213" s="404"/>
      <c r="F213" s="404"/>
      <c r="G213" s="404"/>
      <c r="H213" s="906"/>
      <c r="I213" s="215" t="s">
        <v>10</v>
      </c>
      <c r="J213" s="260">
        <f t="shared" si="45"/>
        <v>3</v>
      </c>
      <c r="K213" s="289">
        <v>3</v>
      </c>
      <c r="L213" s="290">
        <v>3</v>
      </c>
      <c r="M213" s="290">
        <v>3</v>
      </c>
      <c r="N213" s="804">
        <f>INDEX(R213:AC213,1,N$16)</f>
        <v>3</v>
      </c>
      <c r="O213" s="227"/>
      <c r="R213" s="290">
        <v>3</v>
      </c>
      <c r="S213" s="290">
        <v>3</v>
      </c>
      <c r="T213" s="290">
        <v>3</v>
      </c>
      <c r="U213" s="290">
        <v>3</v>
      </c>
      <c r="V213" s="290">
        <v>3</v>
      </c>
      <c r="W213" s="290">
        <v>3</v>
      </c>
      <c r="X213" s="290">
        <v>3</v>
      </c>
      <c r="Y213" s="290">
        <v>3</v>
      </c>
      <c r="Z213" s="290">
        <v>3</v>
      </c>
      <c r="AA213" s="290">
        <v>3</v>
      </c>
      <c r="AB213" s="290">
        <v>3</v>
      </c>
      <c r="AC213" s="290">
        <v>3</v>
      </c>
    </row>
    <row r="214" spans="1:29" ht="20.25" customHeight="1" thickBot="1" x14ac:dyDescent="0.25">
      <c r="A214" s="39"/>
      <c r="B214" s="104" t="s">
        <v>1407</v>
      </c>
      <c r="C214" s="876"/>
      <c r="D214" s="877"/>
      <c r="E214" s="878"/>
      <c r="F214" s="878"/>
      <c r="G214" s="878"/>
      <c r="H214" s="907"/>
      <c r="I214" s="207" t="s">
        <v>10</v>
      </c>
      <c r="J214" s="879"/>
      <c r="K214" s="880"/>
      <c r="L214" s="881"/>
      <c r="M214" s="881"/>
      <c r="N214" s="882">
        <f>INDEX(R214:AC214,1,N$16)</f>
        <v>75</v>
      </c>
      <c r="O214" s="227"/>
      <c r="R214" s="881">
        <v>75</v>
      </c>
      <c r="S214" s="881">
        <v>75</v>
      </c>
      <c r="T214" s="881">
        <v>75</v>
      </c>
      <c r="U214" s="881">
        <v>75</v>
      </c>
      <c r="V214" s="881">
        <v>75</v>
      </c>
      <c r="W214" s="881">
        <v>75</v>
      </c>
      <c r="X214" s="881">
        <v>75</v>
      </c>
      <c r="Y214" s="881">
        <v>75</v>
      </c>
      <c r="Z214" s="881">
        <v>75</v>
      </c>
      <c r="AA214" s="881">
        <v>75</v>
      </c>
      <c r="AB214" s="881">
        <v>75</v>
      </c>
      <c r="AC214" s="881">
        <v>75</v>
      </c>
    </row>
    <row r="215" spans="1:29" ht="20.25" customHeight="1" x14ac:dyDescent="0.2">
      <c r="A215" s="39"/>
      <c r="B215" s="991" t="s">
        <v>1762</v>
      </c>
      <c r="C215" s="38" t="s">
        <v>582</v>
      </c>
      <c r="D215" s="152" t="str">
        <f t="shared" ref="D215:D227" si="47">INDEX(E215:H215,,_case_en)</f>
        <v>el_us_y</v>
      </c>
      <c r="E215" s="402" t="s">
        <v>900</v>
      </c>
      <c r="F215" s="402" t="s">
        <v>900</v>
      </c>
      <c r="G215" s="402" t="s">
        <v>900</v>
      </c>
      <c r="H215" s="910" t="s">
        <v>900</v>
      </c>
      <c r="I215" s="207" t="str">
        <f t="shared" si="30"/>
        <v>kWh</v>
      </c>
      <c r="J215" s="346">
        <f t="shared" ref="J215:J241" si="48">INDEX(K215:N215,,_case_en)</f>
        <v>26.58</v>
      </c>
      <c r="K215" s="270">
        <f>SUM(K216:K227)</f>
        <v>124.4</v>
      </c>
      <c r="L215" s="271">
        <f>SUM(L216:L227)</f>
        <v>0</v>
      </c>
      <c r="M215" s="271">
        <f>SUM(M216:M227)</f>
        <v>157.80000000000001</v>
      </c>
      <c r="N215" s="272">
        <f>SUM(N216:N227)</f>
        <v>26.58</v>
      </c>
      <c r="O215" s="1070" t="s">
        <v>1762</v>
      </c>
      <c r="P215" s="1356" t="s">
        <v>1809</v>
      </c>
      <c r="R215" s="271"/>
      <c r="S215" s="271"/>
      <c r="T215" s="271"/>
      <c r="U215" s="271"/>
      <c r="V215" s="271"/>
      <c r="W215" s="271"/>
      <c r="X215" s="271"/>
      <c r="Y215" s="271"/>
      <c r="Z215" s="271"/>
      <c r="AA215" s="271"/>
      <c r="AB215" s="271"/>
      <c r="AC215" s="271"/>
    </row>
    <row r="216" spans="1:29" outlineLevel="1" x14ac:dyDescent="0.2">
      <c r="A216" s="39"/>
      <c r="B216" s="36"/>
      <c r="C216" s="38" t="s">
        <v>583</v>
      </c>
      <c r="D216" s="206" t="str">
        <f t="shared" si="47"/>
        <v>el_us_t1</v>
      </c>
      <c r="E216" s="402" t="s">
        <v>914</v>
      </c>
      <c r="F216" s="402" t="s">
        <v>914</v>
      </c>
      <c r="G216" s="402" t="s">
        <v>914</v>
      </c>
      <c r="H216" s="402" t="s">
        <v>914</v>
      </c>
      <c r="I216" s="62" t="str">
        <f t="shared" si="30"/>
        <v>kWh</v>
      </c>
      <c r="J216" s="249">
        <f t="shared" si="48"/>
        <v>0.3</v>
      </c>
      <c r="K216" s="297">
        <f t="shared" ref="K216:N227" si="49">+K201*K$213/100</f>
        <v>1.5</v>
      </c>
      <c r="L216" s="298">
        <f t="shared" si="49"/>
        <v>0</v>
      </c>
      <c r="M216" s="298">
        <f t="shared" si="49"/>
        <v>3</v>
      </c>
      <c r="N216" s="299">
        <f t="shared" si="49"/>
        <v>0.3</v>
      </c>
      <c r="O216" s="86"/>
      <c r="R216" s="298"/>
      <c r="S216" s="298"/>
      <c r="T216" s="298"/>
      <c r="U216" s="298"/>
      <c r="V216" s="298"/>
      <c r="W216" s="298"/>
      <c r="X216" s="298"/>
      <c r="Y216" s="298"/>
      <c r="Z216" s="298"/>
      <c r="AA216" s="298"/>
      <c r="AB216" s="298"/>
      <c r="AC216" s="298"/>
    </row>
    <row r="217" spans="1:29" outlineLevel="1" x14ac:dyDescent="0.2">
      <c r="A217" s="39"/>
      <c r="B217" s="36"/>
      <c r="C217" s="38" t="s">
        <v>584</v>
      </c>
      <c r="D217" s="206" t="str">
        <f t="shared" si="47"/>
        <v>el_us_t2</v>
      </c>
      <c r="E217" s="402" t="s">
        <v>915</v>
      </c>
      <c r="F217" s="402" t="s">
        <v>915</v>
      </c>
      <c r="G217" s="402" t="s">
        <v>915</v>
      </c>
      <c r="H217" s="402" t="s">
        <v>915</v>
      </c>
      <c r="I217" s="62" t="str">
        <f t="shared" si="30"/>
        <v>kWh</v>
      </c>
      <c r="J217" s="249">
        <f t="shared" si="48"/>
        <v>0.6</v>
      </c>
      <c r="K217" s="297">
        <f t="shared" si="49"/>
        <v>3</v>
      </c>
      <c r="L217" s="298">
        <f t="shared" si="49"/>
        <v>0</v>
      </c>
      <c r="M217" s="298">
        <f t="shared" si="49"/>
        <v>6</v>
      </c>
      <c r="N217" s="299">
        <f t="shared" si="49"/>
        <v>0.6</v>
      </c>
      <c r="O217" s="86"/>
      <c r="R217" s="298"/>
      <c r="S217" s="298"/>
      <c r="T217" s="298"/>
      <c r="U217" s="298"/>
      <c r="V217" s="298"/>
      <c r="W217" s="298"/>
      <c r="X217" s="298"/>
      <c r="Y217" s="298"/>
      <c r="Z217" s="298"/>
      <c r="AA217" s="298"/>
      <c r="AB217" s="298"/>
      <c r="AC217" s="298"/>
    </row>
    <row r="218" spans="1:29" outlineLevel="1" x14ac:dyDescent="0.2">
      <c r="A218" s="39"/>
      <c r="B218" s="36"/>
      <c r="C218" s="38" t="s">
        <v>585</v>
      </c>
      <c r="D218" s="206" t="str">
        <f t="shared" si="47"/>
        <v>el_us_t3</v>
      </c>
      <c r="E218" s="402" t="s">
        <v>916</v>
      </c>
      <c r="F218" s="402" t="s">
        <v>916</v>
      </c>
      <c r="G218" s="402" t="s">
        <v>916</v>
      </c>
      <c r="H218" s="402" t="s">
        <v>916</v>
      </c>
      <c r="I218" s="62" t="str">
        <f t="shared" si="30"/>
        <v>kWh</v>
      </c>
      <c r="J218" s="249">
        <f t="shared" si="48"/>
        <v>1.2</v>
      </c>
      <c r="K218" s="297">
        <f t="shared" si="49"/>
        <v>6</v>
      </c>
      <c r="L218" s="298">
        <f t="shared" si="49"/>
        <v>0</v>
      </c>
      <c r="M218" s="298">
        <f t="shared" si="49"/>
        <v>12</v>
      </c>
      <c r="N218" s="299">
        <f t="shared" si="49"/>
        <v>1.2</v>
      </c>
      <c r="O218" s="86"/>
      <c r="R218" s="298"/>
      <c r="S218" s="298"/>
      <c r="T218" s="298"/>
      <c r="U218" s="298"/>
      <c r="V218" s="298"/>
      <c r="W218" s="298"/>
      <c r="X218" s="298"/>
      <c r="Y218" s="298"/>
      <c r="Z218" s="298"/>
      <c r="AA218" s="298"/>
      <c r="AB218" s="298"/>
      <c r="AC218" s="298"/>
    </row>
    <row r="219" spans="1:29" outlineLevel="1" x14ac:dyDescent="0.2">
      <c r="A219" s="39"/>
      <c r="B219" s="36"/>
      <c r="C219" s="38" t="s">
        <v>586</v>
      </c>
      <c r="D219" s="206" t="str">
        <f t="shared" si="47"/>
        <v>el_us_t4</v>
      </c>
      <c r="E219" s="402" t="s">
        <v>917</v>
      </c>
      <c r="F219" s="402" t="s">
        <v>917</v>
      </c>
      <c r="G219" s="402" t="s">
        <v>917</v>
      </c>
      <c r="H219" s="402" t="s">
        <v>917</v>
      </c>
      <c r="I219" s="62" t="str">
        <f t="shared" si="30"/>
        <v>kWh</v>
      </c>
      <c r="J219" s="249">
        <f t="shared" si="48"/>
        <v>2.4</v>
      </c>
      <c r="K219" s="297">
        <f t="shared" si="49"/>
        <v>12</v>
      </c>
      <c r="L219" s="298">
        <f t="shared" si="49"/>
        <v>0</v>
      </c>
      <c r="M219" s="298">
        <f t="shared" si="49"/>
        <v>20</v>
      </c>
      <c r="N219" s="299">
        <f t="shared" si="49"/>
        <v>2.4</v>
      </c>
      <c r="O219" s="86"/>
      <c r="R219" s="298"/>
      <c r="S219" s="298"/>
      <c r="T219" s="298"/>
      <c r="U219" s="298"/>
      <c r="V219" s="298"/>
      <c r="W219" s="298"/>
      <c r="X219" s="298"/>
      <c r="Y219" s="298"/>
      <c r="Z219" s="298"/>
      <c r="AA219" s="298"/>
      <c r="AB219" s="298"/>
      <c r="AC219" s="298"/>
    </row>
    <row r="220" spans="1:29" outlineLevel="1" x14ac:dyDescent="0.2">
      <c r="A220" s="39"/>
      <c r="B220" s="36"/>
      <c r="C220" s="38" t="s">
        <v>587</v>
      </c>
      <c r="D220" s="206" t="str">
        <f t="shared" si="47"/>
        <v>el_us_t5</v>
      </c>
      <c r="E220" s="402" t="s">
        <v>918</v>
      </c>
      <c r="F220" s="402" t="s">
        <v>918</v>
      </c>
      <c r="G220" s="402" t="s">
        <v>918</v>
      </c>
      <c r="H220" s="402" t="s">
        <v>918</v>
      </c>
      <c r="I220" s="62" t="str">
        <f t="shared" si="30"/>
        <v>kWh</v>
      </c>
      <c r="J220" s="249">
        <f t="shared" si="48"/>
        <v>4.2</v>
      </c>
      <c r="K220" s="297">
        <f t="shared" si="49"/>
        <v>20</v>
      </c>
      <c r="L220" s="298">
        <f t="shared" si="49"/>
        <v>0</v>
      </c>
      <c r="M220" s="298">
        <f t="shared" si="49"/>
        <v>20</v>
      </c>
      <c r="N220" s="299">
        <f t="shared" si="49"/>
        <v>4.2</v>
      </c>
      <c r="O220" s="86"/>
      <c r="R220" s="298"/>
      <c r="S220" s="298"/>
      <c r="T220" s="298"/>
      <c r="U220" s="298"/>
      <c r="V220" s="298"/>
      <c r="W220" s="298"/>
      <c r="X220" s="298"/>
      <c r="Y220" s="298"/>
      <c r="Z220" s="298"/>
      <c r="AA220" s="298"/>
      <c r="AB220" s="298"/>
      <c r="AC220" s="298"/>
    </row>
    <row r="221" spans="1:29" outlineLevel="1" x14ac:dyDescent="0.2">
      <c r="A221" s="39"/>
      <c r="B221" s="36"/>
      <c r="C221" s="38" t="s">
        <v>588</v>
      </c>
      <c r="D221" s="206" t="str">
        <f t="shared" si="47"/>
        <v>el_us_t6</v>
      </c>
      <c r="E221" s="402" t="s">
        <v>919</v>
      </c>
      <c r="F221" s="402" t="s">
        <v>919</v>
      </c>
      <c r="G221" s="402" t="s">
        <v>919</v>
      </c>
      <c r="H221" s="402" t="s">
        <v>919</v>
      </c>
      <c r="I221" s="62" t="str">
        <f t="shared" si="30"/>
        <v>kWh</v>
      </c>
      <c r="J221" s="249">
        <f t="shared" si="48"/>
        <v>4.8</v>
      </c>
      <c r="K221" s="297">
        <f t="shared" si="49"/>
        <v>20</v>
      </c>
      <c r="L221" s="298">
        <f t="shared" si="49"/>
        <v>0</v>
      </c>
      <c r="M221" s="298">
        <f t="shared" si="49"/>
        <v>20</v>
      </c>
      <c r="N221" s="299">
        <f t="shared" si="49"/>
        <v>4.8</v>
      </c>
      <c r="O221" s="86"/>
      <c r="R221" s="298"/>
      <c r="S221" s="298"/>
      <c r="T221" s="298"/>
      <c r="U221" s="298"/>
      <c r="V221" s="298"/>
      <c r="W221" s="298"/>
      <c r="X221" s="298"/>
      <c r="Y221" s="298"/>
      <c r="Z221" s="298"/>
      <c r="AA221" s="298"/>
      <c r="AB221" s="298"/>
      <c r="AC221" s="298"/>
    </row>
    <row r="222" spans="1:29" outlineLevel="1" x14ac:dyDescent="0.2">
      <c r="A222" s="39"/>
      <c r="B222" s="36"/>
      <c r="C222" s="38" t="s">
        <v>589</v>
      </c>
      <c r="D222" s="206" t="str">
        <f t="shared" si="47"/>
        <v>el_us_t7</v>
      </c>
      <c r="E222" s="402" t="s">
        <v>920</v>
      </c>
      <c r="F222" s="402" t="s">
        <v>920</v>
      </c>
      <c r="G222" s="402" t="s">
        <v>920</v>
      </c>
      <c r="H222" s="402" t="s">
        <v>920</v>
      </c>
      <c r="I222" s="62" t="str">
        <f t="shared" si="30"/>
        <v>kWh</v>
      </c>
      <c r="J222" s="249">
        <f t="shared" si="48"/>
        <v>4.5</v>
      </c>
      <c r="K222" s="297">
        <f t="shared" si="49"/>
        <v>20</v>
      </c>
      <c r="L222" s="298">
        <f t="shared" si="49"/>
        <v>0</v>
      </c>
      <c r="M222" s="298">
        <f t="shared" si="49"/>
        <v>20</v>
      </c>
      <c r="N222" s="299">
        <f t="shared" si="49"/>
        <v>4.5</v>
      </c>
      <c r="O222" s="86"/>
      <c r="R222" s="298"/>
      <c r="S222" s="298"/>
      <c r="T222" s="298"/>
      <c r="U222" s="298"/>
      <c r="V222" s="298"/>
      <c r="W222" s="298"/>
      <c r="X222" s="298"/>
      <c r="Y222" s="298"/>
      <c r="Z222" s="298"/>
      <c r="AA222" s="298"/>
      <c r="AB222" s="298"/>
      <c r="AC222" s="298"/>
    </row>
    <row r="223" spans="1:29" outlineLevel="1" x14ac:dyDescent="0.2">
      <c r="A223" s="39"/>
      <c r="B223" s="36"/>
      <c r="C223" s="38" t="s">
        <v>590</v>
      </c>
      <c r="D223" s="206" t="str">
        <f t="shared" si="47"/>
        <v>el_us_t8</v>
      </c>
      <c r="E223" s="402" t="s">
        <v>921</v>
      </c>
      <c r="F223" s="402" t="s">
        <v>921</v>
      </c>
      <c r="G223" s="402" t="s">
        <v>921</v>
      </c>
      <c r="H223" s="402" t="s">
        <v>921</v>
      </c>
      <c r="I223" s="62" t="str">
        <f t="shared" si="30"/>
        <v>kWh</v>
      </c>
      <c r="J223" s="249">
        <f t="shared" si="48"/>
        <v>4.2</v>
      </c>
      <c r="K223" s="297">
        <f t="shared" si="49"/>
        <v>20</v>
      </c>
      <c r="L223" s="298">
        <f t="shared" si="49"/>
        <v>0</v>
      </c>
      <c r="M223" s="298">
        <f t="shared" si="49"/>
        <v>20</v>
      </c>
      <c r="N223" s="299">
        <f t="shared" si="49"/>
        <v>4.2</v>
      </c>
      <c r="O223" s="86"/>
      <c r="R223" s="298"/>
      <c r="S223" s="298"/>
      <c r="T223" s="298"/>
      <c r="U223" s="298"/>
      <c r="V223" s="298"/>
      <c r="W223" s="298"/>
      <c r="X223" s="298"/>
      <c r="Y223" s="298"/>
      <c r="Z223" s="298"/>
      <c r="AA223" s="298"/>
      <c r="AB223" s="298"/>
      <c r="AC223" s="298"/>
    </row>
    <row r="224" spans="1:29" outlineLevel="1" x14ac:dyDescent="0.2">
      <c r="A224" s="39"/>
      <c r="B224" s="36"/>
      <c r="C224" s="38" t="s">
        <v>591</v>
      </c>
      <c r="D224" s="206" t="str">
        <f t="shared" si="47"/>
        <v>el_us_t9</v>
      </c>
      <c r="E224" s="402" t="s">
        <v>922</v>
      </c>
      <c r="F224" s="402" t="s">
        <v>922</v>
      </c>
      <c r="G224" s="402" t="s">
        <v>922</v>
      </c>
      <c r="H224" s="402" t="s">
        <v>922</v>
      </c>
      <c r="I224" s="62" t="str">
        <f t="shared" si="30"/>
        <v>kWh</v>
      </c>
      <c r="J224" s="249">
        <f t="shared" si="48"/>
        <v>2.7</v>
      </c>
      <c r="K224" s="297">
        <f t="shared" si="49"/>
        <v>13.5</v>
      </c>
      <c r="L224" s="298">
        <f t="shared" si="49"/>
        <v>0</v>
      </c>
      <c r="M224" s="298">
        <f t="shared" si="49"/>
        <v>20</v>
      </c>
      <c r="N224" s="299">
        <f t="shared" si="49"/>
        <v>2.7</v>
      </c>
      <c r="O224" s="86"/>
      <c r="R224" s="298"/>
      <c r="S224" s="298"/>
      <c r="T224" s="298"/>
      <c r="U224" s="298"/>
      <c r="V224" s="298"/>
      <c r="W224" s="298"/>
      <c r="X224" s="298"/>
      <c r="Y224" s="298"/>
      <c r="Z224" s="298"/>
      <c r="AA224" s="298"/>
      <c r="AB224" s="298"/>
      <c r="AC224" s="298"/>
    </row>
    <row r="225" spans="1:29" outlineLevel="1" x14ac:dyDescent="0.2">
      <c r="A225" s="39"/>
      <c r="B225" s="36"/>
      <c r="C225" s="38" t="s">
        <v>592</v>
      </c>
      <c r="D225" s="206" t="str">
        <f t="shared" si="47"/>
        <v>el_us_t10</v>
      </c>
      <c r="E225" s="402" t="s">
        <v>923</v>
      </c>
      <c r="F225" s="402" t="s">
        <v>923</v>
      </c>
      <c r="G225" s="402" t="s">
        <v>923</v>
      </c>
      <c r="H225" s="402" t="s">
        <v>923</v>
      </c>
      <c r="I225" s="62" t="str">
        <f t="shared" si="30"/>
        <v>kWh</v>
      </c>
      <c r="J225" s="249">
        <f t="shared" si="48"/>
        <v>0.9</v>
      </c>
      <c r="K225" s="297">
        <f t="shared" si="49"/>
        <v>4.5</v>
      </c>
      <c r="L225" s="298">
        <f t="shared" si="49"/>
        <v>0</v>
      </c>
      <c r="M225" s="298">
        <f t="shared" si="49"/>
        <v>9</v>
      </c>
      <c r="N225" s="299">
        <f t="shared" si="49"/>
        <v>0.9</v>
      </c>
      <c r="O225" s="86"/>
      <c r="R225" s="298"/>
      <c r="S225" s="298"/>
      <c r="T225" s="298"/>
      <c r="U225" s="298"/>
      <c r="V225" s="298"/>
      <c r="W225" s="298"/>
      <c r="X225" s="298"/>
      <c r="Y225" s="298"/>
      <c r="Z225" s="298"/>
      <c r="AA225" s="298"/>
      <c r="AB225" s="298"/>
      <c r="AC225" s="298"/>
    </row>
    <row r="226" spans="1:29" outlineLevel="1" x14ac:dyDescent="0.2">
      <c r="A226" s="39"/>
      <c r="B226" s="36"/>
      <c r="C226" s="38" t="s">
        <v>593</v>
      </c>
      <c r="D226" s="206" t="str">
        <f t="shared" si="47"/>
        <v>el_us_t11</v>
      </c>
      <c r="E226" s="402" t="s">
        <v>924</v>
      </c>
      <c r="F226" s="402" t="s">
        <v>924</v>
      </c>
      <c r="G226" s="402" t="s">
        <v>924</v>
      </c>
      <c r="H226" s="402" t="s">
        <v>924</v>
      </c>
      <c r="I226" s="62" t="str">
        <f t="shared" si="30"/>
        <v>kWh</v>
      </c>
      <c r="J226" s="249">
        <f t="shared" si="48"/>
        <v>0.48</v>
      </c>
      <c r="K226" s="297">
        <f t="shared" si="49"/>
        <v>2.4</v>
      </c>
      <c r="L226" s="298">
        <f t="shared" si="49"/>
        <v>0</v>
      </c>
      <c r="M226" s="298">
        <f t="shared" si="49"/>
        <v>4.8</v>
      </c>
      <c r="N226" s="299">
        <f t="shared" si="49"/>
        <v>0.48</v>
      </c>
      <c r="O226" s="86"/>
      <c r="R226" s="298"/>
      <c r="S226" s="298"/>
      <c r="T226" s="298"/>
      <c r="U226" s="298"/>
      <c r="V226" s="298"/>
      <c r="W226" s="298"/>
      <c r="X226" s="298"/>
      <c r="Y226" s="298"/>
      <c r="Z226" s="298"/>
      <c r="AA226" s="298"/>
      <c r="AB226" s="298"/>
      <c r="AC226" s="298"/>
    </row>
    <row r="227" spans="1:29" ht="13.5" outlineLevel="1" thickBot="1" x14ac:dyDescent="0.25">
      <c r="A227" s="39"/>
      <c r="B227" s="263"/>
      <c r="C227" s="264" t="s">
        <v>594</v>
      </c>
      <c r="D227" s="206" t="str">
        <f t="shared" si="47"/>
        <v>el_us_t12</v>
      </c>
      <c r="E227" s="405" t="s">
        <v>925</v>
      </c>
      <c r="F227" s="405" t="s">
        <v>925</v>
      </c>
      <c r="G227" s="405" t="s">
        <v>925</v>
      </c>
      <c r="H227" s="405" t="s">
        <v>925</v>
      </c>
      <c r="I227" s="223" t="str">
        <f t="shared" si="30"/>
        <v>kWh</v>
      </c>
      <c r="J227" s="250">
        <f t="shared" si="48"/>
        <v>0.3</v>
      </c>
      <c r="K227" s="300">
        <f t="shared" si="49"/>
        <v>1.5</v>
      </c>
      <c r="L227" s="301">
        <f t="shared" si="49"/>
        <v>0</v>
      </c>
      <c r="M227" s="301">
        <f t="shared" si="49"/>
        <v>3</v>
      </c>
      <c r="N227" s="302">
        <f t="shared" si="49"/>
        <v>0.3</v>
      </c>
      <c r="O227" s="280"/>
      <c r="R227" s="301"/>
      <c r="S227" s="301"/>
      <c r="T227" s="301"/>
      <c r="U227" s="301"/>
      <c r="V227" s="301"/>
      <c r="W227" s="301"/>
      <c r="X227" s="301"/>
      <c r="Y227" s="301"/>
      <c r="Z227" s="301"/>
      <c r="AA227" s="301"/>
      <c r="AB227" s="301"/>
      <c r="AC227" s="301"/>
    </row>
    <row r="228" spans="1:29" ht="51.75" thickBot="1" x14ac:dyDescent="0.25">
      <c r="A228" s="39"/>
      <c r="B228" s="253" t="str">
        <f>INDEX(Language!D193:M193,1,_language)</f>
        <v>Solar thermal efficiency</v>
      </c>
      <c r="C228" s="345" t="s">
        <v>1157</v>
      </c>
      <c r="D228" s="347"/>
      <c r="E228" s="404"/>
      <c r="F228" s="404"/>
      <c r="G228" s="404"/>
      <c r="H228" s="906"/>
      <c r="I228" s="215" t="s">
        <v>10</v>
      </c>
      <c r="J228" s="260">
        <f t="shared" si="48"/>
        <v>85</v>
      </c>
      <c r="K228" s="289">
        <v>85</v>
      </c>
      <c r="L228" s="290">
        <v>85</v>
      </c>
      <c r="M228" s="290">
        <v>85</v>
      </c>
      <c r="N228" s="804">
        <f>INDEX(R228:AC228,1,N$16)</f>
        <v>85</v>
      </c>
      <c r="O228" s="256" t="s">
        <v>1406</v>
      </c>
      <c r="R228" s="290">
        <v>85</v>
      </c>
      <c r="S228" s="290">
        <v>85</v>
      </c>
      <c r="T228" s="290">
        <v>85</v>
      </c>
      <c r="U228" s="290">
        <v>85</v>
      </c>
      <c r="V228" s="290">
        <v>85</v>
      </c>
      <c r="W228" s="290">
        <v>85</v>
      </c>
      <c r="X228" s="290">
        <v>85</v>
      </c>
      <c r="Y228" s="290">
        <v>85</v>
      </c>
      <c r="Z228" s="290">
        <v>85</v>
      </c>
      <c r="AA228" s="290">
        <v>85</v>
      </c>
      <c r="AB228" s="290">
        <v>85</v>
      </c>
      <c r="AC228" s="290">
        <v>85</v>
      </c>
    </row>
    <row r="229" spans="1:29" ht="20.25" customHeight="1" x14ac:dyDescent="0.2">
      <c r="A229" s="39"/>
      <c r="B229" s="36" t="str">
        <f>INDEX(Language!D194:M194,1,_language)</f>
        <v>Solar delivered energy</v>
      </c>
      <c r="C229" s="38" t="s">
        <v>1447</v>
      </c>
      <c r="D229" s="152" t="s">
        <v>901</v>
      </c>
      <c r="E229" s="402" t="s">
        <v>901</v>
      </c>
      <c r="F229" s="402" t="s">
        <v>901</v>
      </c>
      <c r="G229" s="402" t="s">
        <v>901</v>
      </c>
      <c r="H229" s="402" t="s">
        <v>901</v>
      </c>
      <c r="I229" s="207" t="str">
        <f t="shared" si="20"/>
        <v>kWh</v>
      </c>
      <c r="J229" s="346">
        <f t="shared" si="48"/>
        <v>1042.3529411764705</v>
      </c>
      <c r="K229" s="270">
        <f>+K200*100/K228</f>
        <v>4878.4313725490192</v>
      </c>
      <c r="L229" s="271">
        <f>+L200*100/L228</f>
        <v>0</v>
      </c>
      <c r="M229" s="271">
        <f>+M200*100/M228</f>
        <v>6188.2352941176459</v>
      </c>
      <c r="N229" s="272">
        <f>+N200*100/N228</f>
        <v>1042.3529411764705</v>
      </c>
      <c r="O229" s="1070" t="s">
        <v>1762</v>
      </c>
      <c r="P229" s="1356" t="s">
        <v>1809</v>
      </c>
      <c r="R229" s="271"/>
      <c r="S229" s="271"/>
      <c r="T229" s="271"/>
      <c r="U229" s="271"/>
      <c r="V229" s="271"/>
      <c r="W229" s="271"/>
      <c r="X229" s="271"/>
      <c r="Y229" s="271"/>
      <c r="Z229" s="271"/>
      <c r="AA229" s="271"/>
      <c r="AB229" s="271"/>
      <c r="AC229" s="271"/>
    </row>
    <row r="230" spans="1:29" outlineLevel="1" x14ac:dyDescent="0.2">
      <c r="A230" s="39"/>
      <c r="B230" s="36"/>
      <c r="C230" s="38" t="s">
        <v>1446</v>
      </c>
      <c r="D230" s="206" t="s">
        <v>926</v>
      </c>
      <c r="E230" s="402" t="s">
        <v>926</v>
      </c>
      <c r="F230" s="402" t="s">
        <v>926</v>
      </c>
      <c r="G230" s="402" t="s">
        <v>926</v>
      </c>
      <c r="H230" s="402" t="s">
        <v>926</v>
      </c>
      <c r="I230" s="62" t="str">
        <f t="shared" si="30"/>
        <v>kWh</v>
      </c>
      <c r="J230" s="249">
        <f t="shared" si="48"/>
        <v>11.5</v>
      </c>
      <c r="K230" s="270">
        <f t="shared" ref="K230:M241" si="50">+K201*100/K$228</f>
        <v>58.823529411764703</v>
      </c>
      <c r="L230" s="271">
        <f t="shared" si="50"/>
        <v>0</v>
      </c>
      <c r="M230" s="271">
        <f t="shared" si="50"/>
        <v>117.64705882352941</v>
      </c>
      <c r="N230" s="272">
        <f t="shared" ref="N230:N241" si="51">+(N201-N216*N$214/100)*100/N$228</f>
        <v>11.5</v>
      </c>
      <c r="O230" s="86"/>
      <c r="R230" s="298"/>
      <c r="S230" s="298"/>
      <c r="T230" s="298"/>
      <c r="U230" s="298"/>
      <c r="V230" s="298"/>
      <c r="W230" s="298"/>
      <c r="X230" s="298"/>
      <c r="Y230" s="298"/>
      <c r="Z230" s="298"/>
      <c r="AA230" s="298"/>
      <c r="AB230" s="298"/>
      <c r="AC230" s="298"/>
    </row>
    <row r="231" spans="1:29" outlineLevel="1" x14ac:dyDescent="0.2">
      <c r="A231" s="39"/>
      <c r="B231" s="36"/>
      <c r="C231" s="38" t="s">
        <v>1448</v>
      </c>
      <c r="D231" s="206" t="s">
        <v>927</v>
      </c>
      <c r="E231" s="402" t="s">
        <v>927</v>
      </c>
      <c r="F231" s="402" t="s">
        <v>927</v>
      </c>
      <c r="G231" s="402" t="s">
        <v>927</v>
      </c>
      <c r="H231" s="402" t="s">
        <v>927</v>
      </c>
      <c r="I231" s="62" t="str">
        <f t="shared" si="30"/>
        <v>kWh</v>
      </c>
      <c r="J231" s="249">
        <f t="shared" si="48"/>
        <v>23</v>
      </c>
      <c r="K231" s="270">
        <f t="shared" si="50"/>
        <v>117.64705882352941</v>
      </c>
      <c r="L231" s="271">
        <f t="shared" si="50"/>
        <v>0</v>
      </c>
      <c r="M231" s="271">
        <f t="shared" si="50"/>
        <v>235.29411764705881</v>
      </c>
      <c r="N231" s="272">
        <f t="shared" si="51"/>
        <v>23</v>
      </c>
      <c r="O231" s="86"/>
      <c r="R231" s="298"/>
      <c r="S231" s="298"/>
      <c r="T231" s="298"/>
      <c r="U231" s="298"/>
      <c r="V231" s="298"/>
      <c r="W231" s="298"/>
      <c r="X231" s="298"/>
      <c r="Y231" s="298"/>
      <c r="Z231" s="298"/>
      <c r="AA231" s="298"/>
      <c r="AB231" s="298"/>
      <c r="AC231" s="298"/>
    </row>
    <row r="232" spans="1:29" outlineLevel="1" x14ac:dyDescent="0.2">
      <c r="A232" s="39"/>
      <c r="B232" s="36"/>
      <c r="C232" s="38" t="s">
        <v>1449</v>
      </c>
      <c r="D232" s="206" t="s">
        <v>928</v>
      </c>
      <c r="E232" s="402" t="s">
        <v>928</v>
      </c>
      <c r="F232" s="402" t="s">
        <v>928</v>
      </c>
      <c r="G232" s="402" t="s">
        <v>928</v>
      </c>
      <c r="H232" s="402" t="s">
        <v>928</v>
      </c>
      <c r="I232" s="62" t="str">
        <f t="shared" si="30"/>
        <v>kWh</v>
      </c>
      <c r="J232" s="249">
        <f t="shared" si="48"/>
        <v>46</v>
      </c>
      <c r="K232" s="270">
        <f t="shared" si="50"/>
        <v>235.29411764705881</v>
      </c>
      <c r="L232" s="271">
        <f t="shared" si="50"/>
        <v>0</v>
      </c>
      <c r="M232" s="271">
        <f t="shared" si="50"/>
        <v>470.58823529411762</v>
      </c>
      <c r="N232" s="272">
        <f t="shared" si="51"/>
        <v>46</v>
      </c>
      <c r="O232" s="86"/>
      <c r="R232" s="298"/>
      <c r="S232" s="298"/>
      <c r="T232" s="298"/>
      <c r="U232" s="298"/>
      <c r="V232" s="298"/>
      <c r="W232" s="298"/>
      <c r="X232" s="298"/>
      <c r="Y232" s="298"/>
      <c r="Z232" s="298"/>
      <c r="AA232" s="298"/>
      <c r="AB232" s="298"/>
      <c r="AC232" s="298"/>
    </row>
    <row r="233" spans="1:29" outlineLevel="1" x14ac:dyDescent="0.2">
      <c r="A233" s="39"/>
      <c r="B233" s="36"/>
      <c r="C233" s="38" t="s">
        <v>1450</v>
      </c>
      <c r="D233" s="206" t="s">
        <v>929</v>
      </c>
      <c r="E233" s="402" t="s">
        <v>929</v>
      </c>
      <c r="F233" s="402" t="s">
        <v>929</v>
      </c>
      <c r="G233" s="402" t="s">
        <v>929</v>
      </c>
      <c r="H233" s="402" t="s">
        <v>929</v>
      </c>
      <c r="I233" s="62" t="str">
        <f t="shared" si="30"/>
        <v>kWh</v>
      </c>
      <c r="J233" s="249">
        <f t="shared" si="48"/>
        <v>92</v>
      </c>
      <c r="K233" s="270">
        <f t="shared" si="50"/>
        <v>470.58823529411762</v>
      </c>
      <c r="L233" s="271">
        <f t="shared" si="50"/>
        <v>0</v>
      </c>
      <c r="M233" s="271">
        <f t="shared" si="50"/>
        <v>784.31372549019602</v>
      </c>
      <c r="N233" s="272">
        <f t="shared" si="51"/>
        <v>92</v>
      </c>
      <c r="O233" s="86"/>
      <c r="R233" s="298"/>
      <c r="S233" s="298"/>
      <c r="T233" s="298"/>
      <c r="U233" s="298"/>
      <c r="V233" s="298"/>
      <c r="W233" s="298"/>
      <c r="X233" s="298"/>
      <c r="Y233" s="298"/>
      <c r="Z233" s="298"/>
      <c r="AA233" s="298"/>
      <c r="AB233" s="298"/>
      <c r="AC233" s="298"/>
    </row>
    <row r="234" spans="1:29" outlineLevel="1" x14ac:dyDescent="0.2">
      <c r="A234" s="39"/>
      <c r="B234" s="36"/>
      <c r="C234" s="38" t="s">
        <v>1451</v>
      </c>
      <c r="D234" s="206" t="s">
        <v>930</v>
      </c>
      <c r="E234" s="402" t="s">
        <v>930</v>
      </c>
      <c r="F234" s="402" t="s">
        <v>930</v>
      </c>
      <c r="G234" s="402" t="s">
        <v>930</v>
      </c>
      <c r="H234" s="402" t="s">
        <v>930</v>
      </c>
      <c r="I234" s="62" t="str">
        <f t="shared" si="30"/>
        <v>kWh</v>
      </c>
      <c r="J234" s="249">
        <f t="shared" si="48"/>
        <v>161</v>
      </c>
      <c r="K234" s="270">
        <f t="shared" si="50"/>
        <v>784.31372549019602</v>
      </c>
      <c r="L234" s="271">
        <f t="shared" si="50"/>
        <v>0</v>
      </c>
      <c r="M234" s="271">
        <f t="shared" si="50"/>
        <v>784.31372549019602</v>
      </c>
      <c r="N234" s="272">
        <f t="shared" si="51"/>
        <v>161</v>
      </c>
      <c r="O234" s="86"/>
      <c r="R234" s="298"/>
      <c r="S234" s="298"/>
      <c r="T234" s="298"/>
      <c r="U234" s="298"/>
      <c r="V234" s="298"/>
      <c r="W234" s="298"/>
      <c r="X234" s="298"/>
      <c r="Y234" s="298"/>
      <c r="Z234" s="298"/>
      <c r="AA234" s="298"/>
      <c r="AB234" s="298"/>
      <c r="AC234" s="298"/>
    </row>
    <row r="235" spans="1:29" outlineLevel="1" x14ac:dyDescent="0.2">
      <c r="A235" s="39"/>
      <c r="B235" s="36"/>
      <c r="C235" s="38" t="s">
        <v>1452</v>
      </c>
      <c r="D235" s="206" t="s">
        <v>931</v>
      </c>
      <c r="E235" s="402" t="s">
        <v>931</v>
      </c>
      <c r="F235" s="402" t="s">
        <v>931</v>
      </c>
      <c r="G235" s="402" t="s">
        <v>931</v>
      </c>
      <c r="H235" s="402" t="s">
        <v>931</v>
      </c>
      <c r="I235" s="62" t="str">
        <f t="shared" si="30"/>
        <v>kWh</v>
      </c>
      <c r="J235" s="249">
        <f t="shared" si="48"/>
        <v>184</v>
      </c>
      <c r="K235" s="270">
        <f t="shared" si="50"/>
        <v>784.31372549019602</v>
      </c>
      <c r="L235" s="271">
        <f t="shared" si="50"/>
        <v>0</v>
      </c>
      <c r="M235" s="271">
        <f t="shared" si="50"/>
        <v>784.31372549019602</v>
      </c>
      <c r="N235" s="272">
        <f t="shared" si="51"/>
        <v>184</v>
      </c>
      <c r="O235" s="86"/>
      <c r="R235" s="298"/>
      <c r="S235" s="298"/>
      <c r="T235" s="298"/>
      <c r="U235" s="298"/>
      <c r="V235" s="298"/>
      <c r="W235" s="298"/>
      <c r="X235" s="298"/>
      <c r="Y235" s="298"/>
      <c r="Z235" s="298"/>
      <c r="AA235" s="298"/>
      <c r="AB235" s="298"/>
      <c r="AC235" s="298"/>
    </row>
    <row r="236" spans="1:29" outlineLevel="1" x14ac:dyDescent="0.2">
      <c r="A236" s="39"/>
      <c r="B236" s="36"/>
      <c r="C236" s="38" t="s">
        <v>1453</v>
      </c>
      <c r="D236" s="206" t="s">
        <v>932</v>
      </c>
      <c r="E236" s="402" t="s">
        <v>932</v>
      </c>
      <c r="F236" s="402" t="s">
        <v>932</v>
      </c>
      <c r="G236" s="402" t="s">
        <v>932</v>
      </c>
      <c r="H236" s="402" t="s">
        <v>932</v>
      </c>
      <c r="I236" s="62" t="str">
        <f t="shared" si="30"/>
        <v>kWh</v>
      </c>
      <c r="J236" s="249">
        <f t="shared" si="48"/>
        <v>172.5</v>
      </c>
      <c r="K236" s="270">
        <f t="shared" si="50"/>
        <v>784.31372549019602</v>
      </c>
      <c r="L236" s="271">
        <f t="shared" si="50"/>
        <v>0</v>
      </c>
      <c r="M236" s="271">
        <f t="shared" si="50"/>
        <v>784.31372549019602</v>
      </c>
      <c r="N236" s="272">
        <f t="shared" si="51"/>
        <v>172.5</v>
      </c>
      <c r="O236" s="86"/>
      <c r="R236" s="298"/>
      <c r="S236" s="298"/>
      <c r="T236" s="298"/>
      <c r="U236" s="298"/>
      <c r="V236" s="298"/>
      <c r="W236" s="298"/>
      <c r="X236" s="298"/>
      <c r="Y236" s="298"/>
      <c r="Z236" s="298"/>
      <c r="AA236" s="298"/>
      <c r="AB236" s="298"/>
      <c r="AC236" s="298"/>
    </row>
    <row r="237" spans="1:29" outlineLevel="1" x14ac:dyDescent="0.2">
      <c r="A237" s="39"/>
      <c r="B237" s="36"/>
      <c r="C237" s="38" t="s">
        <v>1454</v>
      </c>
      <c r="D237" s="206" t="s">
        <v>933</v>
      </c>
      <c r="E237" s="402" t="s">
        <v>933</v>
      </c>
      <c r="F237" s="402" t="s">
        <v>933</v>
      </c>
      <c r="G237" s="402" t="s">
        <v>933</v>
      </c>
      <c r="H237" s="402" t="s">
        <v>933</v>
      </c>
      <c r="I237" s="62" t="str">
        <f t="shared" si="30"/>
        <v>kWh</v>
      </c>
      <c r="J237" s="249">
        <f t="shared" si="48"/>
        <v>161</v>
      </c>
      <c r="K237" s="270">
        <f t="shared" si="50"/>
        <v>784.31372549019602</v>
      </c>
      <c r="L237" s="271">
        <f t="shared" si="50"/>
        <v>0</v>
      </c>
      <c r="M237" s="271">
        <f t="shared" si="50"/>
        <v>784.31372549019602</v>
      </c>
      <c r="N237" s="272">
        <f t="shared" si="51"/>
        <v>161</v>
      </c>
      <c r="O237" s="86"/>
      <c r="R237" s="298"/>
      <c r="S237" s="298"/>
      <c r="T237" s="298"/>
      <c r="U237" s="298"/>
      <c r="V237" s="298"/>
      <c r="W237" s="298"/>
      <c r="X237" s="298"/>
      <c r="Y237" s="298"/>
      <c r="Z237" s="298"/>
      <c r="AA237" s="298"/>
      <c r="AB237" s="298"/>
      <c r="AC237" s="298"/>
    </row>
    <row r="238" spans="1:29" outlineLevel="1" x14ac:dyDescent="0.2">
      <c r="A238" s="39"/>
      <c r="B238" s="36"/>
      <c r="C238" s="38" t="s">
        <v>1455</v>
      </c>
      <c r="D238" s="206" t="s">
        <v>934</v>
      </c>
      <c r="E238" s="402" t="s">
        <v>934</v>
      </c>
      <c r="F238" s="402" t="s">
        <v>934</v>
      </c>
      <c r="G238" s="402" t="s">
        <v>934</v>
      </c>
      <c r="H238" s="402" t="s">
        <v>934</v>
      </c>
      <c r="I238" s="62" t="str">
        <f t="shared" si="30"/>
        <v>kWh</v>
      </c>
      <c r="J238" s="249">
        <f t="shared" si="48"/>
        <v>103.5</v>
      </c>
      <c r="K238" s="270">
        <f t="shared" si="50"/>
        <v>529.41176470588232</v>
      </c>
      <c r="L238" s="271">
        <f t="shared" si="50"/>
        <v>0</v>
      </c>
      <c r="M238" s="271">
        <f t="shared" si="50"/>
        <v>784.31372549019602</v>
      </c>
      <c r="N238" s="272">
        <f t="shared" si="51"/>
        <v>103.5</v>
      </c>
      <c r="O238" s="86"/>
      <c r="R238" s="298"/>
      <c r="S238" s="298"/>
      <c r="T238" s="298"/>
      <c r="U238" s="298"/>
      <c r="V238" s="298"/>
      <c r="W238" s="298"/>
      <c r="X238" s="298"/>
      <c r="Y238" s="298"/>
      <c r="Z238" s="298"/>
      <c r="AA238" s="298"/>
      <c r="AB238" s="298"/>
      <c r="AC238" s="298"/>
    </row>
    <row r="239" spans="1:29" outlineLevel="1" x14ac:dyDescent="0.2">
      <c r="A239" s="39"/>
      <c r="B239" s="36"/>
      <c r="C239" s="38" t="s">
        <v>1456</v>
      </c>
      <c r="D239" s="206" t="s">
        <v>935</v>
      </c>
      <c r="E239" s="402" t="s">
        <v>935</v>
      </c>
      <c r="F239" s="402" t="s">
        <v>935</v>
      </c>
      <c r="G239" s="402" t="s">
        <v>935</v>
      </c>
      <c r="H239" s="402" t="s">
        <v>935</v>
      </c>
      <c r="I239" s="62" t="str">
        <f t="shared" si="30"/>
        <v>kWh</v>
      </c>
      <c r="J239" s="249">
        <f t="shared" si="48"/>
        <v>34.5</v>
      </c>
      <c r="K239" s="270">
        <f t="shared" si="50"/>
        <v>176.47058823529412</v>
      </c>
      <c r="L239" s="271">
        <f t="shared" si="50"/>
        <v>0</v>
      </c>
      <c r="M239" s="271">
        <f t="shared" si="50"/>
        <v>352.94117647058823</v>
      </c>
      <c r="N239" s="272">
        <f t="shared" si="51"/>
        <v>34.5</v>
      </c>
      <c r="O239" s="86"/>
      <c r="R239" s="298"/>
      <c r="S239" s="298"/>
      <c r="T239" s="298"/>
      <c r="U239" s="298"/>
      <c r="V239" s="298"/>
      <c r="W239" s="298"/>
      <c r="X239" s="298"/>
      <c r="Y239" s="298"/>
      <c r="Z239" s="298"/>
      <c r="AA239" s="298"/>
      <c r="AB239" s="298"/>
      <c r="AC239" s="298"/>
    </row>
    <row r="240" spans="1:29" outlineLevel="1" x14ac:dyDescent="0.2">
      <c r="A240" s="39"/>
      <c r="B240" s="36"/>
      <c r="C240" s="38" t="s">
        <v>1457</v>
      </c>
      <c r="D240" s="206" t="s">
        <v>936</v>
      </c>
      <c r="E240" s="402" t="s">
        <v>936</v>
      </c>
      <c r="F240" s="402" t="s">
        <v>936</v>
      </c>
      <c r="G240" s="402" t="s">
        <v>936</v>
      </c>
      <c r="H240" s="402" t="s">
        <v>936</v>
      </c>
      <c r="I240" s="62" t="str">
        <f t="shared" si="30"/>
        <v>kWh</v>
      </c>
      <c r="J240" s="249">
        <f t="shared" si="48"/>
        <v>18.399999999999999</v>
      </c>
      <c r="K240" s="270">
        <f t="shared" si="50"/>
        <v>94.117647058823536</v>
      </c>
      <c r="L240" s="271">
        <f t="shared" si="50"/>
        <v>0</v>
      </c>
      <c r="M240" s="271">
        <f t="shared" si="50"/>
        <v>188.23529411764707</v>
      </c>
      <c r="N240" s="272">
        <f t="shared" si="51"/>
        <v>18.399999999999999</v>
      </c>
      <c r="O240" s="86"/>
      <c r="R240" s="298"/>
      <c r="S240" s="298"/>
      <c r="T240" s="298"/>
      <c r="U240" s="298"/>
      <c r="V240" s="298"/>
      <c r="W240" s="298"/>
      <c r="X240" s="298"/>
      <c r="Y240" s="298"/>
      <c r="Z240" s="298"/>
      <c r="AA240" s="298"/>
      <c r="AB240" s="298"/>
      <c r="AC240" s="298"/>
    </row>
    <row r="241" spans="1:29" ht="13.5" outlineLevel="1" thickBot="1" x14ac:dyDescent="0.25">
      <c r="A241" s="39"/>
      <c r="B241" s="263"/>
      <c r="C241" s="38" t="s">
        <v>1458</v>
      </c>
      <c r="D241" s="206" t="s">
        <v>937</v>
      </c>
      <c r="E241" s="405" t="s">
        <v>937</v>
      </c>
      <c r="F241" s="405" t="s">
        <v>937</v>
      </c>
      <c r="G241" s="405" t="s">
        <v>937</v>
      </c>
      <c r="H241" s="405" t="s">
        <v>937</v>
      </c>
      <c r="I241" s="223" t="str">
        <f t="shared" si="30"/>
        <v>kWh</v>
      </c>
      <c r="J241" s="250">
        <f t="shared" si="48"/>
        <v>11.5</v>
      </c>
      <c r="K241" s="277">
        <f t="shared" si="50"/>
        <v>58.823529411764703</v>
      </c>
      <c r="L241" s="278">
        <f t="shared" si="50"/>
        <v>0</v>
      </c>
      <c r="M241" s="278">
        <f t="shared" si="50"/>
        <v>117.64705882352941</v>
      </c>
      <c r="N241" s="272">
        <f t="shared" si="51"/>
        <v>11.5</v>
      </c>
      <c r="O241" s="280"/>
      <c r="R241" s="301"/>
      <c r="S241" s="301"/>
      <c r="T241" s="301"/>
      <c r="U241" s="301"/>
      <c r="V241" s="301"/>
      <c r="W241" s="301"/>
      <c r="X241" s="301"/>
      <c r="Y241" s="301"/>
      <c r="Z241" s="301"/>
      <c r="AA241" s="301"/>
      <c r="AB241" s="301"/>
      <c r="AC241" s="301"/>
    </row>
    <row r="242" spans="1:29" ht="21" customHeight="1" x14ac:dyDescent="0.2">
      <c r="A242" s="39"/>
      <c r="B242" s="253" t="str">
        <f>INDEX(Language!D197:M197,1,_language)</f>
        <v>Heat generator output for dhw</v>
      </c>
      <c r="C242" s="254" t="s">
        <v>498</v>
      </c>
      <c r="D242" s="214"/>
      <c r="E242" s="399"/>
      <c r="F242" s="399"/>
      <c r="G242" s="399"/>
      <c r="H242" s="399"/>
      <c r="I242" s="215" t="str">
        <f t="shared" si="20"/>
        <v>kWh</v>
      </c>
      <c r="J242" s="248">
        <f>SUM(J243:J254)</f>
        <v>1514</v>
      </c>
      <c r="K242" s="216">
        <f>SUM(K243:K254)</f>
        <v>3853.3333333333326</v>
      </c>
      <c r="L242" s="217">
        <f>SUM(L243:L254)</f>
        <v>8000.0000000000009</v>
      </c>
      <c r="M242" s="217">
        <f>SUM(M243:M254)</f>
        <v>2739.9999999999995</v>
      </c>
      <c r="N242" s="218">
        <f>SUM(N243:N254)</f>
        <v>1514</v>
      </c>
      <c r="O242" s="256"/>
      <c r="R242" s="217"/>
      <c r="S242" s="217"/>
      <c r="T242" s="217"/>
      <c r="U242" s="217"/>
      <c r="V242" s="217"/>
      <c r="W242" s="217"/>
      <c r="X242" s="217"/>
      <c r="Y242" s="217"/>
      <c r="Z242" s="217"/>
      <c r="AA242" s="217"/>
      <c r="AB242" s="217"/>
      <c r="AC242" s="217"/>
    </row>
    <row r="243" spans="1:29" outlineLevel="1" x14ac:dyDescent="0.2">
      <c r="A243" s="39"/>
      <c r="B243" s="36"/>
      <c r="C243" s="38" t="s">
        <v>499</v>
      </c>
      <c r="D243" s="152"/>
      <c r="E243" s="400"/>
      <c r="F243" s="400"/>
      <c r="G243" s="400"/>
      <c r="H243" s="400"/>
      <c r="I243" s="62" t="str">
        <f t="shared" si="20"/>
        <v>kWh</v>
      </c>
      <c r="J243" s="249">
        <f t="shared" ref="J243:J254" si="52">INDEX(K243:N243,,_case_en)</f>
        <v>190</v>
      </c>
      <c r="K243" s="270">
        <f t="shared" ref="K243:N254" si="53">+K120-K201</f>
        <v>616.66666666666663</v>
      </c>
      <c r="L243" s="271">
        <f t="shared" si="53"/>
        <v>666.66666666666663</v>
      </c>
      <c r="M243" s="271">
        <f t="shared" si="53"/>
        <v>566.66666666666663</v>
      </c>
      <c r="N243" s="272">
        <f t="shared" si="53"/>
        <v>190</v>
      </c>
      <c r="O243" s="86"/>
      <c r="R243" s="271"/>
      <c r="S243" s="271"/>
      <c r="T243" s="271"/>
      <c r="U243" s="271"/>
      <c r="V243" s="271"/>
      <c r="W243" s="271"/>
      <c r="X243" s="271"/>
      <c r="Y243" s="271"/>
      <c r="Z243" s="271"/>
      <c r="AA243" s="271"/>
      <c r="AB243" s="271"/>
      <c r="AC243" s="271"/>
    </row>
    <row r="244" spans="1:29" outlineLevel="1" x14ac:dyDescent="0.2">
      <c r="A244" s="39"/>
      <c r="B244" s="36"/>
      <c r="C244" s="38" t="s">
        <v>500</v>
      </c>
      <c r="D244" s="152"/>
      <c r="E244" s="400"/>
      <c r="F244" s="400"/>
      <c r="G244" s="400"/>
      <c r="H244" s="400"/>
      <c r="I244" s="62" t="str">
        <f t="shared" si="20"/>
        <v>kWh</v>
      </c>
      <c r="J244" s="249">
        <f t="shared" si="52"/>
        <v>180</v>
      </c>
      <c r="K244" s="270">
        <f t="shared" si="53"/>
        <v>566.66666666666663</v>
      </c>
      <c r="L244" s="271">
        <f t="shared" si="53"/>
        <v>666.66666666666663</v>
      </c>
      <c r="M244" s="271">
        <f t="shared" si="53"/>
        <v>466.66666666666663</v>
      </c>
      <c r="N244" s="272">
        <f t="shared" si="53"/>
        <v>180</v>
      </c>
      <c r="O244" s="86"/>
      <c r="R244" s="271"/>
      <c r="S244" s="271"/>
      <c r="T244" s="271"/>
      <c r="U244" s="271"/>
      <c r="V244" s="271"/>
      <c r="W244" s="271"/>
      <c r="X244" s="271"/>
      <c r="Y244" s="271"/>
      <c r="Z244" s="271"/>
      <c r="AA244" s="271"/>
      <c r="AB244" s="271"/>
      <c r="AC244" s="271"/>
    </row>
    <row r="245" spans="1:29" outlineLevel="1" x14ac:dyDescent="0.2">
      <c r="A245" s="39"/>
      <c r="B245" s="36"/>
      <c r="C245" s="38" t="s">
        <v>501</v>
      </c>
      <c r="D245" s="152"/>
      <c r="E245" s="400"/>
      <c r="F245" s="400"/>
      <c r="G245" s="400"/>
      <c r="H245" s="400"/>
      <c r="I245" s="62" t="str">
        <f t="shared" si="20"/>
        <v>kWh</v>
      </c>
      <c r="J245" s="249">
        <f t="shared" si="52"/>
        <v>160</v>
      </c>
      <c r="K245" s="270">
        <f t="shared" si="53"/>
        <v>466.66666666666663</v>
      </c>
      <c r="L245" s="271">
        <f t="shared" si="53"/>
        <v>666.66666666666663</v>
      </c>
      <c r="M245" s="271">
        <f t="shared" si="53"/>
        <v>266.66666666666663</v>
      </c>
      <c r="N245" s="272">
        <f t="shared" si="53"/>
        <v>160</v>
      </c>
      <c r="O245" s="86"/>
      <c r="R245" s="271"/>
      <c r="S245" s="271"/>
      <c r="T245" s="271"/>
      <c r="U245" s="271"/>
      <c r="V245" s="271"/>
      <c r="W245" s="271"/>
      <c r="X245" s="271"/>
      <c r="Y245" s="271"/>
      <c r="Z245" s="271"/>
      <c r="AA245" s="271"/>
      <c r="AB245" s="271"/>
      <c r="AC245" s="271"/>
    </row>
    <row r="246" spans="1:29" outlineLevel="1" x14ac:dyDescent="0.2">
      <c r="A246" s="39"/>
      <c r="B246" s="36"/>
      <c r="C246" s="38" t="s">
        <v>502</v>
      </c>
      <c r="D246" s="152"/>
      <c r="E246" s="400"/>
      <c r="F246" s="400"/>
      <c r="G246" s="400"/>
      <c r="H246" s="400"/>
      <c r="I246" s="62" t="str">
        <f t="shared" si="20"/>
        <v>kWh</v>
      </c>
      <c r="J246" s="249">
        <f t="shared" si="52"/>
        <v>120</v>
      </c>
      <c r="K246" s="270">
        <f t="shared" si="53"/>
        <v>266.66666666666663</v>
      </c>
      <c r="L246" s="271">
        <f t="shared" si="53"/>
        <v>666.66666666666663</v>
      </c>
      <c r="M246" s="271">
        <f t="shared" si="53"/>
        <v>0</v>
      </c>
      <c r="N246" s="272">
        <f t="shared" si="53"/>
        <v>120</v>
      </c>
      <c r="O246" s="86"/>
      <c r="R246" s="271"/>
      <c r="S246" s="271"/>
      <c r="T246" s="271"/>
      <c r="U246" s="271"/>
      <c r="V246" s="271"/>
      <c r="W246" s="271"/>
      <c r="X246" s="271"/>
      <c r="Y246" s="271"/>
      <c r="Z246" s="271"/>
      <c r="AA246" s="271"/>
      <c r="AB246" s="271"/>
      <c r="AC246" s="271"/>
    </row>
    <row r="247" spans="1:29" outlineLevel="1" x14ac:dyDescent="0.2">
      <c r="A247" s="39"/>
      <c r="B247" s="36"/>
      <c r="C247" s="38" t="s">
        <v>503</v>
      </c>
      <c r="D247" s="152"/>
      <c r="E247" s="400"/>
      <c r="F247" s="400"/>
      <c r="G247" s="400"/>
      <c r="H247" s="400"/>
      <c r="I247" s="62" t="str">
        <f t="shared" si="20"/>
        <v>kWh</v>
      </c>
      <c r="J247" s="249">
        <f t="shared" si="52"/>
        <v>60</v>
      </c>
      <c r="K247" s="270">
        <f t="shared" si="53"/>
        <v>0</v>
      </c>
      <c r="L247" s="271">
        <f t="shared" si="53"/>
        <v>666.66666666666663</v>
      </c>
      <c r="M247" s="271">
        <f t="shared" si="53"/>
        <v>0</v>
      </c>
      <c r="N247" s="272">
        <f t="shared" si="53"/>
        <v>60</v>
      </c>
      <c r="O247" s="86"/>
      <c r="R247" s="271"/>
      <c r="S247" s="271"/>
      <c r="T247" s="271"/>
      <c r="U247" s="271"/>
      <c r="V247" s="271"/>
      <c r="W247" s="271"/>
      <c r="X247" s="271"/>
      <c r="Y247" s="271"/>
      <c r="Z247" s="271"/>
      <c r="AA247" s="271"/>
      <c r="AB247" s="271"/>
      <c r="AC247" s="271"/>
    </row>
    <row r="248" spans="1:29" outlineLevel="1" x14ac:dyDescent="0.2">
      <c r="A248" s="39"/>
      <c r="B248" s="36"/>
      <c r="C248" s="38" t="s">
        <v>504</v>
      </c>
      <c r="D248" s="152"/>
      <c r="E248" s="400"/>
      <c r="F248" s="400"/>
      <c r="G248" s="400"/>
      <c r="H248" s="400"/>
      <c r="I248" s="62" t="str">
        <f t="shared" si="20"/>
        <v>kWh</v>
      </c>
      <c r="J248" s="249">
        <f t="shared" si="52"/>
        <v>40</v>
      </c>
      <c r="K248" s="270">
        <f t="shared" si="53"/>
        <v>0</v>
      </c>
      <c r="L248" s="271">
        <f t="shared" si="53"/>
        <v>666.66666666666663</v>
      </c>
      <c r="M248" s="271">
        <f t="shared" si="53"/>
        <v>0</v>
      </c>
      <c r="N248" s="272">
        <f t="shared" si="53"/>
        <v>40</v>
      </c>
      <c r="O248" s="86"/>
      <c r="R248" s="271"/>
      <c r="S248" s="271"/>
      <c r="T248" s="271"/>
      <c r="U248" s="271"/>
      <c r="V248" s="271"/>
      <c r="W248" s="271"/>
      <c r="X248" s="271"/>
      <c r="Y248" s="271"/>
      <c r="Z248" s="271"/>
      <c r="AA248" s="271"/>
      <c r="AB248" s="271"/>
      <c r="AC248" s="271"/>
    </row>
    <row r="249" spans="1:29" outlineLevel="1" x14ac:dyDescent="0.2">
      <c r="A249" s="39"/>
      <c r="B249" s="36"/>
      <c r="C249" s="38" t="s">
        <v>505</v>
      </c>
      <c r="D249" s="152"/>
      <c r="E249" s="400"/>
      <c r="F249" s="400"/>
      <c r="G249" s="400"/>
      <c r="H249" s="400"/>
      <c r="I249" s="62" t="str">
        <f t="shared" si="20"/>
        <v>kWh</v>
      </c>
      <c r="J249" s="249">
        <f t="shared" si="52"/>
        <v>50</v>
      </c>
      <c r="K249" s="270">
        <f t="shared" si="53"/>
        <v>0</v>
      </c>
      <c r="L249" s="271">
        <f t="shared" si="53"/>
        <v>666.66666666666663</v>
      </c>
      <c r="M249" s="271">
        <f t="shared" si="53"/>
        <v>0</v>
      </c>
      <c r="N249" s="272">
        <f t="shared" si="53"/>
        <v>50</v>
      </c>
      <c r="O249" s="86"/>
      <c r="R249" s="271"/>
      <c r="S249" s="271"/>
      <c r="T249" s="271"/>
      <c r="U249" s="271"/>
      <c r="V249" s="271"/>
      <c r="W249" s="271"/>
      <c r="X249" s="271"/>
      <c r="Y249" s="271"/>
      <c r="Z249" s="271"/>
      <c r="AA249" s="271"/>
      <c r="AB249" s="271"/>
      <c r="AC249" s="271"/>
    </row>
    <row r="250" spans="1:29" outlineLevel="1" x14ac:dyDescent="0.2">
      <c r="A250" s="39"/>
      <c r="B250" s="36"/>
      <c r="C250" s="38" t="s">
        <v>506</v>
      </c>
      <c r="D250" s="152"/>
      <c r="E250" s="400"/>
      <c r="F250" s="400"/>
      <c r="G250" s="400"/>
      <c r="H250" s="400"/>
      <c r="I250" s="62" t="str">
        <f t="shared" si="20"/>
        <v>kWh</v>
      </c>
      <c r="J250" s="249">
        <f t="shared" si="52"/>
        <v>60</v>
      </c>
      <c r="K250" s="270">
        <f t="shared" si="53"/>
        <v>0</v>
      </c>
      <c r="L250" s="271">
        <f t="shared" si="53"/>
        <v>666.66666666666663</v>
      </c>
      <c r="M250" s="271">
        <f t="shared" si="53"/>
        <v>0</v>
      </c>
      <c r="N250" s="272">
        <f t="shared" si="53"/>
        <v>60</v>
      </c>
      <c r="O250" s="86"/>
      <c r="R250" s="271"/>
      <c r="S250" s="271"/>
      <c r="T250" s="271"/>
      <c r="U250" s="271"/>
      <c r="V250" s="271"/>
      <c r="W250" s="271"/>
      <c r="X250" s="271"/>
      <c r="Y250" s="271"/>
      <c r="Z250" s="271"/>
      <c r="AA250" s="271"/>
      <c r="AB250" s="271"/>
      <c r="AC250" s="271"/>
    </row>
    <row r="251" spans="1:29" outlineLevel="1" x14ac:dyDescent="0.2">
      <c r="A251" s="39"/>
      <c r="B251" s="36"/>
      <c r="C251" s="38" t="s">
        <v>507</v>
      </c>
      <c r="D251" s="152"/>
      <c r="E251" s="400"/>
      <c r="F251" s="400"/>
      <c r="G251" s="400"/>
      <c r="H251" s="400"/>
      <c r="I251" s="62" t="str">
        <f t="shared" si="20"/>
        <v>kWh</v>
      </c>
      <c r="J251" s="249">
        <f t="shared" si="52"/>
        <v>110</v>
      </c>
      <c r="K251" s="270">
        <f t="shared" si="53"/>
        <v>216.66666666666663</v>
      </c>
      <c r="L251" s="271">
        <f t="shared" si="53"/>
        <v>666.66666666666663</v>
      </c>
      <c r="M251" s="271">
        <f t="shared" si="53"/>
        <v>0</v>
      </c>
      <c r="N251" s="272">
        <f t="shared" si="53"/>
        <v>110</v>
      </c>
      <c r="O251" s="86"/>
      <c r="R251" s="271"/>
      <c r="S251" s="271"/>
      <c r="T251" s="271"/>
      <c r="U251" s="271"/>
      <c r="V251" s="271"/>
      <c r="W251" s="271"/>
      <c r="X251" s="271"/>
      <c r="Y251" s="271"/>
      <c r="Z251" s="271"/>
      <c r="AA251" s="271"/>
      <c r="AB251" s="271"/>
      <c r="AC251" s="271"/>
    </row>
    <row r="252" spans="1:29" outlineLevel="1" x14ac:dyDescent="0.2">
      <c r="A252" s="39"/>
      <c r="B252" s="36"/>
      <c r="C252" s="38" t="s">
        <v>508</v>
      </c>
      <c r="D252" s="152"/>
      <c r="E252" s="400"/>
      <c r="F252" s="400"/>
      <c r="G252" s="400"/>
      <c r="H252" s="400"/>
      <c r="I252" s="62" t="str">
        <f t="shared" si="20"/>
        <v>kWh</v>
      </c>
      <c r="J252" s="249">
        <f t="shared" si="52"/>
        <v>170</v>
      </c>
      <c r="K252" s="270">
        <f t="shared" si="53"/>
        <v>516.66666666666663</v>
      </c>
      <c r="L252" s="271">
        <f t="shared" si="53"/>
        <v>666.66666666666663</v>
      </c>
      <c r="M252" s="271">
        <f t="shared" si="53"/>
        <v>366.66666666666663</v>
      </c>
      <c r="N252" s="272">
        <f t="shared" si="53"/>
        <v>170</v>
      </c>
      <c r="O252" s="86"/>
      <c r="R252" s="271"/>
      <c r="S252" s="271"/>
      <c r="T252" s="271"/>
      <c r="U252" s="271"/>
      <c r="V252" s="271"/>
      <c r="W252" s="271"/>
      <c r="X252" s="271"/>
      <c r="Y252" s="271"/>
      <c r="Z252" s="271"/>
      <c r="AA252" s="271"/>
      <c r="AB252" s="271"/>
      <c r="AC252" s="271"/>
    </row>
    <row r="253" spans="1:29" outlineLevel="1" x14ac:dyDescent="0.2">
      <c r="A253" s="39"/>
      <c r="B253" s="36"/>
      <c r="C253" s="38" t="s">
        <v>509</v>
      </c>
      <c r="D253" s="152"/>
      <c r="E253" s="400"/>
      <c r="F253" s="400"/>
      <c r="G253" s="400"/>
      <c r="H253" s="400"/>
      <c r="I253" s="62" t="str">
        <f t="shared" si="20"/>
        <v>kWh</v>
      </c>
      <c r="J253" s="249">
        <f t="shared" si="52"/>
        <v>184</v>
      </c>
      <c r="K253" s="270">
        <f t="shared" si="53"/>
        <v>586.66666666666663</v>
      </c>
      <c r="L253" s="271">
        <f t="shared" si="53"/>
        <v>666.66666666666663</v>
      </c>
      <c r="M253" s="271">
        <f t="shared" si="53"/>
        <v>506.66666666666663</v>
      </c>
      <c r="N253" s="272">
        <f t="shared" si="53"/>
        <v>184</v>
      </c>
      <c r="O253" s="86"/>
      <c r="R253" s="271"/>
      <c r="S253" s="271"/>
      <c r="T253" s="271"/>
      <c r="U253" s="271"/>
      <c r="V253" s="271"/>
      <c r="W253" s="271"/>
      <c r="X253" s="271"/>
      <c r="Y253" s="271"/>
      <c r="Z253" s="271"/>
      <c r="AA253" s="271"/>
      <c r="AB253" s="271"/>
      <c r="AC253" s="271"/>
    </row>
    <row r="254" spans="1:29" ht="13.5" outlineLevel="1" thickBot="1" x14ac:dyDescent="0.25">
      <c r="A254" s="39"/>
      <c r="B254" s="263"/>
      <c r="C254" s="264" t="s">
        <v>510</v>
      </c>
      <c r="D254" s="222"/>
      <c r="E254" s="401"/>
      <c r="F254" s="401"/>
      <c r="G254" s="401"/>
      <c r="H254" s="401"/>
      <c r="I254" s="62" t="str">
        <f t="shared" si="20"/>
        <v>kWh</v>
      </c>
      <c r="J254" s="250">
        <f t="shared" si="52"/>
        <v>190</v>
      </c>
      <c r="K254" s="277">
        <f t="shared" si="53"/>
        <v>616.66666666666663</v>
      </c>
      <c r="L254" s="278">
        <f t="shared" si="53"/>
        <v>666.66666666666663</v>
      </c>
      <c r="M254" s="278">
        <f t="shared" si="53"/>
        <v>566.66666666666663</v>
      </c>
      <c r="N254" s="279">
        <f t="shared" si="53"/>
        <v>190</v>
      </c>
      <c r="O254" s="280"/>
      <c r="R254" s="278"/>
      <c r="S254" s="278"/>
      <c r="T254" s="278"/>
      <c r="U254" s="278"/>
      <c r="V254" s="278"/>
      <c r="W254" s="278"/>
      <c r="X254" s="278"/>
      <c r="Y254" s="278"/>
      <c r="Z254" s="278"/>
      <c r="AA254" s="278"/>
      <c r="AB254" s="278"/>
      <c r="AC254" s="278"/>
    </row>
    <row r="255" spans="1:29" ht="21.75" customHeight="1" x14ac:dyDescent="0.2">
      <c r="A255" s="39"/>
      <c r="B255" s="253" t="str">
        <f>INDEX(Language!D204:M204,1,_language)</f>
        <v>Heat generator output for heating, hum and dhw</v>
      </c>
      <c r="C255" s="254" t="s">
        <v>596</v>
      </c>
      <c r="D255" s="214"/>
      <c r="E255" s="399"/>
      <c r="F255" s="399"/>
      <c r="G255" s="399"/>
      <c r="H255" s="399"/>
      <c r="I255" s="215" t="str">
        <f t="shared" si="20"/>
        <v>kWh</v>
      </c>
      <c r="J255" s="248">
        <f>SUM(J256:J267)</f>
        <v>12139</v>
      </c>
      <c r="K255" s="216">
        <f>SUM(K256:K267)</f>
        <v>14478.333333333332</v>
      </c>
      <c r="L255" s="217">
        <f>SUM(L256:L267)</f>
        <v>18624.999999999996</v>
      </c>
      <c r="M255" s="217">
        <f>SUM(M256:M267)</f>
        <v>13364.999999999998</v>
      </c>
      <c r="N255" s="218">
        <f>SUM(N256:N267)</f>
        <v>12139</v>
      </c>
      <c r="O255" s="256"/>
      <c r="R255" s="217"/>
      <c r="S255" s="217"/>
      <c r="T255" s="217"/>
      <c r="U255" s="217"/>
      <c r="V255" s="217"/>
      <c r="W255" s="217"/>
      <c r="X255" s="217"/>
      <c r="Y255" s="217"/>
      <c r="Z255" s="217"/>
      <c r="AA255" s="217"/>
      <c r="AB255" s="217"/>
      <c r="AC255" s="217"/>
    </row>
    <row r="256" spans="1:29" outlineLevel="1" x14ac:dyDescent="0.2">
      <c r="A256" s="39"/>
      <c r="B256" s="104"/>
      <c r="C256" s="38" t="s">
        <v>597</v>
      </c>
      <c r="D256" s="206"/>
      <c r="E256" s="402"/>
      <c r="F256" s="402"/>
      <c r="G256" s="402"/>
      <c r="H256" s="402"/>
      <c r="I256" s="62" t="str">
        <f t="shared" si="20"/>
        <v>kWh</v>
      </c>
      <c r="J256" s="249">
        <f t="shared" ref="J256:J270" si="54">INDEX(K256:N256,,_case_en)</f>
        <v>2690</v>
      </c>
      <c r="K256" s="208">
        <f t="shared" ref="K256:N267" si="55">+K93+K243</f>
        <v>3116.6666666666665</v>
      </c>
      <c r="L256" s="209">
        <f t="shared" si="55"/>
        <v>3166.6666666666665</v>
      </c>
      <c r="M256" s="209">
        <f t="shared" si="55"/>
        <v>3066.6666666666665</v>
      </c>
      <c r="N256" s="210">
        <f t="shared" si="55"/>
        <v>2690</v>
      </c>
      <c r="O256" s="227"/>
      <c r="R256" s="209"/>
      <c r="S256" s="209"/>
      <c r="T256" s="209"/>
      <c r="U256" s="209"/>
      <c r="V256" s="209"/>
      <c r="W256" s="209"/>
      <c r="X256" s="209"/>
      <c r="Y256" s="209"/>
      <c r="Z256" s="209"/>
      <c r="AA256" s="209"/>
      <c r="AB256" s="209"/>
      <c r="AC256" s="209"/>
    </row>
    <row r="257" spans="1:29" outlineLevel="1" x14ac:dyDescent="0.2">
      <c r="A257" s="39"/>
      <c r="B257" s="104"/>
      <c r="C257" s="38" t="s">
        <v>598</v>
      </c>
      <c r="D257" s="206"/>
      <c r="E257" s="402"/>
      <c r="F257" s="402"/>
      <c r="G257" s="402"/>
      <c r="H257" s="402"/>
      <c r="I257" s="62" t="str">
        <f t="shared" si="20"/>
        <v>kWh</v>
      </c>
      <c r="J257" s="249">
        <f t="shared" si="54"/>
        <v>2055</v>
      </c>
      <c r="K257" s="208">
        <f t="shared" si="55"/>
        <v>2441.6666666666665</v>
      </c>
      <c r="L257" s="209">
        <f t="shared" si="55"/>
        <v>2541.6666666666665</v>
      </c>
      <c r="M257" s="209">
        <f t="shared" si="55"/>
        <v>2341.6666666666665</v>
      </c>
      <c r="N257" s="210">
        <f t="shared" si="55"/>
        <v>2055</v>
      </c>
      <c r="O257" s="227"/>
      <c r="R257" s="209"/>
      <c r="S257" s="209"/>
      <c r="T257" s="209"/>
      <c r="U257" s="209"/>
      <c r="V257" s="209"/>
      <c r="W257" s="209"/>
      <c r="X257" s="209"/>
      <c r="Y257" s="209"/>
      <c r="Z257" s="209"/>
      <c r="AA257" s="209"/>
      <c r="AB257" s="209"/>
      <c r="AC257" s="209"/>
    </row>
    <row r="258" spans="1:29" outlineLevel="1" x14ac:dyDescent="0.2">
      <c r="A258" s="39"/>
      <c r="B258" s="104"/>
      <c r="C258" s="38" t="s">
        <v>599</v>
      </c>
      <c r="D258" s="206"/>
      <c r="E258" s="402"/>
      <c r="F258" s="402"/>
      <c r="G258" s="402"/>
      <c r="H258" s="402"/>
      <c r="I258" s="62" t="str">
        <f t="shared" si="20"/>
        <v>kWh</v>
      </c>
      <c r="J258" s="249">
        <f t="shared" si="54"/>
        <v>1410</v>
      </c>
      <c r="K258" s="208">
        <f t="shared" si="55"/>
        <v>1716.6666666666665</v>
      </c>
      <c r="L258" s="209">
        <f t="shared" si="55"/>
        <v>1916.6666666666665</v>
      </c>
      <c r="M258" s="209">
        <f t="shared" si="55"/>
        <v>1516.6666666666665</v>
      </c>
      <c r="N258" s="210">
        <f t="shared" si="55"/>
        <v>1410</v>
      </c>
      <c r="O258" s="227"/>
      <c r="R258" s="209"/>
      <c r="S258" s="209"/>
      <c r="T258" s="209"/>
      <c r="U258" s="209"/>
      <c r="V258" s="209"/>
      <c r="W258" s="209"/>
      <c r="X258" s="209"/>
      <c r="Y258" s="209"/>
      <c r="Z258" s="209"/>
      <c r="AA258" s="209"/>
      <c r="AB258" s="209"/>
      <c r="AC258" s="209"/>
    </row>
    <row r="259" spans="1:29" outlineLevel="1" x14ac:dyDescent="0.2">
      <c r="A259" s="39"/>
      <c r="B259" s="104"/>
      <c r="C259" s="38" t="s">
        <v>600</v>
      </c>
      <c r="D259" s="206"/>
      <c r="E259" s="402"/>
      <c r="F259" s="402"/>
      <c r="G259" s="402"/>
      <c r="H259" s="402"/>
      <c r="I259" s="62" t="str">
        <f t="shared" si="20"/>
        <v>kWh</v>
      </c>
      <c r="J259" s="249">
        <f t="shared" si="54"/>
        <v>745</v>
      </c>
      <c r="K259" s="208">
        <f t="shared" si="55"/>
        <v>891.66666666666663</v>
      </c>
      <c r="L259" s="209">
        <f t="shared" si="55"/>
        <v>1291.6666666666665</v>
      </c>
      <c r="M259" s="209">
        <f t="shared" si="55"/>
        <v>625</v>
      </c>
      <c r="N259" s="210">
        <f t="shared" si="55"/>
        <v>745</v>
      </c>
      <c r="O259" s="227"/>
      <c r="R259" s="209"/>
      <c r="S259" s="209"/>
      <c r="T259" s="209"/>
      <c r="U259" s="209"/>
      <c r="V259" s="209"/>
      <c r="W259" s="209"/>
      <c r="X259" s="209"/>
      <c r="Y259" s="209"/>
      <c r="Z259" s="209"/>
      <c r="AA259" s="209"/>
      <c r="AB259" s="209"/>
      <c r="AC259" s="209"/>
    </row>
    <row r="260" spans="1:29" outlineLevel="1" x14ac:dyDescent="0.2">
      <c r="A260" s="39"/>
      <c r="B260" s="104"/>
      <c r="C260" s="38" t="s">
        <v>601</v>
      </c>
      <c r="D260" s="206"/>
      <c r="E260" s="402"/>
      <c r="F260" s="402"/>
      <c r="G260" s="402"/>
      <c r="H260" s="402"/>
      <c r="I260" s="62" t="str">
        <f t="shared" si="20"/>
        <v>kWh</v>
      </c>
      <c r="J260" s="249">
        <f t="shared" si="54"/>
        <v>60</v>
      </c>
      <c r="K260" s="208">
        <f t="shared" si="55"/>
        <v>0</v>
      </c>
      <c r="L260" s="209">
        <f t="shared" si="55"/>
        <v>666.66666666666663</v>
      </c>
      <c r="M260" s="209">
        <f t="shared" si="55"/>
        <v>0</v>
      </c>
      <c r="N260" s="210">
        <f t="shared" si="55"/>
        <v>60</v>
      </c>
      <c r="O260" s="227"/>
      <c r="R260" s="209"/>
      <c r="S260" s="209"/>
      <c r="T260" s="209"/>
      <c r="U260" s="209"/>
      <c r="V260" s="209"/>
      <c r="W260" s="209"/>
      <c r="X260" s="209"/>
      <c r="Y260" s="209"/>
      <c r="Z260" s="209"/>
      <c r="AA260" s="209"/>
      <c r="AB260" s="209"/>
      <c r="AC260" s="209"/>
    </row>
    <row r="261" spans="1:29" outlineLevel="1" x14ac:dyDescent="0.2">
      <c r="A261" s="39"/>
      <c r="B261" s="104"/>
      <c r="C261" s="38" t="s">
        <v>602</v>
      </c>
      <c r="D261" s="206"/>
      <c r="E261" s="402"/>
      <c r="F261" s="402"/>
      <c r="G261" s="402"/>
      <c r="H261" s="402"/>
      <c r="I261" s="62" t="str">
        <f t="shared" si="20"/>
        <v>kWh</v>
      </c>
      <c r="J261" s="249">
        <f t="shared" si="54"/>
        <v>40</v>
      </c>
      <c r="K261" s="208">
        <f t="shared" si="55"/>
        <v>0</v>
      </c>
      <c r="L261" s="209">
        <f t="shared" si="55"/>
        <v>666.66666666666663</v>
      </c>
      <c r="M261" s="209">
        <f t="shared" si="55"/>
        <v>0</v>
      </c>
      <c r="N261" s="210">
        <f t="shared" si="55"/>
        <v>40</v>
      </c>
      <c r="O261" s="227"/>
      <c r="R261" s="209"/>
      <c r="S261" s="209"/>
      <c r="T261" s="209"/>
      <c r="U261" s="209"/>
      <c r="V261" s="209"/>
      <c r="W261" s="209"/>
      <c r="X261" s="209"/>
      <c r="Y261" s="209"/>
      <c r="Z261" s="209"/>
      <c r="AA261" s="209"/>
      <c r="AB261" s="209"/>
      <c r="AC261" s="209"/>
    </row>
    <row r="262" spans="1:29" outlineLevel="1" x14ac:dyDescent="0.2">
      <c r="A262" s="39"/>
      <c r="B262" s="104"/>
      <c r="C262" s="38" t="s">
        <v>603</v>
      </c>
      <c r="D262" s="206"/>
      <c r="E262" s="402"/>
      <c r="F262" s="402"/>
      <c r="G262" s="402"/>
      <c r="H262" s="402"/>
      <c r="I262" s="62" t="str">
        <f t="shared" si="20"/>
        <v>kWh</v>
      </c>
      <c r="J262" s="249">
        <f t="shared" si="54"/>
        <v>50</v>
      </c>
      <c r="K262" s="208">
        <f t="shared" si="55"/>
        <v>0</v>
      </c>
      <c r="L262" s="209">
        <f t="shared" si="55"/>
        <v>666.66666666666663</v>
      </c>
      <c r="M262" s="209">
        <f t="shared" si="55"/>
        <v>0</v>
      </c>
      <c r="N262" s="210">
        <f t="shared" si="55"/>
        <v>50</v>
      </c>
      <c r="O262" s="227"/>
      <c r="R262" s="209"/>
      <c r="S262" s="209"/>
      <c r="T262" s="209"/>
      <c r="U262" s="209"/>
      <c r="V262" s="209"/>
      <c r="W262" s="209"/>
      <c r="X262" s="209"/>
      <c r="Y262" s="209"/>
      <c r="Z262" s="209"/>
      <c r="AA262" s="209"/>
      <c r="AB262" s="209"/>
      <c r="AC262" s="209"/>
    </row>
    <row r="263" spans="1:29" outlineLevel="1" x14ac:dyDescent="0.2">
      <c r="A263" s="39"/>
      <c r="B263" s="104"/>
      <c r="C263" s="38" t="s">
        <v>604</v>
      </c>
      <c r="D263" s="206"/>
      <c r="E263" s="402"/>
      <c r="F263" s="402"/>
      <c r="G263" s="402"/>
      <c r="H263" s="402"/>
      <c r="I263" s="62" t="str">
        <f t="shared" si="20"/>
        <v>kWh</v>
      </c>
      <c r="J263" s="249">
        <f t="shared" si="54"/>
        <v>60</v>
      </c>
      <c r="K263" s="208">
        <f t="shared" si="55"/>
        <v>0</v>
      </c>
      <c r="L263" s="209">
        <f t="shared" si="55"/>
        <v>666.66666666666663</v>
      </c>
      <c r="M263" s="209">
        <f t="shared" si="55"/>
        <v>0</v>
      </c>
      <c r="N263" s="210">
        <f t="shared" si="55"/>
        <v>60</v>
      </c>
      <c r="O263" s="227"/>
      <c r="R263" s="209"/>
      <c r="S263" s="209"/>
      <c r="T263" s="209"/>
      <c r="U263" s="209"/>
      <c r="V263" s="209"/>
      <c r="W263" s="209"/>
      <c r="X263" s="209"/>
      <c r="Y263" s="209"/>
      <c r="Z263" s="209"/>
      <c r="AA263" s="209"/>
      <c r="AB263" s="209"/>
      <c r="AC263" s="209"/>
    </row>
    <row r="264" spans="1:29" outlineLevel="1" x14ac:dyDescent="0.2">
      <c r="A264" s="39"/>
      <c r="B264" s="104"/>
      <c r="C264" s="38" t="s">
        <v>605</v>
      </c>
      <c r="D264" s="206"/>
      <c r="E264" s="402"/>
      <c r="F264" s="402"/>
      <c r="G264" s="402"/>
      <c r="H264" s="402"/>
      <c r="I264" s="62" t="str">
        <f t="shared" si="20"/>
        <v>kWh</v>
      </c>
      <c r="J264" s="249">
        <f t="shared" si="54"/>
        <v>110</v>
      </c>
      <c r="K264" s="208">
        <f t="shared" si="55"/>
        <v>216.66666666666663</v>
      </c>
      <c r="L264" s="209">
        <f t="shared" si="55"/>
        <v>666.66666666666663</v>
      </c>
      <c r="M264" s="209">
        <f t="shared" si="55"/>
        <v>0</v>
      </c>
      <c r="N264" s="210">
        <f t="shared" si="55"/>
        <v>110</v>
      </c>
      <c r="O264" s="227"/>
      <c r="R264" s="209"/>
      <c r="S264" s="209"/>
      <c r="T264" s="209"/>
      <c r="U264" s="209"/>
      <c r="V264" s="209"/>
      <c r="W264" s="209"/>
      <c r="X264" s="209"/>
      <c r="Y264" s="209"/>
      <c r="Z264" s="209"/>
      <c r="AA264" s="209"/>
      <c r="AB264" s="209"/>
      <c r="AC264" s="209"/>
    </row>
    <row r="265" spans="1:29" outlineLevel="1" x14ac:dyDescent="0.2">
      <c r="A265" s="39"/>
      <c r="B265" s="36"/>
      <c r="C265" s="38" t="s">
        <v>606</v>
      </c>
      <c r="D265" s="152"/>
      <c r="E265" s="400"/>
      <c r="F265" s="400"/>
      <c r="G265" s="400"/>
      <c r="H265" s="400"/>
      <c r="I265" s="62" t="str">
        <f t="shared" si="20"/>
        <v>kWh</v>
      </c>
      <c r="J265" s="249">
        <f t="shared" si="54"/>
        <v>920</v>
      </c>
      <c r="K265" s="208">
        <f t="shared" si="55"/>
        <v>1266.6666666666665</v>
      </c>
      <c r="L265" s="271">
        <f t="shared" si="55"/>
        <v>1416.6666666666665</v>
      </c>
      <c r="M265" s="271">
        <f t="shared" si="55"/>
        <v>1116.6666666666665</v>
      </c>
      <c r="N265" s="272">
        <f t="shared" si="55"/>
        <v>920</v>
      </c>
      <c r="O265" s="86"/>
      <c r="R265" s="271"/>
      <c r="S265" s="271"/>
      <c r="T265" s="271"/>
      <c r="U265" s="271"/>
      <c r="V265" s="271"/>
      <c r="W265" s="271"/>
      <c r="X265" s="271"/>
      <c r="Y265" s="271"/>
      <c r="Z265" s="271"/>
      <c r="AA265" s="271"/>
      <c r="AB265" s="271"/>
      <c r="AC265" s="271"/>
    </row>
    <row r="266" spans="1:29" outlineLevel="1" x14ac:dyDescent="0.2">
      <c r="A266" s="39"/>
      <c r="B266" s="36"/>
      <c r="C266" s="38" t="s">
        <v>607</v>
      </c>
      <c r="D266" s="152"/>
      <c r="E266" s="400"/>
      <c r="F266" s="400"/>
      <c r="G266" s="400"/>
      <c r="H266" s="400"/>
      <c r="I266" s="62" t="str">
        <f t="shared" si="20"/>
        <v>kWh</v>
      </c>
      <c r="J266" s="249">
        <f t="shared" si="54"/>
        <v>1809</v>
      </c>
      <c r="K266" s="208">
        <f t="shared" si="55"/>
        <v>2211.6666666666665</v>
      </c>
      <c r="L266" s="271">
        <f t="shared" si="55"/>
        <v>2291.6666666666665</v>
      </c>
      <c r="M266" s="271">
        <f t="shared" si="55"/>
        <v>2131.6666666666665</v>
      </c>
      <c r="N266" s="272">
        <f t="shared" si="55"/>
        <v>1809</v>
      </c>
      <c r="O266" s="86"/>
      <c r="R266" s="271"/>
      <c r="S266" s="271"/>
      <c r="T266" s="271"/>
      <c r="U266" s="271"/>
      <c r="V266" s="271"/>
      <c r="W266" s="271"/>
      <c r="X266" s="271"/>
      <c r="Y266" s="271"/>
      <c r="Z266" s="271"/>
      <c r="AA266" s="271"/>
      <c r="AB266" s="271"/>
      <c r="AC266" s="271"/>
    </row>
    <row r="267" spans="1:29" ht="13.5" outlineLevel="1" thickBot="1" x14ac:dyDescent="0.25">
      <c r="A267" s="39"/>
      <c r="B267" s="263"/>
      <c r="C267" s="264" t="s">
        <v>608</v>
      </c>
      <c r="D267" s="222"/>
      <c r="E267" s="401"/>
      <c r="F267" s="401"/>
      <c r="G267" s="401"/>
      <c r="H267" s="401"/>
      <c r="I267" s="62" t="str">
        <f t="shared" si="20"/>
        <v>kWh</v>
      </c>
      <c r="J267" s="250">
        <f t="shared" si="54"/>
        <v>2190</v>
      </c>
      <c r="K267" s="281">
        <f t="shared" si="55"/>
        <v>2616.6666666666665</v>
      </c>
      <c r="L267" s="278">
        <f t="shared" si="55"/>
        <v>2666.6666666666665</v>
      </c>
      <c r="M267" s="278">
        <f t="shared" si="55"/>
        <v>2566.6666666666665</v>
      </c>
      <c r="N267" s="279">
        <f t="shared" si="55"/>
        <v>2190</v>
      </c>
      <c r="O267" s="280"/>
      <c r="R267" s="278"/>
      <c r="S267" s="278"/>
      <c r="T267" s="278"/>
      <c r="U267" s="278"/>
      <c r="V267" s="278"/>
      <c r="W267" s="278"/>
      <c r="X267" s="278"/>
      <c r="Y267" s="278"/>
      <c r="Z267" s="278"/>
      <c r="AA267" s="278"/>
      <c r="AB267" s="278"/>
      <c r="AC267" s="278"/>
    </row>
    <row r="268" spans="1:29" ht="43.5" customHeight="1" x14ac:dyDescent="0.2">
      <c r="A268" s="39"/>
      <c r="B268" s="253" t="str">
        <f>INDEX(Language!D205:M205,1,_language)</f>
        <v>Cogenerator max output</v>
      </c>
      <c r="C268" s="254" t="s">
        <v>620</v>
      </c>
      <c r="D268" s="214"/>
      <c r="E268" s="399"/>
      <c r="F268" s="399"/>
      <c r="G268" s="399"/>
      <c r="H268" s="399"/>
      <c r="I268" s="215" t="str">
        <f t="shared" si="30"/>
        <v>kWh</v>
      </c>
      <c r="J268" s="348">
        <f t="shared" si="54"/>
        <v>100</v>
      </c>
      <c r="K268" s="304">
        <v>50</v>
      </c>
      <c r="L268" s="305">
        <v>1000</v>
      </c>
      <c r="M268" s="305">
        <v>100</v>
      </c>
      <c r="N268" s="218">
        <f>INDEX(R268:AC268,1,N$16)*Diagram_NEW!BD21</f>
        <v>100</v>
      </c>
      <c r="O268" s="227" t="s">
        <v>1403</v>
      </c>
      <c r="R268" s="305">
        <v>100</v>
      </c>
      <c r="S268" s="305">
        <v>0</v>
      </c>
      <c r="T268" s="305">
        <v>1500</v>
      </c>
      <c r="U268" s="305">
        <v>0</v>
      </c>
      <c r="V268" s="305">
        <v>0</v>
      </c>
      <c r="W268" s="305">
        <v>0</v>
      </c>
      <c r="X268" s="305">
        <v>0</v>
      </c>
      <c r="Y268" s="305">
        <v>0</v>
      </c>
      <c r="Z268" s="305">
        <v>0</v>
      </c>
      <c r="AA268" s="305">
        <v>0</v>
      </c>
      <c r="AB268" s="305">
        <v>0</v>
      </c>
      <c r="AC268" s="305">
        <v>0</v>
      </c>
    </row>
    <row r="269" spans="1:29" x14ac:dyDescent="0.2">
      <c r="A269" s="39"/>
      <c r="B269" s="36" t="str">
        <f>INDEX(Language!D207:M207,1,_language)</f>
        <v>Cogenerator thermal efficiency</v>
      </c>
      <c r="C269" s="38" t="s">
        <v>621</v>
      </c>
      <c r="D269" s="152"/>
      <c r="E269" s="400"/>
      <c r="F269" s="400"/>
      <c r="G269" s="400"/>
      <c r="H269" s="400"/>
      <c r="I269" s="62"/>
      <c r="J269" s="313">
        <f t="shared" si="54"/>
        <v>55</v>
      </c>
      <c r="K269" s="177">
        <v>55</v>
      </c>
      <c r="L269" s="178">
        <v>55</v>
      </c>
      <c r="M269" s="178">
        <v>55</v>
      </c>
      <c r="N269" s="272">
        <f>INDEX(R269:AC269,1,N$16)</f>
        <v>55</v>
      </c>
      <c r="O269" s="86"/>
      <c r="R269" s="178">
        <v>55</v>
      </c>
      <c r="S269" s="178">
        <v>55</v>
      </c>
      <c r="T269" s="178">
        <v>55</v>
      </c>
      <c r="U269" s="178">
        <v>55</v>
      </c>
      <c r="V269" s="178">
        <v>55</v>
      </c>
      <c r="W269" s="178">
        <v>55</v>
      </c>
      <c r="X269" s="178">
        <v>55</v>
      </c>
      <c r="Y269" s="178">
        <v>55</v>
      </c>
      <c r="Z269" s="178">
        <v>55</v>
      </c>
      <c r="AA269" s="178">
        <v>55</v>
      </c>
      <c r="AB269" s="178">
        <v>55</v>
      </c>
      <c r="AC269" s="178">
        <v>55</v>
      </c>
    </row>
    <row r="270" spans="1:29" x14ac:dyDescent="0.2">
      <c r="A270" s="39"/>
      <c r="B270" s="36" t="str">
        <f>INDEX(Language!D208:M208,1,_language)</f>
        <v>Cogenerator electric efficiency</v>
      </c>
      <c r="C270" s="38" t="s">
        <v>622</v>
      </c>
      <c r="D270" s="152"/>
      <c r="E270" s="400"/>
      <c r="F270" s="400"/>
      <c r="G270" s="400"/>
      <c r="H270" s="400"/>
      <c r="I270" s="62"/>
      <c r="J270" s="249">
        <f t="shared" si="54"/>
        <v>35</v>
      </c>
      <c r="K270" s="177">
        <v>35</v>
      </c>
      <c r="L270" s="178">
        <v>35</v>
      </c>
      <c r="M270" s="178">
        <v>35</v>
      </c>
      <c r="N270" s="272">
        <f>INDEX(R270:AC270,1,N$16)</f>
        <v>35</v>
      </c>
      <c r="O270" s="86"/>
      <c r="R270" s="178">
        <v>35</v>
      </c>
      <c r="S270" s="178">
        <v>35</v>
      </c>
      <c r="T270" s="178">
        <v>35</v>
      </c>
      <c r="U270" s="178">
        <v>35</v>
      </c>
      <c r="V270" s="178">
        <v>35</v>
      </c>
      <c r="W270" s="178">
        <v>35</v>
      </c>
      <c r="X270" s="178">
        <v>35</v>
      </c>
      <c r="Y270" s="178">
        <v>35</v>
      </c>
      <c r="Z270" s="178">
        <v>35</v>
      </c>
      <c r="AA270" s="178">
        <v>35</v>
      </c>
      <c r="AB270" s="178">
        <v>35</v>
      </c>
      <c r="AC270" s="178">
        <v>35</v>
      </c>
    </row>
    <row r="271" spans="1:29" outlineLevel="1" x14ac:dyDescent="0.2">
      <c r="A271" s="39"/>
      <c r="B271" s="36"/>
      <c r="C271" s="38"/>
      <c r="D271" s="152"/>
      <c r="E271" s="400"/>
      <c r="F271" s="400"/>
      <c r="G271" s="400"/>
      <c r="H271" s="400"/>
      <c r="I271" s="62"/>
      <c r="J271" s="257"/>
      <c r="K271" s="309" t="str">
        <f>+ConvFactors!D32</f>
        <v>gas</v>
      </c>
      <c r="L271" s="44"/>
      <c r="M271" s="44"/>
      <c r="N271" s="62"/>
      <c r="O271" s="86" t="s">
        <v>616</v>
      </c>
      <c r="R271" s="44"/>
      <c r="S271" s="44"/>
      <c r="T271" s="44"/>
      <c r="U271" s="44"/>
      <c r="V271" s="44"/>
      <c r="W271" s="44"/>
      <c r="X271" s="44"/>
      <c r="Y271" s="44"/>
      <c r="Z271" s="44"/>
      <c r="AA271" s="44"/>
      <c r="AB271" s="44"/>
      <c r="AC271" s="44"/>
    </row>
    <row r="272" spans="1:29" outlineLevel="1" x14ac:dyDescent="0.2">
      <c r="A272" s="39"/>
      <c r="B272" s="36"/>
      <c r="C272" s="38"/>
      <c r="D272" s="152"/>
      <c r="E272" s="400"/>
      <c r="F272" s="400"/>
      <c r="G272" s="400"/>
      <c r="H272" s="400"/>
      <c r="I272" s="62"/>
      <c r="J272" s="257"/>
      <c r="K272" s="309" t="str">
        <f>+ConvFactors!D33</f>
        <v>oil</v>
      </c>
      <c r="L272" s="44"/>
      <c r="M272" s="44"/>
      <c r="N272" s="62"/>
      <c r="O272" s="86"/>
      <c r="R272" s="44"/>
      <c r="S272" s="44"/>
      <c r="T272" s="44"/>
      <c r="U272" s="44"/>
      <c r="V272" s="44"/>
      <c r="W272" s="44"/>
      <c r="X272" s="44"/>
      <c r="Y272" s="44"/>
      <c r="Z272" s="44"/>
      <c r="AA272" s="44"/>
      <c r="AB272" s="44"/>
      <c r="AC272" s="44"/>
    </row>
    <row r="273" spans="1:29" outlineLevel="1" x14ac:dyDescent="0.2">
      <c r="A273" s="39"/>
      <c r="B273" s="36"/>
      <c r="C273" s="38"/>
      <c r="D273" s="152"/>
      <c r="E273" s="400"/>
      <c r="F273" s="400"/>
      <c r="G273" s="400"/>
      <c r="H273" s="400"/>
      <c r="I273" s="62"/>
      <c r="J273" s="257"/>
      <c r="K273" s="309" t="str">
        <f>+ConvFactors!D34</f>
        <v>coal</v>
      </c>
      <c r="L273" s="44"/>
      <c r="M273" s="44"/>
      <c r="N273" s="62"/>
      <c r="O273" s="86"/>
      <c r="R273" s="44"/>
      <c r="S273" s="44"/>
      <c r="T273" s="44"/>
      <c r="U273" s="44"/>
      <c r="V273" s="44"/>
      <c r="W273" s="44"/>
      <c r="X273" s="44"/>
      <c r="Y273" s="44"/>
      <c r="Z273" s="44"/>
      <c r="AA273" s="44"/>
      <c r="AB273" s="44"/>
      <c r="AC273" s="44"/>
    </row>
    <row r="274" spans="1:29" outlineLevel="1" x14ac:dyDescent="0.2">
      <c r="A274" s="39"/>
      <c r="B274" s="36"/>
      <c r="C274" s="38"/>
      <c r="D274" s="152"/>
      <c r="E274" s="400"/>
      <c r="F274" s="400"/>
      <c r="G274" s="400"/>
      <c r="H274" s="400"/>
      <c r="I274" s="62"/>
      <c r="J274" s="257"/>
      <c r="K274" s="309" t="str">
        <f>+ConvFactors!D35</f>
        <v>wood</v>
      </c>
      <c r="L274" s="44"/>
      <c r="M274" s="44"/>
      <c r="N274" s="62"/>
      <c r="O274" s="86"/>
      <c r="R274" s="44"/>
      <c r="S274" s="44"/>
      <c r="T274" s="44"/>
      <c r="U274" s="44"/>
      <c r="V274" s="44"/>
      <c r="W274" s="44"/>
      <c r="X274" s="44"/>
      <c r="Y274" s="44"/>
      <c r="Z274" s="44"/>
      <c r="AA274" s="44"/>
      <c r="AB274" s="44"/>
      <c r="AC274" s="44"/>
    </row>
    <row r="275" spans="1:29" outlineLevel="1" x14ac:dyDescent="0.2">
      <c r="A275" s="39"/>
      <c r="B275" s="36"/>
      <c r="C275" s="38"/>
      <c r="D275" s="152"/>
      <c r="E275" s="400"/>
      <c r="F275" s="400"/>
      <c r="G275" s="400"/>
      <c r="H275" s="400"/>
      <c r="I275" s="62"/>
      <c r="J275" s="257"/>
      <c r="K275" s="309" t="str">
        <f>+ConvFactors!D36</f>
        <v>biomass</v>
      </c>
      <c r="L275" s="44"/>
      <c r="M275" s="44"/>
      <c r="N275" s="62"/>
      <c r="O275" s="86"/>
      <c r="R275" s="44"/>
      <c r="S275" s="44"/>
      <c r="T275" s="44"/>
      <c r="U275" s="44"/>
      <c r="V275" s="44"/>
      <c r="W275" s="44"/>
      <c r="X275" s="44"/>
      <c r="Y275" s="44"/>
      <c r="Z275" s="44"/>
      <c r="AA275" s="44"/>
      <c r="AB275" s="44"/>
      <c r="AC275" s="44"/>
    </row>
    <row r="276" spans="1:29" outlineLevel="1" x14ac:dyDescent="0.2">
      <c r="A276" s="39"/>
      <c r="B276" s="36"/>
      <c r="C276" s="38"/>
      <c r="D276" s="152"/>
      <c r="E276" s="400"/>
      <c r="F276" s="400"/>
      <c r="G276" s="400"/>
      <c r="H276" s="400"/>
      <c r="I276" s="62"/>
      <c r="J276" s="257"/>
      <c r="K276" s="309" t="str">
        <f>+ConvFactors!D37</f>
        <v>custom</v>
      </c>
      <c r="L276" s="44"/>
      <c r="M276" s="44"/>
      <c r="N276" s="62"/>
      <c r="O276" s="86"/>
      <c r="R276" s="44"/>
      <c r="S276" s="44"/>
      <c r="T276" s="44"/>
      <c r="U276" s="44"/>
      <c r="V276" s="44"/>
      <c r="W276" s="44"/>
      <c r="X276" s="44"/>
      <c r="Y276" s="44"/>
      <c r="Z276" s="44"/>
      <c r="AA276" s="44"/>
      <c r="AB276" s="44"/>
      <c r="AC276" s="44"/>
    </row>
    <row r="277" spans="1:29" ht="25.5" x14ac:dyDescent="0.2">
      <c r="A277" s="39"/>
      <c r="B277" s="36" t="str">
        <f>INDEX(Language!D209:M209,1,_language)</f>
        <v>Cogenerator fuel</v>
      </c>
      <c r="C277" s="38"/>
      <c r="D277" s="152"/>
      <c r="E277" s="400"/>
      <c r="F277" s="400"/>
      <c r="G277" s="400"/>
      <c r="H277" s="400"/>
      <c r="I277" s="62"/>
      <c r="J277" s="249" t="str">
        <f>INDEX(K277:N277,,_case_en)</f>
        <v>gas</v>
      </c>
      <c r="K277" s="605" t="s">
        <v>36</v>
      </c>
      <c r="L277" s="606" t="s">
        <v>36</v>
      </c>
      <c r="M277" s="606" t="s">
        <v>36</v>
      </c>
      <c r="N277" s="62" t="str">
        <f>INDEX(R277:AC277,1,N$16)</f>
        <v>gas</v>
      </c>
      <c r="O277" s="1075" t="s">
        <v>1815</v>
      </c>
      <c r="P277" s="1356" t="s">
        <v>1809</v>
      </c>
      <c r="R277" s="606" t="s">
        <v>36</v>
      </c>
      <c r="S277" s="606" t="s">
        <v>36</v>
      </c>
      <c r="T277" s="606" t="s">
        <v>36</v>
      </c>
      <c r="U277" s="606" t="s">
        <v>36</v>
      </c>
      <c r="V277" s="606" t="s">
        <v>36</v>
      </c>
      <c r="W277" s="606" t="s">
        <v>36</v>
      </c>
      <c r="X277" s="606" t="s">
        <v>36</v>
      </c>
      <c r="Y277" s="606" t="s">
        <v>36</v>
      </c>
      <c r="Z277" s="606" t="s">
        <v>36</v>
      </c>
      <c r="AA277" s="606" t="s">
        <v>36</v>
      </c>
      <c r="AB277" s="606" t="s">
        <v>36</v>
      </c>
      <c r="AC277" s="606" t="s">
        <v>36</v>
      </c>
    </row>
    <row r="278" spans="1:29" ht="16.5" customHeight="1" x14ac:dyDescent="0.2">
      <c r="A278" s="39"/>
      <c r="B278" s="36" t="str">
        <f>"    "&amp;INDEX(Language!D206:M206,1,_language)</f>
        <v xml:space="preserve">    Cogenerator heat output</v>
      </c>
      <c r="C278" s="38" t="s">
        <v>623</v>
      </c>
      <c r="D278" s="152"/>
      <c r="E278" s="400"/>
      <c r="F278" s="400"/>
      <c r="G278" s="400"/>
      <c r="H278" s="400"/>
      <c r="I278" s="62" t="str">
        <f t="shared" si="30"/>
        <v>kWh</v>
      </c>
      <c r="J278" s="307">
        <f>SUM(J279:J290)</f>
        <v>1010</v>
      </c>
      <c r="K278" s="270">
        <f>SUM(K279:K290)</f>
        <v>400</v>
      </c>
      <c r="L278" s="271">
        <f>SUM(L279:L290)</f>
        <v>10333.333333333336</v>
      </c>
      <c r="M278" s="271">
        <f>SUM(M279:M290)</f>
        <v>700</v>
      </c>
      <c r="N278" s="272">
        <f>SUM(N279:N290)</f>
        <v>1010</v>
      </c>
      <c r="O278" s="86"/>
      <c r="R278" s="271"/>
      <c r="S278" s="271"/>
      <c r="T278" s="271"/>
      <c r="U278" s="271"/>
      <c r="V278" s="271"/>
      <c r="W278" s="271"/>
      <c r="X278" s="271"/>
      <c r="Y278" s="271"/>
      <c r="Z278" s="271"/>
      <c r="AA278" s="271"/>
      <c r="AB278" s="271"/>
      <c r="AC278" s="271"/>
    </row>
    <row r="279" spans="1:29" outlineLevel="1" x14ac:dyDescent="0.2">
      <c r="A279" s="39"/>
      <c r="B279" s="36"/>
      <c r="C279" s="38" t="s">
        <v>624</v>
      </c>
      <c r="D279" s="152"/>
      <c r="E279" s="400"/>
      <c r="F279" s="400"/>
      <c r="G279" s="400"/>
      <c r="H279" s="400"/>
      <c r="I279" s="62" t="str">
        <f t="shared" si="30"/>
        <v>kWh</v>
      </c>
      <c r="J279" s="249">
        <f t="shared" ref="J279:J290" si="56">INDEX(K279:N279,,_case_en)</f>
        <v>100</v>
      </c>
      <c r="K279" s="270">
        <f t="shared" ref="K279:N290" si="57">MIN(K$268,K256)</f>
        <v>50</v>
      </c>
      <c r="L279" s="271">
        <f t="shared" si="57"/>
        <v>1000</v>
      </c>
      <c r="M279" s="271">
        <f t="shared" si="57"/>
        <v>100</v>
      </c>
      <c r="N279" s="272">
        <f t="shared" si="57"/>
        <v>100</v>
      </c>
      <c r="O279" s="86"/>
      <c r="R279" s="271"/>
      <c r="S279" s="271"/>
      <c r="T279" s="271"/>
      <c r="U279" s="271"/>
      <c r="V279" s="271"/>
      <c r="W279" s="271"/>
      <c r="X279" s="271"/>
      <c r="Y279" s="271"/>
      <c r="Z279" s="271"/>
      <c r="AA279" s="271"/>
      <c r="AB279" s="271"/>
      <c r="AC279" s="271"/>
    </row>
    <row r="280" spans="1:29" outlineLevel="1" x14ac:dyDescent="0.2">
      <c r="A280" s="39"/>
      <c r="B280" s="36"/>
      <c r="C280" s="38" t="s">
        <v>625</v>
      </c>
      <c r="D280" s="152"/>
      <c r="E280" s="400"/>
      <c r="F280" s="400"/>
      <c r="G280" s="400"/>
      <c r="H280" s="400"/>
      <c r="I280" s="62" t="str">
        <f t="shared" si="30"/>
        <v>kWh</v>
      </c>
      <c r="J280" s="249">
        <f t="shared" si="56"/>
        <v>100</v>
      </c>
      <c r="K280" s="270">
        <f t="shared" si="57"/>
        <v>50</v>
      </c>
      <c r="L280" s="271">
        <f t="shared" si="57"/>
        <v>1000</v>
      </c>
      <c r="M280" s="271">
        <f t="shared" si="57"/>
        <v>100</v>
      </c>
      <c r="N280" s="272">
        <f t="shared" si="57"/>
        <v>100</v>
      </c>
      <c r="O280" s="86"/>
      <c r="R280" s="271"/>
      <c r="S280" s="271"/>
      <c r="T280" s="271"/>
      <c r="U280" s="271"/>
      <c r="V280" s="271"/>
      <c r="W280" s="271"/>
      <c r="X280" s="271"/>
      <c r="Y280" s="271"/>
      <c r="Z280" s="271"/>
      <c r="AA280" s="271"/>
      <c r="AB280" s="271"/>
      <c r="AC280" s="271"/>
    </row>
    <row r="281" spans="1:29" outlineLevel="1" x14ac:dyDescent="0.2">
      <c r="A281" s="39"/>
      <c r="B281" s="36"/>
      <c r="C281" s="38" t="s">
        <v>626</v>
      </c>
      <c r="D281" s="152"/>
      <c r="E281" s="400"/>
      <c r="F281" s="400"/>
      <c r="G281" s="400"/>
      <c r="H281" s="400"/>
      <c r="I281" s="62" t="str">
        <f t="shared" si="30"/>
        <v>kWh</v>
      </c>
      <c r="J281" s="249">
        <f t="shared" si="56"/>
        <v>100</v>
      </c>
      <c r="K281" s="270">
        <f t="shared" si="57"/>
        <v>50</v>
      </c>
      <c r="L281" s="271">
        <f t="shared" si="57"/>
        <v>1000</v>
      </c>
      <c r="M281" s="271">
        <f t="shared" si="57"/>
        <v>100</v>
      </c>
      <c r="N281" s="272">
        <f t="shared" si="57"/>
        <v>100</v>
      </c>
      <c r="O281" s="86"/>
      <c r="R281" s="271"/>
      <c r="S281" s="271"/>
      <c r="T281" s="271"/>
      <c r="U281" s="271"/>
      <c r="V281" s="271"/>
      <c r="W281" s="271"/>
      <c r="X281" s="271"/>
      <c r="Y281" s="271"/>
      <c r="Z281" s="271"/>
      <c r="AA281" s="271"/>
      <c r="AB281" s="271"/>
      <c r="AC281" s="271"/>
    </row>
    <row r="282" spans="1:29" outlineLevel="1" x14ac:dyDescent="0.2">
      <c r="A282" s="39"/>
      <c r="B282" s="36"/>
      <c r="C282" s="38" t="s">
        <v>627</v>
      </c>
      <c r="D282" s="152"/>
      <c r="E282" s="400"/>
      <c r="F282" s="400"/>
      <c r="G282" s="400"/>
      <c r="H282" s="400"/>
      <c r="I282" s="62" t="str">
        <f t="shared" si="30"/>
        <v>kWh</v>
      </c>
      <c r="J282" s="249">
        <f t="shared" si="56"/>
        <v>100</v>
      </c>
      <c r="K282" s="270">
        <f t="shared" si="57"/>
        <v>50</v>
      </c>
      <c r="L282" s="271">
        <f t="shared" si="57"/>
        <v>1000</v>
      </c>
      <c r="M282" s="271">
        <f t="shared" si="57"/>
        <v>100</v>
      </c>
      <c r="N282" s="272">
        <f t="shared" si="57"/>
        <v>100</v>
      </c>
      <c r="O282" s="86"/>
      <c r="R282" s="271"/>
      <c r="S282" s="271"/>
      <c r="T282" s="271"/>
      <c r="U282" s="271"/>
      <c r="V282" s="271"/>
      <c r="W282" s="271"/>
      <c r="X282" s="271"/>
      <c r="Y282" s="271"/>
      <c r="Z282" s="271"/>
      <c r="AA282" s="271"/>
      <c r="AB282" s="271"/>
      <c r="AC282" s="271"/>
    </row>
    <row r="283" spans="1:29" outlineLevel="1" x14ac:dyDescent="0.2">
      <c r="A283" s="39"/>
      <c r="B283" s="36"/>
      <c r="C283" s="38" t="s">
        <v>628</v>
      </c>
      <c r="D283" s="152"/>
      <c r="E283" s="400"/>
      <c r="F283" s="400"/>
      <c r="G283" s="400"/>
      <c r="H283" s="400"/>
      <c r="I283" s="62" t="str">
        <f t="shared" si="30"/>
        <v>kWh</v>
      </c>
      <c r="J283" s="249">
        <f t="shared" si="56"/>
        <v>60</v>
      </c>
      <c r="K283" s="270">
        <f t="shared" si="57"/>
        <v>0</v>
      </c>
      <c r="L283" s="271">
        <f t="shared" si="57"/>
        <v>666.66666666666663</v>
      </c>
      <c r="M283" s="271">
        <f t="shared" si="57"/>
        <v>0</v>
      </c>
      <c r="N283" s="272">
        <f t="shared" si="57"/>
        <v>60</v>
      </c>
      <c r="O283" s="86"/>
      <c r="R283" s="271"/>
      <c r="S283" s="271"/>
      <c r="T283" s="271"/>
      <c r="U283" s="271"/>
      <c r="V283" s="271"/>
      <c r="W283" s="271"/>
      <c r="X283" s="271"/>
      <c r="Y283" s="271"/>
      <c r="Z283" s="271"/>
      <c r="AA283" s="271"/>
      <c r="AB283" s="271"/>
      <c r="AC283" s="271"/>
    </row>
    <row r="284" spans="1:29" outlineLevel="1" x14ac:dyDescent="0.2">
      <c r="A284" s="39"/>
      <c r="B284" s="36"/>
      <c r="C284" s="38" t="s">
        <v>629</v>
      </c>
      <c r="D284" s="152"/>
      <c r="E284" s="400"/>
      <c r="F284" s="400"/>
      <c r="G284" s="400"/>
      <c r="H284" s="400"/>
      <c r="I284" s="62" t="str">
        <f t="shared" si="30"/>
        <v>kWh</v>
      </c>
      <c r="J284" s="249">
        <f t="shared" si="56"/>
        <v>40</v>
      </c>
      <c r="K284" s="270">
        <f t="shared" si="57"/>
        <v>0</v>
      </c>
      <c r="L284" s="271">
        <f t="shared" si="57"/>
        <v>666.66666666666663</v>
      </c>
      <c r="M284" s="271">
        <f t="shared" si="57"/>
        <v>0</v>
      </c>
      <c r="N284" s="272">
        <f t="shared" si="57"/>
        <v>40</v>
      </c>
      <c r="O284" s="86"/>
      <c r="R284" s="271"/>
      <c r="S284" s="271"/>
      <c r="T284" s="271"/>
      <c r="U284" s="271"/>
      <c r="V284" s="271"/>
      <c r="W284" s="271"/>
      <c r="X284" s="271"/>
      <c r="Y284" s="271"/>
      <c r="Z284" s="271"/>
      <c r="AA284" s="271"/>
      <c r="AB284" s="271"/>
      <c r="AC284" s="271"/>
    </row>
    <row r="285" spans="1:29" outlineLevel="1" x14ac:dyDescent="0.2">
      <c r="A285" s="39"/>
      <c r="B285" s="36"/>
      <c r="C285" s="38" t="s">
        <v>630</v>
      </c>
      <c r="D285" s="152"/>
      <c r="E285" s="400"/>
      <c r="F285" s="400"/>
      <c r="G285" s="400"/>
      <c r="H285" s="400"/>
      <c r="I285" s="62" t="str">
        <f t="shared" si="30"/>
        <v>kWh</v>
      </c>
      <c r="J285" s="249">
        <f t="shared" si="56"/>
        <v>50</v>
      </c>
      <c r="K285" s="270">
        <f t="shared" si="57"/>
        <v>0</v>
      </c>
      <c r="L285" s="271">
        <f t="shared" si="57"/>
        <v>666.66666666666663</v>
      </c>
      <c r="M285" s="271">
        <f t="shared" si="57"/>
        <v>0</v>
      </c>
      <c r="N285" s="272">
        <f t="shared" si="57"/>
        <v>50</v>
      </c>
      <c r="O285" s="86"/>
      <c r="R285" s="271"/>
      <c r="S285" s="271"/>
      <c r="T285" s="271"/>
      <c r="U285" s="271"/>
      <c r="V285" s="271"/>
      <c r="W285" s="271"/>
      <c r="X285" s="271"/>
      <c r="Y285" s="271"/>
      <c r="Z285" s="271"/>
      <c r="AA285" s="271"/>
      <c r="AB285" s="271"/>
      <c r="AC285" s="271"/>
    </row>
    <row r="286" spans="1:29" outlineLevel="1" x14ac:dyDescent="0.2">
      <c r="A286" s="39"/>
      <c r="B286" s="36"/>
      <c r="C286" s="38" t="s">
        <v>631</v>
      </c>
      <c r="D286" s="152"/>
      <c r="E286" s="400"/>
      <c r="F286" s="400"/>
      <c r="G286" s="400"/>
      <c r="H286" s="400"/>
      <c r="I286" s="62" t="str">
        <f t="shared" si="30"/>
        <v>kWh</v>
      </c>
      <c r="J286" s="249">
        <f t="shared" si="56"/>
        <v>60</v>
      </c>
      <c r="K286" s="270">
        <f t="shared" si="57"/>
        <v>0</v>
      </c>
      <c r="L286" s="271">
        <f t="shared" si="57"/>
        <v>666.66666666666663</v>
      </c>
      <c r="M286" s="271">
        <f t="shared" si="57"/>
        <v>0</v>
      </c>
      <c r="N286" s="272">
        <f t="shared" si="57"/>
        <v>60</v>
      </c>
      <c r="O286" s="86"/>
      <c r="R286" s="271"/>
      <c r="S286" s="271"/>
      <c r="T286" s="271"/>
      <c r="U286" s="271"/>
      <c r="V286" s="271"/>
      <c r="W286" s="271"/>
      <c r="X286" s="271"/>
      <c r="Y286" s="271"/>
      <c r="Z286" s="271"/>
      <c r="AA286" s="271"/>
      <c r="AB286" s="271"/>
      <c r="AC286" s="271"/>
    </row>
    <row r="287" spans="1:29" outlineLevel="1" x14ac:dyDescent="0.2">
      <c r="A287" s="39"/>
      <c r="B287" s="36"/>
      <c r="C287" s="38" t="s">
        <v>632</v>
      </c>
      <c r="D287" s="152"/>
      <c r="E287" s="400"/>
      <c r="F287" s="400"/>
      <c r="G287" s="400"/>
      <c r="H287" s="400"/>
      <c r="I287" s="62" t="str">
        <f t="shared" si="30"/>
        <v>kWh</v>
      </c>
      <c r="J287" s="249">
        <f t="shared" si="56"/>
        <v>100</v>
      </c>
      <c r="K287" s="270">
        <f t="shared" si="57"/>
        <v>50</v>
      </c>
      <c r="L287" s="271">
        <f t="shared" si="57"/>
        <v>666.66666666666663</v>
      </c>
      <c r="M287" s="271">
        <f t="shared" si="57"/>
        <v>0</v>
      </c>
      <c r="N287" s="272">
        <f t="shared" si="57"/>
        <v>100</v>
      </c>
      <c r="O287" s="86"/>
      <c r="R287" s="271"/>
      <c r="S287" s="271"/>
      <c r="T287" s="271"/>
      <c r="U287" s="271"/>
      <c r="V287" s="271"/>
      <c r="W287" s="271"/>
      <c r="X287" s="271"/>
      <c r="Y287" s="271"/>
      <c r="Z287" s="271"/>
      <c r="AA287" s="271"/>
      <c r="AB287" s="271"/>
      <c r="AC287" s="271"/>
    </row>
    <row r="288" spans="1:29" outlineLevel="1" x14ac:dyDescent="0.2">
      <c r="A288" s="39"/>
      <c r="B288" s="36"/>
      <c r="C288" s="38" t="s">
        <v>633</v>
      </c>
      <c r="D288" s="152"/>
      <c r="E288" s="400"/>
      <c r="F288" s="400"/>
      <c r="G288" s="400"/>
      <c r="H288" s="400"/>
      <c r="I288" s="62" t="str">
        <f t="shared" si="30"/>
        <v>kWh</v>
      </c>
      <c r="J288" s="249">
        <f t="shared" si="56"/>
        <v>100</v>
      </c>
      <c r="K288" s="270">
        <f t="shared" si="57"/>
        <v>50</v>
      </c>
      <c r="L288" s="271">
        <f t="shared" si="57"/>
        <v>1000</v>
      </c>
      <c r="M288" s="271">
        <f t="shared" si="57"/>
        <v>100</v>
      </c>
      <c r="N288" s="272">
        <f t="shared" si="57"/>
        <v>100</v>
      </c>
      <c r="O288" s="86"/>
      <c r="R288" s="271"/>
      <c r="S288" s="271"/>
      <c r="T288" s="271"/>
      <c r="U288" s="271"/>
      <c r="V288" s="271"/>
      <c r="W288" s="271"/>
      <c r="X288" s="271"/>
      <c r="Y288" s="271"/>
      <c r="Z288" s="271"/>
      <c r="AA288" s="271"/>
      <c r="AB288" s="271"/>
      <c r="AC288" s="271"/>
    </row>
    <row r="289" spans="1:29" outlineLevel="1" x14ac:dyDescent="0.2">
      <c r="A289" s="39"/>
      <c r="B289" s="36"/>
      <c r="C289" s="38" t="s">
        <v>634</v>
      </c>
      <c r="D289" s="152"/>
      <c r="E289" s="400"/>
      <c r="F289" s="400"/>
      <c r="G289" s="400"/>
      <c r="H289" s="400"/>
      <c r="I289" s="62" t="str">
        <f t="shared" si="30"/>
        <v>kWh</v>
      </c>
      <c r="J289" s="249">
        <f t="shared" si="56"/>
        <v>100</v>
      </c>
      <c r="K289" s="270">
        <f t="shared" si="57"/>
        <v>50</v>
      </c>
      <c r="L289" s="271">
        <f t="shared" si="57"/>
        <v>1000</v>
      </c>
      <c r="M289" s="271">
        <f t="shared" si="57"/>
        <v>100</v>
      </c>
      <c r="N289" s="272">
        <f t="shared" si="57"/>
        <v>100</v>
      </c>
      <c r="O289" s="86"/>
      <c r="R289" s="271"/>
      <c r="S289" s="271"/>
      <c r="T289" s="271"/>
      <c r="U289" s="271"/>
      <c r="V289" s="271"/>
      <c r="W289" s="271"/>
      <c r="X289" s="271"/>
      <c r="Y289" s="271"/>
      <c r="Z289" s="271"/>
      <c r="AA289" s="271"/>
      <c r="AB289" s="271"/>
      <c r="AC289" s="271"/>
    </row>
    <row r="290" spans="1:29" outlineLevel="1" x14ac:dyDescent="0.2">
      <c r="A290" s="39"/>
      <c r="B290" s="36"/>
      <c r="C290" s="38" t="s">
        <v>635</v>
      </c>
      <c r="D290" s="152"/>
      <c r="E290" s="400"/>
      <c r="F290" s="400"/>
      <c r="G290" s="400"/>
      <c r="H290" s="400"/>
      <c r="I290" s="62" t="str">
        <f t="shared" si="30"/>
        <v>kWh</v>
      </c>
      <c r="J290" s="252">
        <f t="shared" si="56"/>
        <v>100</v>
      </c>
      <c r="K290" s="270">
        <f t="shared" si="57"/>
        <v>50</v>
      </c>
      <c r="L290" s="271">
        <f t="shared" si="57"/>
        <v>1000</v>
      </c>
      <c r="M290" s="271">
        <f t="shared" si="57"/>
        <v>100</v>
      </c>
      <c r="N290" s="272">
        <f t="shared" si="57"/>
        <v>100</v>
      </c>
      <c r="O290" s="86"/>
      <c r="R290" s="271"/>
      <c r="S290" s="271"/>
      <c r="T290" s="271"/>
      <c r="U290" s="271"/>
      <c r="V290" s="271"/>
      <c r="W290" s="271"/>
      <c r="X290" s="271"/>
      <c r="Y290" s="271"/>
      <c r="Z290" s="271"/>
      <c r="AA290" s="271"/>
      <c r="AB290" s="271"/>
      <c r="AC290" s="271"/>
    </row>
    <row r="291" spans="1:29" x14ac:dyDescent="0.2">
      <c r="A291" s="39"/>
      <c r="B291" s="36" t="str">
        <f>"    "&amp;INDEX(Language!D210:M210,1,_language)</f>
        <v xml:space="preserve">    Cogenerator input</v>
      </c>
      <c r="C291" s="38" t="s">
        <v>637</v>
      </c>
      <c r="D291" s="312" t="str">
        <f t="shared" ref="D291:D317" si="58">INDEX(E291:H291,,_case_en)</f>
        <v>gas_y</v>
      </c>
      <c r="E291" s="428" t="str">
        <f t="shared" ref="E291:E303" si="59">+K$277&amp;$AF18</f>
        <v>gas_y</v>
      </c>
      <c r="F291" s="428" t="str">
        <f t="shared" ref="F291:F303" si="60">+L$277&amp;$AF18</f>
        <v>gas_y</v>
      </c>
      <c r="G291" s="428" t="str">
        <f t="shared" ref="G291:G303" si="61">+M$277&amp;$AF18</f>
        <v>gas_y</v>
      </c>
      <c r="H291" s="406" t="str">
        <f t="shared" ref="H291:H303" si="62">+N$277&amp;$AF18</f>
        <v>gas_y</v>
      </c>
      <c r="I291" s="62" t="str">
        <f t="shared" si="30"/>
        <v>kWh</v>
      </c>
      <c r="J291" s="307">
        <f>SUM(J292:J303)</f>
        <v>1836.363636363636</v>
      </c>
      <c r="K291" s="270">
        <f>SUM(K292:K303)</f>
        <v>727.27272727272714</v>
      </c>
      <c r="L291" s="271">
        <f>SUM(L292:L303)</f>
        <v>18787.878787878788</v>
      </c>
      <c r="M291" s="271">
        <f>SUM(M292:M303)</f>
        <v>1272.7272727272725</v>
      </c>
      <c r="N291" s="272">
        <f>SUM(N292:N303)</f>
        <v>1836.363636363636</v>
      </c>
      <c r="O291" s="1079" t="s">
        <v>1762</v>
      </c>
      <c r="P291" s="1356" t="s">
        <v>1809</v>
      </c>
      <c r="R291" s="271"/>
      <c r="S291" s="271"/>
      <c r="T291" s="271"/>
      <c r="U291" s="271"/>
      <c r="V291" s="271"/>
      <c r="W291" s="271"/>
      <c r="X291" s="271"/>
      <c r="Y291" s="271"/>
      <c r="Z291" s="271"/>
      <c r="AA291" s="271"/>
      <c r="AB291" s="271"/>
      <c r="AC291" s="271"/>
    </row>
    <row r="292" spans="1:29" outlineLevel="1" x14ac:dyDescent="0.2">
      <c r="A292" s="39"/>
      <c r="B292" s="36"/>
      <c r="C292" s="38" t="s">
        <v>636</v>
      </c>
      <c r="D292" s="312" t="str">
        <f t="shared" si="58"/>
        <v>gas_t1</v>
      </c>
      <c r="E292" s="428" t="str">
        <f t="shared" si="59"/>
        <v>gas_t1</v>
      </c>
      <c r="F292" s="428" t="str">
        <f t="shared" si="60"/>
        <v>gas_t1</v>
      </c>
      <c r="G292" s="428" t="str">
        <f t="shared" si="61"/>
        <v>gas_t1</v>
      </c>
      <c r="H292" s="406" t="str">
        <f t="shared" si="62"/>
        <v>gas_t1</v>
      </c>
      <c r="I292" s="62" t="str">
        <f t="shared" si="30"/>
        <v>kWh</v>
      </c>
      <c r="J292" s="249">
        <f t="shared" ref="J292:J303" si="63">INDEX(K292:N292,,_case_en)</f>
        <v>181.81818181818181</v>
      </c>
      <c r="K292" s="270">
        <f t="shared" ref="K292:N303" si="64">+K279*100/K$269</f>
        <v>90.909090909090907</v>
      </c>
      <c r="L292" s="271">
        <f t="shared" si="64"/>
        <v>1818.1818181818182</v>
      </c>
      <c r="M292" s="271">
        <f t="shared" si="64"/>
        <v>181.81818181818181</v>
      </c>
      <c r="N292" s="272">
        <f t="shared" si="64"/>
        <v>181.81818181818181</v>
      </c>
      <c r="O292" s="86"/>
      <c r="R292" s="271"/>
      <c r="S292" s="271"/>
      <c r="T292" s="271"/>
      <c r="U292" s="271"/>
      <c r="V292" s="271"/>
      <c r="W292" s="271"/>
      <c r="X292" s="271"/>
      <c r="Y292" s="271"/>
      <c r="Z292" s="271"/>
      <c r="AA292" s="271"/>
      <c r="AB292" s="271"/>
      <c r="AC292" s="271"/>
    </row>
    <row r="293" spans="1:29" outlineLevel="1" x14ac:dyDescent="0.2">
      <c r="A293" s="39"/>
      <c r="B293" s="36"/>
      <c r="C293" s="38" t="s">
        <v>638</v>
      </c>
      <c r="D293" s="312" t="str">
        <f t="shared" si="58"/>
        <v>gas_t2</v>
      </c>
      <c r="E293" s="428" t="str">
        <f t="shared" si="59"/>
        <v>gas_t2</v>
      </c>
      <c r="F293" s="428" t="str">
        <f t="shared" si="60"/>
        <v>gas_t2</v>
      </c>
      <c r="G293" s="428" t="str">
        <f t="shared" si="61"/>
        <v>gas_t2</v>
      </c>
      <c r="H293" s="406" t="str">
        <f t="shared" si="62"/>
        <v>gas_t2</v>
      </c>
      <c r="I293" s="62" t="str">
        <f t="shared" si="30"/>
        <v>kWh</v>
      </c>
      <c r="J293" s="249">
        <f t="shared" si="63"/>
        <v>181.81818181818181</v>
      </c>
      <c r="K293" s="270">
        <f t="shared" si="64"/>
        <v>90.909090909090907</v>
      </c>
      <c r="L293" s="271">
        <f t="shared" si="64"/>
        <v>1818.1818181818182</v>
      </c>
      <c r="M293" s="271">
        <f t="shared" si="64"/>
        <v>181.81818181818181</v>
      </c>
      <c r="N293" s="272">
        <f t="shared" si="64"/>
        <v>181.81818181818181</v>
      </c>
      <c r="O293" s="86"/>
      <c r="R293" s="271"/>
      <c r="S293" s="271"/>
      <c r="T293" s="271"/>
      <c r="U293" s="271"/>
      <c r="V293" s="271"/>
      <c r="W293" s="271"/>
      <c r="X293" s="271"/>
      <c r="Y293" s="271"/>
      <c r="Z293" s="271"/>
      <c r="AA293" s="271"/>
      <c r="AB293" s="271"/>
      <c r="AC293" s="271"/>
    </row>
    <row r="294" spans="1:29" outlineLevel="1" x14ac:dyDescent="0.2">
      <c r="A294" s="39"/>
      <c r="B294" s="36"/>
      <c r="C294" s="38" t="s">
        <v>639</v>
      </c>
      <c r="D294" s="312" t="str">
        <f t="shared" si="58"/>
        <v>gas_t3</v>
      </c>
      <c r="E294" s="428" t="str">
        <f t="shared" si="59"/>
        <v>gas_t3</v>
      </c>
      <c r="F294" s="428" t="str">
        <f t="shared" si="60"/>
        <v>gas_t3</v>
      </c>
      <c r="G294" s="428" t="str">
        <f t="shared" si="61"/>
        <v>gas_t3</v>
      </c>
      <c r="H294" s="406" t="str">
        <f t="shared" si="62"/>
        <v>gas_t3</v>
      </c>
      <c r="I294" s="62" t="str">
        <f t="shared" si="30"/>
        <v>kWh</v>
      </c>
      <c r="J294" s="249">
        <f t="shared" si="63"/>
        <v>181.81818181818181</v>
      </c>
      <c r="K294" s="270">
        <f t="shared" si="64"/>
        <v>90.909090909090907</v>
      </c>
      <c r="L294" s="271">
        <f t="shared" si="64"/>
        <v>1818.1818181818182</v>
      </c>
      <c r="M294" s="271">
        <f t="shared" si="64"/>
        <v>181.81818181818181</v>
      </c>
      <c r="N294" s="272">
        <f t="shared" si="64"/>
        <v>181.81818181818181</v>
      </c>
      <c r="O294" s="86"/>
      <c r="R294" s="271"/>
      <c r="S294" s="271"/>
      <c r="T294" s="271"/>
      <c r="U294" s="271"/>
      <c r="V294" s="271"/>
      <c r="W294" s="271"/>
      <c r="X294" s="271"/>
      <c r="Y294" s="271"/>
      <c r="Z294" s="271"/>
      <c r="AA294" s="271"/>
      <c r="AB294" s="271"/>
      <c r="AC294" s="271"/>
    </row>
    <row r="295" spans="1:29" outlineLevel="1" x14ac:dyDescent="0.2">
      <c r="A295" s="39"/>
      <c r="B295" s="36"/>
      <c r="C295" s="38" t="s">
        <v>640</v>
      </c>
      <c r="D295" s="312" t="str">
        <f t="shared" si="58"/>
        <v>gas_t4</v>
      </c>
      <c r="E295" s="428" t="str">
        <f t="shared" si="59"/>
        <v>gas_t4</v>
      </c>
      <c r="F295" s="428" t="str">
        <f t="shared" si="60"/>
        <v>gas_t4</v>
      </c>
      <c r="G295" s="428" t="str">
        <f t="shared" si="61"/>
        <v>gas_t4</v>
      </c>
      <c r="H295" s="406" t="str">
        <f t="shared" si="62"/>
        <v>gas_t4</v>
      </c>
      <c r="I295" s="62" t="str">
        <f t="shared" si="30"/>
        <v>kWh</v>
      </c>
      <c r="J295" s="249">
        <f t="shared" si="63"/>
        <v>181.81818181818181</v>
      </c>
      <c r="K295" s="270">
        <f t="shared" si="64"/>
        <v>90.909090909090907</v>
      </c>
      <c r="L295" s="271">
        <f t="shared" si="64"/>
        <v>1818.1818181818182</v>
      </c>
      <c r="M295" s="271">
        <f t="shared" si="64"/>
        <v>181.81818181818181</v>
      </c>
      <c r="N295" s="272">
        <f t="shared" si="64"/>
        <v>181.81818181818181</v>
      </c>
      <c r="O295" s="86"/>
      <c r="R295" s="271"/>
      <c r="S295" s="271"/>
      <c r="T295" s="271"/>
      <c r="U295" s="271"/>
      <c r="V295" s="271"/>
      <c r="W295" s="271"/>
      <c r="X295" s="271"/>
      <c r="Y295" s="271"/>
      <c r="Z295" s="271"/>
      <c r="AA295" s="271"/>
      <c r="AB295" s="271"/>
      <c r="AC295" s="271"/>
    </row>
    <row r="296" spans="1:29" outlineLevel="1" x14ac:dyDescent="0.2">
      <c r="A296" s="39"/>
      <c r="B296" s="36"/>
      <c r="C296" s="38" t="s">
        <v>641</v>
      </c>
      <c r="D296" s="312" t="str">
        <f t="shared" si="58"/>
        <v>gas_t5</v>
      </c>
      <c r="E296" s="428" t="str">
        <f t="shared" si="59"/>
        <v>gas_t5</v>
      </c>
      <c r="F296" s="428" t="str">
        <f t="shared" si="60"/>
        <v>gas_t5</v>
      </c>
      <c r="G296" s="428" t="str">
        <f t="shared" si="61"/>
        <v>gas_t5</v>
      </c>
      <c r="H296" s="406" t="str">
        <f t="shared" si="62"/>
        <v>gas_t5</v>
      </c>
      <c r="I296" s="62" t="str">
        <f t="shared" si="30"/>
        <v>kWh</v>
      </c>
      <c r="J296" s="249">
        <f t="shared" si="63"/>
        <v>109.09090909090909</v>
      </c>
      <c r="K296" s="270">
        <f t="shared" si="64"/>
        <v>0</v>
      </c>
      <c r="L296" s="271">
        <f t="shared" si="64"/>
        <v>1212.121212121212</v>
      </c>
      <c r="M296" s="271">
        <f t="shared" si="64"/>
        <v>0</v>
      </c>
      <c r="N296" s="272">
        <f t="shared" si="64"/>
        <v>109.09090909090909</v>
      </c>
      <c r="O296" s="86"/>
      <c r="R296" s="271"/>
      <c r="S296" s="271"/>
      <c r="T296" s="271"/>
      <c r="U296" s="271"/>
      <c r="V296" s="271"/>
      <c r="W296" s="271"/>
      <c r="X296" s="271"/>
      <c r="Y296" s="271"/>
      <c r="Z296" s="271"/>
      <c r="AA296" s="271"/>
      <c r="AB296" s="271"/>
      <c r="AC296" s="271"/>
    </row>
    <row r="297" spans="1:29" outlineLevel="1" x14ac:dyDescent="0.2">
      <c r="A297" s="39"/>
      <c r="B297" s="36"/>
      <c r="C297" s="38" t="s">
        <v>642</v>
      </c>
      <c r="D297" s="312" t="str">
        <f t="shared" si="58"/>
        <v>gas_t6</v>
      </c>
      <c r="E297" s="428" t="str">
        <f t="shared" si="59"/>
        <v>gas_t6</v>
      </c>
      <c r="F297" s="428" t="str">
        <f t="shared" si="60"/>
        <v>gas_t6</v>
      </c>
      <c r="G297" s="428" t="str">
        <f t="shared" si="61"/>
        <v>gas_t6</v>
      </c>
      <c r="H297" s="406" t="str">
        <f t="shared" si="62"/>
        <v>gas_t6</v>
      </c>
      <c r="I297" s="62" t="str">
        <f t="shared" si="30"/>
        <v>kWh</v>
      </c>
      <c r="J297" s="249">
        <f t="shared" si="63"/>
        <v>72.727272727272734</v>
      </c>
      <c r="K297" s="270">
        <f t="shared" si="64"/>
        <v>0</v>
      </c>
      <c r="L297" s="271">
        <f t="shared" si="64"/>
        <v>1212.121212121212</v>
      </c>
      <c r="M297" s="271">
        <f t="shared" si="64"/>
        <v>0</v>
      </c>
      <c r="N297" s="272">
        <f t="shared" si="64"/>
        <v>72.727272727272734</v>
      </c>
      <c r="O297" s="86"/>
      <c r="R297" s="271"/>
      <c r="S297" s="271"/>
      <c r="T297" s="271"/>
      <c r="U297" s="271"/>
      <c r="V297" s="271"/>
      <c r="W297" s="271"/>
      <c r="X297" s="271"/>
      <c r="Y297" s="271"/>
      <c r="Z297" s="271"/>
      <c r="AA297" s="271"/>
      <c r="AB297" s="271"/>
      <c r="AC297" s="271"/>
    </row>
    <row r="298" spans="1:29" outlineLevel="1" x14ac:dyDescent="0.2">
      <c r="A298" s="39"/>
      <c r="B298" s="36"/>
      <c r="C298" s="38" t="s">
        <v>643</v>
      </c>
      <c r="D298" s="312" t="str">
        <f t="shared" si="58"/>
        <v>gas_t7</v>
      </c>
      <c r="E298" s="428" t="str">
        <f t="shared" si="59"/>
        <v>gas_t7</v>
      </c>
      <c r="F298" s="428" t="str">
        <f t="shared" si="60"/>
        <v>gas_t7</v>
      </c>
      <c r="G298" s="428" t="str">
        <f t="shared" si="61"/>
        <v>gas_t7</v>
      </c>
      <c r="H298" s="406" t="str">
        <f t="shared" si="62"/>
        <v>gas_t7</v>
      </c>
      <c r="I298" s="62" t="str">
        <f t="shared" si="30"/>
        <v>kWh</v>
      </c>
      <c r="J298" s="249">
        <f t="shared" si="63"/>
        <v>90.909090909090907</v>
      </c>
      <c r="K298" s="270">
        <f t="shared" si="64"/>
        <v>0</v>
      </c>
      <c r="L298" s="271">
        <f t="shared" si="64"/>
        <v>1212.121212121212</v>
      </c>
      <c r="M298" s="271">
        <f t="shared" si="64"/>
        <v>0</v>
      </c>
      <c r="N298" s="272">
        <f t="shared" si="64"/>
        <v>90.909090909090907</v>
      </c>
      <c r="O298" s="86"/>
      <c r="R298" s="271"/>
      <c r="S298" s="271"/>
      <c r="T298" s="271"/>
      <c r="U298" s="271"/>
      <c r="V298" s="271"/>
      <c r="W298" s="271"/>
      <c r="X298" s="271"/>
      <c r="Y298" s="271"/>
      <c r="Z298" s="271"/>
      <c r="AA298" s="271"/>
      <c r="AB298" s="271"/>
      <c r="AC298" s="271"/>
    </row>
    <row r="299" spans="1:29" outlineLevel="1" x14ac:dyDescent="0.2">
      <c r="A299" s="39"/>
      <c r="B299" s="36"/>
      <c r="C299" s="38" t="s">
        <v>644</v>
      </c>
      <c r="D299" s="312" t="str">
        <f t="shared" si="58"/>
        <v>gas_t8</v>
      </c>
      <c r="E299" s="428" t="str">
        <f t="shared" si="59"/>
        <v>gas_t8</v>
      </c>
      <c r="F299" s="428" t="str">
        <f t="shared" si="60"/>
        <v>gas_t8</v>
      </c>
      <c r="G299" s="428" t="str">
        <f t="shared" si="61"/>
        <v>gas_t8</v>
      </c>
      <c r="H299" s="406" t="str">
        <f t="shared" si="62"/>
        <v>gas_t8</v>
      </c>
      <c r="I299" s="62" t="str">
        <f t="shared" si="30"/>
        <v>kWh</v>
      </c>
      <c r="J299" s="249">
        <f t="shared" si="63"/>
        <v>109.09090909090909</v>
      </c>
      <c r="K299" s="270">
        <f t="shared" si="64"/>
        <v>0</v>
      </c>
      <c r="L299" s="271">
        <f t="shared" si="64"/>
        <v>1212.121212121212</v>
      </c>
      <c r="M299" s="271">
        <f t="shared" si="64"/>
        <v>0</v>
      </c>
      <c r="N299" s="272">
        <f t="shared" si="64"/>
        <v>109.09090909090909</v>
      </c>
      <c r="O299" s="86"/>
      <c r="R299" s="271"/>
      <c r="S299" s="271"/>
      <c r="T299" s="271"/>
      <c r="U299" s="271"/>
      <c r="V299" s="271"/>
      <c r="W299" s="271"/>
      <c r="X299" s="271"/>
      <c r="Y299" s="271"/>
      <c r="Z299" s="271"/>
      <c r="AA299" s="271"/>
      <c r="AB299" s="271"/>
      <c r="AC299" s="271"/>
    </row>
    <row r="300" spans="1:29" outlineLevel="1" x14ac:dyDescent="0.2">
      <c r="A300" s="39"/>
      <c r="B300" s="36"/>
      <c r="C300" s="38" t="s">
        <v>645</v>
      </c>
      <c r="D300" s="312" t="str">
        <f t="shared" si="58"/>
        <v>gas_t9</v>
      </c>
      <c r="E300" s="428" t="str">
        <f t="shared" si="59"/>
        <v>gas_t9</v>
      </c>
      <c r="F300" s="428" t="str">
        <f t="shared" si="60"/>
        <v>gas_t9</v>
      </c>
      <c r="G300" s="428" t="str">
        <f t="shared" si="61"/>
        <v>gas_t9</v>
      </c>
      <c r="H300" s="406" t="str">
        <f t="shared" si="62"/>
        <v>gas_t9</v>
      </c>
      <c r="I300" s="62" t="str">
        <f t="shared" si="30"/>
        <v>kWh</v>
      </c>
      <c r="J300" s="249">
        <f t="shared" si="63"/>
        <v>181.81818181818181</v>
      </c>
      <c r="K300" s="270">
        <f t="shared" si="64"/>
        <v>90.909090909090907</v>
      </c>
      <c r="L300" s="271">
        <f t="shared" si="64"/>
        <v>1212.121212121212</v>
      </c>
      <c r="M300" s="271">
        <f t="shared" si="64"/>
        <v>0</v>
      </c>
      <c r="N300" s="272">
        <f t="shared" si="64"/>
        <v>181.81818181818181</v>
      </c>
      <c r="O300" s="86"/>
      <c r="R300" s="271"/>
      <c r="S300" s="271"/>
      <c r="T300" s="271"/>
      <c r="U300" s="271"/>
      <c r="V300" s="271"/>
      <c r="W300" s="271"/>
      <c r="X300" s="271"/>
      <c r="Y300" s="271"/>
      <c r="Z300" s="271"/>
      <c r="AA300" s="271"/>
      <c r="AB300" s="271"/>
      <c r="AC300" s="271"/>
    </row>
    <row r="301" spans="1:29" outlineLevel="1" x14ac:dyDescent="0.2">
      <c r="A301" s="39"/>
      <c r="B301" s="36"/>
      <c r="C301" s="38" t="s">
        <v>646</v>
      </c>
      <c r="D301" s="312" t="str">
        <f t="shared" si="58"/>
        <v>gas_t10</v>
      </c>
      <c r="E301" s="428" t="str">
        <f t="shared" si="59"/>
        <v>gas_t10</v>
      </c>
      <c r="F301" s="428" t="str">
        <f t="shared" si="60"/>
        <v>gas_t10</v>
      </c>
      <c r="G301" s="428" t="str">
        <f t="shared" si="61"/>
        <v>gas_t10</v>
      </c>
      <c r="H301" s="406" t="str">
        <f t="shared" si="62"/>
        <v>gas_t10</v>
      </c>
      <c r="I301" s="62" t="str">
        <f t="shared" si="30"/>
        <v>kWh</v>
      </c>
      <c r="J301" s="249">
        <f t="shared" si="63"/>
        <v>181.81818181818181</v>
      </c>
      <c r="K301" s="270">
        <f t="shared" si="64"/>
        <v>90.909090909090907</v>
      </c>
      <c r="L301" s="271">
        <f t="shared" si="64"/>
        <v>1818.1818181818182</v>
      </c>
      <c r="M301" s="271">
        <f t="shared" si="64"/>
        <v>181.81818181818181</v>
      </c>
      <c r="N301" s="272">
        <f t="shared" si="64"/>
        <v>181.81818181818181</v>
      </c>
      <c r="O301" s="86"/>
      <c r="R301" s="271"/>
      <c r="S301" s="271"/>
      <c r="T301" s="271"/>
      <c r="U301" s="271"/>
      <c r="V301" s="271"/>
      <c r="W301" s="271"/>
      <c r="X301" s="271"/>
      <c r="Y301" s="271"/>
      <c r="Z301" s="271"/>
      <c r="AA301" s="271"/>
      <c r="AB301" s="271"/>
      <c r="AC301" s="271"/>
    </row>
    <row r="302" spans="1:29" outlineLevel="1" x14ac:dyDescent="0.2">
      <c r="A302" s="39"/>
      <c r="B302" s="36"/>
      <c r="C302" s="38" t="s">
        <v>647</v>
      </c>
      <c r="D302" s="312" t="str">
        <f t="shared" si="58"/>
        <v>gas_t11</v>
      </c>
      <c r="E302" s="428" t="str">
        <f t="shared" si="59"/>
        <v>gas_t11</v>
      </c>
      <c r="F302" s="428" t="str">
        <f t="shared" si="60"/>
        <v>gas_t11</v>
      </c>
      <c r="G302" s="428" t="str">
        <f t="shared" si="61"/>
        <v>gas_t11</v>
      </c>
      <c r="H302" s="406" t="str">
        <f t="shared" si="62"/>
        <v>gas_t11</v>
      </c>
      <c r="I302" s="62" t="str">
        <f t="shared" si="30"/>
        <v>kWh</v>
      </c>
      <c r="J302" s="249">
        <f t="shared" si="63"/>
        <v>181.81818181818181</v>
      </c>
      <c r="K302" s="270">
        <f t="shared" si="64"/>
        <v>90.909090909090907</v>
      </c>
      <c r="L302" s="271">
        <f t="shared" si="64"/>
        <v>1818.1818181818182</v>
      </c>
      <c r="M302" s="271">
        <f t="shared" si="64"/>
        <v>181.81818181818181</v>
      </c>
      <c r="N302" s="272">
        <f t="shared" si="64"/>
        <v>181.81818181818181</v>
      </c>
      <c r="O302" s="86"/>
      <c r="R302" s="271"/>
      <c r="S302" s="271"/>
      <c r="T302" s="271"/>
      <c r="U302" s="271"/>
      <c r="V302" s="271"/>
      <c r="W302" s="271"/>
      <c r="X302" s="271"/>
      <c r="Y302" s="271"/>
      <c r="Z302" s="271"/>
      <c r="AA302" s="271"/>
      <c r="AB302" s="271"/>
      <c r="AC302" s="271"/>
    </row>
    <row r="303" spans="1:29" outlineLevel="1" x14ac:dyDescent="0.2">
      <c r="A303" s="39"/>
      <c r="B303" s="36"/>
      <c r="C303" s="38" t="s">
        <v>648</v>
      </c>
      <c r="D303" s="312" t="str">
        <f t="shared" si="58"/>
        <v>gas_t12</v>
      </c>
      <c r="E303" s="428" t="str">
        <f t="shared" si="59"/>
        <v>gas_t12</v>
      </c>
      <c r="F303" s="428" t="str">
        <f t="shared" si="60"/>
        <v>gas_t12</v>
      </c>
      <c r="G303" s="428" t="str">
        <f t="shared" si="61"/>
        <v>gas_t12</v>
      </c>
      <c r="H303" s="406" t="str">
        <f t="shared" si="62"/>
        <v>gas_t12</v>
      </c>
      <c r="I303" s="62" t="str">
        <f t="shared" si="30"/>
        <v>kWh</v>
      </c>
      <c r="J303" s="252">
        <f t="shared" si="63"/>
        <v>181.81818181818181</v>
      </c>
      <c r="K303" s="270">
        <f t="shared" si="64"/>
        <v>90.909090909090907</v>
      </c>
      <c r="L303" s="271">
        <f t="shared" si="64"/>
        <v>1818.1818181818182</v>
      </c>
      <c r="M303" s="271">
        <f t="shared" si="64"/>
        <v>181.81818181818181</v>
      </c>
      <c r="N303" s="272">
        <f t="shared" si="64"/>
        <v>181.81818181818181</v>
      </c>
      <c r="O303" s="86"/>
      <c r="R303" s="271"/>
      <c r="S303" s="271"/>
      <c r="T303" s="271"/>
      <c r="U303" s="271"/>
      <c r="V303" s="271"/>
      <c r="W303" s="271"/>
      <c r="X303" s="271"/>
      <c r="Y303" s="271"/>
      <c r="Z303" s="271"/>
      <c r="AA303" s="271"/>
      <c r="AB303" s="271"/>
      <c r="AC303" s="271"/>
    </row>
    <row r="304" spans="1:29" ht="19.5" customHeight="1" x14ac:dyDescent="0.2">
      <c r="A304" s="39"/>
      <c r="B304" s="36" t="str">
        <f>"    "&amp;INDEX(Language!D211:M211,1,_language)</f>
        <v xml:space="preserve">    Cogenerator electric output</v>
      </c>
      <c r="C304" s="38" t="s">
        <v>649</v>
      </c>
      <c r="D304" s="152" t="str">
        <f t="shared" si="58"/>
        <v>el_CHP_y</v>
      </c>
      <c r="E304" s="425" t="s">
        <v>951</v>
      </c>
      <c r="F304" s="425" t="s">
        <v>951</v>
      </c>
      <c r="G304" s="425" t="s">
        <v>951</v>
      </c>
      <c r="H304" s="400" t="s">
        <v>951</v>
      </c>
      <c r="I304" s="62" t="str">
        <f t="shared" si="30"/>
        <v>kWh</v>
      </c>
      <c r="J304" s="307">
        <f>SUM(J305:J316)</f>
        <v>642.72727272727275</v>
      </c>
      <c r="K304" s="270">
        <f>SUM(K305:K316)</f>
        <v>254.54545454545453</v>
      </c>
      <c r="L304" s="271">
        <f>SUM(L305:L316)</f>
        <v>6575.7575757575742</v>
      </c>
      <c r="M304" s="271">
        <f>SUM(M305:M316)</f>
        <v>445.45454545454544</v>
      </c>
      <c r="N304" s="272">
        <f>SUM(N305:N316)</f>
        <v>642.72727272727275</v>
      </c>
      <c r="O304" s="1079" t="s">
        <v>1762</v>
      </c>
      <c r="P304" s="1356" t="s">
        <v>1809</v>
      </c>
      <c r="R304" s="271"/>
      <c r="S304" s="271"/>
      <c r="T304" s="271"/>
      <c r="U304" s="271"/>
      <c r="V304" s="271"/>
      <c r="W304" s="271"/>
      <c r="X304" s="271"/>
      <c r="Y304" s="271"/>
      <c r="Z304" s="271"/>
      <c r="AA304" s="271"/>
      <c r="AB304" s="271"/>
      <c r="AC304" s="271"/>
    </row>
    <row r="305" spans="1:29" outlineLevel="1" x14ac:dyDescent="0.2">
      <c r="A305" s="39"/>
      <c r="B305" s="36"/>
      <c r="C305" s="38" t="s">
        <v>650</v>
      </c>
      <c r="D305" s="152" t="str">
        <f t="shared" si="58"/>
        <v>el_CHP_t1</v>
      </c>
      <c r="E305" s="425" t="s">
        <v>952</v>
      </c>
      <c r="F305" s="425" t="s">
        <v>952</v>
      </c>
      <c r="G305" s="425" t="s">
        <v>952</v>
      </c>
      <c r="H305" s="400" t="s">
        <v>952</v>
      </c>
      <c r="I305" s="62" t="str">
        <f t="shared" si="30"/>
        <v>kWh</v>
      </c>
      <c r="J305" s="249">
        <f t="shared" ref="J305:J317" si="65">INDEX(K305:N305,,_case_en)</f>
        <v>63.636363636363633</v>
      </c>
      <c r="K305" s="270">
        <f t="shared" ref="K305:N316" si="66">+K292*K$270/100</f>
        <v>31.818181818181817</v>
      </c>
      <c r="L305" s="271">
        <f t="shared" si="66"/>
        <v>636.36363636363637</v>
      </c>
      <c r="M305" s="271">
        <f t="shared" si="66"/>
        <v>63.636363636363633</v>
      </c>
      <c r="N305" s="272">
        <f t="shared" si="66"/>
        <v>63.636363636363633</v>
      </c>
      <c r="O305" s="86"/>
      <c r="P305" s="1356" t="s">
        <v>1550</v>
      </c>
      <c r="R305" s="271"/>
      <c r="S305" s="271"/>
      <c r="T305" s="271"/>
      <c r="U305" s="271"/>
      <c r="V305" s="271"/>
      <c r="W305" s="271"/>
      <c r="X305" s="271"/>
      <c r="Y305" s="271"/>
      <c r="Z305" s="271"/>
      <c r="AA305" s="271"/>
      <c r="AB305" s="271"/>
      <c r="AC305" s="271"/>
    </row>
    <row r="306" spans="1:29" outlineLevel="1" x14ac:dyDescent="0.2">
      <c r="A306" s="39"/>
      <c r="B306" s="36"/>
      <c r="C306" s="38" t="s">
        <v>651</v>
      </c>
      <c r="D306" s="152" t="str">
        <f t="shared" si="58"/>
        <v>el_CHP_t2</v>
      </c>
      <c r="E306" s="425" t="s">
        <v>953</v>
      </c>
      <c r="F306" s="425" t="s">
        <v>953</v>
      </c>
      <c r="G306" s="425" t="s">
        <v>953</v>
      </c>
      <c r="H306" s="400" t="s">
        <v>953</v>
      </c>
      <c r="I306" s="62" t="str">
        <f t="shared" si="30"/>
        <v>kWh</v>
      </c>
      <c r="J306" s="249">
        <f t="shared" si="65"/>
        <v>63.636363636363633</v>
      </c>
      <c r="K306" s="270">
        <f t="shared" si="66"/>
        <v>31.818181818181817</v>
      </c>
      <c r="L306" s="271">
        <f t="shared" si="66"/>
        <v>636.36363636363637</v>
      </c>
      <c r="M306" s="271">
        <f t="shared" si="66"/>
        <v>63.636363636363633</v>
      </c>
      <c r="N306" s="272">
        <f t="shared" si="66"/>
        <v>63.636363636363633</v>
      </c>
      <c r="O306" s="86"/>
      <c r="R306" s="271"/>
      <c r="S306" s="271"/>
      <c r="T306" s="271"/>
      <c r="U306" s="271"/>
      <c r="V306" s="271"/>
      <c r="W306" s="271"/>
      <c r="X306" s="271"/>
      <c r="Y306" s="271"/>
      <c r="Z306" s="271"/>
      <c r="AA306" s="271"/>
      <c r="AB306" s="271"/>
      <c r="AC306" s="271"/>
    </row>
    <row r="307" spans="1:29" outlineLevel="1" x14ac:dyDescent="0.2">
      <c r="A307" s="39"/>
      <c r="B307" s="36"/>
      <c r="C307" s="38" t="s">
        <v>652</v>
      </c>
      <c r="D307" s="152" t="str">
        <f t="shared" si="58"/>
        <v>el_CHP_t3</v>
      </c>
      <c r="E307" s="425" t="s">
        <v>954</v>
      </c>
      <c r="F307" s="425" t="s">
        <v>954</v>
      </c>
      <c r="G307" s="425" t="s">
        <v>954</v>
      </c>
      <c r="H307" s="400" t="s">
        <v>954</v>
      </c>
      <c r="I307" s="62" t="str">
        <f t="shared" ref="I307:I318" si="67">+_En_unit</f>
        <v>kWh</v>
      </c>
      <c r="J307" s="249">
        <f t="shared" si="65"/>
        <v>63.636363636363633</v>
      </c>
      <c r="K307" s="270">
        <f t="shared" si="66"/>
        <v>31.818181818181817</v>
      </c>
      <c r="L307" s="271">
        <f t="shared" si="66"/>
        <v>636.36363636363637</v>
      </c>
      <c r="M307" s="271">
        <f t="shared" si="66"/>
        <v>63.636363636363633</v>
      </c>
      <c r="N307" s="272">
        <f t="shared" si="66"/>
        <v>63.636363636363633</v>
      </c>
      <c r="O307" s="86"/>
      <c r="R307" s="271"/>
      <c r="S307" s="271"/>
      <c r="T307" s="271"/>
      <c r="U307" s="271"/>
      <c r="V307" s="271"/>
      <c r="W307" s="271"/>
      <c r="X307" s="271"/>
      <c r="Y307" s="271"/>
      <c r="Z307" s="271"/>
      <c r="AA307" s="271"/>
      <c r="AB307" s="271"/>
      <c r="AC307" s="271"/>
    </row>
    <row r="308" spans="1:29" outlineLevel="1" x14ac:dyDescent="0.2">
      <c r="A308" s="39"/>
      <c r="B308" s="36"/>
      <c r="C308" s="38" t="s">
        <v>653</v>
      </c>
      <c r="D308" s="152" t="str">
        <f t="shared" si="58"/>
        <v>el_CHP_t4</v>
      </c>
      <c r="E308" s="425" t="s">
        <v>955</v>
      </c>
      <c r="F308" s="425" t="s">
        <v>955</v>
      </c>
      <c r="G308" s="425" t="s">
        <v>955</v>
      </c>
      <c r="H308" s="400" t="s">
        <v>955</v>
      </c>
      <c r="I308" s="62" t="str">
        <f t="shared" si="67"/>
        <v>kWh</v>
      </c>
      <c r="J308" s="249">
        <f t="shared" si="65"/>
        <v>63.636363636363633</v>
      </c>
      <c r="K308" s="270">
        <f t="shared" si="66"/>
        <v>31.818181818181817</v>
      </c>
      <c r="L308" s="271">
        <f t="shared" si="66"/>
        <v>636.36363636363637</v>
      </c>
      <c r="M308" s="271">
        <f t="shared" si="66"/>
        <v>63.636363636363633</v>
      </c>
      <c r="N308" s="272">
        <f t="shared" si="66"/>
        <v>63.636363636363633</v>
      </c>
      <c r="O308" s="86"/>
      <c r="R308" s="271"/>
      <c r="S308" s="271"/>
      <c r="T308" s="271"/>
      <c r="U308" s="271"/>
      <c r="V308" s="271"/>
      <c r="W308" s="271"/>
      <c r="X308" s="271"/>
      <c r="Y308" s="271"/>
      <c r="Z308" s="271"/>
      <c r="AA308" s="271"/>
      <c r="AB308" s="271"/>
      <c r="AC308" s="271"/>
    </row>
    <row r="309" spans="1:29" outlineLevel="1" x14ac:dyDescent="0.2">
      <c r="A309" s="39"/>
      <c r="B309" s="36"/>
      <c r="C309" s="38" t="s">
        <v>654</v>
      </c>
      <c r="D309" s="152" t="str">
        <f t="shared" si="58"/>
        <v>el_CHP_t5</v>
      </c>
      <c r="E309" s="425" t="s">
        <v>956</v>
      </c>
      <c r="F309" s="425" t="s">
        <v>956</v>
      </c>
      <c r="G309" s="425" t="s">
        <v>956</v>
      </c>
      <c r="H309" s="400" t="s">
        <v>956</v>
      </c>
      <c r="I309" s="62" t="str">
        <f t="shared" si="67"/>
        <v>kWh</v>
      </c>
      <c r="J309" s="249">
        <f t="shared" si="65"/>
        <v>38.181818181818187</v>
      </c>
      <c r="K309" s="270">
        <f t="shared" si="66"/>
        <v>0</v>
      </c>
      <c r="L309" s="271">
        <f t="shared" si="66"/>
        <v>424.24242424242419</v>
      </c>
      <c r="M309" s="271">
        <f t="shared" si="66"/>
        <v>0</v>
      </c>
      <c r="N309" s="272">
        <f t="shared" si="66"/>
        <v>38.181818181818187</v>
      </c>
      <c r="O309" s="86"/>
      <c r="R309" s="271"/>
      <c r="S309" s="271"/>
      <c r="T309" s="271"/>
      <c r="U309" s="271"/>
      <c r="V309" s="271"/>
      <c r="W309" s="271"/>
      <c r="X309" s="271"/>
      <c r="Y309" s="271"/>
      <c r="Z309" s="271"/>
      <c r="AA309" s="271"/>
      <c r="AB309" s="271"/>
      <c r="AC309" s="271"/>
    </row>
    <row r="310" spans="1:29" outlineLevel="1" x14ac:dyDescent="0.2">
      <c r="A310" s="39"/>
      <c r="B310" s="36"/>
      <c r="C310" s="38" t="s">
        <v>655</v>
      </c>
      <c r="D310" s="152" t="str">
        <f t="shared" si="58"/>
        <v>el_CHP_t6</v>
      </c>
      <c r="E310" s="425" t="s">
        <v>957</v>
      </c>
      <c r="F310" s="425" t="s">
        <v>957</v>
      </c>
      <c r="G310" s="425" t="s">
        <v>957</v>
      </c>
      <c r="H310" s="400" t="s">
        <v>957</v>
      </c>
      <c r="I310" s="62" t="str">
        <f t="shared" si="67"/>
        <v>kWh</v>
      </c>
      <c r="J310" s="249">
        <f t="shared" si="65"/>
        <v>25.454545454545453</v>
      </c>
      <c r="K310" s="270">
        <f t="shared" si="66"/>
        <v>0</v>
      </c>
      <c r="L310" s="271">
        <f t="shared" si="66"/>
        <v>424.24242424242419</v>
      </c>
      <c r="M310" s="271">
        <f t="shared" si="66"/>
        <v>0</v>
      </c>
      <c r="N310" s="272">
        <f t="shared" si="66"/>
        <v>25.454545454545453</v>
      </c>
      <c r="O310" s="86"/>
      <c r="R310" s="271"/>
      <c r="S310" s="271"/>
      <c r="T310" s="271"/>
      <c r="U310" s="271"/>
      <c r="V310" s="271"/>
      <c r="W310" s="271"/>
      <c r="X310" s="271"/>
      <c r="Y310" s="271"/>
      <c r="Z310" s="271"/>
      <c r="AA310" s="271"/>
      <c r="AB310" s="271"/>
      <c r="AC310" s="271"/>
    </row>
    <row r="311" spans="1:29" outlineLevel="1" x14ac:dyDescent="0.2">
      <c r="A311" s="39"/>
      <c r="B311" s="36"/>
      <c r="C311" s="38" t="s">
        <v>656</v>
      </c>
      <c r="D311" s="152" t="str">
        <f t="shared" si="58"/>
        <v>el_CHP_t7</v>
      </c>
      <c r="E311" s="425" t="s">
        <v>958</v>
      </c>
      <c r="F311" s="425" t="s">
        <v>958</v>
      </c>
      <c r="G311" s="425" t="s">
        <v>958</v>
      </c>
      <c r="H311" s="400" t="s">
        <v>958</v>
      </c>
      <c r="I311" s="62" t="str">
        <f t="shared" si="67"/>
        <v>kWh</v>
      </c>
      <c r="J311" s="249">
        <f t="shared" si="65"/>
        <v>31.818181818181817</v>
      </c>
      <c r="K311" s="270">
        <f t="shared" si="66"/>
        <v>0</v>
      </c>
      <c r="L311" s="271">
        <f t="shared" si="66"/>
        <v>424.24242424242419</v>
      </c>
      <c r="M311" s="271">
        <f t="shared" si="66"/>
        <v>0</v>
      </c>
      <c r="N311" s="272">
        <f t="shared" si="66"/>
        <v>31.818181818181817</v>
      </c>
      <c r="O311" s="86"/>
      <c r="R311" s="271"/>
      <c r="S311" s="271"/>
      <c r="T311" s="271"/>
      <c r="U311" s="271"/>
      <c r="V311" s="271"/>
      <c r="W311" s="271"/>
      <c r="X311" s="271"/>
      <c r="Y311" s="271"/>
      <c r="Z311" s="271"/>
      <c r="AA311" s="271"/>
      <c r="AB311" s="271"/>
      <c r="AC311" s="271"/>
    </row>
    <row r="312" spans="1:29" outlineLevel="1" x14ac:dyDescent="0.2">
      <c r="A312" s="39"/>
      <c r="B312" s="36"/>
      <c r="C312" s="38" t="s">
        <v>657</v>
      </c>
      <c r="D312" s="152" t="str">
        <f t="shared" si="58"/>
        <v>el_CHP_t8</v>
      </c>
      <c r="E312" s="425" t="s">
        <v>959</v>
      </c>
      <c r="F312" s="425" t="s">
        <v>959</v>
      </c>
      <c r="G312" s="425" t="s">
        <v>959</v>
      </c>
      <c r="H312" s="400" t="s">
        <v>959</v>
      </c>
      <c r="I312" s="62" t="str">
        <f t="shared" si="67"/>
        <v>kWh</v>
      </c>
      <c r="J312" s="249">
        <f t="shared" si="65"/>
        <v>38.181818181818187</v>
      </c>
      <c r="K312" s="270">
        <f t="shared" si="66"/>
        <v>0</v>
      </c>
      <c r="L312" s="271">
        <f t="shared" si="66"/>
        <v>424.24242424242419</v>
      </c>
      <c r="M312" s="271">
        <f t="shared" si="66"/>
        <v>0</v>
      </c>
      <c r="N312" s="272">
        <f t="shared" si="66"/>
        <v>38.181818181818187</v>
      </c>
      <c r="O312" s="86"/>
      <c r="R312" s="271"/>
      <c r="S312" s="271"/>
      <c r="T312" s="271"/>
      <c r="U312" s="271"/>
      <c r="V312" s="271"/>
      <c r="W312" s="271"/>
      <c r="X312" s="271"/>
      <c r="Y312" s="271"/>
      <c r="Z312" s="271"/>
      <c r="AA312" s="271"/>
      <c r="AB312" s="271"/>
      <c r="AC312" s="271"/>
    </row>
    <row r="313" spans="1:29" outlineLevel="1" x14ac:dyDescent="0.2">
      <c r="A313" s="39"/>
      <c r="B313" s="36"/>
      <c r="C313" s="38" t="s">
        <v>658</v>
      </c>
      <c r="D313" s="152" t="str">
        <f t="shared" si="58"/>
        <v>el_CHP_t9</v>
      </c>
      <c r="E313" s="425" t="s">
        <v>960</v>
      </c>
      <c r="F313" s="425" t="s">
        <v>960</v>
      </c>
      <c r="G313" s="425" t="s">
        <v>960</v>
      </c>
      <c r="H313" s="400" t="s">
        <v>960</v>
      </c>
      <c r="I313" s="62" t="str">
        <f t="shared" si="67"/>
        <v>kWh</v>
      </c>
      <c r="J313" s="249">
        <f t="shared" si="65"/>
        <v>63.636363636363633</v>
      </c>
      <c r="K313" s="270">
        <f t="shared" si="66"/>
        <v>31.818181818181817</v>
      </c>
      <c r="L313" s="271">
        <f t="shared" si="66"/>
        <v>424.24242424242419</v>
      </c>
      <c r="M313" s="271">
        <f t="shared" si="66"/>
        <v>0</v>
      </c>
      <c r="N313" s="272">
        <f t="shared" si="66"/>
        <v>63.636363636363633</v>
      </c>
      <c r="O313" s="86"/>
      <c r="R313" s="271"/>
      <c r="S313" s="271"/>
      <c r="T313" s="271"/>
      <c r="U313" s="271"/>
      <c r="V313" s="271"/>
      <c r="W313" s="271"/>
      <c r="X313" s="271"/>
      <c r="Y313" s="271"/>
      <c r="Z313" s="271"/>
      <c r="AA313" s="271"/>
      <c r="AB313" s="271"/>
      <c r="AC313" s="271"/>
    </row>
    <row r="314" spans="1:29" outlineLevel="1" x14ac:dyDescent="0.2">
      <c r="A314" s="39"/>
      <c r="B314" s="36"/>
      <c r="C314" s="38" t="s">
        <v>659</v>
      </c>
      <c r="D314" s="152" t="str">
        <f t="shared" si="58"/>
        <v>el_CHP_t10</v>
      </c>
      <c r="E314" s="425" t="s">
        <v>961</v>
      </c>
      <c r="F314" s="425" t="s">
        <v>961</v>
      </c>
      <c r="G314" s="425" t="s">
        <v>961</v>
      </c>
      <c r="H314" s="400" t="s">
        <v>961</v>
      </c>
      <c r="I314" s="62" t="str">
        <f t="shared" si="67"/>
        <v>kWh</v>
      </c>
      <c r="J314" s="249">
        <f t="shared" si="65"/>
        <v>63.636363636363633</v>
      </c>
      <c r="K314" s="270">
        <f t="shared" si="66"/>
        <v>31.818181818181817</v>
      </c>
      <c r="L314" s="271">
        <f t="shared" si="66"/>
        <v>636.36363636363637</v>
      </c>
      <c r="M314" s="271">
        <f t="shared" si="66"/>
        <v>63.636363636363633</v>
      </c>
      <c r="N314" s="272">
        <f t="shared" si="66"/>
        <v>63.636363636363633</v>
      </c>
      <c r="O314" s="86"/>
      <c r="R314" s="271"/>
      <c r="S314" s="271"/>
      <c r="T314" s="271"/>
      <c r="U314" s="271"/>
      <c r="V314" s="271"/>
      <c r="W314" s="271"/>
      <c r="X314" s="271"/>
      <c r="Y314" s="271"/>
      <c r="Z314" s="271"/>
      <c r="AA314" s="271"/>
      <c r="AB314" s="271"/>
      <c r="AC314" s="271"/>
    </row>
    <row r="315" spans="1:29" outlineLevel="1" x14ac:dyDescent="0.2">
      <c r="A315" s="39"/>
      <c r="B315" s="36"/>
      <c r="C315" s="38" t="s">
        <v>660</v>
      </c>
      <c r="D315" s="152" t="str">
        <f t="shared" si="58"/>
        <v>el_CHP_t11</v>
      </c>
      <c r="E315" s="425" t="s">
        <v>962</v>
      </c>
      <c r="F315" s="425" t="s">
        <v>962</v>
      </c>
      <c r="G315" s="425" t="s">
        <v>962</v>
      </c>
      <c r="H315" s="400" t="s">
        <v>962</v>
      </c>
      <c r="I315" s="62" t="str">
        <f t="shared" si="67"/>
        <v>kWh</v>
      </c>
      <c r="J315" s="249">
        <f t="shared" si="65"/>
        <v>63.636363636363633</v>
      </c>
      <c r="K315" s="270">
        <f t="shared" si="66"/>
        <v>31.818181818181817</v>
      </c>
      <c r="L315" s="271">
        <f t="shared" si="66"/>
        <v>636.36363636363637</v>
      </c>
      <c r="M315" s="271">
        <f t="shared" si="66"/>
        <v>63.636363636363633</v>
      </c>
      <c r="N315" s="272">
        <f t="shared" si="66"/>
        <v>63.636363636363633</v>
      </c>
      <c r="O315" s="86"/>
      <c r="R315" s="271"/>
      <c r="S315" s="271"/>
      <c r="T315" s="271"/>
      <c r="U315" s="271"/>
      <c r="V315" s="271"/>
      <c r="W315" s="271"/>
      <c r="X315" s="271"/>
      <c r="Y315" s="271"/>
      <c r="Z315" s="271"/>
      <c r="AA315" s="271"/>
      <c r="AB315" s="271"/>
      <c r="AC315" s="271"/>
    </row>
    <row r="316" spans="1:29" ht="13.5" outlineLevel="1" thickBot="1" x14ac:dyDescent="0.25">
      <c r="A316" s="39"/>
      <c r="B316" s="263"/>
      <c r="C316" s="264" t="s">
        <v>661</v>
      </c>
      <c r="D316" s="152" t="str">
        <f t="shared" si="58"/>
        <v>el_CHP_t12</v>
      </c>
      <c r="E316" s="426" t="s">
        <v>963</v>
      </c>
      <c r="F316" s="426" t="s">
        <v>963</v>
      </c>
      <c r="G316" s="426" t="s">
        <v>963</v>
      </c>
      <c r="H316" s="401" t="s">
        <v>963</v>
      </c>
      <c r="I316" s="223" t="str">
        <f t="shared" si="67"/>
        <v>kWh</v>
      </c>
      <c r="J316" s="250">
        <f t="shared" si="65"/>
        <v>63.636363636363633</v>
      </c>
      <c r="K316" s="277">
        <f t="shared" si="66"/>
        <v>31.818181818181817</v>
      </c>
      <c r="L316" s="278">
        <f t="shared" si="66"/>
        <v>636.36363636363637</v>
      </c>
      <c r="M316" s="278">
        <f t="shared" si="66"/>
        <v>63.636363636363633</v>
      </c>
      <c r="N316" s="279">
        <f t="shared" si="66"/>
        <v>63.636363636363633</v>
      </c>
      <c r="O316" s="86"/>
      <c r="R316" s="278"/>
      <c r="S316" s="278"/>
      <c r="T316" s="278"/>
      <c r="U316" s="278"/>
      <c r="V316" s="278"/>
      <c r="W316" s="278"/>
      <c r="X316" s="278"/>
      <c r="Y316" s="278"/>
      <c r="Z316" s="278"/>
      <c r="AA316" s="278"/>
      <c r="AB316" s="278"/>
      <c r="AC316" s="278"/>
    </row>
    <row r="317" spans="1:29" ht="19.5" customHeight="1" thickBot="1" x14ac:dyDescent="0.25">
      <c r="A317" s="39"/>
      <c r="B317" s="36" t="s">
        <v>1459</v>
      </c>
      <c r="C317" s="38" t="s">
        <v>1460</v>
      </c>
      <c r="D317" s="152" t="str">
        <f t="shared" si="58"/>
        <v>el_CHP_y</v>
      </c>
      <c r="E317" s="425" t="s">
        <v>951</v>
      </c>
      <c r="F317" s="425" t="s">
        <v>951</v>
      </c>
      <c r="G317" s="425" t="s">
        <v>951</v>
      </c>
      <c r="H317" s="400" t="s">
        <v>951</v>
      </c>
      <c r="I317" s="62"/>
      <c r="J317" s="307" t="str">
        <f t="shared" si="65"/>
        <v>EN</v>
      </c>
      <c r="K317" s="270">
        <f>SUM(K643:K645)</f>
        <v>0</v>
      </c>
      <c r="L317" s="271">
        <f>SUM(L643:L645)</f>
        <v>0</v>
      </c>
      <c r="M317" s="271">
        <f>SUM(M643:M645)</f>
        <v>0</v>
      </c>
      <c r="N317" s="272" t="str">
        <f>INDEX(R317:AC317,1,N$16)</f>
        <v>EN</v>
      </c>
      <c r="O317" s="1079" t="s">
        <v>1762</v>
      </c>
      <c r="P317" s="1356" t="s">
        <v>1809</v>
      </c>
      <c r="R317" s="178" t="s">
        <v>1461</v>
      </c>
      <c r="S317" s="178" t="s">
        <v>1461</v>
      </c>
      <c r="T317" s="178" t="s">
        <v>1461</v>
      </c>
      <c r="U317" s="178" t="s">
        <v>1461</v>
      </c>
      <c r="V317" s="178" t="s">
        <v>1461</v>
      </c>
      <c r="W317" s="178" t="s">
        <v>1461</v>
      </c>
      <c r="X317" s="178" t="s">
        <v>1461</v>
      </c>
      <c r="Y317" s="178" t="s">
        <v>1461</v>
      </c>
      <c r="Z317" s="178" t="s">
        <v>1461</v>
      </c>
      <c r="AA317" s="178" t="s">
        <v>1461</v>
      </c>
      <c r="AB317" s="178" t="s">
        <v>1461</v>
      </c>
      <c r="AC317" s="178" t="s">
        <v>1461</v>
      </c>
    </row>
    <row r="318" spans="1:29" ht="20.25" customHeight="1" x14ac:dyDescent="0.2">
      <c r="A318" s="39"/>
      <c r="B318" s="253" t="str">
        <f>INDEX(Language!D213:M213,1,_language)</f>
        <v>Remaining heat to be generated</v>
      </c>
      <c r="C318" s="254" t="s">
        <v>666</v>
      </c>
      <c r="D318" s="214"/>
      <c r="E318" s="399"/>
      <c r="F318" s="399"/>
      <c r="G318" s="399"/>
      <c r="H318" s="399"/>
      <c r="I318" s="215" t="str">
        <f t="shared" si="67"/>
        <v>kWh</v>
      </c>
      <c r="J318" s="248">
        <f>SUM(J319:J330)</f>
        <v>11129</v>
      </c>
      <c r="K318" s="216">
        <f>SUM(K319:K330)</f>
        <v>14078.333333333332</v>
      </c>
      <c r="L318" s="217">
        <f>SUM(L319:L330)</f>
        <v>8291.6666666666642</v>
      </c>
      <c r="M318" s="217">
        <f>SUM(M319:M330)</f>
        <v>12664.999999999998</v>
      </c>
      <c r="N318" s="218">
        <f>SUM(N319:N330)</f>
        <v>11129</v>
      </c>
      <c r="O318" s="256"/>
      <c r="R318" s="209"/>
      <c r="S318" s="209"/>
      <c r="T318" s="209"/>
      <c r="U318" s="209"/>
      <c r="V318" s="209"/>
      <c r="W318" s="209"/>
      <c r="X318" s="209"/>
      <c r="Y318" s="209"/>
      <c r="Z318" s="209"/>
      <c r="AA318" s="209"/>
      <c r="AB318" s="209"/>
      <c r="AC318" s="209"/>
    </row>
    <row r="319" spans="1:29" outlineLevel="1" x14ac:dyDescent="0.2">
      <c r="A319" s="39"/>
      <c r="B319" s="36"/>
      <c r="C319" s="38" t="s">
        <v>667</v>
      </c>
      <c r="D319" s="152"/>
      <c r="E319" s="400"/>
      <c r="F319" s="400"/>
      <c r="G319" s="400"/>
      <c r="H319" s="400"/>
      <c r="I319" s="62" t="str">
        <f t="shared" ref="I319:I331" si="68">+_En_unit</f>
        <v>kWh</v>
      </c>
      <c r="J319" s="249">
        <f t="shared" ref="J319:J331" si="69">INDEX(K319:N319,,_case_en)</f>
        <v>2590</v>
      </c>
      <c r="K319" s="270">
        <f t="shared" ref="K319:N330" si="70">+K256-K279</f>
        <v>3066.6666666666665</v>
      </c>
      <c r="L319" s="271">
        <f t="shared" si="70"/>
        <v>2166.6666666666665</v>
      </c>
      <c r="M319" s="271">
        <f t="shared" si="70"/>
        <v>2966.6666666666665</v>
      </c>
      <c r="N319" s="272">
        <f t="shared" si="70"/>
        <v>2590</v>
      </c>
      <c r="O319" s="86"/>
      <c r="R319" s="271"/>
      <c r="S319" s="271"/>
      <c r="T319" s="271"/>
      <c r="U319" s="271"/>
      <c r="V319" s="271"/>
      <c r="W319" s="271"/>
      <c r="X319" s="271"/>
      <c r="Y319" s="271"/>
      <c r="Z319" s="271"/>
      <c r="AA319" s="271"/>
      <c r="AB319" s="271"/>
      <c r="AC319" s="271"/>
    </row>
    <row r="320" spans="1:29" outlineLevel="1" x14ac:dyDescent="0.2">
      <c r="A320" s="39"/>
      <c r="B320" s="36"/>
      <c r="C320" s="38" t="s">
        <v>668</v>
      </c>
      <c r="D320" s="152"/>
      <c r="E320" s="400"/>
      <c r="F320" s="400"/>
      <c r="G320" s="400"/>
      <c r="H320" s="400"/>
      <c r="I320" s="62" t="str">
        <f t="shared" si="68"/>
        <v>kWh</v>
      </c>
      <c r="J320" s="249">
        <f t="shared" si="69"/>
        <v>1955</v>
      </c>
      <c r="K320" s="270">
        <f t="shared" si="70"/>
        <v>2391.6666666666665</v>
      </c>
      <c r="L320" s="271">
        <f t="shared" si="70"/>
        <v>1541.6666666666665</v>
      </c>
      <c r="M320" s="271">
        <f t="shared" si="70"/>
        <v>2241.6666666666665</v>
      </c>
      <c r="N320" s="272">
        <f t="shared" si="70"/>
        <v>1955</v>
      </c>
      <c r="O320" s="86"/>
      <c r="R320" s="271"/>
      <c r="S320" s="271"/>
      <c r="T320" s="271"/>
      <c r="U320" s="271"/>
      <c r="V320" s="271"/>
      <c r="W320" s="271"/>
      <c r="X320" s="271"/>
      <c r="Y320" s="271"/>
      <c r="Z320" s="271"/>
      <c r="AA320" s="271"/>
      <c r="AB320" s="271"/>
      <c r="AC320" s="271"/>
    </row>
    <row r="321" spans="1:29" outlineLevel="1" x14ac:dyDescent="0.2">
      <c r="A321" s="39"/>
      <c r="B321" s="36"/>
      <c r="C321" s="38" t="s">
        <v>669</v>
      </c>
      <c r="D321" s="152"/>
      <c r="E321" s="400"/>
      <c r="F321" s="400"/>
      <c r="G321" s="400"/>
      <c r="H321" s="400"/>
      <c r="I321" s="62" t="str">
        <f t="shared" si="68"/>
        <v>kWh</v>
      </c>
      <c r="J321" s="249">
        <f t="shared" si="69"/>
        <v>1310</v>
      </c>
      <c r="K321" s="270">
        <f t="shared" si="70"/>
        <v>1666.6666666666665</v>
      </c>
      <c r="L321" s="271">
        <f t="shared" si="70"/>
        <v>916.66666666666652</v>
      </c>
      <c r="M321" s="271">
        <f t="shared" si="70"/>
        <v>1416.6666666666665</v>
      </c>
      <c r="N321" s="272">
        <f t="shared" si="70"/>
        <v>1310</v>
      </c>
      <c r="O321" s="86"/>
      <c r="R321" s="271"/>
      <c r="S321" s="271"/>
      <c r="T321" s="271"/>
      <c r="U321" s="271"/>
      <c r="V321" s="271"/>
      <c r="W321" s="271"/>
      <c r="X321" s="271"/>
      <c r="Y321" s="271"/>
      <c r="Z321" s="271"/>
      <c r="AA321" s="271"/>
      <c r="AB321" s="271"/>
      <c r="AC321" s="271"/>
    </row>
    <row r="322" spans="1:29" outlineLevel="1" x14ac:dyDescent="0.2">
      <c r="A322" s="39"/>
      <c r="B322" s="36"/>
      <c r="C322" s="38" t="s">
        <v>670</v>
      </c>
      <c r="D322" s="152"/>
      <c r="E322" s="400"/>
      <c r="F322" s="400"/>
      <c r="G322" s="400"/>
      <c r="H322" s="400"/>
      <c r="I322" s="62" t="str">
        <f t="shared" si="68"/>
        <v>kWh</v>
      </c>
      <c r="J322" s="249">
        <f t="shared" si="69"/>
        <v>645</v>
      </c>
      <c r="K322" s="270">
        <f t="shared" si="70"/>
        <v>841.66666666666663</v>
      </c>
      <c r="L322" s="271">
        <f t="shared" si="70"/>
        <v>291.66666666666652</v>
      </c>
      <c r="M322" s="271">
        <f t="shared" si="70"/>
        <v>525</v>
      </c>
      <c r="N322" s="272">
        <f t="shared" si="70"/>
        <v>645</v>
      </c>
      <c r="O322" s="86"/>
      <c r="R322" s="271"/>
      <c r="S322" s="271"/>
      <c r="T322" s="271"/>
      <c r="U322" s="271"/>
      <c r="V322" s="271"/>
      <c r="W322" s="271"/>
      <c r="X322" s="271"/>
      <c r="Y322" s="271"/>
      <c r="Z322" s="271"/>
      <c r="AA322" s="271"/>
      <c r="AB322" s="271"/>
      <c r="AC322" s="271"/>
    </row>
    <row r="323" spans="1:29" outlineLevel="1" x14ac:dyDescent="0.2">
      <c r="A323" s="39"/>
      <c r="B323" s="36"/>
      <c r="C323" s="38" t="s">
        <v>671</v>
      </c>
      <c r="D323" s="152"/>
      <c r="E323" s="400"/>
      <c r="F323" s="400"/>
      <c r="G323" s="400"/>
      <c r="H323" s="400"/>
      <c r="I323" s="62" t="str">
        <f t="shared" si="68"/>
        <v>kWh</v>
      </c>
      <c r="J323" s="249">
        <f t="shared" si="69"/>
        <v>0</v>
      </c>
      <c r="K323" s="270">
        <f t="shared" si="70"/>
        <v>0</v>
      </c>
      <c r="L323" s="271">
        <f t="shared" si="70"/>
        <v>0</v>
      </c>
      <c r="M323" s="271">
        <f t="shared" si="70"/>
        <v>0</v>
      </c>
      <c r="N323" s="272">
        <f t="shared" si="70"/>
        <v>0</v>
      </c>
      <c r="O323" s="86"/>
      <c r="R323" s="271"/>
      <c r="S323" s="271"/>
      <c r="T323" s="271"/>
      <c r="U323" s="271"/>
      <c r="V323" s="271"/>
      <c r="W323" s="271"/>
      <c r="X323" s="271"/>
      <c r="Y323" s="271"/>
      <c r="Z323" s="271"/>
      <c r="AA323" s="271"/>
      <c r="AB323" s="271"/>
      <c r="AC323" s="271"/>
    </row>
    <row r="324" spans="1:29" outlineLevel="1" x14ac:dyDescent="0.2">
      <c r="A324" s="39"/>
      <c r="B324" s="36"/>
      <c r="C324" s="38" t="s">
        <v>672</v>
      </c>
      <c r="D324" s="152"/>
      <c r="E324" s="400"/>
      <c r="F324" s="400"/>
      <c r="G324" s="400"/>
      <c r="H324" s="400"/>
      <c r="I324" s="62" t="str">
        <f t="shared" si="68"/>
        <v>kWh</v>
      </c>
      <c r="J324" s="249">
        <f t="shared" si="69"/>
        <v>0</v>
      </c>
      <c r="K324" s="270">
        <f t="shared" si="70"/>
        <v>0</v>
      </c>
      <c r="L324" s="271">
        <f t="shared" si="70"/>
        <v>0</v>
      </c>
      <c r="M324" s="271">
        <f t="shared" si="70"/>
        <v>0</v>
      </c>
      <c r="N324" s="272">
        <f t="shared" si="70"/>
        <v>0</v>
      </c>
      <c r="O324" s="86"/>
      <c r="R324" s="271"/>
      <c r="S324" s="271"/>
      <c r="T324" s="271"/>
      <c r="U324" s="271"/>
      <c r="V324" s="271"/>
      <c r="W324" s="271"/>
      <c r="X324" s="271"/>
      <c r="Y324" s="271"/>
      <c r="Z324" s="271"/>
      <c r="AA324" s="271"/>
      <c r="AB324" s="271"/>
      <c r="AC324" s="271"/>
    </row>
    <row r="325" spans="1:29" outlineLevel="1" x14ac:dyDescent="0.2">
      <c r="A325" s="39"/>
      <c r="B325" s="36"/>
      <c r="C325" s="38" t="s">
        <v>673</v>
      </c>
      <c r="D325" s="152"/>
      <c r="E325" s="400"/>
      <c r="F325" s="400"/>
      <c r="G325" s="400"/>
      <c r="H325" s="400"/>
      <c r="I325" s="62" t="str">
        <f t="shared" si="68"/>
        <v>kWh</v>
      </c>
      <c r="J325" s="249">
        <f t="shared" si="69"/>
        <v>0</v>
      </c>
      <c r="K325" s="270">
        <f t="shared" si="70"/>
        <v>0</v>
      </c>
      <c r="L325" s="271">
        <f t="shared" si="70"/>
        <v>0</v>
      </c>
      <c r="M325" s="271">
        <f t="shared" si="70"/>
        <v>0</v>
      </c>
      <c r="N325" s="272">
        <f t="shared" si="70"/>
        <v>0</v>
      </c>
      <c r="O325" s="86"/>
      <c r="R325" s="271"/>
      <c r="S325" s="271"/>
      <c r="T325" s="271"/>
      <c r="U325" s="271"/>
      <c r="V325" s="271"/>
      <c r="W325" s="271"/>
      <c r="X325" s="271"/>
      <c r="Y325" s="271"/>
      <c r="Z325" s="271"/>
      <c r="AA325" s="271"/>
      <c r="AB325" s="271"/>
      <c r="AC325" s="271"/>
    </row>
    <row r="326" spans="1:29" outlineLevel="1" x14ac:dyDescent="0.2">
      <c r="A326" s="39"/>
      <c r="B326" s="36"/>
      <c r="C326" s="38" t="s">
        <v>674</v>
      </c>
      <c r="D326" s="152"/>
      <c r="E326" s="400"/>
      <c r="F326" s="400"/>
      <c r="G326" s="400"/>
      <c r="H326" s="400"/>
      <c r="I326" s="62" t="str">
        <f t="shared" si="68"/>
        <v>kWh</v>
      </c>
      <c r="J326" s="249">
        <f t="shared" si="69"/>
        <v>0</v>
      </c>
      <c r="K326" s="270">
        <f t="shared" si="70"/>
        <v>0</v>
      </c>
      <c r="L326" s="271">
        <f t="shared" si="70"/>
        <v>0</v>
      </c>
      <c r="M326" s="271">
        <f t="shared" si="70"/>
        <v>0</v>
      </c>
      <c r="N326" s="272">
        <f t="shared" si="70"/>
        <v>0</v>
      </c>
      <c r="O326" s="86"/>
      <c r="R326" s="271"/>
      <c r="S326" s="271"/>
      <c r="T326" s="271"/>
      <c r="U326" s="271"/>
      <c r="V326" s="271"/>
      <c r="W326" s="271"/>
      <c r="X326" s="271"/>
      <c r="Y326" s="271"/>
      <c r="Z326" s="271"/>
      <c r="AA326" s="271"/>
      <c r="AB326" s="271"/>
      <c r="AC326" s="271"/>
    </row>
    <row r="327" spans="1:29" outlineLevel="1" x14ac:dyDescent="0.2">
      <c r="A327" s="39"/>
      <c r="B327" s="36"/>
      <c r="C327" s="38" t="s">
        <v>675</v>
      </c>
      <c r="D327" s="152"/>
      <c r="E327" s="400"/>
      <c r="F327" s="400"/>
      <c r="G327" s="400"/>
      <c r="H327" s="400"/>
      <c r="I327" s="62" t="str">
        <f t="shared" si="68"/>
        <v>kWh</v>
      </c>
      <c r="J327" s="249">
        <f t="shared" si="69"/>
        <v>10</v>
      </c>
      <c r="K327" s="270">
        <f t="shared" si="70"/>
        <v>166.66666666666663</v>
      </c>
      <c r="L327" s="271">
        <f t="shared" si="70"/>
        <v>0</v>
      </c>
      <c r="M327" s="271">
        <f t="shared" si="70"/>
        <v>0</v>
      </c>
      <c r="N327" s="272">
        <f t="shared" si="70"/>
        <v>10</v>
      </c>
      <c r="O327" s="86"/>
      <c r="R327" s="271"/>
      <c r="S327" s="271"/>
      <c r="T327" s="271"/>
      <c r="U327" s="271"/>
      <c r="V327" s="271"/>
      <c r="W327" s="271"/>
      <c r="X327" s="271"/>
      <c r="Y327" s="271"/>
      <c r="Z327" s="271"/>
      <c r="AA327" s="271"/>
      <c r="AB327" s="271"/>
      <c r="AC327" s="271"/>
    </row>
    <row r="328" spans="1:29" outlineLevel="1" x14ac:dyDescent="0.2">
      <c r="A328" s="39"/>
      <c r="B328" s="36"/>
      <c r="C328" s="38" t="s">
        <v>676</v>
      </c>
      <c r="D328" s="152"/>
      <c r="E328" s="400"/>
      <c r="F328" s="400"/>
      <c r="G328" s="400"/>
      <c r="H328" s="400"/>
      <c r="I328" s="62" t="str">
        <f t="shared" si="68"/>
        <v>kWh</v>
      </c>
      <c r="J328" s="249">
        <f t="shared" si="69"/>
        <v>820</v>
      </c>
      <c r="K328" s="270">
        <f t="shared" si="70"/>
        <v>1216.6666666666665</v>
      </c>
      <c r="L328" s="271">
        <f t="shared" si="70"/>
        <v>416.66666666666652</v>
      </c>
      <c r="M328" s="271">
        <f t="shared" si="70"/>
        <v>1016.6666666666665</v>
      </c>
      <c r="N328" s="272">
        <f t="shared" si="70"/>
        <v>820</v>
      </c>
      <c r="O328" s="86"/>
      <c r="R328" s="271"/>
      <c r="S328" s="271"/>
      <c r="T328" s="271"/>
      <c r="U328" s="271"/>
      <c r="V328" s="271"/>
      <c r="W328" s="271"/>
      <c r="X328" s="271"/>
      <c r="Y328" s="271"/>
      <c r="Z328" s="271"/>
      <c r="AA328" s="271"/>
      <c r="AB328" s="271"/>
      <c r="AC328" s="271"/>
    </row>
    <row r="329" spans="1:29" outlineLevel="1" x14ac:dyDescent="0.2">
      <c r="A329" s="39"/>
      <c r="B329" s="36"/>
      <c r="C329" s="38" t="s">
        <v>677</v>
      </c>
      <c r="D329" s="152"/>
      <c r="E329" s="400"/>
      <c r="F329" s="400"/>
      <c r="G329" s="400"/>
      <c r="H329" s="400"/>
      <c r="I329" s="62" t="str">
        <f t="shared" si="68"/>
        <v>kWh</v>
      </c>
      <c r="J329" s="249">
        <f t="shared" si="69"/>
        <v>1709</v>
      </c>
      <c r="K329" s="270">
        <f t="shared" si="70"/>
        <v>2161.6666666666665</v>
      </c>
      <c r="L329" s="271">
        <f t="shared" si="70"/>
        <v>1291.6666666666665</v>
      </c>
      <c r="M329" s="271">
        <f t="shared" si="70"/>
        <v>2031.6666666666665</v>
      </c>
      <c r="N329" s="272">
        <f t="shared" si="70"/>
        <v>1709</v>
      </c>
      <c r="O329" s="86"/>
      <c r="R329" s="271"/>
      <c r="S329" s="271"/>
      <c r="T329" s="271"/>
      <c r="U329" s="271"/>
      <c r="V329" s="271"/>
      <c r="W329" s="271"/>
      <c r="X329" s="271"/>
      <c r="Y329" s="271"/>
      <c r="Z329" s="271"/>
      <c r="AA329" s="271"/>
      <c r="AB329" s="271"/>
      <c r="AC329" s="271"/>
    </row>
    <row r="330" spans="1:29" outlineLevel="1" x14ac:dyDescent="0.2">
      <c r="A330" s="39"/>
      <c r="B330" s="36"/>
      <c r="C330" s="38" t="s">
        <v>678</v>
      </c>
      <c r="D330" s="152"/>
      <c r="E330" s="400"/>
      <c r="F330" s="400"/>
      <c r="G330" s="400"/>
      <c r="H330" s="400"/>
      <c r="I330" s="62" t="str">
        <f t="shared" si="68"/>
        <v>kWh</v>
      </c>
      <c r="J330" s="249">
        <f t="shared" si="69"/>
        <v>2090</v>
      </c>
      <c r="K330" s="270">
        <f t="shared" si="70"/>
        <v>2566.6666666666665</v>
      </c>
      <c r="L330" s="271">
        <f t="shared" si="70"/>
        <v>1666.6666666666665</v>
      </c>
      <c r="M330" s="271">
        <f t="shared" si="70"/>
        <v>2466.6666666666665</v>
      </c>
      <c r="N330" s="272">
        <f t="shared" si="70"/>
        <v>2090</v>
      </c>
      <c r="O330" s="86"/>
      <c r="R330" s="271"/>
      <c r="S330" s="271"/>
      <c r="T330" s="271"/>
      <c r="U330" s="271"/>
      <c r="V330" s="271"/>
      <c r="W330" s="271"/>
      <c r="X330" s="271"/>
      <c r="Y330" s="271"/>
      <c r="Z330" s="271"/>
      <c r="AA330" s="271"/>
      <c r="AB330" s="271"/>
      <c r="AC330" s="271"/>
    </row>
    <row r="331" spans="1:29" ht="45.75" customHeight="1" x14ac:dyDescent="0.2">
      <c r="A331" s="39"/>
      <c r="B331" s="36" t="str">
        <f>INDEX(Language!D214:M214,1,_language)</f>
        <v>Heat pump maximum output</v>
      </c>
      <c r="C331" s="38" t="s">
        <v>664</v>
      </c>
      <c r="D331" s="152"/>
      <c r="E331" s="152"/>
      <c r="F331" s="152"/>
      <c r="G331" s="152"/>
      <c r="H331" s="152"/>
      <c r="I331" s="62" t="str">
        <f t="shared" si="68"/>
        <v>kWh</v>
      </c>
      <c r="J331" s="249">
        <f t="shared" si="69"/>
        <v>50</v>
      </c>
      <c r="K331" s="177">
        <v>1500</v>
      </c>
      <c r="L331" s="178">
        <v>1500</v>
      </c>
      <c r="M331" s="178">
        <v>1500</v>
      </c>
      <c r="N331" s="272">
        <f>INDEX(R331:AC331,1,N$16)*Diagram_NEW!BD24</f>
        <v>50</v>
      </c>
      <c r="O331" s="227" t="s">
        <v>1403</v>
      </c>
      <c r="R331" s="178">
        <v>50</v>
      </c>
      <c r="S331" s="178">
        <v>4000</v>
      </c>
      <c r="T331" s="178">
        <v>0</v>
      </c>
      <c r="U331" s="178">
        <v>4000</v>
      </c>
      <c r="V331" s="178">
        <v>4000</v>
      </c>
      <c r="W331" s="178">
        <v>4000</v>
      </c>
      <c r="X331" s="178">
        <v>4000</v>
      </c>
      <c r="Y331" s="178">
        <v>4000</v>
      </c>
      <c r="Z331" s="178">
        <v>4000</v>
      </c>
      <c r="AA331" s="178">
        <v>4000</v>
      </c>
      <c r="AB331" s="178">
        <v>4000</v>
      </c>
      <c r="AC331" s="178">
        <v>4000</v>
      </c>
    </row>
    <row r="332" spans="1:29" outlineLevel="1" x14ac:dyDescent="0.2">
      <c r="A332" s="39"/>
      <c r="B332" s="36"/>
      <c r="C332" s="38"/>
      <c r="D332" s="152"/>
      <c r="E332" s="152"/>
      <c r="F332" s="152"/>
      <c r="G332" s="152"/>
      <c r="H332" s="152"/>
      <c r="I332" s="62"/>
      <c r="J332" s="257"/>
      <c r="K332" s="560" t="str">
        <f>+ConvFactors!D32</f>
        <v>gas</v>
      </c>
      <c r="L332" s="561" t="s">
        <v>36</v>
      </c>
      <c r="M332" s="44"/>
      <c r="N332" s="62"/>
      <c r="O332" s="86"/>
      <c r="R332" s="44"/>
      <c r="S332" s="44"/>
      <c r="T332" s="44"/>
      <c r="U332" s="44"/>
      <c r="V332" s="44"/>
      <c r="W332" s="44"/>
      <c r="X332" s="44"/>
      <c r="Y332" s="44"/>
      <c r="Z332" s="44"/>
      <c r="AA332" s="44"/>
      <c r="AB332" s="44"/>
      <c r="AC332" s="44"/>
    </row>
    <row r="333" spans="1:29" outlineLevel="1" x14ac:dyDescent="0.2">
      <c r="A333" s="39"/>
      <c r="B333" s="36"/>
      <c r="C333" s="38"/>
      <c r="D333" s="152"/>
      <c r="E333" s="152" t="str">
        <f>INDEX($L$332:$L$333,MATCH(K334,$K$332:$K$333,0),1)</f>
        <v>gas</v>
      </c>
      <c r="F333" s="152" t="str">
        <f>INDEX($L$332:$L$333,MATCH(L334,$K$332:$K$333,0),1)</f>
        <v>el_us</v>
      </c>
      <c r="G333" s="152" t="str">
        <f>INDEX($L$332:$L$333,MATCH(M334,$K$332:$K$333,0),1)</f>
        <v>gas</v>
      </c>
      <c r="H333" s="152" t="str">
        <f>INDEX($L$332:$L$333,MATCH(N334,$K$332:$K$333,0),1)</f>
        <v>el_us</v>
      </c>
      <c r="I333" s="62"/>
      <c r="J333" s="257" t="str">
        <f>IF(J334="el","el_us",J334)</f>
        <v>el_us</v>
      </c>
      <c r="K333" s="560" t="s">
        <v>43</v>
      </c>
      <c r="L333" s="561" t="s">
        <v>1188</v>
      </c>
      <c r="M333" s="44"/>
      <c r="N333" s="62"/>
      <c r="O333" s="86"/>
      <c r="R333" s="44"/>
      <c r="S333" s="44"/>
      <c r="T333" s="44"/>
      <c r="U333" s="44"/>
      <c r="V333" s="44"/>
      <c r="W333" s="44"/>
      <c r="X333" s="44"/>
      <c r="Y333" s="44"/>
      <c r="Z333" s="44"/>
      <c r="AA333" s="44"/>
      <c r="AB333" s="44"/>
      <c r="AC333" s="44"/>
    </row>
    <row r="334" spans="1:29" x14ac:dyDescent="0.2">
      <c r="A334" s="39"/>
      <c r="B334" s="36" t="str">
        <f>INDEX(Language!D216:M216,1,_language)</f>
        <v>Heat pump fuel</v>
      </c>
      <c r="C334" s="38"/>
      <c r="D334" s="152"/>
      <c r="E334" s="25"/>
      <c r="F334" s="25"/>
      <c r="G334" s="25"/>
      <c r="H334" s="33"/>
      <c r="I334" s="62"/>
      <c r="J334" s="249" t="str">
        <f>INDEX(K334:N334,,_case_en)</f>
        <v>el</v>
      </c>
      <c r="K334" s="268" t="s">
        <v>36</v>
      </c>
      <c r="L334" s="269" t="s">
        <v>43</v>
      </c>
      <c r="M334" s="269" t="s">
        <v>36</v>
      </c>
      <c r="N334" s="62" t="str">
        <f>INDEX(R334:AC334,1,N$16)</f>
        <v>el</v>
      </c>
      <c r="O334" s="1079" t="s">
        <v>1762</v>
      </c>
      <c r="P334" s="1356" t="s">
        <v>1809</v>
      </c>
      <c r="R334" s="269" t="s">
        <v>43</v>
      </c>
      <c r="S334" s="269" t="s">
        <v>43</v>
      </c>
      <c r="T334" s="269" t="s">
        <v>43</v>
      </c>
      <c r="U334" s="269" t="s">
        <v>43</v>
      </c>
      <c r="V334" s="269" t="s">
        <v>43</v>
      </c>
      <c r="W334" s="269" t="s">
        <v>43</v>
      </c>
      <c r="X334" s="269" t="s">
        <v>43</v>
      </c>
      <c r="Y334" s="269" t="s">
        <v>43</v>
      </c>
      <c r="Z334" s="269" t="s">
        <v>43</v>
      </c>
      <c r="AA334" s="269" t="s">
        <v>43</v>
      </c>
      <c r="AB334" s="269" t="s">
        <v>43</v>
      </c>
      <c r="AC334" s="269" t="s">
        <v>43</v>
      </c>
    </row>
    <row r="335" spans="1:29" x14ac:dyDescent="0.2">
      <c r="A335" s="39"/>
      <c r="B335" s="36" t="str">
        <f>INDEX(Language!D215:M215,1,_language)</f>
        <v>COP</v>
      </c>
      <c r="C335" s="38"/>
      <c r="D335" s="152"/>
      <c r="E335" s="152"/>
      <c r="F335" s="152"/>
      <c r="G335" s="152"/>
      <c r="H335" s="152"/>
      <c r="I335" s="62"/>
      <c r="J335" s="296">
        <f>INDEX(K335:N335,,_case_en)</f>
        <v>3</v>
      </c>
      <c r="K335" s="310">
        <v>3</v>
      </c>
      <c r="L335" s="311">
        <v>3</v>
      </c>
      <c r="M335" s="311">
        <v>1.5</v>
      </c>
      <c r="N335" s="805">
        <f>INDEX(R335:AC335,1,N$16)</f>
        <v>3</v>
      </c>
      <c r="O335" s="86" t="s">
        <v>1329</v>
      </c>
      <c r="R335" s="311">
        <v>3</v>
      </c>
      <c r="S335" s="311">
        <v>3</v>
      </c>
      <c r="T335" s="311">
        <v>3</v>
      </c>
      <c r="U335" s="311">
        <v>3</v>
      </c>
      <c r="V335" s="311">
        <v>3</v>
      </c>
      <c r="W335" s="311">
        <v>3</v>
      </c>
      <c r="X335" s="311">
        <v>3</v>
      </c>
      <c r="Y335" s="311">
        <v>3</v>
      </c>
      <c r="Z335" s="311">
        <v>3</v>
      </c>
      <c r="AA335" s="311">
        <v>3</v>
      </c>
      <c r="AB335" s="311">
        <v>3</v>
      </c>
      <c r="AC335" s="311">
        <v>3</v>
      </c>
    </row>
    <row r="336" spans="1:29" x14ac:dyDescent="0.2">
      <c r="A336" s="39"/>
      <c r="B336" s="36" t="str">
        <f>INDEX(Language!D217:M217,1,_language)</f>
        <v>Heat pump output</v>
      </c>
      <c r="C336" s="38" t="s">
        <v>683</v>
      </c>
      <c r="D336" s="152"/>
      <c r="E336" s="152"/>
      <c r="F336" s="152"/>
      <c r="G336" s="152"/>
      <c r="H336" s="152"/>
      <c r="I336" s="62" t="str">
        <f t="shared" ref="I336" si="71">+_En_unit</f>
        <v>kWh</v>
      </c>
      <c r="J336" s="307">
        <f>SUM(J337:J348)</f>
        <v>360</v>
      </c>
      <c r="K336" s="270">
        <f>SUM(K337:K348)</f>
        <v>9725</v>
      </c>
      <c r="L336" s="271">
        <f>SUM(L337:L348)</f>
        <v>7416.6666666666661</v>
      </c>
      <c r="M336" s="271">
        <f>SUM(M337:M348)</f>
        <v>8958.3333333333321</v>
      </c>
      <c r="N336" s="272">
        <f>SUM(N337:N348)</f>
        <v>360</v>
      </c>
      <c r="O336" s="86"/>
      <c r="R336" s="271"/>
      <c r="S336" s="271"/>
      <c r="T336" s="271"/>
      <c r="U336" s="271"/>
      <c r="V336" s="271"/>
      <c r="W336" s="271"/>
      <c r="X336" s="271"/>
      <c r="Y336" s="271"/>
      <c r="Z336" s="271"/>
      <c r="AA336" s="271"/>
      <c r="AB336" s="271"/>
      <c r="AC336" s="271"/>
    </row>
    <row r="337" spans="1:29" outlineLevel="1" x14ac:dyDescent="0.2">
      <c r="A337" s="39"/>
      <c r="B337" s="36"/>
      <c r="C337" s="38" t="s">
        <v>684</v>
      </c>
      <c r="D337" s="152"/>
      <c r="E337" s="400"/>
      <c r="F337" s="400"/>
      <c r="G337" s="400"/>
      <c r="H337" s="400"/>
      <c r="I337" s="62" t="str">
        <f t="shared" ref="I337:I348" si="72">+_En_unit</f>
        <v>kWh</v>
      </c>
      <c r="J337" s="249">
        <f t="shared" ref="J337:J348" si="73">INDEX(K337:N337,,_case_en)</f>
        <v>50</v>
      </c>
      <c r="K337" s="270">
        <f t="shared" ref="K337:N348" si="74">MIN(K$331,K319)</f>
        <v>1500</v>
      </c>
      <c r="L337" s="271">
        <f t="shared" si="74"/>
        <v>1500</v>
      </c>
      <c r="M337" s="271">
        <f t="shared" si="74"/>
        <v>1500</v>
      </c>
      <c r="N337" s="272">
        <f t="shared" si="74"/>
        <v>50</v>
      </c>
      <c r="O337" s="86"/>
      <c r="R337" s="271"/>
      <c r="S337" s="271"/>
      <c r="T337" s="271"/>
      <c r="U337" s="271"/>
      <c r="V337" s="271"/>
      <c r="W337" s="271"/>
      <c r="X337" s="271"/>
      <c r="Y337" s="271"/>
      <c r="Z337" s="271"/>
      <c r="AA337" s="271"/>
      <c r="AB337" s="271"/>
      <c r="AC337" s="271"/>
    </row>
    <row r="338" spans="1:29" outlineLevel="1" x14ac:dyDescent="0.2">
      <c r="A338" s="39"/>
      <c r="B338" s="36"/>
      <c r="C338" s="38" t="s">
        <v>685</v>
      </c>
      <c r="D338" s="152"/>
      <c r="E338" s="400"/>
      <c r="F338" s="400"/>
      <c r="G338" s="400"/>
      <c r="H338" s="400"/>
      <c r="I338" s="62" t="str">
        <f t="shared" si="72"/>
        <v>kWh</v>
      </c>
      <c r="J338" s="249">
        <f t="shared" si="73"/>
        <v>50</v>
      </c>
      <c r="K338" s="270">
        <f t="shared" si="74"/>
        <v>1500</v>
      </c>
      <c r="L338" s="271">
        <f t="shared" si="74"/>
        <v>1500</v>
      </c>
      <c r="M338" s="271">
        <f t="shared" si="74"/>
        <v>1500</v>
      </c>
      <c r="N338" s="272">
        <f t="shared" si="74"/>
        <v>50</v>
      </c>
      <c r="O338" s="86"/>
      <c r="R338" s="271"/>
      <c r="S338" s="271"/>
      <c r="T338" s="271"/>
      <c r="U338" s="271"/>
      <c r="V338" s="271"/>
      <c r="W338" s="271"/>
      <c r="X338" s="271"/>
      <c r="Y338" s="271"/>
      <c r="Z338" s="271"/>
      <c r="AA338" s="271"/>
      <c r="AB338" s="271"/>
      <c r="AC338" s="271"/>
    </row>
    <row r="339" spans="1:29" outlineLevel="1" x14ac:dyDescent="0.2">
      <c r="A339" s="39"/>
      <c r="B339" s="36"/>
      <c r="C339" s="38" t="s">
        <v>686</v>
      </c>
      <c r="D339" s="152"/>
      <c r="E339" s="400"/>
      <c r="F339" s="400"/>
      <c r="G339" s="400"/>
      <c r="H339" s="400"/>
      <c r="I339" s="62" t="str">
        <f t="shared" si="72"/>
        <v>kWh</v>
      </c>
      <c r="J339" s="249">
        <f t="shared" si="73"/>
        <v>50</v>
      </c>
      <c r="K339" s="270">
        <f t="shared" si="74"/>
        <v>1500</v>
      </c>
      <c r="L339" s="271">
        <f t="shared" si="74"/>
        <v>916.66666666666652</v>
      </c>
      <c r="M339" s="271">
        <f t="shared" si="74"/>
        <v>1416.6666666666665</v>
      </c>
      <c r="N339" s="272">
        <f t="shared" si="74"/>
        <v>50</v>
      </c>
      <c r="O339" s="86"/>
      <c r="R339" s="271"/>
      <c r="S339" s="271"/>
      <c r="T339" s="271"/>
      <c r="U339" s="271"/>
      <c r="V339" s="271"/>
      <c r="W339" s="271"/>
      <c r="X339" s="271"/>
      <c r="Y339" s="271"/>
      <c r="Z339" s="271"/>
      <c r="AA339" s="271"/>
      <c r="AB339" s="271"/>
      <c r="AC339" s="271"/>
    </row>
    <row r="340" spans="1:29" outlineLevel="1" x14ac:dyDescent="0.2">
      <c r="A340" s="39"/>
      <c r="B340" s="36"/>
      <c r="C340" s="38" t="s">
        <v>687</v>
      </c>
      <c r="D340" s="152"/>
      <c r="E340" s="400"/>
      <c r="F340" s="400"/>
      <c r="G340" s="400"/>
      <c r="H340" s="400"/>
      <c r="I340" s="62" t="str">
        <f t="shared" si="72"/>
        <v>kWh</v>
      </c>
      <c r="J340" s="249">
        <f t="shared" si="73"/>
        <v>50</v>
      </c>
      <c r="K340" s="270">
        <f t="shared" si="74"/>
        <v>841.66666666666663</v>
      </c>
      <c r="L340" s="271">
        <f t="shared" si="74"/>
        <v>291.66666666666652</v>
      </c>
      <c r="M340" s="271">
        <f t="shared" si="74"/>
        <v>525</v>
      </c>
      <c r="N340" s="272">
        <f t="shared" si="74"/>
        <v>50</v>
      </c>
      <c r="O340" s="86"/>
      <c r="R340" s="271"/>
      <c r="S340" s="271"/>
      <c r="T340" s="271"/>
      <c r="U340" s="271"/>
      <c r="V340" s="271"/>
      <c r="W340" s="271"/>
      <c r="X340" s="271"/>
      <c r="Y340" s="271"/>
      <c r="Z340" s="271"/>
      <c r="AA340" s="271"/>
      <c r="AB340" s="271"/>
      <c r="AC340" s="271"/>
    </row>
    <row r="341" spans="1:29" outlineLevel="1" x14ac:dyDescent="0.2">
      <c r="A341" s="39"/>
      <c r="B341" s="36"/>
      <c r="C341" s="38" t="s">
        <v>688</v>
      </c>
      <c r="D341" s="152"/>
      <c r="E341" s="400"/>
      <c r="F341" s="400"/>
      <c r="G341" s="400"/>
      <c r="H341" s="400"/>
      <c r="I341" s="62" t="str">
        <f t="shared" si="72"/>
        <v>kWh</v>
      </c>
      <c r="J341" s="249">
        <f t="shared" si="73"/>
        <v>0</v>
      </c>
      <c r="K341" s="270">
        <f t="shared" si="74"/>
        <v>0</v>
      </c>
      <c r="L341" s="271">
        <f t="shared" si="74"/>
        <v>0</v>
      </c>
      <c r="M341" s="271">
        <f t="shared" si="74"/>
        <v>0</v>
      </c>
      <c r="N341" s="272">
        <f t="shared" si="74"/>
        <v>0</v>
      </c>
      <c r="O341" s="86"/>
      <c r="R341" s="271"/>
      <c r="S341" s="271"/>
      <c r="T341" s="271"/>
      <c r="U341" s="271"/>
      <c r="V341" s="271"/>
      <c r="W341" s="271"/>
      <c r="X341" s="271"/>
      <c r="Y341" s="271"/>
      <c r="Z341" s="271"/>
      <c r="AA341" s="271"/>
      <c r="AB341" s="271"/>
      <c r="AC341" s="271"/>
    </row>
    <row r="342" spans="1:29" outlineLevel="1" x14ac:dyDescent="0.2">
      <c r="A342" s="39"/>
      <c r="B342" s="36"/>
      <c r="C342" s="38" t="s">
        <v>689</v>
      </c>
      <c r="D342" s="152"/>
      <c r="E342" s="400"/>
      <c r="F342" s="400"/>
      <c r="G342" s="400"/>
      <c r="H342" s="400"/>
      <c r="I342" s="62" t="str">
        <f t="shared" si="72"/>
        <v>kWh</v>
      </c>
      <c r="J342" s="249">
        <f t="shared" si="73"/>
        <v>0</v>
      </c>
      <c r="K342" s="270">
        <f t="shared" si="74"/>
        <v>0</v>
      </c>
      <c r="L342" s="271">
        <f t="shared" si="74"/>
        <v>0</v>
      </c>
      <c r="M342" s="271">
        <f t="shared" si="74"/>
        <v>0</v>
      </c>
      <c r="N342" s="272">
        <f t="shared" si="74"/>
        <v>0</v>
      </c>
      <c r="O342" s="86"/>
      <c r="R342" s="271"/>
      <c r="S342" s="271"/>
      <c r="T342" s="271"/>
      <c r="U342" s="271"/>
      <c r="V342" s="271"/>
      <c r="W342" s="271"/>
      <c r="X342" s="271"/>
      <c r="Y342" s="271"/>
      <c r="Z342" s="271"/>
      <c r="AA342" s="271"/>
      <c r="AB342" s="271"/>
      <c r="AC342" s="271"/>
    </row>
    <row r="343" spans="1:29" outlineLevel="1" x14ac:dyDescent="0.2">
      <c r="A343" s="39"/>
      <c r="B343" s="36"/>
      <c r="C343" s="38" t="s">
        <v>690</v>
      </c>
      <c r="D343" s="152"/>
      <c r="E343" s="400"/>
      <c r="F343" s="400"/>
      <c r="G343" s="400"/>
      <c r="H343" s="400"/>
      <c r="I343" s="62" t="str">
        <f t="shared" si="72"/>
        <v>kWh</v>
      </c>
      <c r="J343" s="249">
        <f t="shared" si="73"/>
        <v>0</v>
      </c>
      <c r="K343" s="270">
        <f t="shared" si="74"/>
        <v>0</v>
      </c>
      <c r="L343" s="271">
        <f t="shared" si="74"/>
        <v>0</v>
      </c>
      <c r="M343" s="271">
        <f t="shared" si="74"/>
        <v>0</v>
      </c>
      <c r="N343" s="272">
        <f t="shared" si="74"/>
        <v>0</v>
      </c>
      <c r="O343" s="86"/>
      <c r="R343" s="271"/>
      <c r="S343" s="271"/>
      <c r="T343" s="271"/>
      <c r="U343" s="271"/>
      <c r="V343" s="271"/>
      <c r="W343" s="271"/>
      <c r="X343" s="271"/>
      <c r="Y343" s="271"/>
      <c r="Z343" s="271"/>
      <c r="AA343" s="271"/>
      <c r="AB343" s="271"/>
      <c r="AC343" s="271"/>
    </row>
    <row r="344" spans="1:29" outlineLevel="1" x14ac:dyDescent="0.2">
      <c r="A344" s="39"/>
      <c r="B344" s="36"/>
      <c r="C344" s="38" t="s">
        <v>691</v>
      </c>
      <c r="D344" s="152"/>
      <c r="E344" s="400"/>
      <c r="F344" s="400"/>
      <c r="G344" s="400"/>
      <c r="H344" s="400"/>
      <c r="I344" s="62" t="str">
        <f t="shared" si="72"/>
        <v>kWh</v>
      </c>
      <c r="J344" s="249">
        <f t="shared" si="73"/>
        <v>0</v>
      </c>
      <c r="K344" s="270">
        <f t="shared" si="74"/>
        <v>0</v>
      </c>
      <c r="L344" s="271">
        <f t="shared" si="74"/>
        <v>0</v>
      </c>
      <c r="M344" s="271">
        <f t="shared" si="74"/>
        <v>0</v>
      </c>
      <c r="N344" s="272">
        <f t="shared" si="74"/>
        <v>0</v>
      </c>
      <c r="O344" s="86"/>
      <c r="R344" s="271"/>
      <c r="S344" s="271"/>
      <c r="T344" s="271"/>
      <c r="U344" s="271"/>
      <c r="V344" s="271"/>
      <c r="W344" s="271"/>
      <c r="X344" s="271"/>
      <c r="Y344" s="271"/>
      <c r="Z344" s="271"/>
      <c r="AA344" s="271"/>
      <c r="AB344" s="271"/>
      <c r="AC344" s="271"/>
    </row>
    <row r="345" spans="1:29" outlineLevel="1" x14ac:dyDescent="0.2">
      <c r="A345" s="39"/>
      <c r="B345" s="36"/>
      <c r="C345" s="38" t="s">
        <v>692</v>
      </c>
      <c r="D345" s="152"/>
      <c r="E345" s="400"/>
      <c r="F345" s="400"/>
      <c r="G345" s="400"/>
      <c r="H345" s="400"/>
      <c r="I345" s="62" t="str">
        <f t="shared" si="72"/>
        <v>kWh</v>
      </c>
      <c r="J345" s="249">
        <f t="shared" si="73"/>
        <v>10</v>
      </c>
      <c r="K345" s="270">
        <f t="shared" si="74"/>
        <v>166.66666666666663</v>
      </c>
      <c r="L345" s="271">
        <f t="shared" si="74"/>
        <v>0</v>
      </c>
      <c r="M345" s="271">
        <f t="shared" si="74"/>
        <v>0</v>
      </c>
      <c r="N345" s="272">
        <f t="shared" si="74"/>
        <v>10</v>
      </c>
      <c r="O345" s="86"/>
      <c r="R345" s="271"/>
      <c r="S345" s="271"/>
      <c r="T345" s="271"/>
      <c r="U345" s="271"/>
      <c r="V345" s="271"/>
      <c r="W345" s="271"/>
      <c r="X345" s="271"/>
      <c r="Y345" s="271"/>
      <c r="Z345" s="271"/>
      <c r="AA345" s="271"/>
      <c r="AB345" s="271"/>
      <c r="AC345" s="271"/>
    </row>
    <row r="346" spans="1:29" outlineLevel="1" x14ac:dyDescent="0.2">
      <c r="A346" s="39"/>
      <c r="B346" s="36"/>
      <c r="C346" s="38" t="s">
        <v>693</v>
      </c>
      <c r="D346" s="152"/>
      <c r="E346" s="400"/>
      <c r="F346" s="400"/>
      <c r="G346" s="400"/>
      <c r="H346" s="400"/>
      <c r="I346" s="62" t="str">
        <f t="shared" si="72"/>
        <v>kWh</v>
      </c>
      <c r="J346" s="249">
        <f t="shared" si="73"/>
        <v>50</v>
      </c>
      <c r="K346" s="270">
        <f t="shared" si="74"/>
        <v>1216.6666666666665</v>
      </c>
      <c r="L346" s="271">
        <f t="shared" si="74"/>
        <v>416.66666666666652</v>
      </c>
      <c r="M346" s="271">
        <f t="shared" si="74"/>
        <v>1016.6666666666665</v>
      </c>
      <c r="N346" s="272">
        <f t="shared" si="74"/>
        <v>50</v>
      </c>
      <c r="O346" s="86"/>
      <c r="R346" s="271"/>
      <c r="S346" s="271"/>
      <c r="T346" s="271"/>
      <c r="U346" s="271"/>
      <c r="V346" s="271"/>
      <c r="W346" s="271"/>
      <c r="X346" s="271"/>
      <c r="Y346" s="271"/>
      <c r="Z346" s="271"/>
      <c r="AA346" s="271"/>
      <c r="AB346" s="271"/>
      <c r="AC346" s="271"/>
    </row>
    <row r="347" spans="1:29" outlineLevel="1" x14ac:dyDescent="0.2">
      <c r="A347" s="39"/>
      <c r="B347" s="36"/>
      <c r="C347" s="38" t="s">
        <v>694</v>
      </c>
      <c r="D347" s="152"/>
      <c r="E347" s="400"/>
      <c r="F347" s="400"/>
      <c r="G347" s="400"/>
      <c r="H347" s="400"/>
      <c r="I347" s="62" t="str">
        <f t="shared" si="72"/>
        <v>kWh</v>
      </c>
      <c r="J347" s="249">
        <f t="shared" si="73"/>
        <v>50</v>
      </c>
      <c r="K347" s="270">
        <f t="shared" si="74"/>
        <v>1500</v>
      </c>
      <c r="L347" s="271">
        <f t="shared" si="74"/>
        <v>1291.6666666666665</v>
      </c>
      <c r="M347" s="271">
        <f t="shared" si="74"/>
        <v>1500</v>
      </c>
      <c r="N347" s="272">
        <f t="shared" si="74"/>
        <v>50</v>
      </c>
      <c r="O347" s="86"/>
      <c r="R347" s="271"/>
      <c r="S347" s="271"/>
      <c r="T347" s="271"/>
      <c r="U347" s="271"/>
      <c r="V347" s="271"/>
      <c r="W347" s="271"/>
      <c r="X347" s="271"/>
      <c r="Y347" s="271"/>
      <c r="Z347" s="271"/>
      <c r="AA347" s="271"/>
      <c r="AB347" s="271"/>
      <c r="AC347" s="271"/>
    </row>
    <row r="348" spans="1:29" outlineLevel="1" x14ac:dyDescent="0.2">
      <c r="A348" s="39"/>
      <c r="B348" s="36"/>
      <c r="C348" s="38" t="s">
        <v>695</v>
      </c>
      <c r="D348" s="152"/>
      <c r="E348" s="400"/>
      <c r="F348" s="400"/>
      <c r="G348" s="400"/>
      <c r="H348" s="400"/>
      <c r="I348" s="62" t="str">
        <f t="shared" si="72"/>
        <v>kWh</v>
      </c>
      <c r="J348" s="249">
        <f t="shared" si="73"/>
        <v>50</v>
      </c>
      <c r="K348" s="270">
        <f t="shared" si="74"/>
        <v>1500</v>
      </c>
      <c r="L348" s="271">
        <f t="shared" si="74"/>
        <v>1500</v>
      </c>
      <c r="M348" s="271">
        <f t="shared" si="74"/>
        <v>1500</v>
      </c>
      <c r="N348" s="272">
        <f t="shared" si="74"/>
        <v>50</v>
      </c>
      <c r="O348" s="86"/>
      <c r="R348" s="271"/>
      <c r="S348" s="271"/>
      <c r="T348" s="271"/>
      <c r="U348" s="271"/>
      <c r="V348" s="271"/>
      <c r="W348" s="271"/>
      <c r="X348" s="271"/>
      <c r="Y348" s="271"/>
      <c r="Z348" s="271"/>
      <c r="AA348" s="271"/>
      <c r="AB348" s="271"/>
      <c r="AC348" s="271"/>
    </row>
    <row r="349" spans="1:29" ht="18" customHeight="1" x14ac:dyDescent="0.2">
      <c r="A349" s="39"/>
      <c r="B349" s="36" t="str">
        <f>INDEX(Language!D218:M218,1,_language)</f>
        <v>Heat pump input</v>
      </c>
      <c r="C349" s="38" t="s">
        <v>680</v>
      </c>
      <c r="D349" s="312" t="str">
        <f t="shared" ref="D349:D361" si="75">INDEX(E349:H349,,_case_en)</f>
        <v>el_us_y</v>
      </c>
      <c r="E349" s="428" t="str">
        <f t="shared" ref="E349:H361" si="76">+E$333&amp;$AF18</f>
        <v>gas_y</v>
      </c>
      <c r="F349" s="428" t="str">
        <f t="shared" si="76"/>
        <v>el_us_y</v>
      </c>
      <c r="G349" s="428" t="str">
        <f t="shared" si="76"/>
        <v>gas_y</v>
      </c>
      <c r="H349" s="911" t="str">
        <f t="shared" si="76"/>
        <v>el_us_y</v>
      </c>
      <c r="I349" s="62" t="str">
        <f t="shared" ref="I349:I361" si="77">+_En_unit</f>
        <v>kWh</v>
      </c>
      <c r="J349" s="307">
        <f>SUM(J350:J361)</f>
        <v>120.00000000000001</v>
      </c>
      <c r="K349" s="270">
        <f>SUM(K350:K361)</f>
        <v>3241.666666666667</v>
      </c>
      <c r="L349" s="271">
        <f>SUM(L350:L361)</f>
        <v>2472.2222222222217</v>
      </c>
      <c r="M349" s="271">
        <f>SUM(M350:M361)</f>
        <v>5972.2222222222226</v>
      </c>
      <c r="N349" s="272">
        <f>SUM(N350:N361)</f>
        <v>120.00000000000001</v>
      </c>
      <c r="O349" s="86"/>
      <c r="R349" s="271"/>
      <c r="S349" s="271"/>
      <c r="T349" s="271"/>
      <c r="U349" s="271"/>
      <c r="V349" s="271"/>
      <c r="W349" s="271"/>
      <c r="X349" s="271"/>
      <c r="Y349" s="271"/>
      <c r="Z349" s="271"/>
      <c r="AA349" s="271"/>
      <c r="AB349" s="271"/>
      <c r="AC349" s="271"/>
    </row>
    <row r="350" spans="1:29" outlineLevel="1" x14ac:dyDescent="0.2">
      <c r="A350" s="39"/>
      <c r="B350" s="36"/>
      <c r="C350" s="38" t="s">
        <v>681</v>
      </c>
      <c r="D350" s="312" t="str">
        <f t="shared" si="75"/>
        <v>el_us_t1</v>
      </c>
      <c r="E350" s="428" t="str">
        <f t="shared" si="76"/>
        <v>gas_t1</v>
      </c>
      <c r="F350" s="428" t="str">
        <f t="shared" si="76"/>
        <v>el_us_t1</v>
      </c>
      <c r="G350" s="428" t="str">
        <f t="shared" si="76"/>
        <v>gas_t1</v>
      </c>
      <c r="H350" s="406" t="str">
        <f t="shared" si="76"/>
        <v>el_us_t1</v>
      </c>
      <c r="I350" s="62" t="str">
        <f t="shared" si="77"/>
        <v>kWh</v>
      </c>
      <c r="J350" s="249">
        <f t="shared" ref="J350:J362" si="78">INDEX(K350:N350,,_case_en)</f>
        <v>16.666666666666668</v>
      </c>
      <c r="K350" s="270">
        <f t="shared" ref="K350:N361" si="79">+K337/K$335</f>
        <v>500</v>
      </c>
      <c r="L350" s="271">
        <f t="shared" si="79"/>
        <v>500</v>
      </c>
      <c r="M350" s="271">
        <f t="shared" si="79"/>
        <v>1000</v>
      </c>
      <c r="N350" s="272">
        <f t="shared" si="79"/>
        <v>16.666666666666668</v>
      </c>
      <c r="O350" s="1079" t="s">
        <v>1762</v>
      </c>
      <c r="P350" s="1356" t="s">
        <v>1809</v>
      </c>
      <c r="R350" s="271"/>
      <c r="S350" s="271"/>
      <c r="T350" s="271"/>
      <c r="U350" s="271"/>
      <c r="V350" s="271"/>
      <c r="W350" s="271"/>
      <c r="X350" s="271"/>
      <c r="Y350" s="271"/>
      <c r="Z350" s="271"/>
      <c r="AA350" s="271"/>
      <c r="AB350" s="271"/>
      <c r="AC350" s="271"/>
    </row>
    <row r="351" spans="1:29" outlineLevel="1" x14ac:dyDescent="0.2">
      <c r="A351" s="39"/>
      <c r="B351" s="36"/>
      <c r="C351" s="38" t="s">
        <v>696</v>
      </c>
      <c r="D351" s="312" t="str">
        <f t="shared" si="75"/>
        <v>el_us_t2</v>
      </c>
      <c r="E351" s="428" t="str">
        <f t="shared" si="76"/>
        <v>gas_t2</v>
      </c>
      <c r="F351" s="428" t="str">
        <f t="shared" si="76"/>
        <v>el_us_t2</v>
      </c>
      <c r="G351" s="428" t="str">
        <f t="shared" si="76"/>
        <v>gas_t2</v>
      </c>
      <c r="H351" s="406" t="str">
        <f t="shared" si="76"/>
        <v>el_us_t2</v>
      </c>
      <c r="I351" s="62" t="str">
        <f t="shared" si="77"/>
        <v>kWh</v>
      </c>
      <c r="J351" s="249">
        <f t="shared" si="78"/>
        <v>16.666666666666668</v>
      </c>
      <c r="K351" s="270">
        <f t="shared" si="79"/>
        <v>500</v>
      </c>
      <c r="L351" s="271">
        <f t="shared" si="79"/>
        <v>500</v>
      </c>
      <c r="M351" s="271">
        <f t="shared" si="79"/>
        <v>1000</v>
      </c>
      <c r="N351" s="272">
        <f t="shared" si="79"/>
        <v>16.666666666666668</v>
      </c>
      <c r="O351" s="86"/>
      <c r="R351" s="271"/>
      <c r="S351" s="271"/>
      <c r="T351" s="271"/>
      <c r="U351" s="271"/>
      <c r="V351" s="271"/>
      <c r="W351" s="271"/>
      <c r="X351" s="271"/>
      <c r="Y351" s="271"/>
      <c r="Z351" s="271"/>
      <c r="AA351" s="271"/>
      <c r="AB351" s="271"/>
      <c r="AC351" s="271"/>
    </row>
    <row r="352" spans="1:29" outlineLevel="1" x14ac:dyDescent="0.2">
      <c r="A352" s="39"/>
      <c r="B352" s="36"/>
      <c r="C352" s="38" t="s">
        <v>697</v>
      </c>
      <c r="D352" s="312" t="str">
        <f t="shared" si="75"/>
        <v>el_us_t3</v>
      </c>
      <c r="E352" s="428" t="str">
        <f t="shared" si="76"/>
        <v>gas_t3</v>
      </c>
      <c r="F352" s="428" t="str">
        <f t="shared" si="76"/>
        <v>el_us_t3</v>
      </c>
      <c r="G352" s="428" t="str">
        <f t="shared" si="76"/>
        <v>gas_t3</v>
      </c>
      <c r="H352" s="406" t="str">
        <f t="shared" si="76"/>
        <v>el_us_t3</v>
      </c>
      <c r="I352" s="62" t="str">
        <f t="shared" si="77"/>
        <v>kWh</v>
      </c>
      <c r="J352" s="249">
        <f t="shared" si="78"/>
        <v>16.666666666666668</v>
      </c>
      <c r="K352" s="270">
        <f t="shared" si="79"/>
        <v>500</v>
      </c>
      <c r="L352" s="271">
        <f t="shared" si="79"/>
        <v>305.55555555555549</v>
      </c>
      <c r="M352" s="271">
        <f t="shared" si="79"/>
        <v>944.44444444444434</v>
      </c>
      <c r="N352" s="272">
        <f t="shared" si="79"/>
        <v>16.666666666666668</v>
      </c>
      <c r="O352" s="86"/>
      <c r="R352" s="271"/>
      <c r="S352" s="271"/>
      <c r="T352" s="271"/>
      <c r="U352" s="271"/>
      <c r="V352" s="271"/>
      <c r="W352" s="271"/>
      <c r="X352" s="271"/>
      <c r="Y352" s="271"/>
      <c r="Z352" s="271"/>
      <c r="AA352" s="271"/>
      <c r="AB352" s="271"/>
      <c r="AC352" s="271"/>
    </row>
    <row r="353" spans="1:29" outlineLevel="1" x14ac:dyDescent="0.2">
      <c r="A353" s="39"/>
      <c r="B353" s="36"/>
      <c r="C353" s="38" t="s">
        <v>698</v>
      </c>
      <c r="D353" s="312" t="str">
        <f t="shared" si="75"/>
        <v>el_us_t4</v>
      </c>
      <c r="E353" s="428" t="str">
        <f t="shared" si="76"/>
        <v>gas_t4</v>
      </c>
      <c r="F353" s="428" t="str">
        <f t="shared" si="76"/>
        <v>el_us_t4</v>
      </c>
      <c r="G353" s="428" t="str">
        <f t="shared" si="76"/>
        <v>gas_t4</v>
      </c>
      <c r="H353" s="406" t="str">
        <f t="shared" si="76"/>
        <v>el_us_t4</v>
      </c>
      <c r="I353" s="62" t="str">
        <f t="shared" si="77"/>
        <v>kWh</v>
      </c>
      <c r="J353" s="249">
        <f t="shared" si="78"/>
        <v>16.666666666666668</v>
      </c>
      <c r="K353" s="270">
        <f t="shared" si="79"/>
        <v>280.55555555555554</v>
      </c>
      <c r="L353" s="271">
        <f t="shared" si="79"/>
        <v>97.222222222222172</v>
      </c>
      <c r="M353" s="271">
        <f t="shared" si="79"/>
        <v>350</v>
      </c>
      <c r="N353" s="272">
        <f t="shared" si="79"/>
        <v>16.666666666666668</v>
      </c>
      <c r="O353" s="86"/>
      <c r="R353" s="271"/>
      <c r="S353" s="271"/>
      <c r="T353" s="271"/>
      <c r="U353" s="271"/>
      <c r="V353" s="271"/>
      <c r="W353" s="271"/>
      <c r="X353" s="271"/>
      <c r="Y353" s="271"/>
      <c r="Z353" s="271"/>
      <c r="AA353" s="271"/>
      <c r="AB353" s="271"/>
      <c r="AC353" s="271"/>
    </row>
    <row r="354" spans="1:29" outlineLevel="1" x14ac:dyDescent="0.2">
      <c r="A354" s="39"/>
      <c r="B354" s="36"/>
      <c r="C354" s="38" t="s">
        <v>699</v>
      </c>
      <c r="D354" s="312" t="str">
        <f t="shared" si="75"/>
        <v>el_us_t5</v>
      </c>
      <c r="E354" s="428" t="str">
        <f t="shared" si="76"/>
        <v>gas_t5</v>
      </c>
      <c r="F354" s="428" t="str">
        <f t="shared" si="76"/>
        <v>el_us_t5</v>
      </c>
      <c r="G354" s="428" t="str">
        <f t="shared" si="76"/>
        <v>gas_t5</v>
      </c>
      <c r="H354" s="406" t="str">
        <f t="shared" si="76"/>
        <v>el_us_t5</v>
      </c>
      <c r="I354" s="62" t="str">
        <f t="shared" si="77"/>
        <v>kWh</v>
      </c>
      <c r="J354" s="249">
        <f t="shared" si="78"/>
        <v>0</v>
      </c>
      <c r="K354" s="270">
        <f t="shared" si="79"/>
        <v>0</v>
      </c>
      <c r="L354" s="271">
        <f t="shared" si="79"/>
        <v>0</v>
      </c>
      <c r="M354" s="271">
        <f t="shared" si="79"/>
        <v>0</v>
      </c>
      <c r="N354" s="272">
        <f t="shared" si="79"/>
        <v>0</v>
      </c>
      <c r="O354" s="86"/>
      <c r="R354" s="271"/>
      <c r="S354" s="271"/>
      <c r="T354" s="271"/>
      <c r="U354" s="271"/>
      <c r="V354" s="271"/>
      <c r="W354" s="271"/>
      <c r="X354" s="271"/>
      <c r="Y354" s="271"/>
      <c r="Z354" s="271"/>
      <c r="AA354" s="271"/>
      <c r="AB354" s="271"/>
      <c r="AC354" s="271"/>
    </row>
    <row r="355" spans="1:29" outlineLevel="1" x14ac:dyDescent="0.2">
      <c r="A355" s="39"/>
      <c r="B355" s="36"/>
      <c r="C355" s="38" t="s">
        <v>700</v>
      </c>
      <c r="D355" s="312" t="str">
        <f t="shared" si="75"/>
        <v>el_us_t6</v>
      </c>
      <c r="E355" s="428" t="str">
        <f t="shared" si="76"/>
        <v>gas_t6</v>
      </c>
      <c r="F355" s="428" t="str">
        <f t="shared" si="76"/>
        <v>el_us_t6</v>
      </c>
      <c r="G355" s="428" t="str">
        <f t="shared" si="76"/>
        <v>gas_t6</v>
      </c>
      <c r="H355" s="406" t="str">
        <f t="shared" si="76"/>
        <v>el_us_t6</v>
      </c>
      <c r="I355" s="62" t="str">
        <f t="shared" si="77"/>
        <v>kWh</v>
      </c>
      <c r="J355" s="249">
        <f t="shared" si="78"/>
        <v>0</v>
      </c>
      <c r="K355" s="270">
        <f t="shared" si="79"/>
        <v>0</v>
      </c>
      <c r="L355" s="271">
        <f t="shared" si="79"/>
        <v>0</v>
      </c>
      <c r="M355" s="271">
        <f t="shared" si="79"/>
        <v>0</v>
      </c>
      <c r="N355" s="272">
        <f t="shared" si="79"/>
        <v>0</v>
      </c>
      <c r="O355" s="86"/>
      <c r="R355" s="271"/>
      <c r="S355" s="271"/>
      <c r="T355" s="271"/>
      <c r="U355" s="271"/>
      <c r="V355" s="271"/>
      <c r="W355" s="271"/>
      <c r="X355" s="271"/>
      <c r="Y355" s="271"/>
      <c r="Z355" s="271"/>
      <c r="AA355" s="271"/>
      <c r="AB355" s="271"/>
      <c r="AC355" s="271"/>
    </row>
    <row r="356" spans="1:29" outlineLevel="1" x14ac:dyDescent="0.2">
      <c r="A356" s="39"/>
      <c r="B356" s="36"/>
      <c r="C356" s="38" t="s">
        <v>701</v>
      </c>
      <c r="D356" s="312" t="str">
        <f t="shared" si="75"/>
        <v>el_us_t7</v>
      </c>
      <c r="E356" s="428" t="str">
        <f t="shared" si="76"/>
        <v>gas_t7</v>
      </c>
      <c r="F356" s="428" t="str">
        <f t="shared" si="76"/>
        <v>el_us_t7</v>
      </c>
      <c r="G356" s="428" t="str">
        <f t="shared" si="76"/>
        <v>gas_t7</v>
      </c>
      <c r="H356" s="406" t="str">
        <f t="shared" si="76"/>
        <v>el_us_t7</v>
      </c>
      <c r="I356" s="62" t="str">
        <f t="shared" si="77"/>
        <v>kWh</v>
      </c>
      <c r="J356" s="249">
        <f t="shared" si="78"/>
        <v>0</v>
      </c>
      <c r="K356" s="270">
        <f t="shared" si="79"/>
        <v>0</v>
      </c>
      <c r="L356" s="271">
        <f t="shared" si="79"/>
        <v>0</v>
      </c>
      <c r="M356" s="271">
        <f t="shared" si="79"/>
        <v>0</v>
      </c>
      <c r="N356" s="272">
        <f t="shared" si="79"/>
        <v>0</v>
      </c>
      <c r="O356" s="86"/>
      <c r="R356" s="271"/>
      <c r="S356" s="271"/>
      <c r="T356" s="271"/>
      <c r="U356" s="271"/>
      <c r="V356" s="271"/>
      <c r="W356" s="271"/>
      <c r="X356" s="271"/>
      <c r="Y356" s="271"/>
      <c r="Z356" s="271"/>
      <c r="AA356" s="271"/>
      <c r="AB356" s="271"/>
      <c r="AC356" s="271"/>
    </row>
    <row r="357" spans="1:29" outlineLevel="1" x14ac:dyDescent="0.2">
      <c r="A357" s="39"/>
      <c r="B357" s="36"/>
      <c r="C357" s="38" t="s">
        <v>702</v>
      </c>
      <c r="D357" s="312" t="str">
        <f t="shared" si="75"/>
        <v>el_us_t8</v>
      </c>
      <c r="E357" s="428" t="str">
        <f t="shared" si="76"/>
        <v>gas_t8</v>
      </c>
      <c r="F357" s="428" t="str">
        <f t="shared" si="76"/>
        <v>el_us_t8</v>
      </c>
      <c r="G357" s="428" t="str">
        <f t="shared" si="76"/>
        <v>gas_t8</v>
      </c>
      <c r="H357" s="406" t="str">
        <f t="shared" si="76"/>
        <v>el_us_t8</v>
      </c>
      <c r="I357" s="62" t="str">
        <f t="shared" si="77"/>
        <v>kWh</v>
      </c>
      <c r="J357" s="249">
        <f t="shared" si="78"/>
        <v>0</v>
      </c>
      <c r="K357" s="270">
        <f t="shared" si="79"/>
        <v>0</v>
      </c>
      <c r="L357" s="271">
        <f t="shared" si="79"/>
        <v>0</v>
      </c>
      <c r="M357" s="271">
        <f t="shared" si="79"/>
        <v>0</v>
      </c>
      <c r="N357" s="272">
        <f t="shared" si="79"/>
        <v>0</v>
      </c>
      <c r="O357" s="86"/>
      <c r="R357" s="271"/>
      <c r="S357" s="271"/>
      <c r="T357" s="271"/>
      <c r="U357" s="271"/>
      <c r="V357" s="271"/>
      <c r="W357" s="271"/>
      <c r="X357" s="271"/>
      <c r="Y357" s="271"/>
      <c r="Z357" s="271"/>
      <c r="AA357" s="271"/>
      <c r="AB357" s="271"/>
      <c r="AC357" s="271"/>
    </row>
    <row r="358" spans="1:29" outlineLevel="1" x14ac:dyDescent="0.2">
      <c r="A358" s="39"/>
      <c r="B358" s="36"/>
      <c r="C358" s="38" t="s">
        <v>703</v>
      </c>
      <c r="D358" s="312" t="str">
        <f t="shared" si="75"/>
        <v>el_us_t9</v>
      </c>
      <c r="E358" s="428" t="str">
        <f t="shared" si="76"/>
        <v>gas_t9</v>
      </c>
      <c r="F358" s="428" t="str">
        <f t="shared" si="76"/>
        <v>el_us_t9</v>
      </c>
      <c r="G358" s="428" t="str">
        <f t="shared" si="76"/>
        <v>gas_t9</v>
      </c>
      <c r="H358" s="406" t="str">
        <f t="shared" si="76"/>
        <v>el_us_t9</v>
      </c>
      <c r="I358" s="62" t="str">
        <f t="shared" si="77"/>
        <v>kWh</v>
      </c>
      <c r="J358" s="249">
        <f t="shared" si="78"/>
        <v>3.3333333333333335</v>
      </c>
      <c r="K358" s="270">
        <f t="shared" si="79"/>
        <v>55.555555555555543</v>
      </c>
      <c r="L358" s="271">
        <f t="shared" si="79"/>
        <v>0</v>
      </c>
      <c r="M358" s="271">
        <f t="shared" si="79"/>
        <v>0</v>
      </c>
      <c r="N358" s="272">
        <f t="shared" si="79"/>
        <v>3.3333333333333335</v>
      </c>
      <c r="O358" s="86"/>
      <c r="R358" s="271"/>
      <c r="S358" s="271"/>
      <c r="T358" s="271"/>
      <c r="U358" s="271"/>
      <c r="V358" s="271"/>
      <c r="W358" s="271"/>
      <c r="X358" s="271"/>
      <c r="Y358" s="271"/>
      <c r="Z358" s="271"/>
      <c r="AA358" s="271"/>
      <c r="AB358" s="271"/>
      <c r="AC358" s="271"/>
    </row>
    <row r="359" spans="1:29" outlineLevel="1" x14ac:dyDescent="0.2">
      <c r="A359" s="39"/>
      <c r="B359" s="36"/>
      <c r="C359" s="38" t="s">
        <v>704</v>
      </c>
      <c r="D359" s="312" t="str">
        <f t="shared" si="75"/>
        <v>el_us_t10</v>
      </c>
      <c r="E359" s="428" t="str">
        <f t="shared" si="76"/>
        <v>gas_t10</v>
      </c>
      <c r="F359" s="428" t="str">
        <f t="shared" si="76"/>
        <v>el_us_t10</v>
      </c>
      <c r="G359" s="428" t="str">
        <f t="shared" si="76"/>
        <v>gas_t10</v>
      </c>
      <c r="H359" s="406" t="str">
        <f t="shared" si="76"/>
        <v>el_us_t10</v>
      </c>
      <c r="I359" s="62" t="str">
        <f t="shared" si="77"/>
        <v>kWh</v>
      </c>
      <c r="J359" s="249">
        <f t="shared" si="78"/>
        <v>16.666666666666668</v>
      </c>
      <c r="K359" s="270">
        <f t="shared" si="79"/>
        <v>405.55555555555549</v>
      </c>
      <c r="L359" s="271">
        <f t="shared" si="79"/>
        <v>138.88888888888883</v>
      </c>
      <c r="M359" s="271">
        <f t="shared" si="79"/>
        <v>677.77777777777771</v>
      </c>
      <c r="N359" s="272">
        <f t="shared" si="79"/>
        <v>16.666666666666668</v>
      </c>
      <c r="O359" s="86"/>
      <c r="R359" s="271"/>
      <c r="S359" s="271"/>
      <c r="T359" s="271"/>
      <c r="U359" s="271"/>
      <c r="V359" s="271"/>
      <c r="W359" s="271"/>
      <c r="X359" s="271"/>
      <c r="Y359" s="271"/>
      <c r="Z359" s="271"/>
      <c r="AA359" s="271"/>
      <c r="AB359" s="271"/>
      <c r="AC359" s="271"/>
    </row>
    <row r="360" spans="1:29" outlineLevel="1" x14ac:dyDescent="0.2">
      <c r="A360" s="39"/>
      <c r="B360" s="36"/>
      <c r="C360" s="38" t="s">
        <v>705</v>
      </c>
      <c r="D360" s="312" t="str">
        <f t="shared" si="75"/>
        <v>el_us_t11</v>
      </c>
      <c r="E360" s="428" t="str">
        <f t="shared" si="76"/>
        <v>gas_t11</v>
      </c>
      <c r="F360" s="428" t="str">
        <f t="shared" si="76"/>
        <v>el_us_t11</v>
      </c>
      <c r="G360" s="428" t="str">
        <f t="shared" si="76"/>
        <v>gas_t11</v>
      </c>
      <c r="H360" s="406" t="str">
        <f t="shared" si="76"/>
        <v>el_us_t11</v>
      </c>
      <c r="I360" s="62" t="str">
        <f t="shared" si="77"/>
        <v>kWh</v>
      </c>
      <c r="J360" s="249">
        <f t="shared" si="78"/>
        <v>16.666666666666668</v>
      </c>
      <c r="K360" s="270">
        <f t="shared" si="79"/>
        <v>500</v>
      </c>
      <c r="L360" s="271">
        <f t="shared" si="79"/>
        <v>430.55555555555549</v>
      </c>
      <c r="M360" s="271">
        <f t="shared" si="79"/>
        <v>1000</v>
      </c>
      <c r="N360" s="272">
        <f t="shared" si="79"/>
        <v>16.666666666666668</v>
      </c>
      <c r="O360" s="86"/>
      <c r="R360" s="271"/>
      <c r="S360" s="271"/>
      <c r="T360" s="271"/>
      <c r="U360" s="271"/>
      <c r="V360" s="271"/>
      <c r="W360" s="271"/>
      <c r="X360" s="271"/>
      <c r="Y360" s="271"/>
      <c r="Z360" s="271"/>
      <c r="AA360" s="271"/>
      <c r="AB360" s="271"/>
      <c r="AC360" s="271"/>
    </row>
    <row r="361" spans="1:29" ht="13.5" outlineLevel="1" thickBot="1" x14ac:dyDescent="0.25">
      <c r="A361" s="39"/>
      <c r="B361" s="258"/>
      <c r="C361" s="197" t="s">
        <v>706</v>
      </c>
      <c r="D361" s="312" t="str">
        <f t="shared" si="75"/>
        <v>el_us_t12</v>
      </c>
      <c r="E361" s="428" t="str">
        <f t="shared" si="76"/>
        <v>gas_t12</v>
      </c>
      <c r="F361" s="428" t="str">
        <f t="shared" si="76"/>
        <v>el_us_t12</v>
      </c>
      <c r="G361" s="428" t="str">
        <f t="shared" si="76"/>
        <v>gas_t12</v>
      </c>
      <c r="H361" s="406" t="str">
        <f t="shared" si="76"/>
        <v>el_us_t12</v>
      </c>
      <c r="I361" s="168" t="str">
        <f t="shared" si="77"/>
        <v>kWh</v>
      </c>
      <c r="J361" s="252">
        <f t="shared" si="78"/>
        <v>16.666666666666668</v>
      </c>
      <c r="K361" s="286">
        <f t="shared" si="79"/>
        <v>500</v>
      </c>
      <c r="L361" s="287">
        <f t="shared" si="79"/>
        <v>500</v>
      </c>
      <c r="M361" s="287">
        <f t="shared" si="79"/>
        <v>1000</v>
      </c>
      <c r="N361" s="288">
        <f t="shared" si="79"/>
        <v>16.666666666666668</v>
      </c>
      <c r="O361" s="232"/>
      <c r="R361" s="287"/>
      <c r="S361" s="287"/>
      <c r="T361" s="287"/>
      <c r="U361" s="287"/>
      <c r="V361" s="287"/>
      <c r="W361" s="287"/>
      <c r="X361" s="287"/>
      <c r="Y361" s="287"/>
      <c r="Z361" s="287"/>
      <c r="AA361" s="287"/>
      <c r="AB361" s="287"/>
      <c r="AC361" s="287"/>
    </row>
    <row r="362" spans="1:29" ht="18.75" customHeight="1" x14ac:dyDescent="0.2">
      <c r="A362" s="39"/>
      <c r="B362" s="253" t="str">
        <f>INDEX(Language!D219:M219,1,_language)</f>
        <v>Heat pump auxiliaries</v>
      </c>
      <c r="C362" s="254"/>
      <c r="D362" s="214"/>
      <c r="E362" s="399"/>
      <c r="F362" s="399"/>
      <c r="G362" s="399"/>
      <c r="H362" s="399"/>
      <c r="I362" s="215" t="s">
        <v>10</v>
      </c>
      <c r="J362" s="260">
        <f t="shared" si="78"/>
        <v>5</v>
      </c>
      <c r="K362" s="261">
        <v>3</v>
      </c>
      <c r="L362" s="262">
        <v>3</v>
      </c>
      <c r="M362" s="262">
        <v>3</v>
      </c>
      <c r="N362" s="806">
        <f>INDEX(R362:AC362,1,N$16)</f>
        <v>5</v>
      </c>
      <c r="O362" s="256" t="s">
        <v>708</v>
      </c>
      <c r="R362" s="262">
        <v>5</v>
      </c>
      <c r="S362" s="262">
        <v>5</v>
      </c>
      <c r="T362" s="262">
        <v>5</v>
      </c>
      <c r="U362" s="262">
        <v>5</v>
      </c>
      <c r="V362" s="262">
        <v>5</v>
      </c>
      <c r="W362" s="262">
        <v>5</v>
      </c>
      <c r="X362" s="262">
        <v>5</v>
      </c>
      <c r="Y362" s="262">
        <v>5</v>
      </c>
      <c r="Z362" s="262">
        <v>5</v>
      </c>
      <c r="AA362" s="262">
        <v>5</v>
      </c>
      <c r="AB362" s="262">
        <v>5</v>
      </c>
      <c r="AC362" s="262">
        <v>5</v>
      </c>
    </row>
    <row r="363" spans="1:29" outlineLevel="1" x14ac:dyDescent="0.2">
      <c r="A363" s="39"/>
      <c r="B363" s="36"/>
      <c r="C363" s="38" t="s">
        <v>755</v>
      </c>
      <c r="D363" s="152" t="str">
        <f t="shared" ref="D363:D388" si="80">INDEX(E363:H363,,_case_en)</f>
        <v>el_us_y</v>
      </c>
      <c r="E363" s="425" t="s">
        <v>900</v>
      </c>
      <c r="F363" s="425" t="s">
        <v>900</v>
      </c>
      <c r="G363" s="425" t="s">
        <v>900</v>
      </c>
      <c r="H363" s="909" t="s">
        <v>900</v>
      </c>
      <c r="I363" s="62" t="str">
        <f t="shared" ref="I363:I401" si="81">+_En_unit</f>
        <v>kWh</v>
      </c>
      <c r="J363" s="307">
        <f>SUM(J364:J375)</f>
        <v>18</v>
      </c>
      <c r="K363" s="270">
        <f>SUM(K364:K375)</f>
        <v>291.75</v>
      </c>
      <c r="L363" s="271">
        <f>SUM(L364:L375)</f>
        <v>222.5</v>
      </c>
      <c r="M363" s="271">
        <f>SUM(M364:M375)</f>
        <v>268.75</v>
      </c>
      <c r="N363" s="272">
        <f>SUM(N364:N375)</f>
        <v>18</v>
      </c>
      <c r="O363" s="991" t="s">
        <v>1762</v>
      </c>
      <c r="P363" s="1356" t="s">
        <v>1809</v>
      </c>
      <c r="R363" s="271"/>
      <c r="S363" s="271"/>
      <c r="T363" s="271"/>
      <c r="U363" s="271"/>
      <c r="V363" s="271"/>
      <c r="W363" s="271"/>
      <c r="X363" s="271"/>
      <c r="Y363" s="271"/>
      <c r="Z363" s="271"/>
      <c r="AA363" s="271"/>
      <c r="AB363" s="271"/>
      <c r="AC363" s="271"/>
    </row>
    <row r="364" spans="1:29" outlineLevel="1" x14ac:dyDescent="0.2">
      <c r="A364" s="39"/>
      <c r="B364" s="36"/>
      <c r="C364" s="38" t="s">
        <v>756</v>
      </c>
      <c r="D364" s="152" t="str">
        <f t="shared" si="80"/>
        <v>el_us_t1</v>
      </c>
      <c r="E364" s="425" t="s">
        <v>914</v>
      </c>
      <c r="F364" s="425" t="s">
        <v>914</v>
      </c>
      <c r="G364" s="425" t="s">
        <v>914</v>
      </c>
      <c r="H364" s="400" t="s">
        <v>914</v>
      </c>
      <c r="I364" s="62" t="str">
        <f t="shared" si="81"/>
        <v>kWh</v>
      </c>
      <c r="J364" s="249">
        <f t="shared" ref="J364:J375" si="82">INDEX(K364:N364,,_case_en)</f>
        <v>2.5</v>
      </c>
      <c r="K364" s="270">
        <f t="shared" ref="K364:N375" si="83">+K337*K$362/100</f>
        <v>45</v>
      </c>
      <c r="L364" s="271">
        <f t="shared" si="83"/>
        <v>45</v>
      </c>
      <c r="M364" s="271">
        <f t="shared" si="83"/>
        <v>45</v>
      </c>
      <c r="N364" s="272">
        <f t="shared" si="83"/>
        <v>2.5</v>
      </c>
      <c r="O364" s="86"/>
      <c r="R364" s="271"/>
      <c r="S364" s="271"/>
      <c r="T364" s="271"/>
      <c r="U364" s="271"/>
      <c r="V364" s="271"/>
      <c r="W364" s="271"/>
      <c r="X364" s="271"/>
      <c r="Y364" s="271"/>
      <c r="Z364" s="271"/>
      <c r="AA364" s="271"/>
      <c r="AB364" s="271"/>
      <c r="AC364" s="271"/>
    </row>
    <row r="365" spans="1:29" outlineLevel="1" x14ac:dyDescent="0.2">
      <c r="A365" s="39"/>
      <c r="B365" s="36"/>
      <c r="C365" s="38" t="s">
        <v>757</v>
      </c>
      <c r="D365" s="152" t="str">
        <f t="shared" si="80"/>
        <v>el_us_t2</v>
      </c>
      <c r="E365" s="425" t="s">
        <v>915</v>
      </c>
      <c r="F365" s="425" t="s">
        <v>915</v>
      </c>
      <c r="G365" s="425" t="s">
        <v>915</v>
      </c>
      <c r="H365" s="400" t="s">
        <v>915</v>
      </c>
      <c r="I365" s="62" t="str">
        <f t="shared" si="81"/>
        <v>kWh</v>
      </c>
      <c r="J365" s="249">
        <f t="shared" si="82"/>
        <v>2.5</v>
      </c>
      <c r="K365" s="270">
        <f t="shared" si="83"/>
        <v>45</v>
      </c>
      <c r="L365" s="271">
        <f t="shared" si="83"/>
        <v>45</v>
      </c>
      <c r="M365" s="271">
        <f t="shared" si="83"/>
        <v>45</v>
      </c>
      <c r="N365" s="272">
        <f t="shared" si="83"/>
        <v>2.5</v>
      </c>
      <c r="O365" s="86"/>
      <c r="R365" s="271"/>
      <c r="S365" s="271"/>
      <c r="T365" s="271"/>
      <c r="U365" s="271"/>
      <c r="V365" s="271"/>
      <c r="W365" s="271"/>
      <c r="X365" s="271"/>
      <c r="Y365" s="271"/>
      <c r="Z365" s="271"/>
      <c r="AA365" s="271"/>
      <c r="AB365" s="271"/>
      <c r="AC365" s="271"/>
    </row>
    <row r="366" spans="1:29" outlineLevel="1" x14ac:dyDescent="0.2">
      <c r="A366" s="39"/>
      <c r="B366" s="36"/>
      <c r="C366" s="38" t="s">
        <v>758</v>
      </c>
      <c r="D366" s="152" t="str">
        <f t="shared" si="80"/>
        <v>el_us_t3</v>
      </c>
      <c r="E366" s="425" t="s">
        <v>916</v>
      </c>
      <c r="F366" s="425" t="s">
        <v>916</v>
      </c>
      <c r="G366" s="425" t="s">
        <v>916</v>
      </c>
      <c r="H366" s="400" t="s">
        <v>916</v>
      </c>
      <c r="I366" s="62" t="str">
        <f t="shared" si="81"/>
        <v>kWh</v>
      </c>
      <c r="J366" s="249">
        <f t="shared" si="82"/>
        <v>2.5</v>
      </c>
      <c r="K366" s="270">
        <f t="shared" si="83"/>
        <v>45</v>
      </c>
      <c r="L366" s="271">
        <f t="shared" si="83"/>
        <v>27.499999999999996</v>
      </c>
      <c r="M366" s="271">
        <f t="shared" si="83"/>
        <v>42.5</v>
      </c>
      <c r="N366" s="272">
        <f t="shared" si="83"/>
        <v>2.5</v>
      </c>
      <c r="O366" s="86"/>
      <c r="R366" s="271"/>
      <c r="S366" s="271"/>
      <c r="T366" s="271"/>
      <c r="U366" s="271"/>
      <c r="V366" s="271"/>
      <c r="W366" s="271"/>
      <c r="X366" s="271"/>
      <c r="Y366" s="271"/>
      <c r="Z366" s="271"/>
      <c r="AA366" s="271"/>
      <c r="AB366" s="271"/>
      <c r="AC366" s="271"/>
    </row>
    <row r="367" spans="1:29" outlineLevel="1" x14ac:dyDescent="0.2">
      <c r="A367" s="39"/>
      <c r="B367" s="36"/>
      <c r="C367" s="38" t="s">
        <v>759</v>
      </c>
      <c r="D367" s="152" t="str">
        <f t="shared" si="80"/>
        <v>el_us_t4</v>
      </c>
      <c r="E367" s="425" t="s">
        <v>917</v>
      </c>
      <c r="F367" s="425" t="s">
        <v>917</v>
      </c>
      <c r="G367" s="425" t="s">
        <v>917</v>
      </c>
      <c r="H367" s="400" t="s">
        <v>917</v>
      </c>
      <c r="I367" s="62" t="str">
        <f t="shared" si="81"/>
        <v>kWh</v>
      </c>
      <c r="J367" s="249">
        <f t="shared" si="82"/>
        <v>2.5</v>
      </c>
      <c r="K367" s="270">
        <f t="shared" si="83"/>
        <v>25.25</v>
      </c>
      <c r="L367" s="271">
        <f t="shared" si="83"/>
        <v>8.7499999999999947</v>
      </c>
      <c r="M367" s="271">
        <f t="shared" si="83"/>
        <v>15.75</v>
      </c>
      <c r="N367" s="272">
        <f t="shared" si="83"/>
        <v>2.5</v>
      </c>
      <c r="O367" s="86"/>
      <c r="R367" s="271"/>
      <c r="S367" s="271"/>
      <c r="T367" s="271"/>
      <c r="U367" s="271"/>
      <c r="V367" s="271"/>
      <c r="W367" s="271"/>
      <c r="X367" s="271"/>
      <c r="Y367" s="271"/>
      <c r="Z367" s="271"/>
      <c r="AA367" s="271"/>
      <c r="AB367" s="271"/>
      <c r="AC367" s="271"/>
    </row>
    <row r="368" spans="1:29" outlineLevel="1" x14ac:dyDescent="0.2">
      <c r="A368" s="39"/>
      <c r="B368" s="36"/>
      <c r="C368" s="38" t="s">
        <v>760</v>
      </c>
      <c r="D368" s="152" t="str">
        <f t="shared" si="80"/>
        <v>el_us_t5</v>
      </c>
      <c r="E368" s="425" t="s">
        <v>918</v>
      </c>
      <c r="F368" s="425" t="s">
        <v>918</v>
      </c>
      <c r="G368" s="425" t="s">
        <v>918</v>
      </c>
      <c r="H368" s="400" t="s">
        <v>918</v>
      </c>
      <c r="I368" s="62" t="str">
        <f t="shared" si="81"/>
        <v>kWh</v>
      </c>
      <c r="J368" s="249">
        <f t="shared" si="82"/>
        <v>0</v>
      </c>
      <c r="K368" s="270">
        <f t="shared" si="83"/>
        <v>0</v>
      </c>
      <c r="L368" s="271">
        <f t="shared" si="83"/>
        <v>0</v>
      </c>
      <c r="M368" s="271">
        <f t="shared" si="83"/>
        <v>0</v>
      </c>
      <c r="N368" s="272">
        <f t="shared" si="83"/>
        <v>0</v>
      </c>
      <c r="O368" s="86"/>
      <c r="R368" s="271"/>
      <c r="S368" s="271"/>
      <c r="T368" s="271"/>
      <c r="U368" s="271"/>
      <c r="V368" s="271"/>
      <c r="W368" s="271"/>
      <c r="X368" s="271"/>
      <c r="Y368" s="271"/>
      <c r="Z368" s="271"/>
      <c r="AA368" s="271"/>
      <c r="AB368" s="271"/>
      <c r="AC368" s="271"/>
    </row>
    <row r="369" spans="1:29" outlineLevel="1" x14ac:dyDescent="0.2">
      <c r="A369" s="39"/>
      <c r="B369" s="36"/>
      <c r="C369" s="38" t="s">
        <v>761</v>
      </c>
      <c r="D369" s="152" t="str">
        <f t="shared" si="80"/>
        <v>el_us_t6</v>
      </c>
      <c r="E369" s="425" t="s">
        <v>919</v>
      </c>
      <c r="F369" s="425" t="s">
        <v>919</v>
      </c>
      <c r="G369" s="425" t="s">
        <v>919</v>
      </c>
      <c r="H369" s="400" t="s">
        <v>919</v>
      </c>
      <c r="I369" s="62" t="str">
        <f t="shared" si="81"/>
        <v>kWh</v>
      </c>
      <c r="J369" s="249">
        <f t="shared" si="82"/>
        <v>0</v>
      </c>
      <c r="K369" s="270">
        <f t="shared" si="83"/>
        <v>0</v>
      </c>
      <c r="L369" s="271">
        <f t="shared" si="83"/>
        <v>0</v>
      </c>
      <c r="M369" s="271">
        <f t="shared" si="83"/>
        <v>0</v>
      </c>
      <c r="N369" s="272">
        <f t="shared" si="83"/>
        <v>0</v>
      </c>
      <c r="O369" s="86"/>
      <c r="R369" s="271"/>
      <c r="S369" s="271"/>
      <c r="T369" s="271"/>
      <c r="U369" s="271"/>
      <c r="V369" s="271"/>
      <c r="W369" s="271"/>
      <c r="X369" s="271"/>
      <c r="Y369" s="271"/>
      <c r="Z369" s="271"/>
      <c r="AA369" s="271"/>
      <c r="AB369" s="271"/>
      <c r="AC369" s="271"/>
    </row>
    <row r="370" spans="1:29" outlineLevel="1" x14ac:dyDescent="0.2">
      <c r="A370" s="39"/>
      <c r="B370" s="36"/>
      <c r="C370" s="38" t="s">
        <v>762</v>
      </c>
      <c r="D370" s="152" t="str">
        <f t="shared" si="80"/>
        <v>el_us_t7</v>
      </c>
      <c r="E370" s="425" t="s">
        <v>920</v>
      </c>
      <c r="F370" s="425" t="s">
        <v>920</v>
      </c>
      <c r="G370" s="425" t="s">
        <v>920</v>
      </c>
      <c r="H370" s="400" t="s">
        <v>920</v>
      </c>
      <c r="I370" s="62" t="str">
        <f t="shared" si="81"/>
        <v>kWh</v>
      </c>
      <c r="J370" s="249">
        <f t="shared" si="82"/>
        <v>0</v>
      </c>
      <c r="K370" s="270">
        <f t="shared" si="83"/>
        <v>0</v>
      </c>
      <c r="L370" s="271">
        <f t="shared" si="83"/>
        <v>0</v>
      </c>
      <c r="M370" s="271">
        <f t="shared" si="83"/>
        <v>0</v>
      </c>
      <c r="N370" s="272">
        <f t="shared" si="83"/>
        <v>0</v>
      </c>
      <c r="O370" s="86"/>
      <c r="R370" s="271"/>
      <c r="S370" s="271"/>
      <c r="T370" s="271"/>
      <c r="U370" s="271"/>
      <c r="V370" s="271"/>
      <c r="W370" s="271"/>
      <c r="X370" s="271"/>
      <c r="Y370" s="271"/>
      <c r="Z370" s="271"/>
      <c r="AA370" s="271"/>
      <c r="AB370" s="271"/>
      <c r="AC370" s="271"/>
    </row>
    <row r="371" spans="1:29" outlineLevel="1" x14ac:dyDescent="0.2">
      <c r="A371" s="39"/>
      <c r="B371" s="36"/>
      <c r="C371" s="38" t="s">
        <v>763</v>
      </c>
      <c r="D371" s="152" t="str">
        <f t="shared" si="80"/>
        <v>el_us_t8</v>
      </c>
      <c r="E371" s="425" t="s">
        <v>921</v>
      </c>
      <c r="F371" s="425" t="s">
        <v>921</v>
      </c>
      <c r="G371" s="425" t="s">
        <v>921</v>
      </c>
      <c r="H371" s="400" t="s">
        <v>921</v>
      </c>
      <c r="I371" s="62" t="str">
        <f t="shared" si="81"/>
        <v>kWh</v>
      </c>
      <c r="J371" s="249">
        <f t="shared" si="82"/>
        <v>0</v>
      </c>
      <c r="K371" s="270">
        <f t="shared" si="83"/>
        <v>0</v>
      </c>
      <c r="L371" s="271">
        <f t="shared" si="83"/>
        <v>0</v>
      </c>
      <c r="M371" s="271">
        <f t="shared" si="83"/>
        <v>0</v>
      </c>
      <c r="N371" s="272">
        <f t="shared" si="83"/>
        <v>0</v>
      </c>
      <c r="O371" s="86"/>
      <c r="R371" s="271"/>
      <c r="S371" s="271"/>
      <c r="T371" s="271"/>
      <c r="U371" s="271"/>
      <c r="V371" s="271"/>
      <c r="W371" s="271"/>
      <c r="X371" s="271"/>
      <c r="Y371" s="271"/>
      <c r="Z371" s="271"/>
      <c r="AA371" s="271"/>
      <c r="AB371" s="271"/>
      <c r="AC371" s="271"/>
    </row>
    <row r="372" spans="1:29" outlineLevel="1" x14ac:dyDescent="0.2">
      <c r="A372" s="39"/>
      <c r="B372" s="36"/>
      <c r="C372" s="38" t="s">
        <v>764</v>
      </c>
      <c r="D372" s="152" t="str">
        <f t="shared" si="80"/>
        <v>el_us_t9</v>
      </c>
      <c r="E372" s="425" t="s">
        <v>922</v>
      </c>
      <c r="F372" s="425" t="s">
        <v>922</v>
      </c>
      <c r="G372" s="425" t="s">
        <v>922</v>
      </c>
      <c r="H372" s="400" t="s">
        <v>922</v>
      </c>
      <c r="I372" s="62" t="str">
        <f t="shared" si="81"/>
        <v>kWh</v>
      </c>
      <c r="J372" s="249">
        <f t="shared" si="82"/>
        <v>0.5</v>
      </c>
      <c r="K372" s="270">
        <f t="shared" si="83"/>
        <v>4.9999999999999991</v>
      </c>
      <c r="L372" s="271">
        <f t="shared" si="83"/>
        <v>0</v>
      </c>
      <c r="M372" s="271">
        <f t="shared" si="83"/>
        <v>0</v>
      </c>
      <c r="N372" s="272">
        <f t="shared" si="83"/>
        <v>0.5</v>
      </c>
      <c r="O372" s="86"/>
      <c r="R372" s="271"/>
      <c r="S372" s="271"/>
      <c r="T372" s="271"/>
      <c r="U372" s="271"/>
      <c r="V372" s="271"/>
      <c r="W372" s="271"/>
      <c r="X372" s="271"/>
      <c r="Y372" s="271"/>
      <c r="Z372" s="271"/>
      <c r="AA372" s="271"/>
      <c r="AB372" s="271"/>
      <c r="AC372" s="271"/>
    </row>
    <row r="373" spans="1:29" outlineLevel="1" x14ac:dyDescent="0.2">
      <c r="A373" s="39"/>
      <c r="B373" s="36"/>
      <c r="C373" s="38" t="s">
        <v>765</v>
      </c>
      <c r="D373" s="152" t="str">
        <f t="shared" si="80"/>
        <v>el_us_t10</v>
      </c>
      <c r="E373" s="425" t="s">
        <v>923</v>
      </c>
      <c r="F373" s="425" t="s">
        <v>923</v>
      </c>
      <c r="G373" s="425" t="s">
        <v>923</v>
      </c>
      <c r="H373" s="400" t="s">
        <v>923</v>
      </c>
      <c r="I373" s="62" t="str">
        <f t="shared" si="81"/>
        <v>kWh</v>
      </c>
      <c r="J373" s="249">
        <f t="shared" si="82"/>
        <v>2.5</v>
      </c>
      <c r="K373" s="270">
        <f t="shared" si="83"/>
        <v>36.499999999999993</v>
      </c>
      <c r="L373" s="271">
        <f t="shared" si="83"/>
        <v>12.499999999999995</v>
      </c>
      <c r="M373" s="271">
        <f t="shared" si="83"/>
        <v>30.499999999999996</v>
      </c>
      <c r="N373" s="272">
        <f t="shared" si="83"/>
        <v>2.5</v>
      </c>
      <c r="O373" s="86"/>
      <c r="R373" s="271"/>
      <c r="S373" s="271"/>
      <c r="T373" s="271"/>
      <c r="U373" s="271"/>
      <c r="V373" s="271"/>
      <c r="W373" s="271"/>
      <c r="X373" s="271"/>
      <c r="Y373" s="271"/>
      <c r="Z373" s="271"/>
      <c r="AA373" s="271"/>
      <c r="AB373" s="271"/>
      <c r="AC373" s="271"/>
    </row>
    <row r="374" spans="1:29" outlineLevel="1" x14ac:dyDescent="0.2">
      <c r="A374" s="39"/>
      <c r="B374" s="36"/>
      <c r="C374" s="38" t="s">
        <v>766</v>
      </c>
      <c r="D374" s="152" t="str">
        <f t="shared" si="80"/>
        <v>el_us_t11</v>
      </c>
      <c r="E374" s="425" t="s">
        <v>924</v>
      </c>
      <c r="F374" s="425" t="s">
        <v>924</v>
      </c>
      <c r="G374" s="425" t="s">
        <v>924</v>
      </c>
      <c r="H374" s="400" t="s">
        <v>924</v>
      </c>
      <c r="I374" s="62" t="str">
        <f t="shared" si="81"/>
        <v>kWh</v>
      </c>
      <c r="J374" s="249">
        <f t="shared" si="82"/>
        <v>2.5</v>
      </c>
      <c r="K374" s="270">
        <f t="shared" si="83"/>
        <v>45</v>
      </c>
      <c r="L374" s="271">
        <f t="shared" si="83"/>
        <v>38.749999999999993</v>
      </c>
      <c r="M374" s="271">
        <f t="shared" si="83"/>
        <v>45</v>
      </c>
      <c r="N374" s="272">
        <f t="shared" si="83"/>
        <v>2.5</v>
      </c>
      <c r="O374" s="86"/>
      <c r="R374" s="271"/>
      <c r="S374" s="271"/>
      <c r="T374" s="271"/>
      <c r="U374" s="271"/>
      <c r="V374" s="271"/>
      <c r="W374" s="271"/>
      <c r="X374" s="271"/>
      <c r="Y374" s="271"/>
      <c r="Z374" s="271"/>
      <c r="AA374" s="271"/>
      <c r="AB374" s="271"/>
      <c r="AC374" s="271"/>
    </row>
    <row r="375" spans="1:29" ht="13.5" outlineLevel="1" thickBot="1" x14ac:dyDescent="0.25">
      <c r="A375" s="39"/>
      <c r="B375" s="263"/>
      <c r="C375" s="264" t="s">
        <v>767</v>
      </c>
      <c r="D375" s="222" t="str">
        <f t="shared" si="80"/>
        <v>el_us_t12</v>
      </c>
      <c r="E375" s="429" t="s">
        <v>925</v>
      </c>
      <c r="F375" s="429" t="s">
        <v>925</v>
      </c>
      <c r="G375" s="429" t="s">
        <v>925</v>
      </c>
      <c r="H375" s="403" t="s">
        <v>925</v>
      </c>
      <c r="I375" s="223" t="str">
        <f t="shared" si="81"/>
        <v>kWh</v>
      </c>
      <c r="J375" s="250">
        <f t="shared" si="82"/>
        <v>2.5</v>
      </c>
      <c r="K375" s="277">
        <f t="shared" si="83"/>
        <v>45</v>
      </c>
      <c r="L375" s="278">
        <f t="shared" si="83"/>
        <v>45</v>
      </c>
      <c r="M375" s="278">
        <f t="shared" si="83"/>
        <v>45</v>
      </c>
      <c r="N375" s="279">
        <f t="shared" si="83"/>
        <v>2.5</v>
      </c>
      <c r="O375" s="280"/>
      <c r="R375" s="278"/>
      <c r="S375" s="278"/>
      <c r="T375" s="278"/>
      <c r="U375" s="278"/>
      <c r="V375" s="278"/>
      <c r="W375" s="278"/>
      <c r="X375" s="278"/>
      <c r="Y375" s="278"/>
      <c r="Z375" s="278"/>
      <c r="AA375" s="278"/>
      <c r="AB375" s="278"/>
      <c r="AC375" s="278"/>
    </row>
    <row r="376" spans="1:29" ht="18.75" customHeight="1" x14ac:dyDescent="0.2">
      <c r="A376" s="39"/>
      <c r="B376" s="253" t="str">
        <f>INDEX(Language!D220:M220,1,_language)</f>
        <v>Environmental heat</v>
      </c>
      <c r="C376" s="254" t="s">
        <v>771</v>
      </c>
      <c r="D376" s="214" t="str">
        <f t="shared" si="80"/>
        <v>env_y</v>
      </c>
      <c r="E376" s="424" t="s">
        <v>964</v>
      </c>
      <c r="F376" s="424" t="s">
        <v>964</v>
      </c>
      <c r="G376" s="424" t="s">
        <v>964</v>
      </c>
      <c r="H376" s="399" t="s">
        <v>964</v>
      </c>
      <c r="I376" s="215" t="str">
        <f t="shared" si="81"/>
        <v>kWh</v>
      </c>
      <c r="J376" s="610">
        <f>SUM(J377:J388)</f>
        <v>239.99999999999994</v>
      </c>
      <c r="K376" s="216">
        <f>SUM(K377:K388)</f>
        <v>6483.3333333333339</v>
      </c>
      <c r="L376" s="217">
        <f>SUM(L377:L388)</f>
        <v>4944.4444444444443</v>
      </c>
      <c r="M376" s="217">
        <f>SUM(M377:M388)</f>
        <v>2986.1111111111109</v>
      </c>
      <c r="N376" s="218">
        <f>SUM(N377:N388)</f>
        <v>239.99999999999994</v>
      </c>
      <c r="O376" s="1070" t="s">
        <v>1762</v>
      </c>
      <c r="P376" s="1356" t="s">
        <v>1809</v>
      </c>
      <c r="R376" s="209"/>
      <c r="S376" s="209"/>
      <c r="T376" s="209"/>
      <c r="U376" s="209"/>
      <c r="V376" s="209"/>
      <c r="W376" s="209"/>
      <c r="X376" s="209"/>
      <c r="Y376" s="209"/>
      <c r="Z376" s="209"/>
      <c r="AA376" s="209"/>
      <c r="AB376" s="209"/>
      <c r="AC376" s="209"/>
    </row>
    <row r="377" spans="1:29" outlineLevel="1" x14ac:dyDescent="0.2">
      <c r="A377" s="39"/>
      <c r="B377" s="36"/>
      <c r="C377" s="38" t="s">
        <v>772</v>
      </c>
      <c r="D377" s="152" t="str">
        <f t="shared" si="80"/>
        <v>env_t1</v>
      </c>
      <c r="E377" s="425" t="s">
        <v>965</v>
      </c>
      <c r="F377" s="425" t="s">
        <v>965</v>
      </c>
      <c r="G377" s="425" t="s">
        <v>965</v>
      </c>
      <c r="H377" s="400" t="s">
        <v>965</v>
      </c>
      <c r="I377" s="62" t="str">
        <f t="shared" si="81"/>
        <v>kWh</v>
      </c>
      <c r="J377" s="249">
        <f t="shared" ref="J377:J388" si="84">INDEX(K377:N377,,_case_en)</f>
        <v>33.333333333333329</v>
      </c>
      <c r="K377" s="270">
        <f t="shared" ref="K377:N388" si="85">+K337-K350</f>
        <v>1000</v>
      </c>
      <c r="L377" s="271">
        <f t="shared" si="85"/>
        <v>1000</v>
      </c>
      <c r="M377" s="271">
        <f t="shared" si="85"/>
        <v>500</v>
      </c>
      <c r="N377" s="272">
        <f t="shared" si="85"/>
        <v>33.333333333333329</v>
      </c>
      <c r="O377" s="86"/>
      <c r="R377" s="271"/>
      <c r="S377" s="271"/>
      <c r="T377" s="271"/>
      <c r="U377" s="271"/>
      <c r="V377" s="271"/>
      <c r="W377" s="271"/>
      <c r="X377" s="271"/>
      <c r="Y377" s="271"/>
      <c r="Z377" s="271"/>
      <c r="AA377" s="271"/>
      <c r="AB377" s="271"/>
      <c r="AC377" s="271"/>
    </row>
    <row r="378" spans="1:29" outlineLevel="1" x14ac:dyDescent="0.2">
      <c r="A378" s="39"/>
      <c r="B378" s="36"/>
      <c r="C378" s="38" t="s">
        <v>773</v>
      </c>
      <c r="D378" s="152" t="str">
        <f t="shared" si="80"/>
        <v>env_t2</v>
      </c>
      <c r="E378" s="425" t="s">
        <v>966</v>
      </c>
      <c r="F378" s="425" t="s">
        <v>966</v>
      </c>
      <c r="G378" s="425" t="s">
        <v>966</v>
      </c>
      <c r="H378" s="400" t="s">
        <v>966</v>
      </c>
      <c r="I378" s="62" t="str">
        <f t="shared" si="81"/>
        <v>kWh</v>
      </c>
      <c r="J378" s="249">
        <f t="shared" si="84"/>
        <v>33.333333333333329</v>
      </c>
      <c r="K378" s="270">
        <f t="shared" si="85"/>
        <v>1000</v>
      </c>
      <c r="L378" s="271">
        <f t="shared" si="85"/>
        <v>1000</v>
      </c>
      <c r="M378" s="271">
        <f t="shared" si="85"/>
        <v>500</v>
      </c>
      <c r="N378" s="272">
        <f t="shared" si="85"/>
        <v>33.333333333333329</v>
      </c>
      <c r="O378" s="86"/>
      <c r="R378" s="271"/>
      <c r="S378" s="271"/>
      <c r="T378" s="271"/>
      <c r="U378" s="271"/>
      <c r="V378" s="271"/>
      <c r="W378" s="271"/>
      <c r="X378" s="271"/>
      <c r="Y378" s="271"/>
      <c r="Z378" s="271"/>
      <c r="AA378" s="271"/>
      <c r="AB378" s="271"/>
      <c r="AC378" s="271"/>
    </row>
    <row r="379" spans="1:29" outlineLevel="1" x14ac:dyDescent="0.2">
      <c r="A379" s="39"/>
      <c r="B379" s="36"/>
      <c r="C379" s="38" t="s">
        <v>774</v>
      </c>
      <c r="D379" s="152" t="str">
        <f t="shared" si="80"/>
        <v>env_t3</v>
      </c>
      <c r="E379" s="425" t="s">
        <v>967</v>
      </c>
      <c r="F379" s="425" t="s">
        <v>967</v>
      </c>
      <c r="G379" s="425" t="s">
        <v>967</v>
      </c>
      <c r="H379" s="400" t="s">
        <v>967</v>
      </c>
      <c r="I379" s="62" t="str">
        <f t="shared" si="81"/>
        <v>kWh</v>
      </c>
      <c r="J379" s="249">
        <f t="shared" si="84"/>
        <v>33.333333333333329</v>
      </c>
      <c r="K379" s="270">
        <f t="shared" si="85"/>
        <v>1000</v>
      </c>
      <c r="L379" s="271">
        <f t="shared" si="85"/>
        <v>611.11111111111109</v>
      </c>
      <c r="M379" s="271">
        <f t="shared" si="85"/>
        <v>472.22222222222217</v>
      </c>
      <c r="N379" s="272">
        <f t="shared" si="85"/>
        <v>33.333333333333329</v>
      </c>
      <c r="O379" s="86"/>
      <c r="R379" s="271"/>
      <c r="S379" s="271"/>
      <c r="T379" s="271"/>
      <c r="U379" s="271"/>
      <c r="V379" s="271"/>
      <c r="W379" s="271"/>
      <c r="X379" s="271"/>
      <c r="Y379" s="271"/>
      <c r="Z379" s="271"/>
      <c r="AA379" s="271"/>
      <c r="AB379" s="271"/>
      <c r="AC379" s="271"/>
    </row>
    <row r="380" spans="1:29" outlineLevel="1" x14ac:dyDescent="0.2">
      <c r="A380" s="39"/>
      <c r="B380" s="36"/>
      <c r="C380" s="38" t="s">
        <v>775</v>
      </c>
      <c r="D380" s="152" t="str">
        <f t="shared" si="80"/>
        <v>env_t4</v>
      </c>
      <c r="E380" s="425" t="s">
        <v>968</v>
      </c>
      <c r="F380" s="425" t="s">
        <v>968</v>
      </c>
      <c r="G380" s="425" t="s">
        <v>968</v>
      </c>
      <c r="H380" s="400" t="s">
        <v>968</v>
      </c>
      <c r="I380" s="62" t="str">
        <f t="shared" si="81"/>
        <v>kWh</v>
      </c>
      <c r="J380" s="249">
        <f t="shared" si="84"/>
        <v>33.333333333333329</v>
      </c>
      <c r="K380" s="270">
        <f t="shared" si="85"/>
        <v>561.11111111111109</v>
      </c>
      <c r="L380" s="271">
        <f t="shared" si="85"/>
        <v>194.44444444444434</v>
      </c>
      <c r="M380" s="271">
        <f t="shared" si="85"/>
        <v>175</v>
      </c>
      <c r="N380" s="272">
        <f t="shared" si="85"/>
        <v>33.333333333333329</v>
      </c>
      <c r="O380" s="86"/>
      <c r="R380" s="271"/>
      <c r="S380" s="271"/>
      <c r="T380" s="271"/>
      <c r="U380" s="271"/>
      <c r="V380" s="271"/>
      <c r="W380" s="271"/>
      <c r="X380" s="271"/>
      <c r="Y380" s="271"/>
      <c r="Z380" s="271"/>
      <c r="AA380" s="271"/>
      <c r="AB380" s="271"/>
      <c r="AC380" s="271"/>
    </row>
    <row r="381" spans="1:29" outlineLevel="1" x14ac:dyDescent="0.2">
      <c r="A381" s="39"/>
      <c r="B381" s="36"/>
      <c r="C381" s="38" t="s">
        <v>776</v>
      </c>
      <c r="D381" s="152" t="str">
        <f t="shared" si="80"/>
        <v>env_t5</v>
      </c>
      <c r="E381" s="425" t="s">
        <v>969</v>
      </c>
      <c r="F381" s="425" t="s">
        <v>969</v>
      </c>
      <c r="G381" s="425" t="s">
        <v>969</v>
      </c>
      <c r="H381" s="400" t="s">
        <v>969</v>
      </c>
      <c r="I381" s="62" t="str">
        <f t="shared" si="81"/>
        <v>kWh</v>
      </c>
      <c r="J381" s="249">
        <f t="shared" si="84"/>
        <v>0</v>
      </c>
      <c r="K381" s="270">
        <f t="shared" si="85"/>
        <v>0</v>
      </c>
      <c r="L381" s="271">
        <f t="shared" si="85"/>
        <v>0</v>
      </c>
      <c r="M381" s="271">
        <f t="shared" si="85"/>
        <v>0</v>
      </c>
      <c r="N381" s="272">
        <f t="shared" si="85"/>
        <v>0</v>
      </c>
      <c r="O381" s="86"/>
      <c r="R381" s="271"/>
      <c r="S381" s="271"/>
      <c r="T381" s="271"/>
      <c r="U381" s="271"/>
      <c r="V381" s="271"/>
      <c r="W381" s="271"/>
      <c r="X381" s="271"/>
      <c r="Y381" s="271"/>
      <c r="Z381" s="271"/>
      <c r="AA381" s="271"/>
      <c r="AB381" s="271"/>
      <c r="AC381" s="271"/>
    </row>
    <row r="382" spans="1:29" outlineLevel="1" x14ac:dyDescent="0.2">
      <c r="A382" s="39"/>
      <c r="B382" s="36"/>
      <c r="C382" s="38" t="s">
        <v>777</v>
      </c>
      <c r="D382" s="152" t="str">
        <f t="shared" si="80"/>
        <v>env_t6</v>
      </c>
      <c r="E382" s="425" t="s">
        <v>970</v>
      </c>
      <c r="F382" s="425" t="s">
        <v>970</v>
      </c>
      <c r="G382" s="425" t="s">
        <v>970</v>
      </c>
      <c r="H382" s="400" t="s">
        <v>970</v>
      </c>
      <c r="I382" s="62" t="str">
        <f t="shared" si="81"/>
        <v>kWh</v>
      </c>
      <c r="J382" s="249">
        <f t="shared" si="84"/>
        <v>0</v>
      </c>
      <c r="K382" s="270">
        <f t="shared" si="85"/>
        <v>0</v>
      </c>
      <c r="L382" s="271">
        <f t="shared" si="85"/>
        <v>0</v>
      </c>
      <c r="M382" s="271">
        <f t="shared" si="85"/>
        <v>0</v>
      </c>
      <c r="N382" s="272">
        <f t="shared" si="85"/>
        <v>0</v>
      </c>
      <c r="O382" s="86"/>
      <c r="R382" s="271"/>
      <c r="S382" s="271"/>
      <c r="T382" s="271"/>
      <c r="U382" s="271"/>
      <c r="V382" s="271"/>
      <c r="W382" s="271"/>
      <c r="X382" s="271"/>
      <c r="Y382" s="271"/>
      <c r="Z382" s="271"/>
      <c r="AA382" s="271"/>
      <c r="AB382" s="271"/>
      <c r="AC382" s="271"/>
    </row>
    <row r="383" spans="1:29" outlineLevel="1" x14ac:dyDescent="0.2">
      <c r="A383" s="39"/>
      <c r="B383" s="36"/>
      <c r="C383" s="38" t="s">
        <v>778</v>
      </c>
      <c r="D383" s="152" t="str">
        <f t="shared" si="80"/>
        <v>env_t7</v>
      </c>
      <c r="E383" s="425" t="s">
        <v>971</v>
      </c>
      <c r="F383" s="425" t="s">
        <v>971</v>
      </c>
      <c r="G383" s="425" t="s">
        <v>971</v>
      </c>
      <c r="H383" s="400" t="s">
        <v>971</v>
      </c>
      <c r="I383" s="62" t="str">
        <f t="shared" si="81"/>
        <v>kWh</v>
      </c>
      <c r="J383" s="249">
        <f t="shared" si="84"/>
        <v>0</v>
      </c>
      <c r="K383" s="270">
        <f t="shared" si="85"/>
        <v>0</v>
      </c>
      <c r="L383" s="271">
        <f t="shared" si="85"/>
        <v>0</v>
      </c>
      <c r="M383" s="271">
        <f t="shared" si="85"/>
        <v>0</v>
      </c>
      <c r="N383" s="272">
        <f t="shared" si="85"/>
        <v>0</v>
      </c>
      <c r="O383" s="86"/>
      <c r="R383" s="271"/>
      <c r="S383" s="271"/>
      <c r="T383" s="271"/>
      <c r="U383" s="271"/>
      <c r="V383" s="271"/>
      <c r="W383" s="271"/>
      <c r="X383" s="271"/>
      <c r="Y383" s="271"/>
      <c r="Z383" s="271"/>
      <c r="AA383" s="271"/>
      <c r="AB383" s="271"/>
      <c r="AC383" s="271"/>
    </row>
    <row r="384" spans="1:29" outlineLevel="1" x14ac:dyDescent="0.2">
      <c r="A384" s="39"/>
      <c r="B384" s="36"/>
      <c r="C384" s="38" t="s">
        <v>779</v>
      </c>
      <c r="D384" s="152" t="str">
        <f t="shared" si="80"/>
        <v>env_t8</v>
      </c>
      <c r="E384" s="425" t="s">
        <v>972</v>
      </c>
      <c r="F384" s="425" t="s">
        <v>972</v>
      </c>
      <c r="G384" s="425" t="s">
        <v>972</v>
      </c>
      <c r="H384" s="400" t="s">
        <v>972</v>
      </c>
      <c r="I384" s="62" t="str">
        <f t="shared" si="81"/>
        <v>kWh</v>
      </c>
      <c r="J384" s="249">
        <f t="shared" si="84"/>
        <v>0</v>
      </c>
      <c r="K384" s="270">
        <f t="shared" si="85"/>
        <v>0</v>
      </c>
      <c r="L384" s="271">
        <f t="shared" si="85"/>
        <v>0</v>
      </c>
      <c r="M384" s="271">
        <f t="shared" si="85"/>
        <v>0</v>
      </c>
      <c r="N384" s="272">
        <f t="shared" si="85"/>
        <v>0</v>
      </c>
      <c r="O384" s="86"/>
      <c r="R384" s="271"/>
      <c r="S384" s="271"/>
      <c r="T384" s="271"/>
      <c r="U384" s="271"/>
      <c r="V384" s="271"/>
      <c r="W384" s="271"/>
      <c r="X384" s="271"/>
      <c r="Y384" s="271"/>
      <c r="Z384" s="271"/>
      <c r="AA384" s="271"/>
      <c r="AB384" s="271"/>
      <c r="AC384" s="271"/>
    </row>
    <row r="385" spans="1:29" outlineLevel="1" x14ac:dyDescent="0.2">
      <c r="A385" s="39"/>
      <c r="B385" s="36"/>
      <c r="C385" s="38" t="s">
        <v>780</v>
      </c>
      <c r="D385" s="152" t="str">
        <f t="shared" si="80"/>
        <v>env_t9</v>
      </c>
      <c r="E385" s="425" t="s">
        <v>973</v>
      </c>
      <c r="F385" s="425" t="s">
        <v>973</v>
      </c>
      <c r="G385" s="425" t="s">
        <v>973</v>
      </c>
      <c r="H385" s="400" t="s">
        <v>973</v>
      </c>
      <c r="I385" s="62" t="str">
        <f t="shared" si="81"/>
        <v>kWh</v>
      </c>
      <c r="J385" s="249">
        <f t="shared" si="84"/>
        <v>6.6666666666666661</v>
      </c>
      <c r="K385" s="270">
        <f t="shared" si="85"/>
        <v>111.11111111111109</v>
      </c>
      <c r="L385" s="271">
        <f t="shared" si="85"/>
        <v>0</v>
      </c>
      <c r="M385" s="271">
        <f t="shared" si="85"/>
        <v>0</v>
      </c>
      <c r="N385" s="272">
        <f t="shared" si="85"/>
        <v>6.6666666666666661</v>
      </c>
      <c r="O385" s="86"/>
      <c r="R385" s="271"/>
      <c r="S385" s="271"/>
      <c r="T385" s="271"/>
      <c r="U385" s="271"/>
      <c r="V385" s="271"/>
      <c r="W385" s="271"/>
      <c r="X385" s="271"/>
      <c r="Y385" s="271"/>
      <c r="Z385" s="271"/>
      <c r="AA385" s="271"/>
      <c r="AB385" s="271"/>
      <c r="AC385" s="271"/>
    </row>
    <row r="386" spans="1:29" outlineLevel="1" x14ac:dyDescent="0.2">
      <c r="A386" s="39"/>
      <c r="B386" s="36"/>
      <c r="C386" s="38" t="s">
        <v>781</v>
      </c>
      <c r="D386" s="152" t="str">
        <f t="shared" si="80"/>
        <v>env_t10</v>
      </c>
      <c r="E386" s="425" t="s">
        <v>974</v>
      </c>
      <c r="F386" s="425" t="s">
        <v>974</v>
      </c>
      <c r="G386" s="425" t="s">
        <v>974</v>
      </c>
      <c r="H386" s="400" t="s">
        <v>974</v>
      </c>
      <c r="I386" s="62" t="str">
        <f t="shared" si="81"/>
        <v>kWh</v>
      </c>
      <c r="J386" s="249">
        <f t="shared" si="84"/>
        <v>33.333333333333329</v>
      </c>
      <c r="K386" s="270">
        <f t="shared" si="85"/>
        <v>811.11111111111109</v>
      </c>
      <c r="L386" s="271">
        <f t="shared" si="85"/>
        <v>277.77777777777771</v>
      </c>
      <c r="M386" s="271">
        <f t="shared" si="85"/>
        <v>338.8888888888888</v>
      </c>
      <c r="N386" s="272">
        <f t="shared" si="85"/>
        <v>33.333333333333329</v>
      </c>
      <c r="O386" s="86"/>
      <c r="R386" s="271"/>
      <c r="S386" s="271"/>
      <c r="T386" s="271"/>
      <c r="U386" s="271"/>
      <c r="V386" s="271"/>
      <c r="W386" s="271"/>
      <c r="X386" s="271"/>
      <c r="Y386" s="271"/>
      <c r="Z386" s="271"/>
      <c r="AA386" s="271"/>
      <c r="AB386" s="271"/>
      <c r="AC386" s="271"/>
    </row>
    <row r="387" spans="1:29" outlineLevel="1" x14ac:dyDescent="0.2">
      <c r="A387" s="39"/>
      <c r="B387" s="36"/>
      <c r="C387" s="38" t="s">
        <v>782</v>
      </c>
      <c r="D387" s="152" t="str">
        <f t="shared" si="80"/>
        <v>env_t11</v>
      </c>
      <c r="E387" s="425" t="s">
        <v>975</v>
      </c>
      <c r="F387" s="425" t="s">
        <v>975</v>
      </c>
      <c r="G387" s="425" t="s">
        <v>975</v>
      </c>
      <c r="H387" s="400" t="s">
        <v>975</v>
      </c>
      <c r="I387" s="62" t="str">
        <f t="shared" si="81"/>
        <v>kWh</v>
      </c>
      <c r="J387" s="249">
        <f t="shared" si="84"/>
        <v>33.333333333333329</v>
      </c>
      <c r="K387" s="270">
        <f t="shared" si="85"/>
        <v>1000</v>
      </c>
      <c r="L387" s="271">
        <f t="shared" si="85"/>
        <v>861.11111111111109</v>
      </c>
      <c r="M387" s="271">
        <f t="shared" si="85"/>
        <v>500</v>
      </c>
      <c r="N387" s="272">
        <f t="shared" si="85"/>
        <v>33.333333333333329</v>
      </c>
      <c r="O387" s="86"/>
      <c r="R387" s="271"/>
      <c r="S387" s="271"/>
      <c r="T387" s="271"/>
      <c r="U387" s="271"/>
      <c r="V387" s="271"/>
      <c r="W387" s="271"/>
      <c r="X387" s="271"/>
      <c r="Y387" s="271"/>
      <c r="Z387" s="271"/>
      <c r="AA387" s="271"/>
      <c r="AB387" s="271"/>
      <c r="AC387" s="271"/>
    </row>
    <row r="388" spans="1:29" ht="13.5" outlineLevel="1" thickBot="1" x14ac:dyDescent="0.25">
      <c r="A388" s="39"/>
      <c r="B388" s="263"/>
      <c r="C388" s="264" t="s">
        <v>783</v>
      </c>
      <c r="D388" s="222" t="str">
        <f t="shared" si="80"/>
        <v>env_t12</v>
      </c>
      <c r="E388" s="429" t="s">
        <v>976</v>
      </c>
      <c r="F388" s="429" t="s">
        <v>976</v>
      </c>
      <c r="G388" s="429" t="s">
        <v>976</v>
      </c>
      <c r="H388" s="403" t="s">
        <v>976</v>
      </c>
      <c r="I388" s="223" t="str">
        <f t="shared" si="81"/>
        <v>kWh</v>
      </c>
      <c r="J388" s="250">
        <f t="shared" si="84"/>
        <v>33.333333333333329</v>
      </c>
      <c r="K388" s="277">
        <f t="shared" si="85"/>
        <v>1000</v>
      </c>
      <c r="L388" s="278">
        <f t="shared" si="85"/>
        <v>1000</v>
      </c>
      <c r="M388" s="278">
        <f t="shared" si="85"/>
        <v>500</v>
      </c>
      <c r="N388" s="279">
        <f t="shared" si="85"/>
        <v>33.333333333333329</v>
      </c>
      <c r="O388" s="280"/>
      <c r="R388" s="287"/>
      <c r="S388" s="287"/>
      <c r="T388" s="287"/>
      <c r="U388" s="287"/>
      <c r="V388" s="287"/>
      <c r="W388" s="287"/>
      <c r="X388" s="287"/>
      <c r="Y388" s="287"/>
      <c r="Z388" s="287"/>
      <c r="AA388" s="287"/>
      <c r="AB388" s="287"/>
      <c r="AC388" s="287"/>
    </row>
    <row r="389" spans="1:29" ht="36" customHeight="1" x14ac:dyDescent="0.2">
      <c r="A389" s="39"/>
      <c r="B389" s="104" t="str">
        <f>INDEX(Language!D221:M221,1,_language)</f>
        <v>Boiler heat output</v>
      </c>
      <c r="C389" s="259" t="s">
        <v>712</v>
      </c>
      <c r="D389" s="206"/>
      <c r="E389" s="402"/>
      <c r="F389" s="402"/>
      <c r="G389" s="402"/>
      <c r="H389" s="402"/>
      <c r="I389" s="207" t="str">
        <f t="shared" si="81"/>
        <v>kWh</v>
      </c>
      <c r="J389" s="251">
        <f>SUM(J390:J401)</f>
        <v>10769</v>
      </c>
      <c r="K389" s="208">
        <f>SUM(K390:K401)</f>
        <v>4353.3333333333321</v>
      </c>
      <c r="L389" s="209">
        <f>SUM(L390:L401)</f>
        <v>874.99999999999955</v>
      </c>
      <c r="M389" s="209">
        <f>SUM(M390:M401)</f>
        <v>3706.6666666666661</v>
      </c>
      <c r="N389" s="210">
        <f>SUM(N390:N401)</f>
        <v>10769</v>
      </c>
      <c r="O389" s="227" t="s">
        <v>1463</v>
      </c>
      <c r="R389" s="209"/>
      <c r="S389" s="209"/>
      <c r="T389" s="209"/>
      <c r="U389" s="209"/>
      <c r="V389" s="209"/>
      <c r="W389" s="209"/>
      <c r="X389" s="209"/>
      <c r="Y389" s="209"/>
      <c r="Z389" s="209"/>
      <c r="AA389" s="209"/>
      <c r="AB389" s="209"/>
      <c r="AC389" s="209"/>
    </row>
    <row r="390" spans="1:29" outlineLevel="1" x14ac:dyDescent="0.2">
      <c r="A390" s="39"/>
      <c r="B390" s="36"/>
      <c r="C390" s="38" t="s">
        <v>714</v>
      </c>
      <c r="D390" s="152"/>
      <c r="E390" s="400"/>
      <c r="F390" s="400"/>
      <c r="G390" s="400"/>
      <c r="H390" s="400"/>
      <c r="I390" s="62" t="str">
        <f t="shared" si="81"/>
        <v>kWh</v>
      </c>
      <c r="J390" s="249">
        <f t="shared" ref="J390:J401" si="86">INDEX(K390:N390,,_case_en)</f>
        <v>2540</v>
      </c>
      <c r="K390" s="270">
        <f t="shared" ref="K390:N401" si="87">+K319-K337</f>
        <v>1566.6666666666665</v>
      </c>
      <c r="L390" s="271">
        <f t="shared" si="87"/>
        <v>666.66666666666652</v>
      </c>
      <c r="M390" s="271">
        <f t="shared" si="87"/>
        <v>1466.6666666666665</v>
      </c>
      <c r="N390" s="272">
        <f t="shared" si="87"/>
        <v>2540</v>
      </c>
      <c r="O390" s="86"/>
      <c r="R390" s="271"/>
      <c r="S390" s="271"/>
      <c r="T390" s="271"/>
      <c r="U390" s="271"/>
      <c r="V390" s="271"/>
      <c r="W390" s="271"/>
      <c r="X390" s="271"/>
      <c r="Y390" s="271"/>
      <c r="Z390" s="271"/>
      <c r="AA390" s="271"/>
      <c r="AB390" s="271"/>
      <c r="AC390" s="271"/>
    </row>
    <row r="391" spans="1:29" outlineLevel="1" x14ac:dyDescent="0.2">
      <c r="A391" s="39"/>
      <c r="B391" s="36"/>
      <c r="C391" s="38" t="s">
        <v>715</v>
      </c>
      <c r="D391" s="152"/>
      <c r="E391" s="400"/>
      <c r="F391" s="400"/>
      <c r="G391" s="400"/>
      <c r="H391" s="400"/>
      <c r="I391" s="62" t="str">
        <f t="shared" si="81"/>
        <v>kWh</v>
      </c>
      <c r="J391" s="249">
        <f t="shared" si="86"/>
        <v>1905</v>
      </c>
      <c r="K391" s="270">
        <f t="shared" si="87"/>
        <v>891.66666666666652</v>
      </c>
      <c r="L391" s="271">
        <f t="shared" si="87"/>
        <v>41.666666666666515</v>
      </c>
      <c r="M391" s="271">
        <f t="shared" si="87"/>
        <v>741.66666666666652</v>
      </c>
      <c r="N391" s="272">
        <f t="shared" si="87"/>
        <v>1905</v>
      </c>
      <c r="O391" s="86"/>
      <c r="R391" s="271"/>
      <c r="S391" s="271"/>
      <c r="T391" s="271"/>
      <c r="U391" s="271"/>
      <c r="V391" s="271"/>
      <c r="W391" s="271"/>
      <c r="X391" s="271"/>
      <c r="Y391" s="271"/>
      <c r="Z391" s="271"/>
      <c r="AA391" s="271"/>
      <c r="AB391" s="271"/>
      <c r="AC391" s="271"/>
    </row>
    <row r="392" spans="1:29" outlineLevel="1" x14ac:dyDescent="0.2">
      <c r="A392" s="39"/>
      <c r="B392" s="36"/>
      <c r="C392" s="38" t="s">
        <v>716</v>
      </c>
      <c r="D392" s="152"/>
      <c r="E392" s="400"/>
      <c r="F392" s="400"/>
      <c r="G392" s="400"/>
      <c r="H392" s="400"/>
      <c r="I392" s="62" t="str">
        <f t="shared" si="81"/>
        <v>kWh</v>
      </c>
      <c r="J392" s="249">
        <f t="shared" si="86"/>
        <v>1260</v>
      </c>
      <c r="K392" s="270">
        <f t="shared" si="87"/>
        <v>166.66666666666652</v>
      </c>
      <c r="L392" s="271">
        <f t="shared" si="87"/>
        <v>0</v>
      </c>
      <c r="M392" s="271">
        <f t="shared" si="87"/>
        <v>0</v>
      </c>
      <c r="N392" s="272">
        <f t="shared" si="87"/>
        <v>1260</v>
      </c>
      <c r="O392" s="86"/>
      <c r="R392" s="271"/>
      <c r="S392" s="271"/>
      <c r="T392" s="271"/>
      <c r="U392" s="271"/>
      <c r="V392" s="271"/>
      <c r="W392" s="271"/>
      <c r="X392" s="271"/>
      <c r="Y392" s="271"/>
      <c r="Z392" s="271"/>
      <c r="AA392" s="271"/>
      <c r="AB392" s="271"/>
      <c r="AC392" s="271"/>
    </row>
    <row r="393" spans="1:29" outlineLevel="1" x14ac:dyDescent="0.2">
      <c r="A393" s="39"/>
      <c r="B393" s="36"/>
      <c r="C393" s="38" t="s">
        <v>717</v>
      </c>
      <c r="D393" s="152"/>
      <c r="E393" s="400"/>
      <c r="F393" s="400"/>
      <c r="G393" s="400"/>
      <c r="H393" s="400"/>
      <c r="I393" s="62" t="str">
        <f t="shared" si="81"/>
        <v>kWh</v>
      </c>
      <c r="J393" s="249">
        <f t="shared" si="86"/>
        <v>595</v>
      </c>
      <c r="K393" s="270">
        <f t="shared" si="87"/>
        <v>0</v>
      </c>
      <c r="L393" s="271">
        <f t="shared" si="87"/>
        <v>0</v>
      </c>
      <c r="M393" s="271">
        <f t="shared" si="87"/>
        <v>0</v>
      </c>
      <c r="N393" s="272">
        <f t="shared" si="87"/>
        <v>595</v>
      </c>
      <c r="O393" s="86"/>
      <c r="R393" s="271"/>
      <c r="S393" s="271"/>
      <c r="T393" s="271"/>
      <c r="U393" s="271"/>
      <c r="V393" s="271"/>
      <c r="W393" s="271"/>
      <c r="X393" s="271"/>
      <c r="Y393" s="271"/>
      <c r="Z393" s="271"/>
      <c r="AA393" s="271"/>
      <c r="AB393" s="271"/>
      <c r="AC393" s="271"/>
    </row>
    <row r="394" spans="1:29" outlineLevel="1" x14ac:dyDescent="0.2">
      <c r="A394" s="39"/>
      <c r="B394" s="36"/>
      <c r="C394" s="38" t="s">
        <v>718</v>
      </c>
      <c r="D394" s="152"/>
      <c r="E394" s="400"/>
      <c r="F394" s="400"/>
      <c r="G394" s="400"/>
      <c r="H394" s="400"/>
      <c r="I394" s="62" t="str">
        <f t="shared" si="81"/>
        <v>kWh</v>
      </c>
      <c r="J394" s="249">
        <f t="shared" si="86"/>
        <v>0</v>
      </c>
      <c r="K394" s="270">
        <f t="shared" si="87"/>
        <v>0</v>
      </c>
      <c r="L394" s="271">
        <f t="shared" si="87"/>
        <v>0</v>
      </c>
      <c r="M394" s="271">
        <f t="shared" si="87"/>
        <v>0</v>
      </c>
      <c r="N394" s="272">
        <f t="shared" si="87"/>
        <v>0</v>
      </c>
      <c r="O394" s="86"/>
      <c r="R394" s="271"/>
      <c r="S394" s="271"/>
      <c r="T394" s="271"/>
      <c r="U394" s="271"/>
      <c r="V394" s="271"/>
      <c r="W394" s="271"/>
      <c r="X394" s="271"/>
      <c r="Y394" s="271"/>
      <c r="Z394" s="271"/>
      <c r="AA394" s="271"/>
      <c r="AB394" s="271"/>
      <c r="AC394" s="271"/>
    </row>
    <row r="395" spans="1:29" outlineLevel="1" x14ac:dyDescent="0.2">
      <c r="A395" s="39"/>
      <c r="B395" s="36"/>
      <c r="C395" s="38" t="s">
        <v>719</v>
      </c>
      <c r="D395" s="152"/>
      <c r="E395" s="400"/>
      <c r="F395" s="400"/>
      <c r="G395" s="400"/>
      <c r="H395" s="400"/>
      <c r="I395" s="62" t="str">
        <f t="shared" si="81"/>
        <v>kWh</v>
      </c>
      <c r="J395" s="249">
        <f t="shared" si="86"/>
        <v>0</v>
      </c>
      <c r="K395" s="270">
        <f t="shared" si="87"/>
        <v>0</v>
      </c>
      <c r="L395" s="271">
        <f t="shared" si="87"/>
        <v>0</v>
      </c>
      <c r="M395" s="271">
        <f t="shared" si="87"/>
        <v>0</v>
      </c>
      <c r="N395" s="272">
        <f t="shared" si="87"/>
        <v>0</v>
      </c>
      <c r="O395" s="86"/>
      <c r="R395" s="271"/>
      <c r="S395" s="271"/>
      <c r="T395" s="271"/>
      <c r="U395" s="271"/>
      <c r="V395" s="271"/>
      <c r="W395" s="271"/>
      <c r="X395" s="271"/>
      <c r="Y395" s="271"/>
      <c r="Z395" s="271"/>
      <c r="AA395" s="271"/>
      <c r="AB395" s="271"/>
      <c r="AC395" s="271"/>
    </row>
    <row r="396" spans="1:29" outlineLevel="1" x14ac:dyDescent="0.2">
      <c r="A396" s="39"/>
      <c r="B396" s="36"/>
      <c r="C396" s="38" t="s">
        <v>720</v>
      </c>
      <c r="D396" s="152"/>
      <c r="E396" s="400"/>
      <c r="F396" s="400"/>
      <c r="G396" s="400"/>
      <c r="H396" s="400"/>
      <c r="I396" s="62" t="str">
        <f t="shared" si="81"/>
        <v>kWh</v>
      </c>
      <c r="J396" s="249">
        <f t="shared" si="86"/>
        <v>0</v>
      </c>
      <c r="K396" s="270">
        <f t="shared" si="87"/>
        <v>0</v>
      </c>
      <c r="L396" s="271">
        <f t="shared" si="87"/>
        <v>0</v>
      </c>
      <c r="M396" s="271">
        <f t="shared" si="87"/>
        <v>0</v>
      </c>
      <c r="N396" s="272">
        <f t="shared" si="87"/>
        <v>0</v>
      </c>
      <c r="O396" s="86"/>
      <c r="R396" s="271"/>
      <c r="S396" s="271"/>
      <c r="T396" s="271"/>
      <c r="U396" s="271"/>
      <c r="V396" s="271"/>
      <c r="W396" s="271"/>
      <c r="X396" s="271"/>
      <c r="Y396" s="271"/>
      <c r="Z396" s="271"/>
      <c r="AA396" s="271"/>
      <c r="AB396" s="271"/>
      <c r="AC396" s="271"/>
    </row>
    <row r="397" spans="1:29" outlineLevel="1" x14ac:dyDescent="0.2">
      <c r="A397" s="39"/>
      <c r="B397" s="36"/>
      <c r="C397" s="38" t="s">
        <v>721</v>
      </c>
      <c r="D397" s="152"/>
      <c r="E397" s="400"/>
      <c r="F397" s="400"/>
      <c r="G397" s="400"/>
      <c r="H397" s="400"/>
      <c r="I397" s="62" t="str">
        <f t="shared" si="81"/>
        <v>kWh</v>
      </c>
      <c r="J397" s="249">
        <f t="shared" si="86"/>
        <v>0</v>
      </c>
      <c r="K397" s="270">
        <f t="shared" si="87"/>
        <v>0</v>
      </c>
      <c r="L397" s="271">
        <f t="shared" si="87"/>
        <v>0</v>
      </c>
      <c r="M397" s="271">
        <f t="shared" si="87"/>
        <v>0</v>
      </c>
      <c r="N397" s="272">
        <f t="shared" si="87"/>
        <v>0</v>
      </c>
      <c r="O397" s="86"/>
      <c r="R397" s="271"/>
      <c r="S397" s="271"/>
      <c r="T397" s="271"/>
      <c r="U397" s="271"/>
      <c r="V397" s="271"/>
      <c r="W397" s="271"/>
      <c r="X397" s="271"/>
      <c r="Y397" s="271"/>
      <c r="Z397" s="271"/>
      <c r="AA397" s="271"/>
      <c r="AB397" s="271"/>
      <c r="AC397" s="271"/>
    </row>
    <row r="398" spans="1:29" outlineLevel="1" x14ac:dyDescent="0.2">
      <c r="A398" s="39"/>
      <c r="B398" s="36"/>
      <c r="C398" s="38" t="s">
        <v>722</v>
      </c>
      <c r="D398" s="152"/>
      <c r="E398" s="400"/>
      <c r="F398" s="400"/>
      <c r="G398" s="400"/>
      <c r="H398" s="400"/>
      <c r="I398" s="62" t="str">
        <f t="shared" si="81"/>
        <v>kWh</v>
      </c>
      <c r="J398" s="249">
        <f t="shared" si="86"/>
        <v>0</v>
      </c>
      <c r="K398" s="270">
        <f t="shared" si="87"/>
        <v>0</v>
      </c>
      <c r="L398" s="271">
        <f t="shared" si="87"/>
        <v>0</v>
      </c>
      <c r="M398" s="271">
        <f t="shared" si="87"/>
        <v>0</v>
      </c>
      <c r="N398" s="272">
        <f t="shared" si="87"/>
        <v>0</v>
      </c>
      <c r="O398" s="86"/>
      <c r="R398" s="271"/>
      <c r="S398" s="271"/>
      <c r="T398" s="271"/>
      <c r="U398" s="271"/>
      <c r="V398" s="271"/>
      <c r="W398" s="271"/>
      <c r="X398" s="271"/>
      <c r="Y398" s="271"/>
      <c r="Z398" s="271"/>
      <c r="AA398" s="271"/>
      <c r="AB398" s="271"/>
      <c r="AC398" s="271"/>
    </row>
    <row r="399" spans="1:29" outlineLevel="1" x14ac:dyDescent="0.2">
      <c r="A399" s="39"/>
      <c r="B399" s="36"/>
      <c r="C399" s="38" t="s">
        <v>723</v>
      </c>
      <c r="D399" s="152"/>
      <c r="E399" s="400"/>
      <c r="F399" s="400"/>
      <c r="G399" s="400"/>
      <c r="H399" s="400"/>
      <c r="I399" s="62" t="str">
        <f t="shared" si="81"/>
        <v>kWh</v>
      </c>
      <c r="J399" s="249">
        <f t="shared" si="86"/>
        <v>770</v>
      </c>
      <c r="K399" s="270">
        <f t="shared" si="87"/>
        <v>0</v>
      </c>
      <c r="L399" s="271">
        <f t="shared" si="87"/>
        <v>0</v>
      </c>
      <c r="M399" s="271">
        <f t="shared" si="87"/>
        <v>0</v>
      </c>
      <c r="N399" s="272">
        <f t="shared" si="87"/>
        <v>770</v>
      </c>
      <c r="O399" s="86"/>
      <c r="R399" s="271"/>
      <c r="S399" s="271"/>
      <c r="T399" s="271"/>
      <c r="U399" s="271"/>
      <c r="V399" s="271"/>
      <c r="W399" s="271"/>
      <c r="X399" s="271"/>
      <c r="Y399" s="271"/>
      <c r="Z399" s="271"/>
      <c r="AA399" s="271"/>
      <c r="AB399" s="271"/>
      <c r="AC399" s="271"/>
    </row>
    <row r="400" spans="1:29" outlineLevel="1" x14ac:dyDescent="0.2">
      <c r="A400" s="39"/>
      <c r="B400" s="36"/>
      <c r="C400" s="38" t="s">
        <v>724</v>
      </c>
      <c r="D400" s="152"/>
      <c r="E400" s="400"/>
      <c r="F400" s="400"/>
      <c r="G400" s="400"/>
      <c r="H400" s="400"/>
      <c r="I400" s="62" t="str">
        <f t="shared" si="81"/>
        <v>kWh</v>
      </c>
      <c r="J400" s="249">
        <f t="shared" si="86"/>
        <v>1659</v>
      </c>
      <c r="K400" s="270">
        <f t="shared" si="87"/>
        <v>661.66666666666652</v>
      </c>
      <c r="L400" s="271">
        <f t="shared" si="87"/>
        <v>0</v>
      </c>
      <c r="M400" s="271">
        <f t="shared" si="87"/>
        <v>531.66666666666652</v>
      </c>
      <c r="N400" s="272">
        <f t="shared" si="87"/>
        <v>1659</v>
      </c>
      <c r="O400" s="86"/>
      <c r="R400" s="271"/>
      <c r="S400" s="271"/>
      <c r="T400" s="271"/>
      <c r="U400" s="271"/>
      <c r="V400" s="271"/>
      <c r="W400" s="271"/>
      <c r="X400" s="271"/>
      <c r="Y400" s="271"/>
      <c r="Z400" s="271"/>
      <c r="AA400" s="271"/>
      <c r="AB400" s="271"/>
      <c r="AC400" s="271"/>
    </row>
    <row r="401" spans="1:29" outlineLevel="1" x14ac:dyDescent="0.2">
      <c r="A401" s="39"/>
      <c r="B401" s="36"/>
      <c r="C401" s="38" t="s">
        <v>725</v>
      </c>
      <c r="D401" s="152"/>
      <c r="E401" s="400"/>
      <c r="F401" s="400"/>
      <c r="G401" s="400"/>
      <c r="H401" s="400"/>
      <c r="I401" s="62" t="str">
        <f t="shared" si="81"/>
        <v>kWh</v>
      </c>
      <c r="J401" s="313">
        <f t="shared" si="86"/>
        <v>2040</v>
      </c>
      <c r="K401" s="270">
        <f t="shared" si="87"/>
        <v>1066.6666666666665</v>
      </c>
      <c r="L401" s="271">
        <f t="shared" si="87"/>
        <v>166.66666666666652</v>
      </c>
      <c r="M401" s="271">
        <f t="shared" si="87"/>
        <v>966.66666666666652</v>
      </c>
      <c r="N401" s="272">
        <f t="shared" si="87"/>
        <v>2040</v>
      </c>
      <c r="O401" s="86"/>
      <c r="R401" s="271"/>
      <c r="S401" s="271"/>
      <c r="T401" s="271"/>
      <c r="U401" s="271"/>
      <c r="V401" s="271"/>
      <c r="W401" s="271"/>
      <c r="X401" s="271"/>
      <c r="Y401" s="271"/>
      <c r="Z401" s="271"/>
      <c r="AA401" s="271"/>
      <c r="AB401" s="271"/>
      <c r="AC401" s="271"/>
    </row>
    <row r="402" spans="1:29" x14ac:dyDescent="0.2">
      <c r="A402" s="39"/>
      <c r="B402" s="36"/>
      <c r="C402" s="38"/>
      <c r="D402" s="152"/>
      <c r="E402" s="400"/>
      <c r="F402" s="400"/>
      <c r="G402" s="400"/>
      <c r="H402" s="400"/>
      <c r="I402" s="62"/>
      <c r="J402" s="343"/>
      <c r="K402" s="270"/>
      <c r="L402" s="271"/>
      <c r="M402" s="271"/>
      <c r="N402" s="272"/>
      <c r="O402" s="86"/>
      <c r="R402" s="271"/>
      <c r="S402" s="271"/>
      <c r="T402" s="271"/>
      <c r="U402" s="271"/>
      <c r="V402" s="271"/>
      <c r="W402" s="271"/>
      <c r="X402" s="271"/>
      <c r="Y402" s="271"/>
      <c r="Z402" s="271"/>
      <c r="AA402" s="271"/>
      <c r="AB402" s="271"/>
      <c r="AC402" s="271"/>
    </row>
    <row r="403" spans="1:29" outlineLevel="1" x14ac:dyDescent="0.2">
      <c r="A403" s="39"/>
      <c r="B403" s="36"/>
      <c r="C403" s="38"/>
      <c r="D403" s="152"/>
      <c r="E403" s="400"/>
      <c r="F403" s="400"/>
      <c r="G403" s="400"/>
      <c r="H403" s="400"/>
      <c r="I403" s="62"/>
      <c r="J403" s="308"/>
      <c r="K403" s="61" t="str">
        <f>+ConvFactors!D32</f>
        <v>gas</v>
      </c>
      <c r="L403" s="44"/>
      <c r="M403" s="44"/>
      <c r="N403" s="62"/>
      <c r="O403" s="86" t="s">
        <v>2230</v>
      </c>
      <c r="R403" s="44"/>
      <c r="S403" s="44"/>
      <c r="T403" s="44"/>
      <c r="U403" s="44"/>
      <c r="V403" s="44"/>
      <c r="W403" s="44"/>
      <c r="X403" s="44"/>
      <c r="Y403" s="44"/>
      <c r="Z403" s="44"/>
      <c r="AA403" s="44"/>
      <c r="AB403" s="44"/>
      <c r="AC403" s="44"/>
    </row>
    <row r="404" spans="1:29" outlineLevel="1" x14ac:dyDescent="0.2">
      <c r="A404" s="39"/>
      <c r="B404" s="36"/>
      <c r="C404" s="38"/>
      <c r="D404" s="152"/>
      <c r="E404" s="400"/>
      <c r="F404" s="400"/>
      <c r="G404" s="400"/>
      <c r="H404" s="400"/>
      <c r="I404" s="62"/>
      <c r="J404" s="308"/>
      <c r="K404" s="61" t="str">
        <f>+ConvFactors!D33</f>
        <v>oil</v>
      </c>
      <c r="L404" s="44"/>
      <c r="M404" s="44"/>
      <c r="N404" s="62"/>
      <c r="O404" s="86"/>
      <c r="R404" s="44"/>
      <c r="S404" s="44"/>
      <c r="T404" s="44"/>
      <c r="U404" s="44"/>
      <c r="V404" s="44"/>
      <c r="W404" s="44"/>
      <c r="X404" s="44"/>
      <c r="Y404" s="44"/>
      <c r="Z404" s="44"/>
      <c r="AA404" s="44"/>
      <c r="AB404" s="44"/>
      <c r="AC404" s="44"/>
    </row>
    <row r="405" spans="1:29" outlineLevel="1" x14ac:dyDescent="0.2">
      <c r="A405" s="39"/>
      <c r="B405" s="36"/>
      <c r="C405" s="38"/>
      <c r="D405" s="152"/>
      <c r="E405" s="400"/>
      <c r="F405" s="400"/>
      <c r="G405" s="400"/>
      <c r="H405" s="400"/>
      <c r="I405" s="62"/>
      <c r="J405" s="308"/>
      <c r="K405" s="61" t="str">
        <f>+ConvFactors!D34</f>
        <v>coal</v>
      </c>
      <c r="L405" s="44"/>
      <c r="M405" s="44"/>
      <c r="N405" s="62"/>
      <c r="O405" s="86"/>
      <c r="R405" s="44"/>
      <c r="S405" s="44"/>
      <c r="T405" s="44"/>
      <c r="U405" s="44"/>
      <c r="V405" s="44"/>
      <c r="W405" s="44"/>
      <c r="X405" s="44"/>
      <c r="Y405" s="44"/>
      <c r="Z405" s="44"/>
      <c r="AA405" s="44"/>
      <c r="AB405" s="44"/>
      <c r="AC405" s="44"/>
    </row>
    <row r="406" spans="1:29" outlineLevel="1" x14ac:dyDescent="0.2">
      <c r="A406" s="39"/>
      <c r="B406" s="36"/>
      <c r="C406" s="38"/>
      <c r="D406" s="152"/>
      <c r="E406" s="400"/>
      <c r="F406" s="400"/>
      <c r="G406" s="400"/>
      <c r="H406" s="400"/>
      <c r="I406" s="62"/>
      <c r="J406" s="308"/>
      <c r="K406" s="61" t="str">
        <f>+ConvFactors!D35</f>
        <v>wood</v>
      </c>
      <c r="L406" s="44"/>
      <c r="M406" s="44"/>
      <c r="N406" s="62"/>
      <c r="O406" s="86"/>
      <c r="R406" s="44"/>
      <c r="S406" s="44"/>
      <c r="T406" s="44"/>
      <c r="U406" s="44"/>
      <c r="V406" s="44"/>
      <c r="W406" s="44"/>
      <c r="X406" s="44"/>
      <c r="Y406" s="44"/>
      <c r="Z406" s="44"/>
      <c r="AA406" s="44"/>
      <c r="AB406" s="44"/>
      <c r="AC406" s="44"/>
    </row>
    <row r="407" spans="1:29" outlineLevel="1" x14ac:dyDescent="0.2">
      <c r="A407" s="39"/>
      <c r="B407" s="36"/>
      <c r="C407" s="38"/>
      <c r="D407" s="152"/>
      <c r="E407" s="400"/>
      <c r="F407" s="400"/>
      <c r="G407" s="400"/>
      <c r="H407" s="400"/>
      <c r="I407" s="62"/>
      <c r="J407" s="308"/>
      <c r="K407" s="61" t="str">
        <f>+ConvFactors!D36</f>
        <v>biomass</v>
      </c>
      <c r="L407" s="44"/>
      <c r="M407" s="44"/>
      <c r="N407" s="62"/>
      <c r="O407" s="86"/>
      <c r="R407" s="44"/>
      <c r="S407" s="44"/>
      <c r="T407" s="44"/>
      <c r="U407" s="44"/>
      <c r="V407" s="44"/>
      <c r="W407" s="44"/>
      <c r="X407" s="44"/>
      <c r="Y407" s="44"/>
      <c r="Z407" s="44"/>
      <c r="AA407" s="44"/>
      <c r="AB407" s="44"/>
      <c r="AC407" s="44"/>
    </row>
    <row r="408" spans="1:29" outlineLevel="1" x14ac:dyDescent="0.2">
      <c r="A408" s="39"/>
      <c r="B408" s="36"/>
      <c r="C408" s="38"/>
      <c r="D408" s="152"/>
      <c r="E408" s="400"/>
      <c r="F408" s="400"/>
      <c r="G408" s="400"/>
      <c r="H408" s="400"/>
      <c r="I408" s="62"/>
      <c r="J408" s="308"/>
      <c r="K408" s="61" t="str">
        <f>+ConvFactors!D37</f>
        <v>custom</v>
      </c>
      <c r="L408" s="44"/>
      <c r="M408" s="44"/>
      <c r="N408" s="62"/>
      <c r="O408" s="86"/>
      <c r="R408" s="44"/>
      <c r="S408" s="44"/>
      <c r="T408" s="44"/>
      <c r="U408" s="44"/>
      <c r="V408" s="44"/>
      <c r="W408" s="44"/>
      <c r="X408" s="44"/>
      <c r="Y408" s="44"/>
      <c r="Z408" s="44"/>
      <c r="AA408" s="44"/>
      <c r="AB408" s="44"/>
      <c r="AC408" s="44"/>
    </row>
    <row r="409" spans="1:29" outlineLevel="1" x14ac:dyDescent="0.2">
      <c r="A409" s="39"/>
      <c r="B409" s="36"/>
      <c r="C409" s="38"/>
      <c r="D409" s="152"/>
      <c r="E409" s="400"/>
      <c r="F409" s="400"/>
      <c r="G409" s="400"/>
      <c r="H409" s="400"/>
      <c r="I409" s="62"/>
      <c r="J409" s="308"/>
      <c r="K409" s="61" t="str">
        <f>+ConvFactors!D38</f>
        <v>dh</v>
      </c>
      <c r="L409" s="44"/>
      <c r="M409" s="44"/>
      <c r="N409" s="62"/>
      <c r="O409" s="86"/>
      <c r="R409" s="44"/>
      <c r="S409" s="44"/>
      <c r="T409" s="44"/>
      <c r="U409" s="44"/>
      <c r="V409" s="44"/>
      <c r="W409" s="44"/>
      <c r="X409" s="44"/>
      <c r="Y409" s="44"/>
      <c r="Z409" s="44"/>
      <c r="AA409" s="44"/>
      <c r="AB409" s="44"/>
      <c r="AC409" s="44"/>
    </row>
    <row r="410" spans="1:29" x14ac:dyDescent="0.2">
      <c r="A410" s="39"/>
      <c r="B410" s="36" t="str">
        <f>INDEX(Language!D222:M222,1,_language)</f>
        <v>Boiler fuel</v>
      </c>
      <c r="C410" s="38"/>
      <c r="D410" s="152"/>
      <c r="E410" s="400"/>
      <c r="F410" s="400"/>
      <c r="G410" s="400"/>
      <c r="H410" s="400"/>
      <c r="I410" s="62"/>
      <c r="J410" s="313" t="str">
        <f>INDEX(K410:N410,,_case_en)</f>
        <v>gas</v>
      </c>
      <c r="K410" s="268" t="s">
        <v>36</v>
      </c>
      <c r="L410" s="269" t="s">
        <v>37</v>
      </c>
      <c r="M410" s="269" t="s">
        <v>38</v>
      </c>
      <c r="N410" s="62" t="str">
        <f>INDEX(R410:AC410,1,N$16)</f>
        <v>gas</v>
      </c>
      <c r="O410" s="86" t="s">
        <v>1328</v>
      </c>
      <c r="P410" s="1356" t="s">
        <v>1809</v>
      </c>
      <c r="R410" s="269" t="s">
        <v>36</v>
      </c>
      <c r="S410" s="269" t="s">
        <v>36</v>
      </c>
      <c r="T410" s="269" t="s">
        <v>36</v>
      </c>
      <c r="U410" s="269" t="s">
        <v>36</v>
      </c>
      <c r="V410" s="269" t="s">
        <v>36</v>
      </c>
      <c r="W410" s="269" t="s">
        <v>36</v>
      </c>
      <c r="X410" s="269" t="s">
        <v>36</v>
      </c>
      <c r="Y410" s="269" t="s">
        <v>36</v>
      </c>
      <c r="Z410" s="269" t="s">
        <v>36</v>
      </c>
      <c r="AA410" s="269" t="s">
        <v>36</v>
      </c>
      <c r="AB410" s="269" t="s">
        <v>36</v>
      </c>
      <c r="AC410" s="269" t="s">
        <v>36</v>
      </c>
    </row>
    <row r="411" spans="1:29" x14ac:dyDescent="0.2">
      <c r="A411" s="39"/>
      <c r="B411" s="36" t="str">
        <f>INDEX(Language!D223:M223,1,_language)</f>
        <v>Boiler efficiency</v>
      </c>
      <c r="C411" s="38" t="s">
        <v>727</v>
      </c>
      <c r="D411" s="152"/>
      <c r="E411" s="400"/>
      <c r="F411" s="400"/>
      <c r="G411" s="400"/>
      <c r="H411" s="400"/>
      <c r="I411" s="62" t="s">
        <v>10</v>
      </c>
      <c r="J411" s="313">
        <f>INDEX(K411:N411,,_case_en)</f>
        <v>90</v>
      </c>
      <c r="K411" s="177">
        <v>92</v>
      </c>
      <c r="L411" s="178">
        <v>90</v>
      </c>
      <c r="M411" s="178">
        <v>90</v>
      </c>
      <c r="N411" s="272">
        <f>INDEX(R411:AC411,1,N$16)</f>
        <v>90</v>
      </c>
      <c r="O411" s="1079" t="s">
        <v>1762</v>
      </c>
      <c r="R411" s="178">
        <v>90</v>
      </c>
      <c r="S411" s="178">
        <v>90</v>
      </c>
      <c r="T411" s="178">
        <v>90</v>
      </c>
      <c r="U411" s="178">
        <v>90</v>
      </c>
      <c r="V411" s="178">
        <v>90</v>
      </c>
      <c r="W411" s="178">
        <v>90</v>
      </c>
      <c r="X411" s="178">
        <v>90</v>
      </c>
      <c r="Y411" s="178">
        <v>90</v>
      </c>
      <c r="Z411" s="178">
        <v>90</v>
      </c>
      <c r="AA411" s="178">
        <v>90</v>
      </c>
      <c r="AB411" s="178">
        <v>90</v>
      </c>
      <c r="AC411" s="178">
        <v>90</v>
      </c>
    </row>
    <row r="412" spans="1:29" x14ac:dyDescent="0.2">
      <c r="A412" s="39"/>
      <c r="B412" s="36" t="str">
        <f>INDEX(Language!D225:M225,1,_language)</f>
        <v>Boiler input</v>
      </c>
      <c r="C412" s="38" t="s">
        <v>728</v>
      </c>
      <c r="D412" s="152" t="str">
        <f t="shared" ref="D412:D424" si="88">INDEX(E412:H412,,_case_en)</f>
        <v>gas_y</v>
      </c>
      <c r="E412" s="430" t="str">
        <f t="shared" ref="E412:E424" si="89">+K$410&amp;$AF18</f>
        <v>gas_y</v>
      </c>
      <c r="F412" s="430" t="str">
        <f t="shared" ref="F412:F424" si="90">+L$410&amp;$AF18</f>
        <v>oil_y</v>
      </c>
      <c r="G412" s="430" t="str">
        <f t="shared" ref="G412:G424" si="91">+M$410&amp;$AF18</f>
        <v>coal_y</v>
      </c>
      <c r="H412" s="312" t="str">
        <f t="shared" ref="H412:H424" si="92">+N$410&amp;$AF18</f>
        <v>gas_y</v>
      </c>
      <c r="I412" s="62" t="str">
        <f t="shared" ref="I412:I438" si="93">+_En_unit</f>
        <v>kWh</v>
      </c>
      <c r="J412" s="307">
        <f>SUM(J413:J424)</f>
        <v>11965.555555555555</v>
      </c>
      <c r="K412" s="270">
        <f>SUM(K413:K424)</f>
        <v>4731.884057971014</v>
      </c>
      <c r="L412" s="271">
        <f>SUM(L413:L424)</f>
        <v>972.22222222222172</v>
      </c>
      <c r="M412" s="271">
        <f>SUM(M413:M424)</f>
        <v>4118.5185185185182</v>
      </c>
      <c r="N412" s="272">
        <f>SUM(N413:N424)</f>
        <v>11965.555555555555</v>
      </c>
      <c r="O412" s="1079" t="s">
        <v>1762</v>
      </c>
      <c r="P412" s="1356" t="s">
        <v>1809</v>
      </c>
      <c r="R412" s="271"/>
      <c r="S412" s="271"/>
      <c r="T412" s="271"/>
      <c r="U412" s="271"/>
      <c r="V412" s="271"/>
      <c r="W412" s="271"/>
      <c r="X412" s="271"/>
      <c r="Y412" s="271"/>
      <c r="Z412" s="271"/>
      <c r="AA412" s="271"/>
      <c r="AB412" s="271"/>
      <c r="AC412" s="271"/>
    </row>
    <row r="413" spans="1:29" outlineLevel="1" x14ac:dyDescent="0.2">
      <c r="A413" s="39"/>
      <c r="B413" s="991" t="s">
        <v>1762</v>
      </c>
      <c r="C413" s="38" t="s">
        <v>729</v>
      </c>
      <c r="D413" s="152" t="str">
        <f t="shared" si="88"/>
        <v>gas_t1</v>
      </c>
      <c r="E413" s="430" t="str">
        <f t="shared" si="89"/>
        <v>gas_t1</v>
      </c>
      <c r="F413" s="430" t="str">
        <f t="shared" si="90"/>
        <v>oil_t1</v>
      </c>
      <c r="G413" s="430" t="str">
        <f t="shared" si="91"/>
        <v>coal_t1</v>
      </c>
      <c r="H413" s="312" t="str">
        <f t="shared" si="92"/>
        <v>gas_t1</v>
      </c>
      <c r="I413" s="62" t="str">
        <f t="shared" si="93"/>
        <v>kWh</v>
      </c>
      <c r="J413" s="313">
        <f t="shared" ref="J413:J425" si="94">INDEX(K413:N413,,_case_en)</f>
        <v>2822.2222222222222</v>
      </c>
      <c r="K413" s="270">
        <f t="shared" ref="K413:N424" si="95">+K390*100/K$411</f>
        <v>1702.8985507246375</v>
      </c>
      <c r="L413" s="271">
        <f t="shared" si="95"/>
        <v>740.74074074074065</v>
      </c>
      <c r="M413" s="271">
        <f t="shared" si="95"/>
        <v>1629.6296296296296</v>
      </c>
      <c r="N413" s="272">
        <f t="shared" si="95"/>
        <v>2822.2222222222222</v>
      </c>
      <c r="O413" s="86"/>
      <c r="R413" s="271"/>
      <c r="S413" s="271"/>
      <c r="T413" s="271"/>
      <c r="U413" s="271"/>
      <c r="V413" s="271"/>
      <c r="W413" s="271"/>
      <c r="X413" s="271"/>
      <c r="Y413" s="271"/>
      <c r="Z413" s="271"/>
      <c r="AA413" s="271"/>
      <c r="AB413" s="271"/>
      <c r="AC413" s="271"/>
    </row>
    <row r="414" spans="1:29" outlineLevel="1" x14ac:dyDescent="0.2">
      <c r="A414" s="39"/>
      <c r="B414" s="36"/>
      <c r="C414" s="38" t="s">
        <v>730</v>
      </c>
      <c r="D414" s="152" t="str">
        <f t="shared" si="88"/>
        <v>gas_t2</v>
      </c>
      <c r="E414" s="430" t="str">
        <f t="shared" si="89"/>
        <v>gas_t2</v>
      </c>
      <c r="F414" s="430" t="str">
        <f t="shared" si="90"/>
        <v>oil_t2</v>
      </c>
      <c r="G414" s="430" t="str">
        <f t="shared" si="91"/>
        <v>coal_t2</v>
      </c>
      <c r="H414" s="312" t="str">
        <f t="shared" si="92"/>
        <v>gas_t2</v>
      </c>
      <c r="I414" s="62" t="str">
        <f t="shared" si="93"/>
        <v>kWh</v>
      </c>
      <c r="J414" s="313">
        <f t="shared" si="94"/>
        <v>2116.6666666666665</v>
      </c>
      <c r="K414" s="270">
        <f t="shared" si="95"/>
        <v>969.20289855072451</v>
      </c>
      <c r="L414" s="271">
        <f t="shared" si="95"/>
        <v>46.296296296296127</v>
      </c>
      <c r="M414" s="271">
        <f t="shared" si="95"/>
        <v>824.07407407407402</v>
      </c>
      <c r="N414" s="272">
        <f t="shared" si="95"/>
        <v>2116.6666666666665</v>
      </c>
      <c r="O414" s="86"/>
      <c r="R414" s="271"/>
      <c r="S414" s="271"/>
      <c r="T414" s="271"/>
      <c r="U414" s="271"/>
      <c r="V414" s="271"/>
      <c r="W414" s="271"/>
      <c r="X414" s="271"/>
      <c r="Y414" s="271"/>
      <c r="Z414" s="271"/>
      <c r="AA414" s="271"/>
      <c r="AB414" s="271"/>
      <c r="AC414" s="271"/>
    </row>
    <row r="415" spans="1:29" outlineLevel="1" x14ac:dyDescent="0.2">
      <c r="A415" s="39"/>
      <c r="B415" s="36"/>
      <c r="C415" s="38" t="s">
        <v>731</v>
      </c>
      <c r="D415" s="152" t="str">
        <f t="shared" si="88"/>
        <v>gas_t3</v>
      </c>
      <c r="E415" s="430" t="str">
        <f t="shared" si="89"/>
        <v>gas_t3</v>
      </c>
      <c r="F415" s="430" t="str">
        <f t="shared" si="90"/>
        <v>oil_t3</v>
      </c>
      <c r="G415" s="430" t="str">
        <f t="shared" si="91"/>
        <v>coal_t3</v>
      </c>
      <c r="H415" s="312" t="str">
        <f t="shared" si="92"/>
        <v>gas_t3</v>
      </c>
      <c r="I415" s="62" t="str">
        <f t="shared" si="93"/>
        <v>kWh</v>
      </c>
      <c r="J415" s="313">
        <f t="shared" si="94"/>
        <v>1400</v>
      </c>
      <c r="K415" s="270">
        <f t="shared" si="95"/>
        <v>181.15942028985489</v>
      </c>
      <c r="L415" s="271">
        <f t="shared" si="95"/>
        <v>0</v>
      </c>
      <c r="M415" s="271">
        <f t="shared" si="95"/>
        <v>0</v>
      </c>
      <c r="N415" s="272">
        <f t="shared" si="95"/>
        <v>1400</v>
      </c>
      <c r="O415" s="86"/>
      <c r="R415" s="271"/>
      <c r="S415" s="271"/>
      <c r="T415" s="271"/>
      <c r="U415" s="271"/>
      <c r="V415" s="271"/>
      <c r="W415" s="271"/>
      <c r="X415" s="271"/>
      <c r="Y415" s="271"/>
      <c r="Z415" s="271"/>
      <c r="AA415" s="271"/>
      <c r="AB415" s="271"/>
      <c r="AC415" s="271"/>
    </row>
    <row r="416" spans="1:29" outlineLevel="1" x14ac:dyDescent="0.2">
      <c r="A416" s="39"/>
      <c r="B416" s="36"/>
      <c r="C416" s="38" t="s">
        <v>732</v>
      </c>
      <c r="D416" s="152" t="str">
        <f t="shared" si="88"/>
        <v>gas_t4</v>
      </c>
      <c r="E416" s="430" t="str">
        <f t="shared" si="89"/>
        <v>gas_t4</v>
      </c>
      <c r="F416" s="430" t="str">
        <f t="shared" si="90"/>
        <v>oil_t4</v>
      </c>
      <c r="G416" s="430" t="str">
        <f t="shared" si="91"/>
        <v>coal_t4</v>
      </c>
      <c r="H416" s="312" t="str">
        <f t="shared" si="92"/>
        <v>gas_t4</v>
      </c>
      <c r="I416" s="62" t="str">
        <f t="shared" si="93"/>
        <v>kWh</v>
      </c>
      <c r="J416" s="313">
        <f t="shared" si="94"/>
        <v>661.11111111111109</v>
      </c>
      <c r="K416" s="270">
        <f t="shared" si="95"/>
        <v>0</v>
      </c>
      <c r="L416" s="271">
        <f t="shared" si="95"/>
        <v>0</v>
      </c>
      <c r="M416" s="271">
        <f t="shared" si="95"/>
        <v>0</v>
      </c>
      <c r="N416" s="272">
        <f t="shared" si="95"/>
        <v>661.11111111111109</v>
      </c>
      <c r="O416" s="86"/>
      <c r="R416" s="271"/>
      <c r="S416" s="271"/>
      <c r="T416" s="271"/>
      <c r="U416" s="271"/>
      <c r="V416" s="271"/>
      <c r="W416" s="271"/>
      <c r="X416" s="271"/>
      <c r="Y416" s="271"/>
      <c r="Z416" s="271"/>
      <c r="AA416" s="271"/>
      <c r="AB416" s="271"/>
      <c r="AC416" s="271"/>
    </row>
    <row r="417" spans="1:29" outlineLevel="1" x14ac:dyDescent="0.2">
      <c r="A417" s="39"/>
      <c r="B417" s="36"/>
      <c r="C417" s="38" t="s">
        <v>733</v>
      </c>
      <c r="D417" s="152" t="str">
        <f t="shared" si="88"/>
        <v>gas_t5</v>
      </c>
      <c r="E417" s="430" t="str">
        <f t="shared" si="89"/>
        <v>gas_t5</v>
      </c>
      <c r="F417" s="430" t="str">
        <f t="shared" si="90"/>
        <v>oil_t5</v>
      </c>
      <c r="G417" s="430" t="str">
        <f t="shared" si="91"/>
        <v>coal_t5</v>
      </c>
      <c r="H417" s="312" t="str">
        <f t="shared" si="92"/>
        <v>gas_t5</v>
      </c>
      <c r="I417" s="62" t="str">
        <f t="shared" si="93"/>
        <v>kWh</v>
      </c>
      <c r="J417" s="313">
        <f t="shared" si="94"/>
        <v>0</v>
      </c>
      <c r="K417" s="270">
        <f t="shared" si="95"/>
        <v>0</v>
      </c>
      <c r="L417" s="271">
        <f t="shared" si="95"/>
        <v>0</v>
      </c>
      <c r="M417" s="271">
        <f t="shared" si="95"/>
        <v>0</v>
      </c>
      <c r="N417" s="272">
        <f t="shared" si="95"/>
        <v>0</v>
      </c>
      <c r="O417" s="86"/>
      <c r="R417" s="271"/>
      <c r="S417" s="271"/>
      <c r="T417" s="271"/>
      <c r="U417" s="271"/>
      <c r="V417" s="271"/>
      <c r="W417" s="271"/>
      <c r="X417" s="271"/>
      <c r="Y417" s="271"/>
      <c r="Z417" s="271"/>
      <c r="AA417" s="271"/>
      <c r="AB417" s="271"/>
      <c r="AC417" s="271"/>
    </row>
    <row r="418" spans="1:29" outlineLevel="1" x14ac:dyDescent="0.2">
      <c r="A418" s="39"/>
      <c r="B418" s="36"/>
      <c r="C418" s="38" t="s">
        <v>734</v>
      </c>
      <c r="D418" s="152" t="str">
        <f t="shared" si="88"/>
        <v>gas_t6</v>
      </c>
      <c r="E418" s="430" t="str">
        <f t="shared" si="89"/>
        <v>gas_t6</v>
      </c>
      <c r="F418" s="430" t="str">
        <f t="shared" si="90"/>
        <v>oil_t6</v>
      </c>
      <c r="G418" s="430" t="str">
        <f t="shared" si="91"/>
        <v>coal_t6</v>
      </c>
      <c r="H418" s="312" t="str">
        <f t="shared" si="92"/>
        <v>gas_t6</v>
      </c>
      <c r="I418" s="62" t="str">
        <f t="shared" si="93"/>
        <v>kWh</v>
      </c>
      <c r="J418" s="313">
        <f t="shared" si="94"/>
        <v>0</v>
      </c>
      <c r="K418" s="270">
        <f t="shared" si="95"/>
        <v>0</v>
      </c>
      <c r="L418" s="271">
        <f t="shared" si="95"/>
        <v>0</v>
      </c>
      <c r="M418" s="271">
        <f t="shared" si="95"/>
        <v>0</v>
      </c>
      <c r="N418" s="272">
        <f t="shared" si="95"/>
        <v>0</v>
      </c>
      <c r="O418" s="86"/>
      <c r="R418" s="271"/>
      <c r="S418" s="271"/>
      <c r="T418" s="271"/>
      <c r="U418" s="271"/>
      <c r="V418" s="271"/>
      <c r="W418" s="271"/>
      <c r="X418" s="271"/>
      <c r="Y418" s="271"/>
      <c r="Z418" s="271"/>
      <c r="AA418" s="271"/>
      <c r="AB418" s="271"/>
      <c r="AC418" s="271"/>
    </row>
    <row r="419" spans="1:29" outlineLevel="1" x14ac:dyDescent="0.2">
      <c r="A419" s="39"/>
      <c r="B419" s="36"/>
      <c r="C419" s="38" t="s">
        <v>735</v>
      </c>
      <c r="D419" s="152" t="str">
        <f t="shared" si="88"/>
        <v>gas_t7</v>
      </c>
      <c r="E419" s="430" t="str">
        <f t="shared" si="89"/>
        <v>gas_t7</v>
      </c>
      <c r="F419" s="430" t="str">
        <f t="shared" si="90"/>
        <v>oil_t7</v>
      </c>
      <c r="G419" s="430" t="str">
        <f t="shared" si="91"/>
        <v>coal_t7</v>
      </c>
      <c r="H419" s="312" t="str">
        <f t="shared" si="92"/>
        <v>gas_t7</v>
      </c>
      <c r="I419" s="62" t="str">
        <f t="shared" si="93"/>
        <v>kWh</v>
      </c>
      <c r="J419" s="313">
        <f t="shared" si="94"/>
        <v>0</v>
      </c>
      <c r="K419" s="270">
        <f t="shared" si="95"/>
        <v>0</v>
      </c>
      <c r="L419" s="271">
        <f t="shared" si="95"/>
        <v>0</v>
      </c>
      <c r="M419" s="271">
        <f t="shared" si="95"/>
        <v>0</v>
      </c>
      <c r="N419" s="272">
        <f t="shared" si="95"/>
        <v>0</v>
      </c>
      <c r="O419" s="86"/>
      <c r="R419" s="271"/>
      <c r="S419" s="271"/>
      <c r="T419" s="271"/>
      <c r="U419" s="271"/>
      <c r="V419" s="271"/>
      <c r="W419" s="271"/>
      <c r="X419" s="271"/>
      <c r="Y419" s="271"/>
      <c r="Z419" s="271"/>
      <c r="AA419" s="271"/>
      <c r="AB419" s="271"/>
      <c r="AC419" s="271"/>
    </row>
    <row r="420" spans="1:29" outlineLevel="1" x14ac:dyDescent="0.2">
      <c r="A420" s="39"/>
      <c r="B420" s="36"/>
      <c r="C420" s="38" t="s">
        <v>736</v>
      </c>
      <c r="D420" s="152" t="str">
        <f t="shared" si="88"/>
        <v>gas_t8</v>
      </c>
      <c r="E420" s="430" t="str">
        <f t="shared" si="89"/>
        <v>gas_t8</v>
      </c>
      <c r="F420" s="430" t="str">
        <f t="shared" si="90"/>
        <v>oil_t8</v>
      </c>
      <c r="G420" s="430" t="str">
        <f t="shared" si="91"/>
        <v>coal_t8</v>
      </c>
      <c r="H420" s="312" t="str">
        <f t="shared" si="92"/>
        <v>gas_t8</v>
      </c>
      <c r="I420" s="62" t="str">
        <f t="shared" si="93"/>
        <v>kWh</v>
      </c>
      <c r="J420" s="313">
        <f t="shared" si="94"/>
        <v>0</v>
      </c>
      <c r="K420" s="270">
        <f t="shared" si="95"/>
        <v>0</v>
      </c>
      <c r="L420" s="271">
        <f t="shared" si="95"/>
        <v>0</v>
      </c>
      <c r="M420" s="271">
        <f t="shared" si="95"/>
        <v>0</v>
      </c>
      <c r="N420" s="272">
        <f t="shared" si="95"/>
        <v>0</v>
      </c>
      <c r="O420" s="86"/>
      <c r="R420" s="271"/>
      <c r="S420" s="271"/>
      <c r="T420" s="271"/>
      <c r="U420" s="271"/>
      <c r="V420" s="271"/>
      <c r="W420" s="271"/>
      <c r="X420" s="271"/>
      <c r="Y420" s="271"/>
      <c r="Z420" s="271"/>
      <c r="AA420" s="271"/>
      <c r="AB420" s="271"/>
      <c r="AC420" s="271"/>
    </row>
    <row r="421" spans="1:29" outlineLevel="1" x14ac:dyDescent="0.2">
      <c r="A421" s="39"/>
      <c r="B421" s="36"/>
      <c r="C421" s="38" t="s">
        <v>737</v>
      </c>
      <c r="D421" s="152" t="str">
        <f t="shared" si="88"/>
        <v>gas_t9</v>
      </c>
      <c r="E421" s="430" t="str">
        <f t="shared" si="89"/>
        <v>gas_t9</v>
      </c>
      <c r="F421" s="430" t="str">
        <f t="shared" si="90"/>
        <v>oil_t9</v>
      </c>
      <c r="G421" s="430" t="str">
        <f t="shared" si="91"/>
        <v>coal_t9</v>
      </c>
      <c r="H421" s="312" t="str">
        <f t="shared" si="92"/>
        <v>gas_t9</v>
      </c>
      <c r="I421" s="62" t="str">
        <f t="shared" si="93"/>
        <v>kWh</v>
      </c>
      <c r="J421" s="313">
        <f t="shared" si="94"/>
        <v>0</v>
      </c>
      <c r="K421" s="270">
        <f t="shared" si="95"/>
        <v>0</v>
      </c>
      <c r="L421" s="271">
        <f t="shared" si="95"/>
        <v>0</v>
      </c>
      <c r="M421" s="271">
        <f t="shared" si="95"/>
        <v>0</v>
      </c>
      <c r="N421" s="272">
        <f t="shared" si="95"/>
        <v>0</v>
      </c>
      <c r="O421" s="86"/>
      <c r="R421" s="271"/>
      <c r="S421" s="271"/>
      <c r="T421" s="271"/>
      <c r="U421" s="271"/>
      <c r="V421" s="271"/>
      <c r="W421" s="271"/>
      <c r="X421" s="271"/>
      <c r="Y421" s="271"/>
      <c r="Z421" s="271"/>
      <c r="AA421" s="271"/>
      <c r="AB421" s="271"/>
      <c r="AC421" s="271"/>
    </row>
    <row r="422" spans="1:29" outlineLevel="1" x14ac:dyDescent="0.2">
      <c r="A422" s="39"/>
      <c r="B422" s="36"/>
      <c r="C422" s="38" t="s">
        <v>738</v>
      </c>
      <c r="D422" s="152" t="str">
        <f t="shared" si="88"/>
        <v>gas_t10</v>
      </c>
      <c r="E422" s="430" t="str">
        <f t="shared" si="89"/>
        <v>gas_t10</v>
      </c>
      <c r="F422" s="430" t="str">
        <f t="shared" si="90"/>
        <v>oil_t10</v>
      </c>
      <c r="G422" s="430" t="str">
        <f t="shared" si="91"/>
        <v>coal_t10</v>
      </c>
      <c r="H422" s="312" t="str">
        <f t="shared" si="92"/>
        <v>gas_t10</v>
      </c>
      <c r="I422" s="62" t="str">
        <f t="shared" si="93"/>
        <v>kWh</v>
      </c>
      <c r="J422" s="313">
        <f t="shared" si="94"/>
        <v>855.55555555555554</v>
      </c>
      <c r="K422" s="270">
        <f t="shared" si="95"/>
        <v>0</v>
      </c>
      <c r="L422" s="271">
        <f t="shared" si="95"/>
        <v>0</v>
      </c>
      <c r="M422" s="271">
        <f t="shared" si="95"/>
        <v>0</v>
      </c>
      <c r="N422" s="272">
        <f t="shared" si="95"/>
        <v>855.55555555555554</v>
      </c>
      <c r="O422" s="86"/>
      <c r="R422" s="271"/>
      <c r="S422" s="271"/>
      <c r="T422" s="271"/>
      <c r="U422" s="271"/>
      <c r="V422" s="271"/>
      <c r="W422" s="271"/>
      <c r="X422" s="271"/>
      <c r="Y422" s="271"/>
      <c r="Z422" s="271"/>
      <c r="AA422" s="271"/>
      <c r="AB422" s="271"/>
      <c r="AC422" s="271"/>
    </row>
    <row r="423" spans="1:29" outlineLevel="1" x14ac:dyDescent="0.2">
      <c r="A423" s="39"/>
      <c r="B423" s="36"/>
      <c r="C423" s="38" t="s">
        <v>739</v>
      </c>
      <c r="D423" s="152" t="str">
        <f t="shared" si="88"/>
        <v>gas_t11</v>
      </c>
      <c r="E423" s="430" t="str">
        <f t="shared" si="89"/>
        <v>gas_t11</v>
      </c>
      <c r="F423" s="430" t="str">
        <f t="shared" si="90"/>
        <v>oil_t11</v>
      </c>
      <c r="G423" s="430" t="str">
        <f t="shared" si="91"/>
        <v>coal_t11</v>
      </c>
      <c r="H423" s="312" t="str">
        <f t="shared" si="92"/>
        <v>gas_t11</v>
      </c>
      <c r="I423" s="62" t="str">
        <f t="shared" si="93"/>
        <v>kWh</v>
      </c>
      <c r="J423" s="313">
        <f t="shared" si="94"/>
        <v>1843.3333333333333</v>
      </c>
      <c r="K423" s="270">
        <f t="shared" si="95"/>
        <v>719.20289855072451</v>
      </c>
      <c r="L423" s="271">
        <f t="shared" si="95"/>
        <v>0</v>
      </c>
      <c r="M423" s="271">
        <f t="shared" si="95"/>
        <v>590.74074074074053</v>
      </c>
      <c r="N423" s="272">
        <f t="shared" si="95"/>
        <v>1843.3333333333333</v>
      </c>
      <c r="O423" s="86"/>
      <c r="R423" s="271"/>
      <c r="S423" s="271"/>
      <c r="T423" s="271"/>
      <c r="U423" s="271"/>
      <c r="V423" s="271"/>
      <c r="W423" s="271"/>
      <c r="X423" s="271"/>
      <c r="Y423" s="271"/>
      <c r="Z423" s="271"/>
      <c r="AA423" s="271"/>
      <c r="AB423" s="271"/>
      <c r="AC423" s="271"/>
    </row>
    <row r="424" spans="1:29" outlineLevel="1" x14ac:dyDescent="0.2">
      <c r="A424" s="39"/>
      <c r="B424" s="36"/>
      <c r="C424" s="38" t="s">
        <v>740</v>
      </c>
      <c r="D424" s="152" t="str">
        <f t="shared" si="88"/>
        <v>gas_t12</v>
      </c>
      <c r="E424" s="430" t="str">
        <f t="shared" si="89"/>
        <v>gas_t12</v>
      </c>
      <c r="F424" s="430" t="str">
        <f t="shared" si="90"/>
        <v>oil_t12</v>
      </c>
      <c r="G424" s="430" t="str">
        <f t="shared" si="91"/>
        <v>coal_t12</v>
      </c>
      <c r="H424" s="312" t="str">
        <f t="shared" si="92"/>
        <v>gas_t12</v>
      </c>
      <c r="I424" s="62" t="str">
        <f t="shared" si="93"/>
        <v>kWh</v>
      </c>
      <c r="J424" s="313">
        <f t="shared" si="94"/>
        <v>2266.6666666666665</v>
      </c>
      <c r="K424" s="270">
        <f t="shared" si="95"/>
        <v>1159.4202898550723</v>
      </c>
      <c r="L424" s="271">
        <f t="shared" si="95"/>
        <v>185.18518518518499</v>
      </c>
      <c r="M424" s="271">
        <f t="shared" si="95"/>
        <v>1074.0740740740739</v>
      </c>
      <c r="N424" s="272">
        <f t="shared" si="95"/>
        <v>2266.6666666666665</v>
      </c>
      <c r="O424" s="86"/>
      <c r="R424" s="271"/>
      <c r="S424" s="271"/>
      <c r="T424" s="271"/>
      <c r="U424" s="271"/>
      <c r="V424" s="271"/>
      <c r="W424" s="271"/>
      <c r="X424" s="271"/>
      <c r="Y424" s="271"/>
      <c r="Z424" s="271"/>
      <c r="AA424" s="271"/>
      <c r="AB424" s="271"/>
      <c r="AC424" s="271"/>
    </row>
    <row r="425" spans="1:29" x14ac:dyDescent="0.2">
      <c r="A425" s="39"/>
      <c r="B425" s="36" t="str">
        <f>INDEX(Language!D224:M224,1,_language)</f>
        <v>Boiler auxiliary energy</v>
      </c>
      <c r="C425" s="38" t="s">
        <v>741</v>
      </c>
      <c r="D425" s="152"/>
      <c r="E425" s="400"/>
      <c r="F425" s="400"/>
      <c r="G425" s="400"/>
      <c r="H425" s="400"/>
      <c r="I425" s="62" t="s">
        <v>10</v>
      </c>
      <c r="J425" s="314">
        <f t="shared" si="94"/>
        <v>3</v>
      </c>
      <c r="K425" s="310">
        <v>3</v>
      </c>
      <c r="L425" s="311">
        <v>3</v>
      </c>
      <c r="M425" s="311">
        <v>3</v>
      </c>
      <c r="N425" s="805">
        <f>INDEX(R425:AC425,1,N$16)</f>
        <v>3</v>
      </c>
      <c r="O425" s="86" t="s">
        <v>743</v>
      </c>
      <c r="R425" s="311">
        <v>3</v>
      </c>
      <c r="S425" s="311">
        <v>3</v>
      </c>
      <c r="T425" s="311">
        <v>3</v>
      </c>
      <c r="U425" s="311">
        <v>3</v>
      </c>
      <c r="V425" s="311">
        <v>3</v>
      </c>
      <c r="W425" s="311">
        <v>3</v>
      </c>
      <c r="X425" s="311">
        <v>3</v>
      </c>
      <c r="Y425" s="311">
        <v>3</v>
      </c>
      <c r="Z425" s="311">
        <v>3</v>
      </c>
      <c r="AA425" s="311">
        <v>3</v>
      </c>
      <c r="AB425" s="311">
        <v>3</v>
      </c>
      <c r="AC425" s="311">
        <v>3</v>
      </c>
    </row>
    <row r="426" spans="1:29" x14ac:dyDescent="0.2">
      <c r="A426" s="39"/>
      <c r="B426" s="991" t="s">
        <v>1762</v>
      </c>
      <c r="C426" s="38" t="s">
        <v>741</v>
      </c>
      <c r="D426" s="152" t="str">
        <f t="shared" ref="D426:D438" si="96">INDEX(E426:H426,,_case_en)</f>
        <v>el_us_y</v>
      </c>
      <c r="E426" s="425" t="s">
        <v>900</v>
      </c>
      <c r="F426" s="425" t="s">
        <v>900</v>
      </c>
      <c r="G426" s="425" t="s">
        <v>900</v>
      </c>
      <c r="H426" s="909" t="s">
        <v>900</v>
      </c>
      <c r="I426" s="62" t="str">
        <f t="shared" si="93"/>
        <v>kWh</v>
      </c>
      <c r="J426" s="307">
        <f>SUM(J427:J438)</f>
        <v>358.96666666666664</v>
      </c>
      <c r="K426" s="270">
        <f>SUM(K427:K438)</f>
        <v>141.95652173913038</v>
      </c>
      <c r="L426" s="271">
        <f>SUM(L427:L438)</f>
        <v>29.16666666666665</v>
      </c>
      <c r="M426" s="271">
        <f>SUM(M427:M438)</f>
        <v>123.55555555555554</v>
      </c>
      <c r="N426" s="272">
        <f>SUM(N427:N438)</f>
        <v>358.96666666666664</v>
      </c>
      <c r="O426" s="1079" t="s">
        <v>1762</v>
      </c>
      <c r="P426" s="1356" t="s">
        <v>1809</v>
      </c>
      <c r="R426" s="271"/>
      <c r="S426" s="271"/>
      <c r="T426" s="271"/>
      <c r="U426" s="271"/>
      <c r="V426" s="271"/>
      <c r="W426" s="271"/>
      <c r="X426" s="271"/>
      <c r="Y426" s="271"/>
      <c r="Z426" s="271"/>
      <c r="AA426" s="271"/>
      <c r="AB426" s="271"/>
      <c r="AC426" s="271"/>
    </row>
    <row r="427" spans="1:29" outlineLevel="1" x14ac:dyDescent="0.2">
      <c r="A427" s="39"/>
      <c r="B427" s="36"/>
      <c r="C427" s="38" t="s">
        <v>742</v>
      </c>
      <c r="D427" s="206" t="str">
        <f t="shared" si="96"/>
        <v>el_us_t1</v>
      </c>
      <c r="E427" s="427" t="s">
        <v>914</v>
      </c>
      <c r="F427" s="427" t="s">
        <v>914</v>
      </c>
      <c r="G427" s="427" t="s">
        <v>914</v>
      </c>
      <c r="H427" s="402" t="s">
        <v>914</v>
      </c>
      <c r="I427" s="62" t="str">
        <f t="shared" si="93"/>
        <v>kWh</v>
      </c>
      <c r="J427" s="313">
        <f t="shared" ref="J427:J438" si="97">INDEX(K427:N427,,_case_en)</f>
        <v>84.666666666666657</v>
      </c>
      <c r="K427" s="270">
        <f t="shared" ref="K427:N438" si="98">+K413*K$425/100</f>
        <v>51.086956521739118</v>
      </c>
      <c r="L427" s="271">
        <f t="shared" si="98"/>
        <v>22.222222222222218</v>
      </c>
      <c r="M427" s="271">
        <f t="shared" si="98"/>
        <v>48.888888888888886</v>
      </c>
      <c r="N427" s="272">
        <f t="shared" si="98"/>
        <v>84.666666666666657</v>
      </c>
      <c r="O427" s="86"/>
      <c r="R427" s="271"/>
      <c r="S427" s="271"/>
      <c r="T427" s="271"/>
      <c r="U427" s="271"/>
      <c r="V427" s="271"/>
      <c r="W427" s="271"/>
      <c r="X427" s="271"/>
      <c r="Y427" s="271"/>
      <c r="Z427" s="271"/>
      <c r="AA427" s="271"/>
      <c r="AB427" s="271"/>
      <c r="AC427" s="271"/>
    </row>
    <row r="428" spans="1:29" outlineLevel="1" x14ac:dyDescent="0.2">
      <c r="A428" s="39"/>
      <c r="B428" s="36"/>
      <c r="C428" s="38" t="s">
        <v>744</v>
      </c>
      <c r="D428" s="206" t="str">
        <f t="shared" si="96"/>
        <v>el_us_t2</v>
      </c>
      <c r="E428" s="427" t="s">
        <v>915</v>
      </c>
      <c r="F428" s="427" t="s">
        <v>915</v>
      </c>
      <c r="G428" s="427" t="s">
        <v>915</v>
      </c>
      <c r="H428" s="402" t="s">
        <v>915</v>
      </c>
      <c r="I428" s="62" t="str">
        <f t="shared" si="93"/>
        <v>kWh</v>
      </c>
      <c r="J428" s="249">
        <f t="shared" si="97"/>
        <v>63.5</v>
      </c>
      <c r="K428" s="270">
        <f t="shared" si="98"/>
        <v>29.076086956521735</v>
      </c>
      <c r="L428" s="271">
        <f t="shared" si="98"/>
        <v>1.3888888888888837</v>
      </c>
      <c r="M428" s="271">
        <f t="shared" si="98"/>
        <v>24.722222222222221</v>
      </c>
      <c r="N428" s="272">
        <f t="shared" si="98"/>
        <v>63.5</v>
      </c>
      <c r="O428" s="86"/>
      <c r="R428" s="271"/>
      <c r="S428" s="271"/>
      <c r="T428" s="271"/>
      <c r="U428" s="271"/>
      <c r="V428" s="271"/>
      <c r="W428" s="271"/>
      <c r="X428" s="271"/>
      <c r="Y428" s="271"/>
      <c r="Z428" s="271"/>
      <c r="AA428" s="271"/>
      <c r="AB428" s="271"/>
      <c r="AC428" s="271"/>
    </row>
    <row r="429" spans="1:29" outlineLevel="1" x14ac:dyDescent="0.2">
      <c r="A429" s="39"/>
      <c r="B429" s="36"/>
      <c r="C429" s="38" t="s">
        <v>745</v>
      </c>
      <c r="D429" s="206" t="str">
        <f t="shared" si="96"/>
        <v>el_us_t3</v>
      </c>
      <c r="E429" s="427" t="s">
        <v>916</v>
      </c>
      <c r="F429" s="427" t="s">
        <v>916</v>
      </c>
      <c r="G429" s="427" t="s">
        <v>916</v>
      </c>
      <c r="H429" s="402" t="s">
        <v>916</v>
      </c>
      <c r="I429" s="62" t="str">
        <f t="shared" si="93"/>
        <v>kWh</v>
      </c>
      <c r="J429" s="249">
        <f t="shared" si="97"/>
        <v>42</v>
      </c>
      <c r="K429" s="270">
        <f t="shared" si="98"/>
        <v>5.434782608695647</v>
      </c>
      <c r="L429" s="271">
        <f t="shared" si="98"/>
        <v>0</v>
      </c>
      <c r="M429" s="271">
        <f t="shared" si="98"/>
        <v>0</v>
      </c>
      <c r="N429" s="272">
        <f t="shared" si="98"/>
        <v>42</v>
      </c>
      <c r="O429" s="86"/>
      <c r="R429" s="271"/>
      <c r="S429" s="271"/>
      <c r="T429" s="271"/>
      <c r="U429" s="271"/>
      <c r="V429" s="271"/>
      <c r="W429" s="271"/>
      <c r="X429" s="271"/>
      <c r="Y429" s="271"/>
      <c r="Z429" s="271"/>
      <c r="AA429" s="271"/>
      <c r="AB429" s="271"/>
      <c r="AC429" s="271"/>
    </row>
    <row r="430" spans="1:29" outlineLevel="1" x14ac:dyDescent="0.2">
      <c r="A430" s="39"/>
      <c r="B430" s="36"/>
      <c r="C430" s="38" t="s">
        <v>746</v>
      </c>
      <c r="D430" s="206" t="str">
        <f t="shared" si="96"/>
        <v>el_us_t4</v>
      </c>
      <c r="E430" s="427" t="s">
        <v>917</v>
      </c>
      <c r="F430" s="427" t="s">
        <v>917</v>
      </c>
      <c r="G430" s="427" t="s">
        <v>917</v>
      </c>
      <c r="H430" s="402" t="s">
        <v>917</v>
      </c>
      <c r="I430" s="62" t="str">
        <f t="shared" si="93"/>
        <v>kWh</v>
      </c>
      <c r="J430" s="249">
        <f t="shared" si="97"/>
        <v>19.833333333333332</v>
      </c>
      <c r="K430" s="270">
        <f t="shared" si="98"/>
        <v>0</v>
      </c>
      <c r="L430" s="271">
        <f t="shared" si="98"/>
        <v>0</v>
      </c>
      <c r="M430" s="271">
        <f t="shared" si="98"/>
        <v>0</v>
      </c>
      <c r="N430" s="272">
        <f t="shared" si="98"/>
        <v>19.833333333333332</v>
      </c>
      <c r="O430" s="86"/>
      <c r="R430" s="271"/>
      <c r="S430" s="271"/>
      <c r="T430" s="271"/>
      <c r="U430" s="271"/>
      <c r="V430" s="271"/>
      <c r="W430" s="271"/>
      <c r="X430" s="271"/>
      <c r="Y430" s="271"/>
      <c r="Z430" s="271"/>
      <c r="AA430" s="271"/>
      <c r="AB430" s="271"/>
      <c r="AC430" s="271"/>
    </row>
    <row r="431" spans="1:29" outlineLevel="1" x14ac:dyDescent="0.2">
      <c r="A431" s="39"/>
      <c r="B431" s="36"/>
      <c r="C431" s="38" t="s">
        <v>747</v>
      </c>
      <c r="D431" s="206" t="str">
        <f t="shared" si="96"/>
        <v>el_us_t5</v>
      </c>
      <c r="E431" s="427" t="s">
        <v>918</v>
      </c>
      <c r="F431" s="427" t="s">
        <v>918</v>
      </c>
      <c r="G431" s="427" t="s">
        <v>918</v>
      </c>
      <c r="H431" s="402" t="s">
        <v>918</v>
      </c>
      <c r="I431" s="62" t="str">
        <f t="shared" si="93"/>
        <v>kWh</v>
      </c>
      <c r="J431" s="249">
        <f t="shared" si="97"/>
        <v>0</v>
      </c>
      <c r="K431" s="270">
        <f t="shared" si="98"/>
        <v>0</v>
      </c>
      <c r="L431" s="271">
        <f t="shared" si="98"/>
        <v>0</v>
      </c>
      <c r="M431" s="271">
        <f t="shared" si="98"/>
        <v>0</v>
      </c>
      <c r="N431" s="272">
        <f t="shared" si="98"/>
        <v>0</v>
      </c>
      <c r="O431" s="86"/>
      <c r="R431" s="271"/>
      <c r="S431" s="271"/>
      <c r="T431" s="271"/>
      <c r="U431" s="271"/>
      <c r="V431" s="271"/>
      <c r="W431" s="271"/>
      <c r="X431" s="271"/>
      <c r="Y431" s="271"/>
      <c r="Z431" s="271"/>
      <c r="AA431" s="271"/>
      <c r="AB431" s="271"/>
      <c r="AC431" s="271"/>
    </row>
    <row r="432" spans="1:29" outlineLevel="1" x14ac:dyDescent="0.2">
      <c r="A432" s="39"/>
      <c r="B432" s="36"/>
      <c r="C432" s="38" t="s">
        <v>748</v>
      </c>
      <c r="D432" s="206" t="str">
        <f t="shared" si="96"/>
        <v>el_us_t6</v>
      </c>
      <c r="E432" s="427" t="s">
        <v>919</v>
      </c>
      <c r="F432" s="427" t="s">
        <v>919</v>
      </c>
      <c r="G432" s="427" t="s">
        <v>919</v>
      </c>
      <c r="H432" s="402" t="s">
        <v>919</v>
      </c>
      <c r="I432" s="62" t="str">
        <f t="shared" si="93"/>
        <v>kWh</v>
      </c>
      <c r="J432" s="249">
        <f t="shared" si="97"/>
        <v>0</v>
      </c>
      <c r="K432" s="270">
        <f t="shared" si="98"/>
        <v>0</v>
      </c>
      <c r="L432" s="271">
        <f t="shared" si="98"/>
        <v>0</v>
      </c>
      <c r="M432" s="271">
        <f t="shared" si="98"/>
        <v>0</v>
      </c>
      <c r="N432" s="272">
        <f t="shared" si="98"/>
        <v>0</v>
      </c>
      <c r="O432" s="86"/>
      <c r="R432" s="271"/>
      <c r="S432" s="271"/>
      <c r="T432" s="271"/>
      <c r="U432" s="271"/>
      <c r="V432" s="271"/>
      <c r="W432" s="271"/>
      <c r="X432" s="271"/>
      <c r="Y432" s="271"/>
      <c r="Z432" s="271"/>
      <c r="AA432" s="271"/>
      <c r="AB432" s="271"/>
      <c r="AC432" s="271"/>
    </row>
    <row r="433" spans="1:29" outlineLevel="1" x14ac:dyDescent="0.2">
      <c r="A433" s="39"/>
      <c r="B433" s="36"/>
      <c r="C433" s="38" t="s">
        <v>749</v>
      </c>
      <c r="D433" s="206" t="str">
        <f t="shared" si="96"/>
        <v>el_us_t7</v>
      </c>
      <c r="E433" s="427" t="s">
        <v>920</v>
      </c>
      <c r="F433" s="427" t="s">
        <v>920</v>
      </c>
      <c r="G433" s="427" t="s">
        <v>920</v>
      </c>
      <c r="H433" s="402" t="s">
        <v>920</v>
      </c>
      <c r="I433" s="62" t="str">
        <f t="shared" si="93"/>
        <v>kWh</v>
      </c>
      <c r="J433" s="249">
        <f t="shared" si="97"/>
        <v>0</v>
      </c>
      <c r="K433" s="270">
        <f t="shared" si="98"/>
        <v>0</v>
      </c>
      <c r="L433" s="271">
        <f t="shared" si="98"/>
        <v>0</v>
      </c>
      <c r="M433" s="271">
        <f t="shared" si="98"/>
        <v>0</v>
      </c>
      <c r="N433" s="272">
        <f t="shared" si="98"/>
        <v>0</v>
      </c>
      <c r="O433" s="86"/>
      <c r="R433" s="271"/>
      <c r="S433" s="271"/>
      <c r="T433" s="271"/>
      <c r="U433" s="271"/>
      <c r="V433" s="271"/>
      <c r="W433" s="271"/>
      <c r="X433" s="271"/>
      <c r="Y433" s="271"/>
      <c r="Z433" s="271"/>
      <c r="AA433" s="271"/>
      <c r="AB433" s="271"/>
      <c r="AC433" s="271"/>
    </row>
    <row r="434" spans="1:29" outlineLevel="1" x14ac:dyDescent="0.2">
      <c r="A434" s="39"/>
      <c r="B434" s="36"/>
      <c r="C434" s="38" t="s">
        <v>750</v>
      </c>
      <c r="D434" s="206" t="str">
        <f t="shared" si="96"/>
        <v>el_us_t8</v>
      </c>
      <c r="E434" s="427" t="s">
        <v>921</v>
      </c>
      <c r="F434" s="427" t="s">
        <v>921</v>
      </c>
      <c r="G434" s="427" t="s">
        <v>921</v>
      </c>
      <c r="H434" s="402" t="s">
        <v>921</v>
      </c>
      <c r="I434" s="62" t="str">
        <f t="shared" si="93"/>
        <v>kWh</v>
      </c>
      <c r="J434" s="249">
        <f t="shared" si="97"/>
        <v>0</v>
      </c>
      <c r="K434" s="270">
        <f t="shared" si="98"/>
        <v>0</v>
      </c>
      <c r="L434" s="271">
        <f t="shared" si="98"/>
        <v>0</v>
      </c>
      <c r="M434" s="271">
        <f t="shared" si="98"/>
        <v>0</v>
      </c>
      <c r="N434" s="272">
        <f t="shared" si="98"/>
        <v>0</v>
      </c>
      <c r="O434" s="86"/>
      <c r="R434" s="271"/>
      <c r="S434" s="271"/>
      <c r="T434" s="271"/>
      <c r="U434" s="271"/>
      <c r="V434" s="271"/>
      <c r="W434" s="271"/>
      <c r="X434" s="271"/>
      <c r="Y434" s="271"/>
      <c r="Z434" s="271"/>
      <c r="AA434" s="271"/>
      <c r="AB434" s="271"/>
      <c r="AC434" s="271"/>
    </row>
    <row r="435" spans="1:29" outlineLevel="1" x14ac:dyDescent="0.2">
      <c r="A435" s="39"/>
      <c r="B435" s="36"/>
      <c r="C435" s="38" t="s">
        <v>751</v>
      </c>
      <c r="D435" s="206" t="str">
        <f t="shared" si="96"/>
        <v>el_us_t9</v>
      </c>
      <c r="E435" s="427" t="s">
        <v>922</v>
      </c>
      <c r="F435" s="427" t="s">
        <v>922</v>
      </c>
      <c r="G435" s="427" t="s">
        <v>922</v>
      </c>
      <c r="H435" s="402" t="s">
        <v>922</v>
      </c>
      <c r="I435" s="62" t="str">
        <f t="shared" si="93"/>
        <v>kWh</v>
      </c>
      <c r="J435" s="249">
        <f t="shared" si="97"/>
        <v>0</v>
      </c>
      <c r="K435" s="270">
        <f t="shared" si="98"/>
        <v>0</v>
      </c>
      <c r="L435" s="271">
        <f t="shared" si="98"/>
        <v>0</v>
      </c>
      <c r="M435" s="271">
        <f t="shared" si="98"/>
        <v>0</v>
      </c>
      <c r="N435" s="272">
        <f t="shared" si="98"/>
        <v>0</v>
      </c>
      <c r="O435" s="86"/>
      <c r="R435" s="271"/>
      <c r="S435" s="271"/>
      <c r="T435" s="271"/>
      <c r="U435" s="271"/>
      <c r="V435" s="271"/>
      <c r="W435" s="271"/>
      <c r="X435" s="271"/>
      <c r="Y435" s="271"/>
      <c r="Z435" s="271"/>
      <c r="AA435" s="271"/>
      <c r="AB435" s="271"/>
      <c r="AC435" s="271"/>
    </row>
    <row r="436" spans="1:29" outlineLevel="1" x14ac:dyDescent="0.2">
      <c r="A436" s="39"/>
      <c r="B436" s="36"/>
      <c r="C436" s="38" t="s">
        <v>752</v>
      </c>
      <c r="D436" s="206" t="str">
        <f t="shared" si="96"/>
        <v>el_us_t10</v>
      </c>
      <c r="E436" s="427" t="s">
        <v>923</v>
      </c>
      <c r="F436" s="427" t="s">
        <v>923</v>
      </c>
      <c r="G436" s="427" t="s">
        <v>923</v>
      </c>
      <c r="H436" s="402" t="s">
        <v>923</v>
      </c>
      <c r="I436" s="62" t="str">
        <f t="shared" si="93"/>
        <v>kWh</v>
      </c>
      <c r="J436" s="249">
        <f t="shared" si="97"/>
        <v>25.666666666666664</v>
      </c>
      <c r="K436" s="270">
        <f t="shared" si="98"/>
        <v>0</v>
      </c>
      <c r="L436" s="271">
        <f t="shared" si="98"/>
        <v>0</v>
      </c>
      <c r="M436" s="271">
        <f t="shared" si="98"/>
        <v>0</v>
      </c>
      <c r="N436" s="272">
        <f t="shared" si="98"/>
        <v>25.666666666666664</v>
      </c>
      <c r="O436" s="86"/>
      <c r="R436" s="271"/>
      <c r="S436" s="271"/>
      <c r="T436" s="271"/>
      <c r="U436" s="271"/>
      <c r="V436" s="271"/>
      <c r="W436" s="271"/>
      <c r="X436" s="271"/>
      <c r="Y436" s="271"/>
      <c r="Z436" s="271"/>
      <c r="AA436" s="271"/>
      <c r="AB436" s="271"/>
      <c r="AC436" s="271"/>
    </row>
    <row r="437" spans="1:29" outlineLevel="1" x14ac:dyDescent="0.2">
      <c r="A437" s="39"/>
      <c r="B437" s="36"/>
      <c r="C437" s="38" t="s">
        <v>753</v>
      </c>
      <c r="D437" s="206" t="str">
        <f t="shared" si="96"/>
        <v>el_us_t11</v>
      </c>
      <c r="E437" s="427" t="s">
        <v>924</v>
      </c>
      <c r="F437" s="427" t="s">
        <v>924</v>
      </c>
      <c r="G437" s="427" t="s">
        <v>924</v>
      </c>
      <c r="H437" s="402" t="s">
        <v>924</v>
      </c>
      <c r="I437" s="62" t="str">
        <f t="shared" si="93"/>
        <v>kWh</v>
      </c>
      <c r="J437" s="249">
        <f t="shared" si="97"/>
        <v>55.3</v>
      </c>
      <c r="K437" s="270">
        <f t="shared" si="98"/>
        <v>21.576086956521735</v>
      </c>
      <c r="L437" s="271">
        <f t="shared" si="98"/>
        <v>0</v>
      </c>
      <c r="M437" s="271">
        <f t="shared" si="98"/>
        <v>17.722222222222218</v>
      </c>
      <c r="N437" s="272">
        <f t="shared" si="98"/>
        <v>55.3</v>
      </c>
      <c r="O437" s="86"/>
      <c r="R437" s="271"/>
      <c r="S437" s="271"/>
      <c r="T437" s="271"/>
      <c r="U437" s="271"/>
      <c r="V437" s="271"/>
      <c r="W437" s="271"/>
      <c r="X437" s="271"/>
      <c r="Y437" s="271"/>
      <c r="Z437" s="271"/>
      <c r="AA437" s="271"/>
      <c r="AB437" s="271"/>
      <c r="AC437" s="271"/>
    </row>
    <row r="438" spans="1:29" ht="13.5" outlineLevel="1" thickBot="1" x14ac:dyDescent="0.25">
      <c r="A438" s="39"/>
      <c r="B438" s="263"/>
      <c r="C438" s="264" t="s">
        <v>754</v>
      </c>
      <c r="D438" s="206" t="str">
        <f t="shared" si="96"/>
        <v>el_us_t12</v>
      </c>
      <c r="E438" s="431" t="s">
        <v>925</v>
      </c>
      <c r="F438" s="431" t="s">
        <v>925</v>
      </c>
      <c r="G438" s="431" t="s">
        <v>925</v>
      </c>
      <c r="H438" s="405" t="s">
        <v>925</v>
      </c>
      <c r="I438" s="223" t="str">
        <f t="shared" si="93"/>
        <v>kWh</v>
      </c>
      <c r="J438" s="250">
        <f t="shared" si="97"/>
        <v>68</v>
      </c>
      <c r="K438" s="277">
        <f t="shared" si="98"/>
        <v>34.782608695652172</v>
      </c>
      <c r="L438" s="278">
        <f t="shared" si="98"/>
        <v>5.55555555555555</v>
      </c>
      <c r="M438" s="278">
        <f t="shared" si="98"/>
        <v>32.222222222222214</v>
      </c>
      <c r="N438" s="279">
        <f t="shared" si="98"/>
        <v>68</v>
      </c>
      <c r="O438" s="280"/>
      <c r="R438" s="278"/>
      <c r="S438" s="278"/>
      <c r="T438" s="278"/>
      <c r="U438" s="278"/>
      <c r="V438" s="278"/>
      <c r="W438" s="278"/>
      <c r="X438" s="278"/>
      <c r="Y438" s="278"/>
      <c r="Z438" s="278"/>
      <c r="AA438" s="278"/>
      <c r="AB438" s="278"/>
      <c r="AC438" s="278"/>
    </row>
    <row r="439" spans="1:29" ht="30" customHeight="1" thickBot="1" x14ac:dyDescent="0.25">
      <c r="A439" s="39"/>
      <c r="B439" s="335" t="str">
        <f>INDEX(Language!D195:M195,1,_language)</f>
        <v>Free cooling contribution</v>
      </c>
      <c r="C439" s="336"/>
      <c r="D439" s="337"/>
      <c r="E439" s="407"/>
      <c r="F439" s="407"/>
      <c r="G439" s="407"/>
      <c r="H439" s="407"/>
      <c r="I439" s="338"/>
      <c r="J439" s="339"/>
      <c r="K439" s="340"/>
      <c r="L439" s="341"/>
      <c r="M439" s="341"/>
      <c r="N439" s="338"/>
      <c r="O439" s="342" t="s">
        <v>878</v>
      </c>
      <c r="R439" s="341"/>
      <c r="S439" s="341"/>
      <c r="T439" s="341"/>
      <c r="U439" s="341"/>
      <c r="V439" s="341"/>
      <c r="W439" s="341"/>
      <c r="X439" s="341"/>
      <c r="Y439" s="341"/>
      <c r="Z439" s="341"/>
      <c r="AA439" s="341"/>
      <c r="AB439" s="341"/>
      <c r="AC439" s="341"/>
    </row>
    <row r="440" spans="1:29" ht="20.25" customHeight="1" x14ac:dyDescent="0.2">
      <c r="A440" s="39"/>
      <c r="B440" s="253" t="str">
        <f>INDEX(Language!D228:M228,1,_language)</f>
        <v>Chiller EER</v>
      </c>
      <c r="C440" s="254" t="s">
        <v>788</v>
      </c>
      <c r="D440" s="214"/>
      <c r="E440" s="399"/>
      <c r="F440" s="399"/>
      <c r="G440" s="399"/>
      <c r="H440" s="399"/>
      <c r="I440" s="215"/>
      <c r="J440" s="315"/>
      <c r="K440" s="316">
        <v>2.5</v>
      </c>
      <c r="L440" s="317">
        <v>2.5</v>
      </c>
      <c r="M440" s="317">
        <v>2.5</v>
      </c>
      <c r="N440" s="806">
        <f>INDEX(R440:AC440,1,N$16)</f>
        <v>2.5</v>
      </c>
      <c r="O440" s="256"/>
      <c r="R440" s="317">
        <v>2.5</v>
      </c>
      <c r="S440" s="317">
        <v>2.5</v>
      </c>
      <c r="T440" s="317">
        <v>2.5</v>
      </c>
      <c r="U440" s="317">
        <v>2.5</v>
      </c>
      <c r="V440" s="317">
        <v>2.5</v>
      </c>
      <c r="W440" s="317">
        <v>2.5</v>
      </c>
      <c r="X440" s="317">
        <v>2.5</v>
      </c>
      <c r="Y440" s="317">
        <v>2.5</v>
      </c>
      <c r="Z440" s="317">
        <v>2.5</v>
      </c>
      <c r="AA440" s="317">
        <v>2.5</v>
      </c>
      <c r="AB440" s="317">
        <v>2.5</v>
      </c>
      <c r="AC440" s="317">
        <v>2.5</v>
      </c>
    </row>
    <row r="441" spans="1:29" outlineLevel="1" x14ac:dyDescent="0.2">
      <c r="A441" s="39"/>
      <c r="B441" s="36"/>
      <c r="C441" s="38"/>
      <c r="D441" s="152"/>
      <c r="E441" s="400"/>
      <c r="F441" s="400"/>
      <c r="G441" s="400"/>
      <c r="H441" s="400"/>
      <c r="I441" s="62"/>
      <c r="J441" s="257"/>
      <c r="K441" s="61" t="s">
        <v>43</v>
      </c>
      <c r="L441" s="44" t="s">
        <v>1188</v>
      </c>
      <c r="M441" s="44"/>
      <c r="N441" s="62"/>
      <c r="O441" s="227"/>
      <c r="R441" s="44"/>
      <c r="S441" s="44"/>
      <c r="T441" s="44"/>
      <c r="U441" s="44"/>
      <c r="V441" s="44"/>
      <c r="W441" s="44"/>
      <c r="X441" s="44"/>
      <c r="Y441" s="44"/>
      <c r="Z441" s="44"/>
      <c r="AA441" s="44"/>
      <c r="AB441" s="44"/>
      <c r="AC441" s="44"/>
    </row>
    <row r="442" spans="1:29" outlineLevel="1" x14ac:dyDescent="0.2">
      <c r="A442" s="39"/>
      <c r="B442" s="36"/>
      <c r="C442" s="38"/>
      <c r="D442" s="152"/>
      <c r="E442" s="400"/>
      <c r="F442" s="400"/>
      <c r="G442" s="400"/>
      <c r="H442" s="400"/>
      <c r="I442" s="62"/>
      <c r="J442" s="257"/>
      <c r="K442" s="61" t="s">
        <v>36</v>
      </c>
      <c r="L442" s="44" t="s">
        <v>36</v>
      </c>
      <c r="M442" s="44"/>
      <c r="N442" s="62"/>
      <c r="O442" s="86"/>
      <c r="R442" s="44"/>
      <c r="S442" s="44"/>
      <c r="T442" s="44"/>
      <c r="U442" s="44"/>
      <c r="V442" s="44"/>
      <c r="W442" s="44"/>
      <c r="X442" s="44"/>
      <c r="Y442" s="44"/>
      <c r="Z442" s="44"/>
      <c r="AA442" s="44"/>
      <c r="AB442" s="44"/>
      <c r="AC442" s="44"/>
    </row>
    <row r="443" spans="1:29" outlineLevel="1" x14ac:dyDescent="0.2">
      <c r="A443" s="39"/>
      <c r="B443" s="36"/>
      <c r="C443" s="38"/>
      <c r="D443" s="152"/>
      <c r="E443" s="400" t="str">
        <f>INDEX($L$441:$L$443,MATCH(K444,$K$441:$K$443,0),1)</f>
        <v>el_us</v>
      </c>
      <c r="F443" s="400" t="str">
        <f>INDEX($L$441:$L$443,MATCH(L444,$K$441:$K$443,0),1)</f>
        <v>gas</v>
      </c>
      <c r="G443" s="400" t="str">
        <f>INDEX($L$441:$L$443,MATCH(M444,$K$441:$K$443,0),1)</f>
        <v>gas</v>
      </c>
      <c r="H443" s="400" t="str">
        <f>INDEX($L$441:$L$443,MATCH(N444,$K$441:$K$443,0),1)</f>
        <v>el_us</v>
      </c>
      <c r="I443" s="62"/>
      <c r="J443" s="257"/>
      <c r="K443" s="61" t="s">
        <v>41</v>
      </c>
      <c r="L443" s="44" t="s">
        <v>41</v>
      </c>
      <c r="M443" s="44"/>
      <c r="N443" s="62">
        <f>INDEX(R443:AC443,1,N$16)</f>
        <v>0</v>
      </c>
      <c r="O443" s="86"/>
      <c r="R443" s="44"/>
      <c r="S443" s="44"/>
      <c r="T443" s="44"/>
      <c r="U443" s="44"/>
      <c r="V443" s="44"/>
      <c r="W443" s="44"/>
      <c r="X443" s="44"/>
      <c r="Y443" s="44"/>
      <c r="Z443" s="44"/>
      <c r="AA443" s="44"/>
      <c r="AB443" s="44"/>
      <c r="AC443" s="44"/>
    </row>
    <row r="444" spans="1:29" x14ac:dyDescent="0.2">
      <c r="A444" s="39"/>
      <c r="B444" s="36" t="str">
        <f>INDEX(Language!D227:M227,1,_language)</f>
        <v>Chiller energy carrier</v>
      </c>
      <c r="C444" s="38"/>
      <c r="D444" s="152"/>
      <c r="E444" s="400"/>
      <c r="F444" s="400"/>
      <c r="G444" s="400"/>
      <c r="H444" s="400"/>
      <c r="I444" s="62"/>
      <c r="J444" s="249" t="str">
        <f>INDEX(K444:N444,,_case_en)</f>
        <v>el</v>
      </c>
      <c r="K444" s="268" t="s">
        <v>43</v>
      </c>
      <c r="L444" s="269" t="s">
        <v>36</v>
      </c>
      <c r="M444" s="269" t="s">
        <v>36</v>
      </c>
      <c r="N444" s="62" t="str">
        <f>INDEX(R444:AC444,1,N$16)</f>
        <v>el</v>
      </c>
      <c r="O444" s="86" t="s">
        <v>1330</v>
      </c>
      <c r="P444" s="1356" t="s">
        <v>1809</v>
      </c>
      <c r="R444" s="269" t="s">
        <v>43</v>
      </c>
      <c r="S444" s="269" t="s">
        <v>43</v>
      </c>
      <c r="T444" s="269" t="s">
        <v>43</v>
      </c>
      <c r="U444" s="269" t="s">
        <v>43</v>
      </c>
      <c r="V444" s="269" t="s">
        <v>43</v>
      </c>
      <c r="W444" s="269" t="s">
        <v>43</v>
      </c>
      <c r="X444" s="269" t="s">
        <v>43</v>
      </c>
      <c r="Y444" s="269" t="s">
        <v>43</v>
      </c>
      <c r="Z444" s="269" t="s">
        <v>43</v>
      </c>
      <c r="AA444" s="269" t="s">
        <v>43</v>
      </c>
      <c r="AB444" s="269" t="s">
        <v>43</v>
      </c>
      <c r="AC444" s="269" t="s">
        <v>43</v>
      </c>
    </row>
    <row r="445" spans="1:29" ht="16.5" customHeight="1" x14ac:dyDescent="0.2">
      <c r="A445" s="39"/>
      <c r="B445" s="36" t="str">
        <f>INDEX(Language!D230:M230,1,_language)</f>
        <v>Chiller input</v>
      </c>
      <c r="C445" s="38" t="s">
        <v>790</v>
      </c>
      <c r="D445" s="312" t="str">
        <f t="shared" ref="D445:D457" si="99">INDEX(E445:H445,,_case_en)</f>
        <v>el_us_y</v>
      </c>
      <c r="E445" s="430" t="str">
        <f t="shared" ref="E445:H457" si="100">+E$443&amp;$AF18</f>
        <v>el_us_y</v>
      </c>
      <c r="F445" s="430" t="str">
        <f t="shared" si="100"/>
        <v>gas_y</v>
      </c>
      <c r="G445" s="430" t="str">
        <f t="shared" si="100"/>
        <v>gas_y</v>
      </c>
      <c r="H445" s="912" t="str">
        <f t="shared" si="100"/>
        <v>el_us_y</v>
      </c>
      <c r="I445" s="62" t="str">
        <f t="shared" ref="I445:I457" si="101">+_En_unit</f>
        <v>kWh</v>
      </c>
      <c r="J445" s="307">
        <f>SUM(J446:J457)</f>
        <v>542.85714285714278</v>
      </c>
      <c r="K445" s="270">
        <f>SUM(K446:K457)</f>
        <v>1173.3333333333333</v>
      </c>
      <c r="L445" s="271">
        <f>SUM(L446:L457)</f>
        <v>1173.3333333333333</v>
      </c>
      <c r="M445" s="271">
        <f>SUM(M446:M457)</f>
        <v>1173.3333333333333</v>
      </c>
      <c r="N445" s="272">
        <f>SUM(N446:N457)</f>
        <v>542.85714285714278</v>
      </c>
      <c r="O445" s="1079" t="s">
        <v>1762</v>
      </c>
      <c r="P445" s="1356" t="s">
        <v>1809</v>
      </c>
      <c r="R445" s="271"/>
      <c r="S445" s="271"/>
      <c r="T445" s="271"/>
      <c r="U445" s="271"/>
      <c r="V445" s="271"/>
      <c r="W445" s="271"/>
      <c r="X445" s="271"/>
      <c r="Y445" s="271"/>
      <c r="Z445" s="271"/>
      <c r="AA445" s="271"/>
      <c r="AB445" s="271"/>
      <c r="AC445" s="271"/>
    </row>
    <row r="446" spans="1:29" outlineLevel="1" x14ac:dyDescent="0.2">
      <c r="A446" s="39"/>
      <c r="B446" s="991" t="s">
        <v>1762</v>
      </c>
      <c r="C446" s="38" t="s">
        <v>791</v>
      </c>
      <c r="D446" s="312" t="str">
        <f t="shared" si="99"/>
        <v>el_us_t1</v>
      </c>
      <c r="E446" s="430" t="str">
        <f t="shared" si="100"/>
        <v>el_us_t1</v>
      </c>
      <c r="F446" s="430" t="str">
        <f t="shared" si="100"/>
        <v>gas_t1</v>
      </c>
      <c r="G446" s="430" t="str">
        <f t="shared" si="100"/>
        <v>gas_t1</v>
      </c>
      <c r="H446" s="312" t="str">
        <f t="shared" si="100"/>
        <v>el_us_t1</v>
      </c>
      <c r="I446" s="62" t="str">
        <f t="shared" si="101"/>
        <v>kWh</v>
      </c>
      <c r="J446" s="313">
        <f t="shared" ref="J446:J458" si="102">INDEX(K446:N446,,_case_en)</f>
        <v>0</v>
      </c>
      <c r="K446" s="270">
        <f t="shared" ref="K446:N457" si="103">+K147/K$440</f>
        <v>0</v>
      </c>
      <c r="L446" s="271">
        <f t="shared" si="103"/>
        <v>0</v>
      </c>
      <c r="M446" s="271">
        <f t="shared" si="103"/>
        <v>0</v>
      </c>
      <c r="N446" s="272">
        <f t="shared" si="103"/>
        <v>0</v>
      </c>
      <c r="O446" s="86"/>
      <c r="R446" s="271"/>
      <c r="S446" s="271"/>
      <c r="T446" s="271"/>
      <c r="U446" s="271"/>
      <c r="V446" s="271"/>
      <c r="W446" s="271"/>
      <c r="X446" s="271"/>
      <c r="Y446" s="271"/>
      <c r="Z446" s="271"/>
      <c r="AA446" s="271"/>
      <c r="AB446" s="271"/>
      <c r="AC446" s="271"/>
    </row>
    <row r="447" spans="1:29" outlineLevel="1" x14ac:dyDescent="0.2">
      <c r="A447" s="39"/>
      <c r="B447" s="36"/>
      <c r="C447" s="38" t="s">
        <v>792</v>
      </c>
      <c r="D447" s="312" t="str">
        <f t="shared" si="99"/>
        <v>el_us_t2</v>
      </c>
      <c r="E447" s="430" t="str">
        <f t="shared" si="100"/>
        <v>el_us_t2</v>
      </c>
      <c r="F447" s="430" t="str">
        <f t="shared" si="100"/>
        <v>gas_t2</v>
      </c>
      <c r="G447" s="430" t="str">
        <f t="shared" si="100"/>
        <v>gas_t2</v>
      </c>
      <c r="H447" s="312" t="str">
        <f t="shared" si="100"/>
        <v>el_us_t2</v>
      </c>
      <c r="I447" s="62" t="str">
        <f t="shared" si="101"/>
        <v>kWh</v>
      </c>
      <c r="J447" s="249">
        <f t="shared" si="102"/>
        <v>0</v>
      </c>
      <c r="K447" s="270">
        <f t="shared" si="103"/>
        <v>0</v>
      </c>
      <c r="L447" s="271">
        <f t="shared" si="103"/>
        <v>0</v>
      </c>
      <c r="M447" s="271">
        <f t="shared" si="103"/>
        <v>0</v>
      </c>
      <c r="N447" s="272">
        <f t="shared" si="103"/>
        <v>0</v>
      </c>
      <c r="O447" s="86"/>
      <c r="R447" s="271"/>
      <c r="S447" s="271"/>
      <c r="T447" s="271"/>
      <c r="U447" s="271"/>
      <c r="V447" s="271"/>
      <c r="W447" s="271"/>
      <c r="X447" s="271"/>
      <c r="Y447" s="271"/>
      <c r="Z447" s="271"/>
      <c r="AA447" s="271"/>
      <c r="AB447" s="271"/>
      <c r="AC447" s="271"/>
    </row>
    <row r="448" spans="1:29" outlineLevel="1" x14ac:dyDescent="0.2">
      <c r="A448" s="39"/>
      <c r="B448" s="36"/>
      <c r="C448" s="38" t="s">
        <v>793</v>
      </c>
      <c r="D448" s="312" t="str">
        <f t="shared" si="99"/>
        <v>el_us_t3</v>
      </c>
      <c r="E448" s="430" t="str">
        <f t="shared" si="100"/>
        <v>el_us_t3</v>
      </c>
      <c r="F448" s="430" t="str">
        <f t="shared" si="100"/>
        <v>gas_t3</v>
      </c>
      <c r="G448" s="430" t="str">
        <f t="shared" si="100"/>
        <v>gas_t3</v>
      </c>
      <c r="H448" s="312" t="str">
        <f t="shared" si="100"/>
        <v>el_us_t3</v>
      </c>
      <c r="I448" s="62" t="str">
        <f t="shared" si="101"/>
        <v>kWh</v>
      </c>
      <c r="J448" s="249">
        <f t="shared" si="102"/>
        <v>0</v>
      </c>
      <c r="K448" s="270">
        <f t="shared" si="103"/>
        <v>0</v>
      </c>
      <c r="L448" s="271">
        <f t="shared" si="103"/>
        <v>0</v>
      </c>
      <c r="M448" s="271">
        <f t="shared" si="103"/>
        <v>0</v>
      </c>
      <c r="N448" s="272">
        <f t="shared" si="103"/>
        <v>0</v>
      </c>
      <c r="O448" s="86"/>
      <c r="R448" s="271"/>
      <c r="S448" s="271"/>
      <c r="T448" s="271"/>
      <c r="U448" s="271"/>
      <c r="V448" s="271"/>
      <c r="W448" s="271"/>
      <c r="X448" s="271"/>
      <c r="Y448" s="271"/>
      <c r="Z448" s="271"/>
      <c r="AA448" s="271"/>
      <c r="AB448" s="271"/>
      <c r="AC448" s="271"/>
    </row>
    <row r="449" spans="1:29" outlineLevel="1" x14ac:dyDescent="0.2">
      <c r="A449" s="39"/>
      <c r="B449" s="36"/>
      <c r="C449" s="38" t="s">
        <v>794</v>
      </c>
      <c r="D449" s="312" t="str">
        <f t="shared" si="99"/>
        <v>el_us_t4</v>
      </c>
      <c r="E449" s="430" t="str">
        <f t="shared" si="100"/>
        <v>el_us_t4</v>
      </c>
      <c r="F449" s="430" t="str">
        <f t="shared" si="100"/>
        <v>gas_t4</v>
      </c>
      <c r="G449" s="430" t="str">
        <f t="shared" si="100"/>
        <v>gas_t4</v>
      </c>
      <c r="H449" s="312" t="str">
        <f t="shared" si="100"/>
        <v>el_us_t4</v>
      </c>
      <c r="I449" s="62" t="str">
        <f t="shared" si="101"/>
        <v>kWh</v>
      </c>
      <c r="J449" s="249">
        <f t="shared" si="102"/>
        <v>0</v>
      </c>
      <c r="K449" s="270">
        <f t="shared" si="103"/>
        <v>53.333333333333336</v>
      </c>
      <c r="L449" s="271">
        <f t="shared" si="103"/>
        <v>53.333333333333336</v>
      </c>
      <c r="M449" s="271">
        <f t="shared" si="103"/>
        <v>53.333333333333336</v>
      </c>
      <c r="N449" s="272">
        <f t="shared" si="103"/>
        <v>0</v>
      </c>
      <c r="O449" s="86"/>
      <c r="R449" s="271"/>
      <c r="S449" s="271"/>
      <c r="T449" s="271"/>
      <c r="U449" s="271"/>
      <c r="V449" s="271"/>
      <c r="W449" s="271"/>
      <c r="X449" s="271"/>
      <c r="Y449" s="271"/>
      <c r="Z449" s="271"/>
      <c r="AA449" s="271"/>
      <c r="AB449" s="271"/>
      <c r="AC449" s="271"/>
    </row>
    <row r="450" spans="1:29" outlineLevel="1" x14ac:dyDescent="0.2">
      <c r="A450" s="39"/>
      <c r="B450" s="36"/>
      <c r="C450" s="38" t="s">
        <v>795</v>
      </c>
      <c r="D450" s="312" t="str">
        <f t="shared" si="99"/>
        <v>el_us_t5</v>
      </c>
      <c r="E450" s="430" t="str">
        <f t="shared" si="100"/>
        <v>el_us_t5</v>
      </c>
      <c r="F450" s="430" t="str">
        <f t="shared" si="100"/>
        <v>gas_t5</v>
      </c>
      <c r="G450" s="430" t="str">
        <f t="shared" si="100"/>
        <v>gas_t5</v>
      </c>
      <c r="H450" s="312" t="str">
        <f t="shared" si="100"/>
        <v>el_us_t5</v>
      </c>
      <c r="I450" s="62" t="str">
        <f t="shared" si="101"/>
        <v>kWh</v>
      </c>
      <c r="J450" s="249">
        <f t="shared" si="102"/>
        <v>28.571428571428573</v>
      </c>
      <c r="K450" s="270">
        <f t="shared" si="103"/>
        <v>106.66666666666667</v>
      </c>
      <c r="L450" s="271">
        <f t="shared" si="103"/>
        <v>106.66666666666667</v>
      </c>
      <c r="M450" s="271">
        <f t="shared" si="103"/>
        <v>106.66666666666667</v>
      </c>
      <c r="N450" s="272">
        <f t="shared" si="103"/>
        <v>28.571428571428573</v>
      </c>
      <c r="O450" s="86"/>
      <c r="R450" s="271"/>
      <c r="S450" s="271"/>
      <c r="T450" s="271"/>
      <c r="U450" s="271"/>
      <c r="V450" s="271"/>
      <c r="W450" s="271"/>
      <c r="X450" s="271"/>
      <c r="Y450" s="271"/>
      <c r="Z450" s="271"/>
      <c r="AA450" s="271"/>
      <c r="AB450" s="271"/>
      <c r="AC450" s="271"/>
    </row>
    <row r="451" spans="1:29" outlineLevel="1" x14ac:dyDescent="0.2">
      <c r="A451" s="39"/>
      <c r="B451" s="36"/>
      <c r="C451" s="38" t="s">
        <v>796</v>
      </c>
      <c r="D451" s="312" t="str">
        <f t="shared" si="99"/>
        <v>el_us_t6</v>
      </c>
      <c r="E451" s="430" t="str">
        <f t="shared" si="100"/>
        <v>el_us_t6</v>
      </c>
      <c r="F451" s="430" t="str">
        <f t="shared" si="100"/>
        <v>gas_t6</v>
      </c>
      <c r="G451" s="430" t="str">
        <f t="shared" si="100"/>
        <v>gas_t6</v>
      </c>
      <c r="H451" s="312" t="str">
        <f t="shared" si="100"/>
        <v>el_us_t6</v>
      </c>
      <c r="I451" s="62" t="str">
        <f t="shared" si="101"/>
        <v>kWh</v>
      </c>
      <c r="J451" s="249">
        <f t="shared" si="102"/>
        <v>114.28571428571429</v>
      </c>
      <c r="K451" s="270">
        <f t="shared" si="103"/>
        <v>266.66666666666663</v>
      </c>
      <c r="L451" s="271">
        <f t="shared" si="103"/>
        <v>266.66666666666663</v>
      </c>
      <c r="M451" s="271">
        <f t="shared" si="103"/>
        <v>266.66666666666663</v>
      </c>
      <c r="N451" s="272">
        <f t="shared" si="103"/>
        <v>114.28571428571429</v>
      </c>
      <c r="O451" s="86"/>
      <c r="R451" s="271"/>
      <c r="S451" s="271"/>
      <c r="T451" s="271"/>
      <c r="U451" s="271"/>
      <c r="V451" s="271"/>
      <c r="W451" s="271"/>
      <c r="X451" s="271"/>
      <c r="Y451" s="271"/>
      <c r="Z451" s="271"/>
      <c r="AA451" s="271"/>
      <c r="AB451" s="271"/>
      <c r="AC451" s="271"/>
    </row>
    <row r="452" spans="1:29" outlineLevel="1" x14ac:dyDescent="0.2">
      <c r="A452" s="39"/>
      <c r="B452" s="36"/>
      <c r="C452" s="38" t="s">
        <v>797</v>
      </c>
      <c r="D452" s="312" t="str">
        <f t="shared" si="99"/>
        <v>el_us_t7</v>
      </c>
      <c r="E452" s="430" t="str">
        <f t="shared" si="100"/>
        <v>el_us_t7</v>
      </c>
      <c r="F452" s="430" t="str">
        <f t="shared" si="100"/>
        <v>gas_t7</v>
      </c>
      <c r="G452" s="430" t="str">
        <f t="shared" si="100"/>
        <v>gas_t7</v>
      </c>
      <c r="H452" s="312" t="str">
        <f t="shared" si="100"/>
        <v>el_us_t7</v>
      </c>
      <c r="I452" s="62" t="str">
        <f t="shared" si="101"/>
        <v>kWh</v>
      </c>
      <c r="J452" s="249">
        <f t="shared" si="102"/>
        <v>171.42857142857142</v>
      </c>
      <c r="K452" s="270">
        <f t="shared" si="103"/>
        <v>320</v>
      </c>
      <c r="L452" s="271">
        <f t="shared" si="103"/>
        <v>320</v>
      </c>
      <c r="M452" s="271">
        <f t="shared" si="103"/>
        <v>320</v>
      </c>
      <c r="N452" s="272">
        <f t="shared" si="103"/>
        <v>171.42857142857142</v>
      </c>
      <c r="O452" s="86"/>
      <c r="R452" s="271"/>
      <c r="S452" s="271"/>
      <c r="T452" s="271"/>
      <c r="U452" s="271"/>
      <c r="V452" s="271"/>
      <c r="W452" s="271"/>
      <c r="X452" s="271"/>
      <c r="Y452" s="271"/>
      <c r="Z452" s="271"/>
      <c r="AA452" s="271"/>
      <c r="AB452" s="271"/>
      <c r="AC452" s="271"/>
    </row>
    <row r="453" spans="1:29" outlineLevel="1" x14ac:dyDescent="0.2">
      <c r="A453" s="39"/>
      <c r="B453" s="36"/>
      <c r="C453" s="38" t="s">
        <v>798</v>
      </c>
      <c r="D453" s="312" t="str">
        <f t="shared" si="99"/>
        <v>el_us_t8</v>
      </c>
      <c r="E453" s="430" t="str">
        <f t="shared" si="100"/>
        <v>el_us_t8</v>
      </c>
      <c r="F453" s="430" t="str">
        <f t="shared" si="100"/>
        <v>gas_t8</v>
      </c>
      <c r="G453" s="430" t="str">
        <f t="shared" si="100"/>
        <v>gas_t8</v>
      </c>
      <c r="H453" s="312" t="str">
        <f t="shared" si="100"/>
        <v>el_us_t8</v>
      </c>
      <c r="I453" s="62" t="str">
        <f t="shared" si="101"/>
        <v>kWh</v>
      </c>
      <c r="J453" s="249">
        <f t="shared" si="102"/>
        <v>142.85714285714286</v>
      </c>
      <c r="K453" s="270">
        <f t="shared" si="103"/>
        <v>293.33333333333337</v>
      </c>
      <c r="L453" s="271">
        <f t="shared" si="103"/>
        <v>293.33333333333337</v>
      </c>
      <c r="M453" s="271">
        <f t="shared" si="103"/>
        <v>293.33333333333337</v>
      </c>
      <c r="N453" s="272">
        <f t="shared" si="103"/>
        <v>142.85714285714286</v>
      </c>
      <c r="O453" s="86"/>
      <c r="R453" s="271"/>
      <c r="S453" s="271"/>
      <c r="T453" s="271"/>
      <c r="U453" s="271"/>
      <c r="V453" s="271"/>
      <c r="W453" s="271"/>
      <c r="X453" s="271"/>
      <c r="Y453" s="271"/>
      <c r="Z453" s="271"/>
      <c r="AA453" s="271"/>
      <c r="AB453" s="271"/>
      <c r="AC453" s="271"/>
    </row>
    <row r="454" spans="1:29" outlineLevel="1" x14ac:dyDescent="0.2">
      <c r="A454" s="39"/>
      <c r="B454" s="36"/>
      <c r="C454" s="38" t="s">
        <v>799</v>
      </c>
      <c r="D454" s="312" t="str">
        <f t="shared" si="99"/>
        <v>el_us_t9</v>
      </c>
      <c r="E454" s="430" t="str">
        <f t="shared" si="100"/>
        <v>el_us_t9</v>
      </c>
      <c r="F454" s="430" t="str">
        <f t="shared" si="100"/>
        <v>gas_t9</v>
      </c>
      <c r="G454" s="430" t="str">
        <f t="shared" si="100"/>
        <v>gas_t9</v>
      </c>
      <c r="H454" s="312" t="str">
        <f t="shared" si="100"/>
        <v>el_us_t9</v>
      </c>
      <c r="I454" s="62" t="str">
        <f t="shared" si="101"/>
        <v>kWh</v>
      </c>
      <c r="J454" s="249">
        <f t="shared" si="102"/>
        <v>85.714285714285708</v>
      </c>
      <c r="K454" s="270">
        <f t="shared" si="103"/>
        <v>133.33333333333331</v>
      </c>
      <c r="L454" s="271">
        <f t="shared" si="103"/>
        <v>133.33333333333331</v>
      </c>
      <c r="M454" s="271">
        <f t="shared" si="103"/>
        <v>133.33333333333331</v>
      </c>
      <c r="N454" s="272">
        <f t="shared" si="103"/>
        <v>85.714285714285708</v>
      </c>
      <c r="O454" s="86"/>
      <c r="R454" s="271"/>
      <c r="S454" s="271"/>
      <c r="T454" s="271"/>
      <c r="U454" s="271"/>
      <c r="V454" s="271"/>
      <c r="W454" s="271"/>
      <c r="X454" s="271"/>
      <c r="Y454" s="271"/>
      <c r="Z454" s="271"/>
      <c r="AA454" s="271"/>
      <c r="AB454" s="271"/>
      <c r="AC454" s="271"/>
    </row>
    <row r="455" spans="1:29" outlineLevel="1" x14ac:dyDescent="0.2">
      <c r="A455" s="39"/>
      <c r="B455" s="36"/>
      <c r="C455" s="38" t="s">
        <v>800</v>
      </c>
      <c r="D455" s="312" t="str">
        <f t="shared" si="99"/>
        <v>el_us_t10</v>
      </c>
      <c r="E455" s="430" t="str">
        <f t="shared" si="100"/>
        <v>el_us_t10</v>
      </c>
      <c r="F455" s="430" t="str">
        <f t="shared" si="100"/>
        <v>gas_t10</v>
      </c>
      <c r="G455" s="430" t="str">
        <f t="shared" si="100"/>
        <v>gas_t10</v>
      </c>
      <c r="H455" s="312" t="str">
        <f t="shared" si="100"/>
        <v>el_us_t10</v>
      </c>
      <c r="I455" s="62" t="str">
        <f t="shared" si="101"/>
        <v>kWh</v>
      </c>
      <c r="J455" s="249">
        <f t="shared" si="102"/>
        <v>0</v>
      </c>
      <c r="K455" s="270">
        <f t="shared" si="103"/>
        <v>0</v>
      </c>
      <c r="L455" s="271">
        <f t="shared" si="103"/>
        <v>0</v>
      </c>
      <c r="M455" s="271">
        <f t="shared" si="103"/>
        <v>0</v>
      </c>
      <c r="N455" s="272">
        <f t="shared" si="103"/>
        <v>0</v>
      </c>
      <c r="O455" s="86"/>
      <c r="R455" s="271"/>
      <c r="S455" s="271"/>
      <c r="T455" s="271"/>
      <c r="U455" s="271"/>
      <c r="V455" s="271"/>
      <c r="W455" s="271"/>
      <c r="X455" s="271"/>
      <c r="Y455" s="271"/>
      <c r="Z455" s="271"/>
      <c r="AA455" s="271"/>
      <c r="AB455" s="271"/>
      <c r="AC455" s="271"/>
    </row>
    <row r="456" spans="1:29" outlineLevel="1" x14ac:dyDescent="0.2">
      <c r="A456" s="39"/>
      <c r="B456" s="36"/>
      <c r="C456" s="38" t="s">
        <v>801</v>
      </c>
      <c r="D456" s="312" t="str">
        <f t="shared" si="99"/>
        <v>el_us_t11</v>
      </c>
      <c r="E456" s="430" t="str">
        <f t="shared" si="100"/>
        <v>el_us_t11</v>
      </c>
      <c r="F456" s="430" t="str">
        <f t="shared" si="100"/>
        <v>gas_t11</v>
      </c>
      <c r="G456" s="430" t="str">
        <f t="shared" si="100"/>
        <v>gas_t11</v>
      </c>
      <c r="H456" s="312" t="str">
        <f t="shared" si="100"/>
        <v>el_us_t11</v>
      </c>
      <c r="I456" s="62" t="str">
        <f t="shared" si="101"/>
        <v>kWh</v>
      </c>
      <c r="J456" s="249">
        <f t="shared" si="102"/>
        <v>0</v>
      </c>
      <c r="K456" s="270">
        <f t="shared" si="103"/>
        <v>0</v>
      </c>
      <c r="L456" s="271">
        <f t="shared" si="103"/>
        <v>0</v>
      </c>
      <c r="M456" s="271">
        <f t="shared" si="103"/>
        <v>0</v>
      </c>
      <c r="N456" s="272">
        <f t="shared" si="103"/>
        <v>0</v>
      </c>
      <c r="O456" s="86"/>
      <c r="R456" s="271"/>
      <c r="S456" s="271"/>
      <c r="T456" s="271"/>
      <c r="U456" s="271"/>
      <c r="V456" s="271"/>
      <c r="W456" s="271"/>
      <c r="X456" s="271"/>
      <c r="Y456" s="271"/>
      <c r="Z456" s="271"/>
      <c r="AA456" s="271"/>
      <c r="AB456" s="271"/>
      <c r="AC456" s="271"/>
    </row>
    <row r="457" spans="1:29" ht="13.5" outlineLevel="1" thickBot="1" x14ac:dyDescent="0.25">
      <c r="A457" s="39"/>
      <c r="B457" s="258"/>
      <c r="C457" s="197" t="s">
        <v>802</v>
      </c>
      <c r="D457" s="312" t="str">
        <f t="shared" si="99"/>
        <v>el_us_t12</v>
      </c>
      <c r="E457" s="430" t="str">
        <f t="shared" si="100"/>
        <v>el_us_t12</v>
      </c>
      <c r="F457" s="430" t="str">
        <f t="shared" si="100"/>
        <v>gas_t12</v>
      </c>
      <c r="G457" s="430" t="str">
        <f t="shared" si="100"/>
        <v>gas_t12</v>
      </c>
      <c r="H457" s="312" t="str">
        <f t="shared" si="100"/>
        <v>el_us_t12</v>
      </c>
      <c r="I457" s="168" t="str">
        <f t="shared" si="101"/>
        <v>kWh</v>
      </c>
      <c r="J457" s="252">
        <f t="shared" si="102"/>
        <v>0</v>
      </c>
      <c r="K457" s="286">
        <f t="shared" si="103"/>
        <v>0</v>
      </c>
      <c r="L457" s="287">
        <f t="shared" si="103"/>
        <v>0</v>
      </c>
      <c r="M457" s="287">
        <f t="shared" si="103"/>
        <v>0</v>
      </c>
      <c r="N457" s="288">
        <f t="shared" si="103"/>
        <v>0</v>
      </c>
      <c r="O457" s="232"/>
      <c r="R457" s="287"/>
      <c r="S457" s="287"/>
      <c r="T457" s="287"/>
      <c r="U457" s="287"/>
      <c r="V457" s="287"/>
      <c r="W457" s="287"/>
      <c r="X457" s="287"/>
      <c r="Y457" s="287"/>
      <c r="Z457" s="287"/>
      <c r="AA457" s="287"/>
      <c r="AB457" s="287"/>
      <c r="AC457" s="287"/>
    </row>
    <row r="458" spans="1:29" ht="22.5" customHeight="1" x14ac:dyDescent="0.2">
      <c r="A458" s="39"/>
      <c r="B458" s="253" t="str">
        <f>INDEX(Language!D229:M229,1,_language)</f>
        <v>Chiller auxiliary energy</v>
      </c>
      <c r="C458" s="254" t="s">
        <v>803</v>
      </c>
      <c r="D458" s="214"/>
      <c r="E458" s="399"/>
      <c r="F458" s="399"/>
      <c r="G458" s="399"/>
      <c r="H458" s="399"/>
      <c r="I458" s="215" t="s">
        <v>10</v>
      </c>
      <c r="J458" s="344">
        <f t="shared" si="102"/>
        <v>5</v>
      </c>
      <c r="K458" s="261">
        <v>5</v>
      </c>
      <c r="L458" s="262">
        <v>5</v>
      </c>
      <c r="M458" s="262">
        <v>4</v>
      </c>
      <c r="N458" s="806">
        <f>INDEX(R458:AC458,1,N$16)</f>
        <v>5</v>
      </c>
      <c r="O458" s="256" t="s">
        <v>743</v>
      </c>
      <c r="R458" s="262">
        <v>5</v>
      </c>
      <c r="S458" s="262">
        <v>5</v>
      </c>
      <c r="T458" s="262">
        <v>5</v>
      </c>
      <c r="U458" s="262">
        <v>5</v>
      </c>
      <c r="V458" s="262">
        <v>5</v>
      </c>
      <c r="W458" s="262">
        <v>5</v>
      </c>
      <c r="X458" s="262">
        <v>5</v>
      </c>
      <c r="Y458" s="262">
        <v>5</v>
      </c>
      <c r="Z458" s="262">
        <v>5</v>
      </c>
      <c r="AA458" s="262">
        <v>5</v>
      </c>
      <c r="AB458" s="262">
        <v>5</v>
      </c>
      <c r="AC458" s="262">
        <v>5</v>
      </c>
    </row>
    <row r="459" spans="1:29" outlineLevel="1" x14ac:dyDescent="0.2">
      <c r="A459" s="39"/>
      <c r="B459" s="991" t="s">
        <v>1762</v>
      </c>
      <c r="C459" s="38" t="s">
        <v>803</v>
      </c>
      <c r="D459" s="152" t="str">
        <f t="shared" ref="D459:D471" si="104">INDEX(E459:H459,,_case_en)</f>
        <v>el_us_y</v>
      </c>
      <c r="E459" s="425" t="s">
        <v>900</v>
      </c>
      <c r="F459" s="425" t="s">
        <v>900</v>
      </c>
      <c r="G459" s="425" t="s">
        <v>900</v>
      </c>
      <c r="H459" s="909" t="s">
        <v>900</v>
      </c>
      <c r="I459" s="62" t="str">
        <f t="shared" ref="I459:I536" si="105">+_En_unit</f>
        <v>kWh</v>
      </c>
      <c r="J459" s="307">
        <f>SUM(J460:J471)</f>
        <v>27.142857142857142</v>
      </c>
      <c r="K459" s="270">
        <f>SUM(K460:K471)</f>
        <v>58.666666666666664</v>
      </c>
      <c r="L459" s="271">
        <f>SUM(L460:L471)</f>
        <v>58.666666666666664</v>
      </c>
      <c r="M459" s="271">
        <f>SUM(M460:M471)</f>
        <v>46.933333333333323</v>
      </c>
      <c r="N459" s="272">
        <f>SUM(N460:N471)</f>
        <v>27.142857142857142</v>
      </c>
      <c r="O459" s="1079" t="s">
        <v>1762</v>
      </c>
      <c r="P459" s="1356" t="s">
        <v>1809</v>
      </c>
      <c r="R459" s="271"/>
      <c r="S459" s="271"/>
      <c r="T459" s="271"/>
      <c r="U459" s="271"/>
      <c r="V459" s="271"/>
      <c r="W459" s="271"/>
      <c r="X459" s="271"/>
      <c r="Y459" s="271"/>
      <c r="Z459" s="271"/>
      <c r="AA459" s="271"/>
      <c r="AB459" s="271"/>
      <c r="AC459" s="271"/>
    </row>
    <row r="460" spans="1:29" outlineLevel="1" x14ac:dyDescent="0.2">
      <c r="A460" s="39"/>
      <c r="B460" s="36"/>
      <c r="C460" s="38" t="s">
        <v>804</v>
      </c>
      <c r="D460" s="152" t="str">
        <f t="shared" si="104"/>
        <v>el_us_t1</v>
      </c>
      <c r="E460" s="425" t="s">
        <v>914</v>
      </c>
      <c r="F460" s="425" t="s">
        <v>914</v>
      </c>
      <c r="G460" s="425" t="s">
        <v>914</v>
      </c>
      <c r="H460" s="400" t="s">
        <v>914</v>
      </c>
      <c r="I460" s="62" t="str">
        <f t="shared" si="105"/>
        <v>kWh</v>
      </c>
      <c r="J460" s="313">
        <f t="shared" ref="J460:J471" si="106">INDEX(K460:N460,,_case_en)</f>
        <v>0</v>
      </c>
      <c r="K460" s="270">
        <f t="shared" ref="K460:N471" si="107">+K446*K$458/100</f>
        <v>0</v>
      </c>
      <c r="L460" s="271">
        <f t="shared" si="107"/>
        <v>0</v>
      </c>
      <c r="M460" s="271">
        <f t="shared" si="107"/>
        <v>0</v>
      </c>
      <c r="N460" s="272">
        <f t="shared" si="107"/>
        <v>0</v>
      </c>
      <c r="O460" s="86"/>
      <c r="R460" s="271"/>
      <c r="S460" s="271"/>
      <c r="T460" s="271"/>
      <c r="U460" s="271"/>
      <c r="V460" s="271"/>
      <c r="W460" s="271"/>
      <c r="X460" s="271"/>
      <c r="Y460" s="271"/>
      <c r="Z460" s="271"/>
      <c r="AA460" s="271"/>
      <c r="AB460" s="271"/>
      <c r="AC460" s="271"/>
    </row>
    <row r="461" spans="1:29" outlineLevel="1" x14ac:dyDescent="0.2">
      <c r="A461" s="39"/>
      <c r="B461" s="36"/>
      <c r="C461" s="38" t="s">
        <v>805</v>
      </c>
      <c r="D461" s="152" t="str">
        <f t="shared" si="104"/>
        <v>el_us_t2</v>
      </c>
      <c r="E461" s="425" t="s">
        <v>915</v>
      </c>
      <c r="F461" s="425" t="s">
        <v>915</v>
      </c>
      <c r="G461" s="425" t="s">
        <v>915</v>
      </c>
      <c r="H461" s="400" t="s">
        <v>915</v>
      </c>
      <c r="I461" s="62" t="str">
        <f t="shared" si="105"/>
        <v>kWh</v>
      </c>
      <c r="J461" s="249">
        <f t="shared" si="106"/>
        <v>0</v>
      </c>
      <c r="K461" s="270">
        <f t="shared" si="107"/>
        <v>0</v>
      </c>
      <c r="L461" s="271">
        <f t="shared" si="107"/>
        <v>0</v>
      </c>
      <c r="M461" s="271">
        <f t="shared" si="107"/>
        <v>0</v>
      </c>
      <c r="N461" s="272">
        <f t="shared" si="107"/>
        <v>0</v>
      </c>
      <c r="O461" s="86"/>
      <c r="R461" s="271"/>
      <c r="S461" s="271"/>
      <c r="T461" s="271"/>
      <c r="U461" s="271"/>
      <c r="V461" s="271"/>
      <c r="W461" s="271"/>
      <c r="X461" s="271"/>
      <c r="Y461" s="271"/>
      <c r="Z461" s="271"/>
      <c r="AA461" s="271"/>
      <c r="AB461" s="271"/>
      <c r="AC461" s="271"/>
    </row>
    <row r="462" spans="1:29" outlineLevel="1" x14ac:dyDescent="0.2">
      <c r="A462" s="39"/>
      <c r="B462" s="36"/>
      <c r="C462" s="38" t="s">
        <v>806</v>
      </c>
      <c r="D462" s="152" t="str">
        <f t="shared" si="104"/>
        <v>el_us_t3</v>
      </c>
      <c r="E462" s="425" t="s">
        <v>916</v>
      </c>
      <c r="F462" s="425" t="s">
        <v>916</v>
      </c>
      <c r="G462" s="425" t="s">
        <v>916</v>
      </c>
      <c r="H462" s="400" t="s">
        <v>916</v>
      </c>
      <c r="I462" s="62" t="str">
        <f t="shared" si="105"/>
        <v>kWh</v>
      </c>
      <c r="J462" s="249">
        <f t="shared" si="106"/>
        <v>0</v>
      </c>
      <c r="K462" s="270">
        <f t="shared" si="107"/>
        <v>0</v>
      </c>
      <c r="L462" s="271">
        <f t="shared" si="107"/>
        <v>0</v>
      </c>
      <c r="M462" s="271">
        <f t="shared" si="107"/>
        <v>0</v>
      </c>
      <c r="N462" s="272">
        <f t="shared" si="107"/>
        <v>0</v>
      </c>
      <c r="O462" s="86"/>
      <c r="R462" s="271"/>
      <c r="S462" s="271"/>
      <c r="T462" s="271"/>
      <c r="U462" s="271"/>
      <c r="V462" s="271"/>
      <c r="W462" s="271"/>
      <c r="X462" s="271"/>
      <c r="Y462" s="271"/>
      <c r="Z462" s="271"/>
      <c r="AA462" s="271"/>
      <c r="AB462" s="271"/>
      <c r="AC462" s="271"/>
    </row>
    <row r="463" spans="1:29" outlineLevel="1" x14ac:dyDescent="0.2">
      <c r="A463" s="39"/>
      <c r="B463" s="36"/>
      <c r="C463" s="38" t="s">
        <v>807</v>
      </c>
      <c r="D463" s="152" t="str">
        <f t="shared" si="104"/>
        <v>el_us_t4</v>
      </c>
      <c r="E463" s="425" t="s">
        <v>917</v>
      </c>
      <c r="F463" s="425" t="s">
        <v>917</v>
      </c>
      <c r="G463" s="425" t="s">
        <v>917</v>
      </c>
      <c r="H463" s="400" t="s">
        <v>917</v>
      </c>
      <c r="I463" s="62" t="str">
        <f t="shared" si="105"/>
        <v>kWh</v>
      </c>
      <c r="J463" s="249">
        <f t="shared" si="106"/>
        <v>0</v>
      </c>
      <c r="K463" s="270">
        <f t="shared" si="107"/>
        <v>2.666666666666667</v>
      </c>
      <c r="L463" s="271">
        <f t="shared" si="107"/>
        <v>2.666666666666667</v>
      </c>
      <c r="M463" s="271">
        <f t="shared" si="107"/>
        <v>2.1333333333333333</v>
      </c>
      <c r="N463" s="272">
        <f t="shared" si="107"/>
        <v>0</v>
      </c>
      <c r="O463" s="86"/>
      <c r="R463" s="271"/>
      <c r="S463" s="271"/>
      <c r="T463" s="271"/>
      <c r="U463" s="271"/>
      <c r="V463" s="271"/>
      <c r="W463" s="271"/>
      <c r="X463" s="271"/>
      <c r="Y463" s="271"/>
      <c r="Z463" s="271"/>
      <c r="AA463" s="271"/>
      <c r="AB463" s="271"/>
      <c r="AC463" s="271"/>
    </row>
    <row r="464" spans="1:29" outlineLevel="1" x14ac:dyDescent="0.2">
      <c r="A464" s="39"/>
      <c r="B464" s="36"/>
      <c r="C464" s="38" t="s">
        <v>808</v>
      </c>
      <c r="D464" s="152" t="str">
        <f t="shared" si="104"/>
        <v>el_us_t5</v>
      </c>
      <c r="E464" s="425" t="s">
        <v>918</v>
      </c>
      <c r="F464" s="425" t="s">
        <v>918</v>
      </c>
      <c r="G464" s="425" t="s">
        <v>918</v>
      </c>
      <c r="H464" s="400" t="s">
        <v>918</v>
      </c>
      <c r="I464" s="62" t="str">
        <f t="shared" si="105"/>
        <v>kWh</v>
      </c>
      <c r="J464" s="249">
        <f t="shared" si="106"/>
        <v>1.4285714285714286</v>
      </c>
      <c r="K464" s="270">
        <f t="shared" si="107"/>
        <v>5.3333333333333339</v>
      </c>
      <c r="L464" s="271">
        <f t="shared" si="107"/>
        <v>5.3333333333333339</v>
      </c>
      <c r="M464" s="271">
        <f t="shared" si="107"/>
        <v>4.2666666666666666</v>
      </c>
      <c r="N464" s="272">
        <f t="shared" si="107"/>
        <v>1.4285714285714286</v>
      </c>
      <c r="O464" s="86"/>
      <c r="R464" s="271"/>
      <c r="S464" s="271"/>
      <c r="T464" s="271"/>
      <c r="U464" s="271"/>
      <c r="V464" s="271"/>
      <c r="W464" s="271"/>
      <c r="X464" s="271"/>
      <c r="Y464" s="271"/>
      <c r="Z464" s="271"/>
      <c r="AA464" s="271"/>
      <c r="AB464" s="271"/>
      <c r="AC464" s="271"/>
    </row>
    <row r="465" spans="1:29" outlineLevel="1" x14ac:dyDescent="0.2">
      <c r="A465" s="39"/>
      <c r="B465" s="36"/>
      <c r="C465" s="38" t="s">
        <v>809</v>
      </c>
      <c r="D465" s="152" t="str">
        <f t="shared" si="104"/>
        <v>el_us_t6</v>
      </c>
      <c r="E465" s="425" t="s">
        <v>919</v>
      </c>
      <c r="F465" s="425" t="s">
        <v>919</v>
      </c>
      <c r="G465" s="425" t="s">
        <v>919</v>
      </c>
      <c r="H465" s="400" t="s">
        <v>919</v>
      </c>
      <c r="I465" s="62" t="str">
        <f t="shared" si="105"/>
        <v>kWh</v>
      </c>
      <c r="J465" s="249">
        <f t="shared" si="106"/>
        <v>5.7142857142857144</v>
      </c>
      <c r="K465" s="270">
        <f t="shared" si="107"/>
        <v>13.33333333333333</v>
      </c>
      <c r="L465" s="271">
        <f t="shared" si="107"/>
        <v>13.33333333333333</v>
      </c>
      <c r="M465" s="271">
        <f t="shared" si="107"/>
        <v>10.666666666666664</v>
      </c>
      <c r="N465" s="272">
        <f t="shared" si="107"/>
        <v>5.7142857142857144</v>
      </c>
      <c r="O465" s="86"/>
      <c r="R465" s="271"/>
      <c r="S465" s="271"/>
      <c r="T465" s="271"/>
      <c r="U465" s="271"/>
      <c r="V465" s="271"/>
      <c r="W465" s="271"/>
      <c r="X465" s="271"/>
      <c r="Y465" s="271"/>
      <c r="Z465" s="271"/>
      <c r="AA465" s="271"/>
      <c r="AB465" s="271"/>
      <c r="AC465" s="271"/>
    </row>
    <row r="466" spans="1:29" outlineLevel="1" x14ac:dyDescent="0.2">
      <c r="A466" s="39"/>
      <c r="B466" s="36"/>
      <c r="C466" s="38" t="s">
        <v>810</v>
      </c>
      <c r="D466" s="152" t="str">
        <f t="shared" si="104"/>
        <v>el_us_t7</v>
      </c>
      <c r="E466" s="425" t="s">
        <v>920</v>
      </c>
      <c r="F466" s="425" t="s">
        <v>920</v>
      </c>
      <c r="G466" s="425" t="s">
        <v>920</v>
      </c>
      <c r="H466" s="400" t="s">
        <v>920</v>
      </c>
      <c r="I466" s="62" t="str">
        <f t="shared" si="105"/>
        <v>kWh</v>
      </c>
      <c r="J466" s="249">
        <f t="shared" si="106"/>
        <v>8.5714285714285712</v>
      </c>
      <c r="K466" s="270">
        <f t="shared" si="107"/>
        <v>16</v>
      </c>
      <c r="L466" s="271">
        <f t="shared" si="107"/>
        <v>16</v>
      </c>
      <c r="M466" s="271">
        <f t="shared" si="107"/>
        <v>12.8</v>
      </c>
      <c r="N466" s="272">
        <f t="shared" si="107"/>
        <v>8.5714285714285712</v>
      </c>
      <c r="O466" s="86"/>
      <c r="R466" s="271"/>
      <c r="S466" s="271"/>
      <c r="T466" s="271"/>
      <c r="U466" s="271"/>
      <c r="V466" s="271"/>
      <c r="W466" s="271"/>
      <c r="X466" s="271"/>
      <c r="Y466" s="271"/>
      <c r="Z466" s="271"/>
      <c r="AA466" s="271"/>
      <c r="AB466" s="271"/>
      <c r="AC466" s="271"/>
    </row>
    <row r="467" spans="1:29" outlineLevel="1" x14ac:dyDescent="0.2">
      <c r="A467" s="39"/>
      <c r="B467" s="36"/>
      <c r="C467" s="38" t="s">
        <v>811</v>
      </c>
      <c r="D467" s="152" t="str">
        <f t="shared" si="104"/>
        <v>el_us_t8</v>
      </c>
      <c r="E467" s="425" t="s">
        <v>921</v>
      </c>
      <c r="F467" s="425" t="s">
        <v>921</v>
      </c>
      <c r="G467" s="425" t="s">
        <v>921</v>
      </c>
      <c r="H467" s="400" t="s">
        <v>921</v>
      </c>
      <c r="I467" s="62" t="str">
        <f t="shared" si="105"/>
        <v>kWh</v>
      </c>
      <c r="J467" s="249">
        <f t="shared" si="106"/>
        <v>7.1428571428571432</v>
      </c>
      <c r="K467" s="270">
        <f t="shared" si="107"/>
        <v>14.66666666666667</v>
      </c>
      <c r="L467" s="271">
        <f t="shared" si="107"/>
        <v>14.66666666666667</v>
      </c>
      <c r="M467" s="271">
        <f t="shared" si="107"/>
        <v>11.733333333333334</v>
      </c>
      <c r="N467" s="272">
        <f t="shared" si="107"/>
        <v>7.1428571428571432</v>
      </c>
      <c r="O467" s="86"/>
      <c r="R467" s="271"/>
      <c r="S467" s="271"/>
      <c r="T467" s="271"/>
      <c r="U467" s="271"/>
      <c r="V467" s="271"/>
      <c r="W467" s="271"/>
      <c r="X467" s="271"/>
      <c r="Y467" s="271"/>
      <c r="Z467" s="271"/>
      <c r="AA467" s="271"/>
      <c r="AB467" s="271"/>
      <c r="AC467" s="271"/>
    </row>
    <row r="468" spans="1:29" outlineLevel="1" x14ac:dyDescent="0.2">
      <c r="A468" s="39"/>
      <c r="B468" s="36"/>
      <c r="C468" s="38" t="s">
        <v>812</v>
      </c>
      <c r="D468" s="152" t="str">
        <f t="shared" si="104"/>
        <v>el_us_t9</v>
      </c>
      <c r="E468" s="425" t="s">
        <v>922</v>
      </c>
      <c r="F468" s="425" t="s">
        <v>922</v>
      </c>
      <c r="G468" s="425" t="s">
        <v>922</v>
      </c>
      <c r="H468" s="400" t="s">
        <v>922</v>
      </c>
      <c r="I468" s="62" t="str">
        <f t="shared" si="105"/>
        <v>kWh</v>
      </c>
      <c r="J468" s="249">
        <f t="shared" si="106"/>
        <v>4.2857142857142856</v>
      </c>
      <c r="K468" s="270">
        <f t="shared" si="107"/>
        <v>6.6666666666666652</v>
      </c>
      <c r="L468" s="271">
        <f t="shared" si="107"/>
        <v>6.6666666666666652</v>
      </c>
      <c r="M468" s="271">
        <f t="shared" si="107"/>
        <v>5.3333333333333321</v>
      </c>
      <c r="N468" s="272">
        <f t="shared" si="107"/>
        <v>4.2857142857142856</v>
      </c>
      <c r="O468" s="86"/>
      <c r="R468" s="271"/>
      <c r="S468" s="271"/>
      <c r="T468" s="271"/>
      <c r="U468" s="271"/>
      <c r="V468" s="271"/>
      <c r="W468" s="271"/>
      <c r="X468" s="271"/>
      <c r="Y468" s="271"/>
      <c r="Z468" s="271"/>
      <c r="AA468" s="271"/>
      <c r="AB468" s="271"/>
      <c r="AC468" s="271"/>
    </row>
    <row r="469" spans="1:29" outlineLevel="1" x14ac:dyDescent="0.2">
      <c r="A469" s="39"/>
      <c r="B469" s="36"/>
      <c r="C469" s="38" t="s">
        <v>813</v>
      </c>
      <c r="D469" s="152" t="str">
        <f t="shared" si="104"/>
        <v>el_us_t10</v>
      </c>
      <c r="E469" s="425" t="s">
        <v>923</v>
      </c>
      <c r="F469" s="425" t="s">
        <v>923</v>
      </c>
      <c r="G469" s="425" t="s">
        <v>923</v>
      </c>
      <c r="H469" s="400" t="s">
        <v>923</v>
      </c>
      <c r="I469" s="62" t="str">
        <f t="shared" si="105"/>
        <v>kWh</v>
      </c>
      <c r="J469" s="249">
        <f t="shared" si="106"/>
        <v>0</v>
      </c>
      <c r="K469" s="270">
        <f t="shared" si="107"/>
        <v>0</v>
      </c>
      <c r="L469" s="271">
        <f t="shared" si="107"/>
        <v>0</v>
      </c>
      <c r="M469" s="271">
        <f t="shared" si="107"/>
        <v>0</v>
      </c>
      <c r="N469" s="272">
        <f t="shared" si="107"/>
        <v>0</v>
      </c>
      <c r="O469" s="86"/>
      <c r="R469" s="271"/>
      <c r="S469" s="271"/>
      <c r="T469" s="271"/>
      <c r="U469" s="271"/>
      <c r="V469" s="271"/>
      <c r="W469" s="271"/>
      <c r="X469" s="271"/>
      <c r="Y469" s="271"/>
      <c r="Z469" s="271"/>
      <c r="AA469" s="271"/>
      <c r="AB469" s="271"/>
      <c r="AC469" s="271"/>
    </row>
    <row r="470" spans="1:29" outlineLevel="1" x14ac:dyDescent="0.2">
      <c r="A470" s="39"/>
      <c r="B470" s="36"/>
      <c r="C470" s="38" t="s">
        <v>814</v>
      </c>
      <c r="D470" s="152" t="str">
        <f t="shared" si="104"/>
        <v>el_us_t11</v>
      </c>
      <c r="E470" s="425" t="s">
        <v>924</v>
      </c>
      <c r="F470" s="425" t="s">
        <v>924</v>
      </c>
      <c r="G470" s="425" t="s">
        <v>924</v>
      </c>
      <c r="H470" s="400" t="s">
        <v>924</v>
      </c>
      <c r="I470" s="62" t="str">
        <f t="shared" si="105"/>
        <v>kWh</v>
      </c>
      <c r="J470" s="249">
        <f t="shared" si="106"/>
        <v>0</v>
      </c>
      <c r="K470" s="270">
        <f t="shared" si="107"/>
        <v>0</v>
      </c>
      <c r="L470" s="271">
        <f t="shared" si="107"/>
        <v>0</v>
      </c>
      <c r="M470" s="271">
        <f t="shared" si="107"/>
        <v>0</v>
      </c>
      <c r="N470" s="272">
        <f t="shared" si="107"/>
        <v>0</v>
      </c>
      <c r="O470" s="86"/>
      <c r="R470" s="271"/>
      <c r="S470" s="271"/>
      <c r="T470" s="271"/>
      <c r="U470" s="271"/>
      <c r="V470" s="271"/>
      <c r="W470" s="271"/>
      <c r="X470" s="271"/>
      <c r="Y470" s="271"/>
      <c r="Z470" s="271"/>
      <c r="AA470" s="271"/>
      <c r="AB470" s="271"/>
      <c r="AC470" s="271"/>
    </row>
    <row r="471" spans="1:29" ht="13.5" outlineLevel="1" thickBot="1" x14ac:dyDescent="0.25">
      <c r="A471" s="39"/>
      <c r="B471" s="263"/>
      <c r="C471" s="264" t="s">
        <v>815</v>
      </c>
      <c r="D471" s="152" t="str">
        <f t="shared" si="104"/>
        <v>el_us_t12</v>
      </c>
      <c r="E471" s="426" t="s">
        <v>925</v>
      </c>
      <c r="F471" s="426" t="s">
        <v>925</v>
      </c>
      <c r="G471" s="426" t="s">
        <v>925</v>
      </c>
      <c r="H471" s="401" t="s">
        <v>925</v>
      </c>
      <c r="I471" s="223" t="str">
        <f t="shared" si="105"/>
        <v>kWh</v>
      </c>
      <c r="J471" s="250">
        <f t="shared" si="106"/>
        <v>0</v>
      </c>
      <c r="K471" s="277">
        <f t="shared" si="107"/>
        <v>0</v>
      </c>
      <c r="L471" s="278">
        <f t="shared" si="107"/>
        <v>0</v>
      </c>
      <c r="M471" s="278">
        <f t="shared" si="107"/>
        <v>0</v>
      </c>
      <c r="N471" s="279">
        <f t="shared" si="107"/>
        <v>0</v>
      </c>
      <c r="O471" s="280"/>
      <c r="R471" s="278"/>
      <c r="S471" s="278"/>
      <c r="T471" s="278"/>
      <c r="U471" s="278"/>
      <c r="V471" s="278"/>
      <c r="W471" s="278"/>
      <c r="X471" s="278"/>
      <c r="Y471" s="278"/>
      <c r="Z471" s="278"/>
      <c r="AA471" s="278"/>
      <c r="AB471" s="278"/>
      <c r="AC471" s="278"/>
    </row>
    <row r="472" spans="1:29" ht="22.5" customHeight="1" x14ac:dyDescent="0.2">
      <c r="A472" s="39"/>
      <c r="B472" s="36" t="str">
        <f>INDEX(Language!D231:M231,1,_language)</f>
        <v>Chiller rejected heat</v>
      </c>
      <c r="C472" s="38" t="s">
        <v>881</v>
      </c>
      <c r="D472" s="152"/>
      <c r="E472" s="400"/>
      <c r="F472" s="400"/>
      <c r="G472" s="400"/>
      <c r="H472" s="400"/>
      <c r="I472" s="62" t="s">
        <v>10</v>
      </c>
      <c r="J472" s="251">
        <f>SUM(J473:J484)</f>
        <v>1927.1428571428571</v>
      </c>
      <c r="K472" s="208">
        <f>SUM(K473:K484)</f>
        <v>4165.333333333333</v>
      </c>
      <c r="L472" s="209">
        <f>SUM(L473:L484)</f>
        <v>4165.333333333333</v>
      </c>
      <c r="M472" s="209">
        <f>SUM(M473:M484)</f>
        <v>4153.6000000000004</v>
      </c>
      <c r="N472" s="210">
        <f>SUM(N473:N484)</f>
        <v>1927.1428571428571</v>
      </c>
      <c r="O472" s="86"/>
      <c r="R472" s="209"/>
      <c r="S472" s="209"/>
      <c r="T472" s="209"/>
      <c r="U472" s="209"/>
      <c r="V472" s="209"/>
      <c r="W472" s="209"/>
      <c r="X472" s="209"/>
      <c r="Y472" s="209"/>
      <c r="Z472" s="209"/>
      <c r="AA472" s="209"/>
      <c r="AB472" s="209"/>
      <c r="AC472" s="209"/>
    </row>
    <row r="473" spans="1:29" outlineLevel="1" x14ac:dyDescent="0.2">
      <c r="A473" s="39"/>
      <c r="B473" s="36"/>
      <c r="C473" s="38" t="s">
        <v>882</v>
      </c>
      <c r="D473" s="152"/>
      <c r="E473" s="400"/>
      <c r="F473" s="400"/>
      <c r="G473" s="400"/>
      <c r="H473" s="400"/>
      <c r="I473" s="62" t="str">
        <f t="shared" si="105"/>
        <v>kWh</v>
      </c>
      <c r="J473" s="313">
        <f t="shared" ref="J473:J484" si="108">INDEX(K473:N473,,_case_en)</f>
        <v>0</v>
      </c>
      <c r="K473" s="270">
        <f t="shared" ref="K473:N484" si="109">+K460+K446+K147</f>
        <v>0</v>
      </c>
      <c r="L473" s="271">
        <f t="shared" si="109"/>
        <v>0</v>
      </c>
      <c r="M473" s="271">
        <f t="shared" si="109"/>
        <v>0</v>
      </c>
      <c r="N473" s="272">
        <f t="shared" si="109"/>
        <v>0</v>
      </c>
      <c r="O473" s="86"/>
      <c r="R473" s="271"/>
      <c r="S473" s="271"/>
      <c r="T473" s="271"/>
      <c r="U473" s="271"/>
      <c r="V473" s="271"/>
      <c r="W473" s="271"/>
      <c r="X473" s="271"/>
      <c r="Y473" s="271"/>
      <c r="Z473" s="271"/>
      <c r="AA473" s="271"/>
      <c r="AB473" s="271"/>
      <c r="AC473" s="271"/>
    </row>
    <row r="474" spans="1:29" outlineLevel="1" x14ac:dyDescent="0.2">
      <c r="A474" s="39"/>
      <c r="B474" s="36"/>
      <c r="C474" s="38" t="s">
        <v>883</v>
      </c>
      <c r="D474" s="152"/>
      <c r="E474" s="400"/>
      <c r="F474" s="400"/>
      <c r="G474" s="400"/>
      <c r="H474" s="400"/>
      <c r="I474" s="62" t="str">
        <f t="shared" si="105"/>
        <v>kWh</v>
      </c>
      <c r="J474" s="249">
        <f t="shared" si="108"/>
        <v>0</v>
      </c>
      <c r="K474" s="270">
        <f t="shared" si="109"/>
        <v>0</v>
      </c>
      <c r="L474" s="271">
        <f t="shared" si="109"/>
        <v>0</v>
      </c>
      <c r="M474" s="271">
        <f t="shared" si="109"/>
        <v>0</v>
      </c>
      <c r="N474" s="272">
        <f t="shared" si="109"/>
        <v>0</v>
      </c>
      <c r="O474" s="86"/>
      <c r="R474" s="271"/>
      <c r="S474" s="271"/>
      <c r="T474" s="271"/>
      <c r="U474" s="271"/>
      <c r="V474" s="271"/>
      <c r="W474" s="271"/>
      <c r="X474" s="271"/>
      <c r="Y474" s="271"/>
      <c r="Z474" s="271"/>
      <c r="AA474" s="271"/>
      <c r="AB474" s="271"/>
      <c r="AC474" s="271"/>
    </row>
    <row r="475" spans="1:29" outlineLevel="1" x14ac:dyDescent="0.2">
      <c r="A475" s="39"/>
      <c r="B475" s="36"/>
      <c r="C475" s="38" t="s">
        <v>884</v>
      </c>
      <c r="D475" s="152"/>
      <c r="E475" s="400"/>
      <c r="F475" s="400"/>
      <c r="G475" s="400"/>
      <c r="H475" s="400"/>
      <c r="I475" s="62" t="str">
        <f t="shared" si="105"/>
        <v>kWh</v>
      </c>
      <c r="J475" s="249">
        <f t="shared" si="108"/>
        <v>0</v>
      </c>
      <c r="K475" s="270">
        <f t="shared" si="109"/>
        <v>0</v>
      </c>
      <c r="L475" s="271">
        <f t="shared" si="109"/>
        <v>0</v>
      </c>
      <c r="M475" s="271">
        <f t="shared" si="109"/>
        <v>0</v>
      </c>
      <c r="N475" s="272">
        <f t="shared" si="109"/>
        <v>0</v>
      </c>
      <c r="O475" s="86"/>
      <c r="R475" s="271"/>
      <c r="S475" s="271"/>
      <c r="T475" s="271"/>
      <c r="U475" s="271"/>
      <c r="V475" s="271"/>
      <c r="W475" s="271"/>
      <c r="X475" s="271"/>
      <c r="Y475" s="271"/>
      <c r="Z475" s="271"/>
      <c r="AA475" s="271"/>
      <c r="AB475" s="271"/>
      <c r="AC475" s="271"/>
    </row>
    <row r="476" spans="1:29" outlineLevel="1" x14ac:dyDescent="0.2">
      <c r="A476" s="39"/>
      <c r="B476" s="36"/>
      <c r="C476" s="38" t="s">
        <v>885</v>
      </c>
      <c r="D476" s="152"/>
      <c r="E476" s="400"/>
      <c r="F476" s="400"/>
      <c r="G476" s="400"/>
      <c r="H476" s="400"/>
      <c r="I476" s="62" t="str">
        <f t="shared" si="105"/>
        <v>kWh</v>
      </c>
      <c r="J476" s="249">
        <f t="shared" si="108"/>
        <v>0</v>
      </c>
      <c r="K476" s="270">
        <f t="shared" si="109"/>
        <v>189.33333333333334</v>
      </c>
      <c r="L476" s="271">
        <f t="shared" si="109"/>
        <v>189.33333333333334</v>
      </c>
      <c r="M476" s="271">
        <f t="shared" si="109"/>
        <v>188.8</v>
      </c>
      <c r="N476" s="272">
        <f t="shared" si="109"/>
        <v>0</v>
      </c>
      <c r="O476" s="86"/>
      <c r="R476" s="271"/>
      <c r="S476" s="271"/>
      <c r="T476" s="271"/>
      <c r="U476" s="271"/>
      <c r="V476" s="271"/>
      <c r="W476" s="271"/>
      <c r="X476" s="271"/>
      <c r="Y476" s="271"/>
      <c r="Z476" s="271"/>
      <c r="AA476" s="271"/>
      <c r="AB476" s="271"/>
      <c r="AC476" s="271"/>
    </row>
    <row r="477" spans="1:29" outlineLevel="1" x14ac:dyDescent="0.2">
      <c r="A477" s="39"/>
      <c r="B477" s="36"/>
      <c r="C477" s="38" t="s">
        <v>886</v>
      </c>
      <c r="D477" s="152"/>
      <c r="E477" s="400"/>
      <c r="F477" s="400"/>
      <c r="G477" s="400"/>
      <c r="H477" s="400"/>
      <c r="I477" s="62" t="str">
        <f t="shared" si="105"/>
        <v>kWh</v>
      </c>
      <c r="J477" s="249">
        <f t="shared" si="108"/>
        <v>101.42857142857143</v>
      </c>
      <c r="K477" s="270">
        <f t="shared" si="109"/>
        <v>378.66666666666669</v>
      </c>
      <c r="L477" s="271">
        <f t="shared" si="109"/>
        <v>378.66666666666669</v>
      </c>
      <c r="M477" s="271">
        <f t="shared" si="109"/>
        <v>377.6</v>
      </c>
      <c r="N477" s="272">
        <f t="shared" si="109"/>
        <v>101.42857142857143</v>
      </c>
      <c r="O477" s="86"/>
      <c r="R477" s="271"/>
      <c r="S477" s="271"/>
      <c r="T477" s="271"/>
      <c r="U477" s="271"/>
      <c r="V477" s="271"/>
      <c r="W477" s="271"/>
      <c r="X477" s="271"/>
      <c r="Y477" s="271"/>
      <c r="Z477" s="271"/>
      <c r="AA477" s="271"/>
      <c r="AB477" s="271"/>
      <c r="AC477" s="271"/>
    </row>
    <row r="478" spans="1:29" outlineLevel="1" x14ac:dyDescent="0.2">
      <c r="A478" s="39"/>
      <c r="B478" s="36"/>
      <c r="C478" s="38" t="s">
        <v>887</v>
      </c>
      <c r="D478" s="152"/>
      <c r="E478" s="400"/>
      <c r="F478" s="400"/>
      <c r="G478" s="400"/>
      <c r="H478" s="400"/>
      <c r="I478" s="62" t="str">
        <f t="shared" si="105"/>
        <v>kWh</v>
      </c>
      <c r="J478" s="249">
        <f t="shared" si="108"/>
        <v>405.71428571428572</v>
      </c>
      <c r="K478" s="270">
        <f t="shared" si="109"/>
        <v>946.66666666666652</v>
      </c>
      <c r="L478" s="271">
        <f t="shared" si="109"/>
        <v>946.66666666666652</v>
      </c>
      <c r="M478" s="271">
        <f t="shared" si="109"/>
        <v>944</v>
      </c>
      <c r="N478" s="272">
        <f t="shared" si="109"/>
        <v>405.71428571428572</v>
      </c>
      <c r="O478" s="86"/>
      <c r="R478" s="271"/>
      <c r="S478" s="271"/>
      <c r="T478" s="271"/>
      <c r="U478" s="271"/>
      <c r="V478" s="271"/>
      <c r="W478" s="271"/>
      <c r="X478" s="271"/>
      <c r="Y478" s="271"/>
      <c r="Z478" s="271"/>
      <c r="AA478" s="271"/>
      <c r="AB478" s="271"/>
      <c r="AC478" s="271"/>
    </row>
    <row r="479" spans="1:29" outlineLevel="1" x14ac:dyDescent="0.2">
      <c r="A479" s="39"/>
      <c r="B479" s="36"/>
      <c r="C479" s="38" t="s">
        <v>888</v>
      </c>
      <c r="D479" s="152"/>
      <c r="E479" s="400"/>
      <c r="F479" s="400"/>
      <c r="G479" s="400"/>
      <c r="H479" s="400"/>
      <c r="I479" s="62" t="str">
        <f t="shared" si="105"/>
        <v>kWh</v>
      </c>
      <c r="J479" s="249">
        <f t="shared" si="108"/>
        <v>608.57142857142856</v>
      </c>
      <c r="K479" s="270">
        <f t="shared" si="109"/>
        <v>1136</v>
      </c>
      <c r="L479" s="271">
        <f t="shared" si="109"/>
        <v>1136</v>
      </c>
      <c r="M479" s="271">
        <f t="shared" si="109"/>
        <v>1132.8</v>
      </c>
      <c r="N479" s="272">
        <f t="shared" si="109"/>
        <v>608.57142857142856</v>
      </c>
      <c r="O479" s="86"/>
      <c r="R479" s="271"/>
      <c r="S479" s="271"/>
      <c r="T479" s="271"/>
      <c r="U479" s="271"/>
      <c r="V479" s="271"/>
      <c r="W479" s="271"/>
      <c r="X479" s="271"/>
      <c r="Y479" s="271"/>
      <c r="Z479" s="271"/>
      <c r="AA479" s="271"/>
      <c r="AB479" s="271"/>
      <c r="AC479" s="271"/>
    </row>
    <row r="480" spans="1:29" outlineLevel="1" x14ac:dyDescent="0.2">
      <c r="A480" s="39"/>
      <c r="B480" s="36"/>
      <c r="C480" s="38" t="s">
        <v>889</v>
      </c>
      <c r="D480" s="152"/>
      <c r="E480" s="400"/>
      <c r="F480" s="400"/>
      <c r="G480" s="400"/>
      <c r="H480" s="400"/>
      <c r="I480" s="62" t="str">
        <f t="shared" si="105"/>
        <v>kWh</v>
      </c>
      <c r="J480" s="249">
        <f t="shared" si="108"/>
        <v>507.14285714285717</v>
      </c>
      <c r="K480" s="270">
        <f t="shared" si="109"/>
        <v>1041.3333333333335</v>
      </c>
      <c r="L480" s="271">
        <f t="shared" si="109"/>
        <v>1041.3333333333335</v>
      </c>
      <c r="M480" s="271">
        <f t="shared" si="109"/>
        <v>1038.4000000000001</v>
      </c>
      <c r="N480" s="272">
        <f t="shared" si="109"/>
        <v>507.14285714285717</v>
      </c>
      <c r="O480" s="86"/>
      <c r="R480" s="271"/>
      <c r="S480" s="271"/>
      <c r="T480" s="271"/>
      <c r="U480" s="271"/>
      <c r="V480" s="271"/>
      <c r="W480" s="271"/>
      <c r="X480" s="271"/>
      <c r="Y480" s="271"/>
      <c r="Z480" s="271"/>
      <c r="AA480" s="271"/>
      <c r="AB480" s="271"/>
      <c r="AC480" s="271"/>
    </row>
    <row r="481" spans="1:29" outlineLevel="1" x14ac:dyDescent="0.2">
      <c r="A481" s="39"/>
      <c r="B481" s="36"/>
      <c r="C481" s="38" t="s">
        <v>890</v>
      </c>
      <c r="D481" s="152"/>
      <c r="E481" s="400"/>
      <c r="F481" s="400"/>
      <c r="G481" s="400"/>
      <c r="H481" s="400"/>
      <c r="I481" s="62" t="str">
        <f t="shared" si="105"/>
        <v>kWh</v>
      </c>
      <c r="J481" s="249">
        <f t="shared" si="108"/>
        <v>304.28571428571428</v>
      </c>
      <c r="K481" s="270">
        <f t="shared" si="109"/>
        <v>473.33333333333326</v>
      </c>
      <c r="L481" s="271">
        <f t="shared" si="109"/>
        <v>473.33333333333326</v>
      </c>
      <c r="M481" s="271">
        <f t="shared" si="109"/>
        <v>472</v>
      </c>
      <c r="N481" s="272">
        <f t="shared" si="109"/>
        <v>304.28571428571428</v>
      </c>
      <c r="O481" s="86"/>
      <c r="R481" s="271"/>
      <c r="S481" s="271"/>
      <c r="T481" s="271"/>
      <c r="U481" s="271"/>
      <c r="V481" s="271"/>
      <c r="W481" s="271"/>
      <c r="X481" s="271"/>
      <c r="Y481" s="271"/>
      <c r="Z481" s="271"/>
      <c r="AA481" s="271"/>
      <c r="AB481" s="271"/>
      <c r="AC481" s="271"/>
    </row>
    <row r="482" spans="1:29" outlineLevel="1" x14ac:dyDescent="0.2">
      <c r="A482" s="39"/>
      <c r="B482" s="36"/>
      <c r="C482" s="38" t="s">
        <v>891</v>
      </c>
      <c r="D482" s="152"/>
      <c r="E482" s="400"/>
      <c r="F482" s="400"/>
      <c r="G482" s="400"/>
      <c r="H482" s="400"/>
      <c r="I482" s="62" t="str">
        <f t="shared" si="105"/>
        <v>kWh</v>
      </c>
      <c r="J482" s="249">
        <f t="shared" si="108"/>
        <v>0</v>
      </c>
      <c r="K482" s="270">
        <f t="shared" si="109"/>
        <v>0</v>
      </c>
      <c r="L482" s="271">
        <f t="shared" si="109"/>
        <v>0</v>
      </c>
      <c r="M482" s="271">
        <f t="shared" si="109"/>
        <v>0</v>
      </c>
      <c r="N482" s="272">
        <f t="shared" si="109"/>
        <v>0</v>
      </c>
      <c r="O482" s="86"/>
      <c r="R482" s="271"/>
      <c r="S482" s="271"/>
      <c r="T482" s="271"/>
      <c r="U482" s="271"/>
      <c r="V482" s="271"/>
      <c r="W482" s="271"/>
      <c r="X482" s="271"/>
      <c r="Y482" s="271"/>
      <c r="Z482" s="271"/>
      <c r="AA482" s="271"/>
      <c r="AB482" s="271"/>
      <c r="AC482" s="271"/>
    </row>
    <row r="483" spans="1:29" outlineLevel="1" x14ac:dyDescent="0.2">
      <c r="A483" s="39"/>
      <c r="B483" s="36"/>
      <c r="C483" s="38" t="s">
        <v>892</v>
      </c>
      <c r="D483" s="152"/>
      <c r="E483" s="400"/>
      <c r="F483" s="400"/>
      <c r="G483" s="400"/>
      <c r="H483" s="400"/>
      <c r="I483" s="62" t="str">
        <f t="shared" si="105"/>
        <v>kWh</v>
      </c>
      <c r="J483" s="249">
        <f t="shared" si="108"/>
        <v>0</v>
      </c>
      <c r="K483" s="270">
        <f t="shared" si="109"/>
        <v>0</v>
      </c>
      <c r="L483" s="271">
        <f t="shared" si="109"/>
        <v>0</v>
      </c>
      <c r="M483" s="271">
        <f t="shared" si="109"/>
        <v>0</v>
      </c>
      <c r="N483" s="272">
        <f t="shared" si="109"/>
        <v>0</v>
      </c>
      <c r="O483" s="86"/>
      <c r="R483" s="271"/>
      <c r="S483" s="271"/>
      <c r="T483" s="271"/>
      <c r="U483" s="271"/>
      <c r="V483" s="271"/>
      <c r="W483" s="271"/>
      <c r="X483" s="271"/>
      <c r="Y483" s="271"/>
      <c r="Z483" s="271"/>
      <c r="AA483" s="271"/>
      <c r="AB483" s="271"/>
      <c r="AC483" s="271"/>
    </row>
    <row r="484" spans="1:29" ht="13.5" outlineLevel="1" thickBot="1" x14ac:dyDescent="0.25">
      <c r="A484" s="39"/>
      <c r="B484" s="263"/>
      <c r="C484" s="38" t="s">
        <v>893</v>
      </c>
      <c r="D484" s="278"/>
      <c r="E484" s="408"/>
      <c r="F484" s="408"/>
      <c r="G484" s="408"/>
      <c r="H484" s="408"/>
      <c r="I484" s="223" t="str">
        <f t="shared" si="105"/>
        <v>kWh</v>
      </c>
      <c r="J484" s="250">
        <f t="shared" si="108"/>
        <v>0</v>
      </c>
      <c r="K484" s="277">
        <f t="shared" si="109"/>
        <v>0</v>
      </c>
      <c r="L484" s="278">
        <f t="shared" si="109"/>
        <v>0</v>
      </c>
      <c r="M484" s="278">
        <f t="shared" si="109"/>
        <v>0</v>
      </c>
      <c r="N484" s="279">
        <f t="shared" si="109"/>
        <v>0</v>
      </c>
      <c r="O484" s="280"/>
      <c r="R484" s="278"/>
      <c r="S484" s="278"/>
      <c r="T484" s="278"/>
      <c r="U484" s="278"/>
      <c r="V484" s="278"/>
      <c r="W484" s="278"/>
      <c r="X484" s="278"/>
      <c r="Y484" s="278"/>
      <c r="Z484" s="278"/>
      <c r="AA484" s="278"/>
      <c r="AB484" s="278"/>
      <c r="AC484" s="278"/>
    </row>
    <row r="485" spans="1:29" ht="18" customHeight="1" x14ac:dyDescent="0.2">
      <c r="A485" s="39"/>
      <c r="B485" s="104" t="str">
        <f>INDEX(Language!D232:M232,1,_language)</f>
        <v>Ventilation electricity use</v>
      </c>
      <c r="C485" s="259" t="s">
        <v>819</v>
      </c>
      <c r="D485" s="984" t="str">
        <f t="shared" ref="D485:D516" si="110">INDEX(E485:H485,,_case_en)</f>
        <v>el_us_y</v>
      </c>
      <c r="E485" s="427" t="s">
        <v>900</v>
      </c>
      <c r="F485" s="427" t="s">
        <v>900</v>
      </c>
      <c r="G485" s="427" t="s">
        <v>900</v>
      </c>
      <c r="H485" s="985" t="s">
        <v>900</v>
      </c>
      <c r="I485" s="207" t="str">
        <f t="shared" si="105"/>
        <v>kWh</v>
      </c>
      <c r="J485" s="251">
        <f>SUM(J486:J497)</f>
        <v>600</v>
      </c>
      <c r="K485" s="208">
        <f>SUM(K486:K497)</f>
        <v>1440</v>
      </c>
      <c r="L485" s="209">
        <f>SUM(L486:L497)</f>
        <v>1440</v>
      </c>
      <c r="M485" s="209">
        <f>SUM(M486:M497)</f>
        <v>1440</v>
      </c>
      <c r="N485" s="210">
        <f>SUM(N486:N497)</f>
        <v>600</v>
      </c>
      <c r="O485" s="227"/>
      <c r="R485" s="209"/>
      <c r="S485" s="209"/>
      <c r="T485" s="209"/>
      <c r="U485" s="209"/>
      <c r="V485" s="209"/>
      <c r="W485" s="209"/>
      <c r="X485" s="209"/>
      <c r="Y485" s="209"/>
      <c r="Z485" s="209"/>
      <c r="AA485" s="209"/>
      <c r="AB485" s="209"/>
      <c r="AC485" s="209"/>
    </row>
    <row r="486" spans="1:29" outlineLevel="1" x14ac:dyDescent="0.2">
      <c r="A486" s="39"/>
      <c r="B486" s="991" t="s">
        <v>1762</v>
      </c>
      <c r="C486" s="38" t="s">
        <v>820</v>
      </c>
      <c r="D486" s="984" t="str">
        <f t="shared" si="110"/>
        <v>el_us_t1</v>
      </c>
      <c r="E486" s="425" t="s">
        <v>914</v>
      </c>
      <c r="F486" s="425" t="s">
        <v>914</v>
      </c>
      <c r="G486" s="425" t="s">
        <v>914</v>
      </c>
      <c r="H486" s="425" t="s">
        <v>914</v>
      </c>
      <c r="I486" s="62" t="str">
        <f t="shared" si="105"/>
        <v>kWh</v>
      </c>
      <c r="J486" s="249">
        <f t="shared" ref="J486:J497" si="111">INDEX(K486:N486,,_case_en)</f>
        <v>50</v>
      </c>
      <c r="K486" s="318">
        <v>120</v>
      </c>
      <c r="L486" s="319">
        <v>120</v>
      </c>
      <c r="M486" s="319">
        <v>120</v>
      </c>
      <c r="N486" s="272">
        <f t="shared" ref="N486:N497" si="112">INDEX(R486:AC486,1,N$16)</f>
        <v>50</v>
      </c>
      <c r="O486" s="991" t="s">
        <v>1762</v>
      </c>
      <c r="P486" s="1356" t="s">
        <v>1809</v>
      </c>
      <c r="R486" s="607">
        <v>50</v>
      </c>
      <c r="S486" s="607">
        <v>50</v>
      </c>
      <c r="T486" s="319">
        <v>50</v>
      </c>
      <c r="U486" s="319">
        <v>50</v>
      </c>
      <c r="V486" s="319">
        <v>50</v>
      </c>
      <c r="W486" s="319">
        <v>50</v>
      </c>
      <c r="X486" s="319">
        <v>50</v>
      </c>
      <c r="Y486" s="319">
        <v>50</v>
      </c>
      <c r="Z486" s="319">
        <v>50</v>
      </c>
      <c r="AA486" s="319">
        <v>50</v>
      </c>
      <c r="AB486" s="319">
        <v>50</v>
      </c>
      <c r="AC486" s="319">
        <v>50</v>
      </c>
    </row>
    <row r="487" spans="1:29" outlineLevel="1" x14ac:dyDescent="0.2">
      <c r="A487" s="39"/>
      <c r="B487" s="36"/>
      <c r="C487" s="38" t="s">
        <v>821</v>
      </c>
      <c r="D487" s="984" t="str">
        <f t="shared" si="110"/>
        <v>el_us_t2</v>
      </c>
      <c r="E487" s="425" t="s">
        <v>915</v>
      </c>
      <c r="F487" s="425" t="s">
        <v>915</v>
      </c>
      <c r="G487" s="425" t="s">
        <v>915</v>
      </c>
      <c r="H487" s="425" t="s">
        <v>915</v>
      </c>
      <c r="I487" s="62" t="str">
        <f t="shared" si="105"/>
        <v>kWh</v>
      </c>
      <c r="J487" s="249">
        <f t="shared" si="111"/>
        <v>50</v>
      </c>
      <c r="K487" s="318">
        <v>120</v>
      </c>
      <c r="L487" s="319">
        <v>120</v>
      </c>
      <c r="M487" s="319">
        <v>120</v>
      </c>
      <c r="N487" s="272">
        <f t="shared" si="112"/>
        <v>50</v>
      </c>
      <c r="O487" s="86"/>
      <c r="R487" s="319">
        <f t="shared" ref="R487:R497" si="113">+R486</f>
        <v>50</v>
      </c>
      <c r="S487" s="319">
        <f t="shared" ref="S487:S497" si="114">+S486</f>
        <v>50</v>
      </c>
      <c r="T487" s="319">
        <v>50</v>
      </c>
      <c r="U487" s="319">
        <v>50</v>
      </c>
      <c r="V487" s="319">
        <v>50</v>
      </c>
      <c r="W487" s="319">
        <v>50</v>
      </c>
      <c r="X487" s="319">
        <v>50</v>
      </c>
      <c r="Y487" s="319">
        <v>50</v>
      </c>
      <c r="Z487" s="319">
        <v>50</v>
      </c>
      <c r="AA487" s="319">
        <v>50</v>
      </c>
      <c r="AB487" s="319">
        <v>50</v>
      </c>
      <c r="AC487" s="319">
        <v>50</v>
      </c>
    </row>
    <row r="488" spans="1:29" outlineLevel="1" x14ac:dyDescent="0.2">
      <c r="A488" s="39"/>
      <c r="B488" s="36"/>
      <c r="C488" s="38" t="s">
        <v>822</v>
      </c>
      <c r="D488" s="984" t="str">
        <f t="shared" si="110"/>
        <v>el_us_t3</v>
      </c>
      <c r="E488" s="425" t="s">
        <v>916</v>
      </c>
      <c r="F488" s="425" t="s">
        <v>916</v>
      </c>
      <c r="G488" s="425" t="s">
        <v>916</v>
      </c>
      <c r="H488" s="425" t="s">
        <v>916</v>
      </c>
      <c r="I488" s="62" t="str">
        <f t="shared" si="105"/>
        <v>kWh</v>
      </c>
      <c r="J488" s="249">
        <f t="shared" si="111"/>
        <v>50</v>
      </c>
      <c r="K488" s="318">
        <v>120</v>
      </c>
      <c r="L488" s="319">
        <v>120</v>
      </c>
      <c r="M488" s="319">
        <v>120</v>
      </c>
      <c r="N488" s="272">
        <f t="shared" si="112"/>
        <v>50</v>
      </c>
      <c r="O488" s="86"/>
      <c r="R488" s="319">
        <f t="shared" si="113"/>
        <v>50</v>
      </c>
      <c r="S488" s="319">
        <f t="shared" si="114"/>
        <v>50</v>
      </c>
      <c r="T488" s="319">
        <v>50</v>
      </c>
      <c r="U488" s="319">
        <v>50</v>
      </c>
      <c r="V488" s="319">
        <v>50</v>
      </c>
      <c r="W488" s="319">
        <v>50</v>
      </c>
      <c r="X488" s="319">
        <v>50</v>
      </c>
      <c r="Y488" s="319">
        <v>50</v>
      </c>
      <c r="Z488" s="319">
        <v>50</v>
      </c>
      <c r="AA488" s="319">
        <v>50</v>
      </c>
      <c r="AB488" s="319">
        <v>50</v>
      </c>
      <c r="AC488" s="319">
        <v>50</v>
      </c>
    </row>
    <row r="489" spans="1:29" outlineLevel="1" x14ac:dyDescent="0.2">
      <c r="A489" s="39"/>
      <c r="B489" s="36"/>
      <c r="C489" s="38" t="s">
        <v>823</v>
      </c>
      <c r="D489" s="984" t="str">
        <f t="shared" si="110"/>
        <v>el_us_t4</v>
      </c>
      <c r="E489" s="425" t="s">
        <v>917</v>
      </c>
      <c r="F489" s="425" t="s">
        <v>917</v>
      </c>
      <c r="G489" s="425" t="s">
        <v>917</v>
      </c>
      <c r="H489" s="425" t="s">
        <v>917</v>
      </c>
      <c r="I489" s="62" t="str">
        <f t="shared" si="105"/>
        <v>kWh</v>
      </c>
      <c r="J489" s="249">
        <f t="shared" si="111"/>
        <v>50</v>
      </c>
      <c r="K489" s="318">
        <v>120</v>
      </c>
      <c r="L489" s="319">
        <v>120</v>
      </c>
      <c r="M489" s="319">
        <v>120</v>
      </c>
      <c r="N489" s="272">
        <f t="shared" si="112"/>
        <v>50</v>
      </c>
      <c r="O489" s="86"/>
      <c r="R489" s="319">
        <f t="shared" si="113"/>
        <v>50</v>
      </c>
      <c r="S489" s="319">
        <f t="shared" si="114"/>
        <v>50</v>
      </c>
      <c r="T489" s="319">
        <v>50</v>
      </c>
      <c r="U489" s="319">
        <v>50</v>
      </c>
      <c r="V489" s="319">
        <v>50</v>
      </c>
      <c r="W489" s="319">
        <v>50</v>
      </c>
      <c r="X489" s="319">
        <v>50</v>
      </c>
      <c r="Y489" s="319">
        <v>50</v>
      </c>
      <c r="Z489" s="319">
        <v>50</v>
      </c>
      <c r="AA489" s="319">
        <v>50</v>
      </c>
      <c r="AB489" s="319">
        <v>50</v>
      </c>
      <c r="AC489" s="319">
        <v>50</v>
      </c>
    </row>
    <row r="490" spans="1:29" outlineLevel="1" x14ac:dyDescent="0.2">
      <c r="A490" s="39"/>
      <c r="B490" s="36"/>
      <c r="C490" s="38" t="s">
        <v>824</v>
      </c>
      <c r="D490" s="984" t="str">
        <f t="shared" si="110"/>
        <v>el_us_t5</v>
      </c>
      <c r="E490" s="425" t="s">
        <v>918</v>
      </c>
      <c r="F490" s="425" t="s">
        <v>918</v>
      </c>
      <c r="G490" s="425" t="s">
        <v>918</v>
      </c>
      <c r="H490" s="425" t="s">
        <v>918</v>
      </c>
      <c r="I490" s="62" t="str">
        <f t="shared" si="105"/>
        <v>kWh</v>
      </c>
      <c r="J490" s="249">
        <f t="shared" si="111"/>
        <v>50</v>
      </c>
      <c r="K490" s="318">
        <v>120</v>
      </c>
      <c r="L490" s="319">
        <v>120</v>
      </c>
      <c r="M490" s="319">
        <v>120</v>
      </c>
      <c r="N490" s="272">
        <f t="shared" si="112"/>
        <v>50</v>
      </c>
      <c r="O490" s="86"/>
      <c r="R490" s="319">
        <f t="shared" si="113"/>
        <v>50</v>
      </c>
      <c r="S490" s="319">
        <f t="shared" si="114"/>
        <v>50</v>
      </c>
      <c r="T490" s="319">
        <v>50</v>
      </c>
      <c r="U490" s="319">
        <v>50</v>
      </c>
      <c r="V490" s="319">
        <v>50</v>
      </c>
      <c r="W490" s="319">
        <v>50</v>
      </c>
      <c r="X490" s="319">
        <v>50</v>
      </c>
      <c r="Y490" s="319">
        <v>50</v>
      </c>
      <c r="Z490" s="319">
        <v>50</v>
      </c>
      <c r="AA490" s="319">
        <v>50</v>
      </c>
      <c r="AB490" s="319">
        <v>50</v>
      </c>
      <c r="AC490" s="319">
        <v>50</v>
      </c>
    </row>
    <row r="491" spans="1:29" outlineLevel="1" x14ac:dyDescent="0.2">
      <c r="A491" s="39"/>
      <c r="B491" s="36"/>
      <c r="C491" s="38" t="s">
        <v>825</v>
      </c>
      <c r="D491" s="984" t="str">
        <f t="shared" si="110"/>
        <v>el_us_t6</v>
      </c>
      <c r="E491" s="425" t="s">
        <v>919</v>
      </c>
      <c r="F491" s="425" t="s">
        <v>919</v>
      </c>
      <c r="G491" s="425" t="s">
        <v>919</v>
      </c>
      <c r="H491" s="425" t="s">
        <v>919</v>
      </c>
      <c r="I491" s="62" t="str">
        <f t="shared" si="105"/>
        <v>kWh</v>
      </c>
      <c r="J491" s="249">
        <f t="shared" si="111"/>
        <v>50</v>
      </c>
      <c r="K491" s="318">
        <v>120</v>
      </c>
      <c r="L491" s="319">
        <v>120</v>
      </c>
      <c r="M491" s="319">
        <v>120</v>
      </c>
      <c r="N491" s="272">
        <f t="shared" si="112"/>
        <v>50</v>
      </c>
      <c r="O491" s="86"/>
      <c r="R491" s="319">
        <f t="shared" si="113"/>
        <v>50</v>
      </c>
      <c r="S491" s="319">
        <f t="shared" si="114"/>
        <v>50</v>
      </c>
      <c r="T491" s="319">
        <v>50</v>
      </c>
      <c r="U491" s="319">
        <v>50</v>
      </c>
      <c r="V491" s="319">
        <v>50</v>
      </c>
      <c r="W491" s="319">
        <v>50</v>
      </c>
      <c r="X491" s="319">
        <v>50</v>
      </c>
      <c r="Y491" s="319">
        <v>50</v>
      </c>
      <c r="Z491" s="319">
        <v>50</v>
      </c>
      <c r="AA491" s="319">
        <v>50</v>
      </c>
      <c r="AB491" s="319">
        <v>50</v>
      </c>
      <c r="AC491" s="319">
        <v>50</v>
      </c>
    </row>
    <row r="492" spans="1:29" outlineLevel="1" x14ac:dyDescent="0.2">
      <c r="A492" s="39"/>
      <c r="B492" s="36"/>
      <c r="C492" s="38" t="s">
        <v>826</v>
      </c>
      <c r="D492" s="984" t="str">
        <f t="shared" si="110"/>
        <v>el_us_t7</v>
      </c>
      <c r="E492" s="425" t="s">
        <v>920</v>
      </c>
      <c r="F492" s="425" t="s">
        <v>920</v>
      </c>
      <c r="G492" s="425" t="s">
        <v>920</v>
      </c>
      <c r="H492" s="425" t="s">
        <v>920</v>
      </c>
      <c r="I492" s="62" t="str">
        <f t="shared" si="105"/>
        <v>kWh</v>
      </c>
      <c r="J492" s="249">
        <f t="shared" si="111"/>
        <v>50</v>
      </c>
      <c r="K492" s="318">
        <v>120</v>
      </c>
      <c r="L492" s="319">
        <v>120</v>
      </c>
      <c r="M492" s="319">
        <v>120</v>
      </c>
      <c r="N492" s="272">
        <f t="shared" si="112"/>
        <v>50</v>
      </c>
      <c r="O492" s="86"/>
      <c r="R492" s="319">
        <f t="shared" si="113"/>
        <v>50</v>
      </c>
      <c r="S492" s="319">
        <f t="shared" si="114"/>
        <v>50</v>
      </c>
      <c r="T492" s="319">
        <v>50</v>
      </c>
      <c r="U492" s="319">
        <v>50</v>
      </c>
      <c r="V492" s="319">
        <v>50</v>
      </c>
      <c r="W492" s="319">
        <v>50</v>
      </c>
      <c r="X492" s="319">
        <v>50</v>
      </c>
      <c r="Y492" s="319">
        <v>50</v>
      </c>
      <c r="Z492" s="319">
        <v>50</v>
      </c>
      <c r="AA492" s="319">
        <v>50</v>
      </c>
      <c r="AB492" s="319">
        <v>50</v>
      </c>
      <c r="AC492" s="319">
        <v>50</v>
      </c>
    </row>
    <row r="493" spans="1:29" outlineLevel="1" x14ac:dyDescent="0.2">
      <c r="A493" s="39"/>
      <c r="B493" s="36"/>
      <c r="C493" s="38" t="s">
        <v>827</v>
      </c>
      <c r="D493" s="984" t="str">
        <f t="shared" si="110"/>
        <v>el_us_t8</v>
      </c>
      <c r="E493" s="425" t="s">
        <v>921</v>
      </c>
      <c r="F493" s="425" t="s">
        <v>921</v>
      </c>
      <c r="G493" s="425" t="s">
        <v>921</v>
      </c>
      <c r="H493" s="425" t="s">
        <v>921</v>
      </c>
      <c r="I493" s="62" t="str">
        <f t="shared" si="105"/>
        <v>kWh</v>
      </c>
      <c r="J493" s="249">
        <f t="shared" si="111"/>
        <v>50</v>
      </c>
      <c r="K493" s="318">
        <v>120</v>
      </c>
      <c r="L493" s="319">
        <v>120</v>
      </c>
      <c r="M493" s="319">
        <v>120</v>
      </c>
      <c r="N493" s="272">
        <f t="shared" si="112"/>
        <v>50</v>
      </c>
      <c r="O493" s="86"/>
      <c r="R493" s="319">
        <f t="shared" si="113"/>
        <v>50</v>
      </c>
      <c r="S493" s="319">
        <f t="shared" si="114"/>
        <v>50</v>
      </c>
      <c r="T493" s="319">
        <v>50</v>
      </c>
      <c r="U493" s="319">
        <v>50</v>
      </c>
      <c r="V493" s="319">
        <v>50</v>
      </c>
      <c r="W493" s="319">
        <v>50</v>
      </c>
      <c r="X493" s="319">
        <v>50</v>
      </c>
      <c r="Y493" s="319">
        <v>50</v>
      </c>
      <c r="Z493" s="319">
        <v>50</v>
      </c>
      <c r="AA493" s="319">
        <v>50</v>
      </c>
      <c r="AB493" s="319">
        <v>50</v>
      </c>
      <c r="AC493" s="319">
        <v>50</v>
      </c>
    </row>
    <row r="494" spans="1:29" outlineLevel="1" x14ac:dyDescent="0.2">
      <c r="A494" s="39"/>
      <c r="B494" s="36"/>
      <c r="C494" s="38" t="s">
        <v>828</v>
      </c>
      <c r="D494" s="984" t="str">
        <f t="shared" si="110"/>
        <v>el_us_t9</v>
      </c>
      <c r="E494" s="425" t="s">
        <v>922</v>
      </c>
      <c r="F494" s="425" t="s">
        <v>922</v>
      </c>
      <c r="G494" s="425" t="s">
        <v>922</v>
      </c>
      <c r="H494" s="425" t="s">
        <v>922</v>
      </c>
      <c r="I494" s="62" t="str">
        <f t="shared" si="105"/>
        <v>kWh</v>
      </c>
      <c r="J494" s="249">
        <f t="shared" si="111"/>
        <v>50</v>
      </c>
      <c r="K494" s="318">
        <v>120</v>
      </c>
      <c r="L494" s="319">
        <v>120</v>
      </c>
      <c r="M494" s="319">
        <v>120</v>
      </c>
      <c r="N494" s="272">
        <f t="shared" si="112"/>
        <v>50</v>
      </c>
      <c r="O494" s="86"/>
      <c r="R494" s="319">
        <f t="shared" si="113"/>
        <v>50</v>
      </c>
      <c r="S494" s="319">
        <f t="shared" si="114"/>
        <v>50</v>
      </c>
      <c r="T494" s="319">
        <v>50</v>
      </c>
      <c r="U494" s="319">
        <v>50</v>
      </c>
      <c r="V494" s="319">
        <v>50</v>
      </c>
      <c r="W494" s="319">
        <v>50</v>
      </c>
      <c r="X494" s="319">
        <v>50</v>
      </c>
      <c r="Y494" s="319">
        <v>50</v>
      </c>
      <c r="Z494" s="319">
        <v>50</v>
      </c>
      <c r="AA494" s="319">
        <v>50</v>
      </c>
      <c r="AB494" s="319">
        <v>50</v>
      </c>
      <c r="AC494" s="319">
        <v>50</v>
      </c>
    </row>
    <row r="495" spans="1:29" outlineLevel="1" x14ac:dyDescent="0.2">
      <c r="A495" s="39"/>
      <c r="B495" s="36"/>
      <c r="C495" s="38" t="s">
        <v>829</v>
      </c>
      <c r="D495" s="984" t="str">
        <f t="shared" si="110"/>
        <v>el_us_t10</v>
      </c>
      <c r="E495" s="425" t="s">
        <v>923</v>
      </c>
      <c r="F495" s="425" t="s">
        <v>923</v>
      </c>
      <c r="G495" s="425" t="s">
        <v>923</v>
      </c>
      <c r="H495" s="425" t="s">
        <v>923</v>
      </c>
      <c r="I495" s="62" t="str">
        <f t="shared" si="105"/>
        <v>kWh</v>
      </c>
      <c r="J495" s="249">
        <f t="shared" si="111"/>
        <v>50</v>
      </c>
      <c r="K495" s="318">
        <v>120</v>
      </c>
      <c r="L495" s="319">
        <v>120</v>
      </c>
      <c r="M495" s="319">
        <v>120</v>
      </c>
      <c r="N495" s="272">
        <f t="shared" si="112"/>
        <v>50</v>
      </c>
      <c r="O495" s="86"/>
      <c r="R495" s="319">
        <f t="shared" si="113"/>
        <v>50</v>
      </c>
      <c r="S495" s="319">
        <f t="shared" si="114"/>
        <v>50</v>
      </c>
      <c r="T495" s="319">
        <v>50</v>
      </c>
      <c r="U495" s="319">
        <v>50</v>
      </c>
      <c r="V495" s="319">
        <v>50</v>
      </c>
      <c r="W495" s="319">
        <v>50</v>
      </c>
      <c r="X495" s="319">
        <v>50</v>
      </c>
      <c r="Y495" s="319">
        <v>50</v>
      </c>
      <c r="Z495" s="319">
        <v>50</v>
      </c>
      <c r="AA495" s="319">
        <v>50</v>
      </c>
      <c r="AB495" s="319">
        <v>50</v>
      </c>
      <c r="AC495" s="319">
        <v>50</v>
      </c>
    </row>
    <row r="496" spans="1:29" outlineLevel="1" x14ac:dyDescent="0.2">
      <c r="A496" s="39"/>
      <c r="B496" s="36"/>
      <c r="C496" s="38" t="s">
        <v>830</v>
      </c>
      <c r="D496" s="984" t="str">
        <f t="shared" si="110"/>
        <v>el_us_t11</v>
      </c>
      <c r="E496" s="425" t="s">
        <v>924</v>
      </c>
      <c r="F496" s="425" t="s">
        <v>924</v>
      </c>
      <c r="G496" s="425" t="s">
        <v>924</v>
      </c>
      <c r="H496" s="425" t="s">
        <v>924</v>
      </c>
      <c r="I496" s="62" t="str">
        <f t="shared" si="105"/>
        <v>kWh</v>
      </c>
      <c r="J496" s="249">
        <f t="shared" si="111"/>
        <v>50</v>
      </c>
      <c r="K496" s="318">
        <v>120</v>
      </c>
      <c r="L496" s="319">
        <v>120</v>
      </c>
      <c r="M496" s="319">
        <v>120</v>
      </c>
      <c r="N496" s="272">
        <f t="shared" si="112"/>
        <v>50</v>
      </c>
      <c r="O496" s="86"/>
      <c r="R496" s="319">
        <f t="shared" si="113"/>
        <v>50</v>
      </c>
      <c r="S496" s="319">
        <f t="shared" si="114"/>
        <v>50</v>
      </c>
      <c r="T496" s="319">
        <v>50</v>
      </c>
      <c r="U496" s="319">
        <v>50</v>
      </c>
      <c r="V496" s="319">
        <v>50</v>
      </c>
      <c r="W496" s="319">
        <v>50</v>
      </c>
      <c r="X496" s="319">
        <v>50</v>
      </c>
      <c r="Y496" s="319">
        <v>50</v>
      </c>
      <c r="Z496" s="319">
        <v>50</v>
      </c>
      <c r="AA496" s="319">
        <v>50</v>
      </c>
      <c r="AB496" s="319">
        <v>50</v>
      </c>
      <c r="AC496" s="319">
        <v>50</v>
      </c>
    </row>
    <row r="497" spans="1:29" ht="13.5" outlineLevel="1" thickBot="1" x14ac:dyDescent="0.25">
      <c r="A497" s="39"/>
      <c r="B497" s="258"/>
      <c r="C497" s="197" t="s">
        <v>831</v>
      </c>
      <c r="D497" s="984" t="str">
        <f t="shared" si="110"/>
        <v>el_us_t12</v>
      </c>
      <c r="E497" s="426" t="s">
        <v>925</v>
      </c>
      <c r="F497" s="426" t="s">
        <v>925</v>
      </c>
      <c r="G497" s="426" t="s">
        <v>925</v>
      </c>
      <c r="H497" s="426" t="s">
        <v>925</v>
      </c>
      <c r="I497" s="168" t="str">
        <f t="shared" si="105"/>
        <v>kWh</v>
      </c>
      <c r="J497" s="252">
        <f t="shared" si="111"/>
        <v>50</v>
      </c>
      <c r="K497" s="320">
        <v>120</v>
      </c>
      <c r="L497" s="321">
        <v>120</v>
      </c>
      <c r="M497" s="321">
        <v>120</v>
      </c>
      <c r="N497" s="288">
        <f t="shared" si="112"/>
        <v>50</v>
      </c>
      <c r="O497" s="232"/>
      <c r="R497" s="319">
        <f t="shared" si="113"/>
        <v>50</v>
      </c>
      <c r="S497" s="319">
        <f t="shared" si="114"/>
        <v>50</v>
      </c>
      <c r="T497" s="321">
        <v>50</v>
      </c>
      <c r="U497" s="321">
        <v>50</v>
      </c>
      <c r="V497" s="321">
        <v>50</v>
      </c>
      <c r="W497" s="321">
        <v>50</v>
      </c>
      <c r="X497" s="321">
        <v>50</v>
      </c>
      <c r="Y497" s="321">
        <v>50</v>
      </c>
      <c r="Z497" s="321">
        <v>50</v>
      </c>
      <c r="AA497" s="321">
        <v>50</v>
      </c>
      <c r="AB497" s="321">
        <v>50</v>
      </c>
      <c r="AC497" s="321">
        <v>50</v>
      </c>
    </row>
    <row r="498" spans="1:29" x14ac:dyDescent="0.2">
      <c r="A498" s="39"/>
      <c r="B498" s="253" t="str">
        <f>INDEX(Language!D233:M233,1,_language)</f>
        <v>Lighting electricity use</v>
      </c>
      <c r="C498" s="254" t="s">
        <v>832</v>
      </c>
      <c r="D498" s="984" t="str">
        <f t="shared" si="110"/>
        <v>el_us_y</v>
      </c>
      <c r="E498" s="427" t="s">
        <v>900</v>
      </c>
      <c r="F498" s="427" t="s">
        <v>900</v>
      </c>
      <c r="G498" s="427" t="s">
        <v>900</v>
      </c>
      <c r="H498" s="985" t="s">
        <v>900</v>
      </c>
      <c r="I498" s="215" t="str">
        <f t="shared" si="105"/>
        <v>kWh</v>
      </c>
      <c r="J498" s="248">
        <f>SUM(J499:J510)</f>
        <v>240</v>
      </c>
      <c r="K498" s="208">
        <f>SUM(K499:K510)</f>
        <v>3000</v>
      </c>
      <c r="L498" s="209">
        <f>SUM(L499:L510)</f>
        <v>1800</v>
      </c>
      <c r="M498" s="209">
        <f>SUM(M499:M510)</f>
        <v>1800</v>
      </c>
      <c r="N498" s="210">
        <f>SUM(N499:N510)</f>
        <v>240</v>
      </c>
      <c r="O498" s="256"/>
      <c r="R498" s="209"/>
      <c r="S498" s="209"/>
      <c r="T498" s="209"/>
      <c r="U498" s="209"/>
      <c r="V498" s="209"/>
      <c r="W498" s="209"/>
      <c r="X498" s="209"/>
      <c r="Y498" s="209"/>
      <c r="Z498" s="209"/>
      <c r="AA498" s="209"/>
      <c r="AB498" s="209"/>
      <c r="AC498" s="209"/>
    </row>
    <row r="499" spans="1:29" outlineLevel="1" x14ac:dyDescent="0.2">
      <c r="A499" s="39"/>
      <c r="B499" s="991" t="s">
        <v>1762</v>
      </c>
      <c r="C499" s="38" t="s">
        <v>833</v>
      </c>
      <c r="D499" s="984" t="str">
        <f t="shared" si="110"/>
        <v>el_us_t1</v>
      </c>
      <c r="E499" s="425" t="s">
        <v>914</v>
      </c>
      <c r="F499" s="425" t="s">
        <v>914</v>
      </c>
      <c r="G499" s="425" t="s">
        <v>914</v>
      </c>
      <c r="H499" s="425" t="s">
        <v>914</v>
      </c>
      <c r="I499" s="62" t="str">
        <f t="shared" si="105"/>
        <v>kWh</v>
      </c>
      <c r="J499" s="249">
        <f t="shared" ref="J499:J510" si="115">INDEX(K499:N499,,_case_en)</f>
        <v>20</v>
      </c>
      <c r="K499" s="318">
        <v>250</v>
      </c>
      <c r="L499" s="319">
        <v>150</v>
      </c>
      <c r="M499" s="319">
        <v>150</v>
      </c>
      <c r="N499" s="272">
        <f t="shared" ref="N499:N510" si="116">INDEX(R499:AC499,1,N$16)</f>
        <v>20</v>
      </c>
      <c r="O499" s="991" t="s">
        <v>1762</v>
      </c>
      <c r="P499" s="1356" t="s">
        <v>1809</v>
      </c>
      <c r="R499" s="607">
        <v>20</v>
      </c>
      <c r="S499" s="607">
        <v>20</v>
      </c>
      <c r="T499" s="319">
        <v>20</v>
      </c>
      <c r="U499" s="319">
        <v>20</v>
      </c>
      <c r="V499" s="319">
        <v>20</v>
      </c>
      <c r="W499" s="319">
        <v>20</v>
      </c>
      <c r="X499" s="319">
        <v>20</v>
      </c>
      <c r="Y499" s="319">
        <v>20</v>
      </c>
      <c r="Z499" s="319">
        <v>20</v>
      </c>
      <c r="AA499" s="319">
        <v>20</v>
      </c>
      <c r="AB499" s="319">
        <v>20</v>
      </c>
      <c r="AC499" s="319">
        <v>20</v>
      </c>
    </row>
    <row r="500" spans="1:29" outlineLevel="1" x14ac:dyDescent="0.2">
      <c r="A500" s="39"/>
      <c r="B500" s="36"/>
      <c r="C500" s="38" t="s">
        <v>834</v>
      </c>
      <c r="D500" s="984" t="str">
        <f t="shared" si="110"/>
        <v>el_us_t2</v>
      </c>
      <c r="E500" s="425" t="s">
        <v>915</v>
      </c>
      <c r="F500" s="425" t="s">
        <v>915</v>
      </c>
      <c r="G500" s="425" t="s">
        <v>915</v>
      </c>
      <c r="H500" s="425" t="s">
        <v>915</v>
      </c>
      <c r="I500" s="62" t="str">
        <f t="shared" si="105"/>
        <v>kWh</v>
      </c>
      <c r="J500" s="249">
        <f t="shared" si="115"/>
        <v>20</v>
      </c>
      <c r="K500" s="318">
        <v>250</v>
      </c>
      <c r="L500" s="319">
        <v>150</v>
      </c>
      <c r="M500" s="319">
        <v>150</v>
      </c>
      <c r="N500" s="272">
        <f t="shared" si="116"/>
        <v>20</v>
      </c>
      <c r="O500" s="86"/>
      <c r="R500" s="319">
        <f t="shared" ref="R500:R510" si="117">+R499</f>
        <v>20</v>
      </c>
      <c r="S500" s="319">
        <f t="shared" ref="S500:S510" si="118">+S499</f>
        <v>20</v>
      </c>
      <c r="T500" s="319">
        <v>20</v>
      </c>
      <c r="U500" s="319">
        <v>20</v>
      </c>
      <c r="V500" s="319">
        <v>20</v>
      </c>
      <c r="W500" s="319">
        <v>20</v>
      </c>
      <c r="X500" s="319">
        <v>20</v>
      </c>
      <c r="Y500" s="319">
        <v>20</v>
      </c>
      <c r="Z500" s="319">
        <v>20</v>
      </c>
      <c r="AA500" s="319">
        <v>20</v>
      </c>
      <c r="AB500" s="319">
        <v>20</v>
      </c>
      <c r="AC500" s="319">
        <v>20</v>
      </c>
    </row>
    <row r="501" spans="1:29" outlineLevel="1" x14ac:dyDescent="0.2">
      <c r="A501" s="39"/>
      <c r="B501" s="36"/>
      <c r="C501" s="38" t="s">
        <v>835</v>
      </c>
      <c r="D501" s="984" t="str">
        <f t="shared" si="110"/>
        <v>el_us_t3</v>
      </c>
      <c r="E501" s="425" t="s">
        <v>916</v>
      </c>
      <c r="F501" s="425" t="s">
        <v>916</v>
      </c>
      <c r="G501" s="425" t="s">
        <v>916</v>
      </c>
      <c r="H501" s="425" t="s">
        <v>916</v>
      </c>
      <c r="I501" s="62" t="str">
        <f t="shared" si="105"/>
        <v>kWh</v>
      </c>
      <c r="J501" s="249">
        <f t="shared" si="115"/>
        <v>20</v>
      </c>
      <c r="K501" s="318">
        <v>250</v>
      </c>
      <c r="L501" s="319">
        <v>150</v>
      </c>
      <c r="M501" s="319">
        <v>150</v>
      </c>
      <c r="N501" s="272">
        <f t="shared" si="116"/>
        <v>20</v>
      </c>
      <c r="O501" s="86"/>
      <c r="R501" s="319">
        <f t="shared" si="117"/>
        <v>20</v>
      </c>
      <c r="S501" s="319">
        <f t="shared" si="118"/>
        <v>20</v>
      </c>
      <c r="T501" s="319">
        <v>20</v>
      </c>
      <c r="U501" s="319">
        <v>20</v>
      </c>
      <c r="V501" s="319">
        <v>20</v>
      </c>
      <c r="W501" s="319">
        <v>20</v>
      </c>
      <c r="X501" s="319">
        <v>20</v>
      </c>
      <c r="Y501" s="319">
        <v>20</v>
      </c>
      <c r="Z501" s="319">
        <v>20</v>
      </c>
      <c r="AA501" s="319">
        <v>20</v>
      </c>
      <c r="AB501" s="319">
        <v>20</v>
      </c>
      <c r="AC501" s="319">
        <v>20</v>
      </c>
    </row>
    <row r="502" spans="1:29" outlineLevel="1" x14ac:dyDescent="0.2">
      <c r="A502" s="39"/>
      <c r="B502" s="36"/>
      <c r="C502" s="38" t="s">
        <v>836</v>
      </c>
      <c r="D502" s="984" t="str">
        <f t="shared" si="110"/>
        <v>el_us_t4</v>
      </c>
      <c r="E502" s="425" t="s">
        <v>917</v>
      </c>
      <c r="F502" s="425" t="s">
        <v>917</v>
      </c>
      <c r="G502" s="425" t="s">
        <v>917</v>
      </c>
      <c r="H502" s="425" t="s">
        <v>917</v>
      </c>
      <c r="I502" s="62" t="str">
        <f t="shared" si="105"/>
        <v>kWh</v>
      </c>
      <c r="J502" s="249">
        <f t="shared" si="115"/>
        <v>20</v>
      </c>
      <c r="K502" s="318">
        <v>250</v>
      </c>
      <c r="L502" s="319">
        <v>150</v>
      </c>
      <c r="M502" s="319">
        <v>150</v>
      </c>
      <c r="N502" s="272">
        <f t="shared" si="116"/>
        <v>20</v>
      </c>
      <c r="O502" s="86"/>
      <c r="R502" s="319">
        <f t="shared" si="117"/>
        <v>20</v>
      </c>
      <c r="S502" s="319">
        <f t="shared" si="118"/>
        <v>20</v>
      </c>
      <c r="T502" s="319">
        <v>20</v>
      </c>
      <c r="U502" s="319">
        <v>20</v>
      </c>
      <c r="V502" s="319">
        <v>20</v>
      </c>
      <c r="W502" s="319">
        <v>20</v>
      </c>
      <c r="X502" s="319">
        <v>20</v>
      </c>
      <c r="Y502" s="319">
        <v>20</v>
      </c>
      <c r="Z502" s="319">
        <v>20</v>
      </c>
      <c r="AA502" s="319">
        <v>20</v>
      </c>
      <c r="AB502" s="319">
        <v>20</v>
      </c>
      <c r="AC502" s="319">
        <v>20</v>
      </c>
    </row>
    <row r="503" spans="1:29" outlineLevel="1" x14ac:dyDescent="0.2">
      <c r="A503" s="39"/>
      <c r="B503" s="36"/>
      <c r="C503" s="38" t="s">
        <v>837</v>
      </c>
      <c r="D503" s="984" t="str">
        <f t="shared" si="110"/>
        <v>el_us_t5</v>
      </c>
      <c r="E503" s="425" t="s">
        <v>918</v>
      </c>
      <c r="F503" s="425" t="s">
        <v>918</v>
      </c>
      <c r="G503" s="425" t="s">
        <v>918</v>
      </c>
      <c r="H503" s="425" t="s">
        <v>918</v>
      </c>
      <c r="I503" s="62" t="str">
        <f t="shared" si="105"/>
        <v>kWh</v>
      </c>
      <c r="J503" s="249">
        <f t="shared" si="115"/>
        <v>20</v>
      </c>
      <c r="K503" s="318">
        <v>250</v>
      </c>
      <c r="L503" s="319">
        <v>150</v>
      </c>
      <c r="M503" s="319">
        <v>150</v>
      </c>
      <c r="N503" s="272">
        <f t="shared" si="116"/>
        <v>20</v>
      </c>
      <c r="O503" s="86"/>
      <c r="R503" s="319">
        <f t="shared" si="117"/>
        <v>20</v>
      </c>
      <c r="S503" s="319">
        <f t="shared" si="118"/>
        <v>20</v>
      </c>
      <c r="T503" s="319">
        <v>20</v>
      </c>
      <c r="U503" s="319">
        <v>20</v>
      </c>
      <c r="V503" s="319">
        <v>20</v>
      </c>
      <c r="W503" s="319">
        <v>20</v>
      </c>
      <c r="X503" s="319">
        <v>20</v>
      </c>
      <c r="Y503" s="319">
        <v>20</v>
      </c>
      <c r="Z503" s="319">
        <v>20</v>
      </c>
      <c r="AA503" s="319">
        <v>20</v>
      </c>
      <c r="AB503" s="319">
        <v>20</v>
      </c>
      <c r="AC503" s="319">
        <v>20</v>
      </c>
    </row>
    <row r="504" spans="1:29" outlineLevel="1" x14ac:dyDescent="0.2">
      <c r="A504" s="39"/>
      <c r="B504" s="36"/>
      <c r="C504" s="38" t="s">
        <v>838</v>
      </c>
      <c r="D504" s="984" t="str">
        <f t="shared" si="110"/>
        <v>el_us_t6</v>
      </c>
      <c r="E504" s="425" t="s">
        <v>919</v>
      </c>
      <c r="F504" s="425" t="s">
        <v>919</v>
      </c>
      <c r="G504" s="425" t="s">
        <v>919</v>
      </c>
      <c r="H504" s="425" t="s">
        <v>919</v>
      </c>
      <c r="I504" s="62" t="str">
        <f t="shared" si="105"/>
        <v>kWh</v>
      </c>
      <c r="J504" s="249">
        <f t="shared" si="115"/>
        <v>20</v>
      </c>
      <c r="K504" s="318">
        <v>250</v>
      </c>
      <c r="L504" s="319">
        <v>150</v>
      </c>
      <c r="M504" s="319">
        <v>150</v>
      </c>
      <c r="N504" s="272">
        <f t="shared" si="116"/>
        <v>20</v>
      </c>
      <c r="O504" s="86"/>
      <c r="R504" s="319">
        <f t="shared" si="117"/>
        <v>20</v>
      </c>
      <c r="S504" s="319">
        <f t="shared" si="118"/>
        <v>20</v>
      </c>
      <c r="T504" s="319">
        <v>20</v>
      </c>
      <c r="U504" s="319">
        <v>20</v>
      </c>
      <c r="V504" s="319">
        <v>20</v>
      </c>
      <c r="W504" s="319">
        <v>20</v>
      </c>
      <c r="X504" s="319">
        <v>20</v>
      </c>
      <c r="Y504" s="319">
        <v>20</v>
      </c>
      <c r="Z504" s="319">
        <v>20</v>
      </c>
      <c r="AA504" s="319">
        <v>20</v>
      </c>
      <c r="AB504" s="319">
        <v>20</v>
      </c>
      <c r="AC504" s="319">
        <v>20</v>
      </c>
    </row>
    <row r="505" spans="1:29" outlineLevel="1" x14ac:dyDescent="0.2">
      <c r="A505" s="39"/>
      <c r="B505" s="36"/>
      <c r="C505" s="38" t="s">
        <v>839</v>
      </c>
      <c r="D505" s="984" t="str">
        <f t="shared" si="110"/>
        <v>el_us_t7</v>
      </c>
      <c r="E505" s="425" t="s">
        <v>920</v>
      </c>
      <c r="F505" s="425" t="s">
        <v>920</v>
      </c>
      <c r="G505" s="425" t="s">
        <v>920</v>
      </c>
      <c r="H505" s="425" t="s">
        <v>920</v>
      </c>
      <c r="I505" s="62" t="str">
        <f t="shared" si="105"/>
        <v>kWh</v>
      </c>
      <c r="J505" s="249">
        <f t="shared" si="115"/>
        <v>20</v>
      </c>
      <c r="K505" s="318">
        <v>250</v>
      </c>
      <c r="L505" s="319">
        <v>150</v>
      </c>
      <c r="M505" s="319">
        <v>150</v>
      </c>
      <c r="N505" s="272">
        <f t="shared" si="116"/>
        <v>20</v>
      </c>
      <c r="O505" s="86"/>
      <c r="R505" s="319">
        <f t="shared" si="117"/>
        <v>20</v>
      </c>
      <c r="S505" s="319">
        <f t="shared" si="118"/>
        <v>20</v>
      </c>
      <c r="T505" s="319">
        <v>20</v>
      </c>
      <c r="U505" s="319">
        <v>20</v>
      </c>
      <c r="V505" s="319">
        <v>20</v>
      </c>
      <c r="W505" s="319">
        <v>20</v>
      </c>
      <c r="X505" s="319">
        <v>20</v>
      </c>
      <c r="Y505" s="319">
        <v>20</v>
      </c>
      <c r="Z505" s="319">
        <v>20</v>
      </c>
      <c r="AA505" s="319">
        <v>20</v>
      </c>
      <c r="AB505" s="319">
        <v>20</v>
      </c>
      <c r="AC505" s="319">
        <v>20</v>
      </c>
    </row>
    <row r="506" spans="1:29" outlineLevel="1" x14ac:dyDescent="0.2">
      <c r="A506" s="39"/>
      <c r="B506" s="36"/>
      <c r="C506" s="38" t="s">
        <v>840</v>
      </c>
      <c r="D506" s="984" t="str">
        <f t="shared" si="110"/>
        <v>el_us_t8</v>
      </c>
      <c r="E506" s="425" t="s">
        <v>921</v>
      </c>
      <c r="F506" s="425" t="s">
        <v>921</v>
      </c>
      <c r="G506" s="425" t="s">
        <v>921</v>
      </c>
      <c r="H506" s="425" t="s">
        <v>921</v>
      </c>
      <c r="I506" s="62" t="str">
        <f t="shared" si="105"/>
        <v>kWh</v>
      </c>
      <c r="J506" s="249">
        <f t="shared" si="115"/>
        <v>20</v>
      </c>
      <c r="K506" s="318">
        <v>250</v>
      </c>
      <c r="L506" s="319">
        <v>150</v>
      </c>
      <c r="M506" s="319">
        <v>150</v>
      </c>
      <c r="N506" s="272">
        <f t="shared" si="116"/>
        <v>20</v>
      </c>
      <c r="O506" s="86"/>
      <c r="R506" s="319">
        <f t="shared" si="117"/>
        <v>20</v>
      </c>
      <c r="S506" s="319">
        <f t="shared" si="118"/>
        <v>20</v>
      </c>
      <c r="T506" s="319">
        <v>20</v>
      </c>
      <c r="U506" s="319">
        <v>20</v>
      </c>
      <c r="V506" s="319">
        <v>20</v>
      </c>
      <c r="W506" s="319">
        <v>20</v>
      </c>
      <c r="X506" s="319">
        <v>20</v>
      </c>
      <c r="Y506" s="319">
        <v>20</v>
      </c>
      <c r="Z506" s="319">
        <v>20</v>
      </c>
      <c r="AA506" s="319">
        <v>20</v>
      </c>
      <c r="AB506" s="319">
        <v>20</v>
      </c>
      <c r="AC506" s="319">
        <v>20</v>
      </c>
    </row>
    <row r="507" spans="1:29" outlineLevel="1" x14ac:dyDescent="0.2">
      <c r="A507" s="39"/>
      <c r="B507" s="36"/>
      <c r="C507" s="38" t="s">
        <v>841</v>
      </c>
      <c r="D507" s="984" t="str">
        <f t="shared" si="110"/>
        <v>el_us_t9</v>
      </c>
      <c r="E507" s="425" t="s">
        <v>922</v>
      </c>
      <c r="F507" s="425" t="s">
        <v>922</v>
      </c>
      <c r="G507" s="425" t="s">
        <v>922</v>
      </c>
      <c r="H507" s="425" t="s">
        <v>922</v>
      </c>
      <c r="I507" s="62" t="str">
        <f t="shared" si="105"/>
        <v>kWh</v>
      </c>
      <c r="J507" s="249">
        <f t="shared" si="115"/>
        <v>20</v>
      </c>
      <c r="K507" s="318">
        <v>250</v>
      </c>
      <c r="L507" s="319">
        <v>150</v>
      </c>
      <c r="M507" s="319">
        <v>150</v>
      </c>
      <c r="N507" s="272">
        <f t="shared" si="116"/>
        <v>20</v>
      </c>
      <c r="O507" s="86"/>
      <c r="R507" s="319">
        <f t="shared" si="117"/>
        <v>20</v>
      </c>
      <c r="S507" s="319">
        <f t="shared" si="118"/>
        <v>20</v>
      </c>
      <c r="T507" s="319">
        <v>20</v>
      </c>
      <c r="U507" s="319">
        <v>20</v>
      </c>
      <c r="V507" s="319">
        <v>20</v>
      </c>
      <c r="W507" s="319">
        <v>20</v>
      </c>
      <c r="X507" s="319">
        <v>20</v>
      </c>
      <c r="Y507" s="319">
        <v>20</v>
      </c>
      <c r="Z507" s="319">
        <v>20</v>
      </c>
      <c r="AA507" s="319">
        <v>20</v>
      </c>
      <c r="AB507" s="319">
        <v>20</v>
      </c>
      <c r="AC507" s="319">
        <v>20</v>
      </c>
    </row>
    <row r="508" spans="1:29" outlineLevel="1" x14ac:dyDescent="0.2">
      <c r="A508" s="39"/>
      <c r="B508" s="36"/>
      <c r="C508" s="38" t="s">
        <v>842</v>
      </c>
      <c r="D508" s="984" t="str">
        <f t="shared" si="110"/>
        <v>el_us_t10</v>
      </c>
      <c r="E508" s="425" t="s">
        <v>923</v>
      </c>
      <c r="F508" s="425" t="s">
        <v>923</v>
      </c>
      <c r="G508" s="425" t="s">
        <v>923</v>
      </c>
      <c r="H508" s="425" t="s">
        <v>923</v>
      </c>
      <c r="I508" s="62" t="str">
        <f t="shared" si="105"/>
        <v>kWh</v>
      </c>
      <c r="J508" s="249">
        <f t="shared" si="115"/>
        <v>20</v>
      </c>
      <c r="K508" s="318">
        <v>250</v>
      </c>
      <c r="L508" s="319">
        <v>150</v>
      </c>
      <c r="M508" s="319">
        <v>150</v>
      </c>
      <c r="N508" s="272">
        <f t="shared" si="116"/>
        <v>20</v>
      </c>
      <c r="O508" s="86"/>
      <c r="R508" s="319">
        <f t="shared" si="117"/>
        <v>20</v>
      </c>
      <c r="S508" s="319">
        <f t="shared" si="118"/>
        <v>20</v>
      </c>
      <c r="T508" s="319">
        <v>20</v>
      </c>
      <c r="U508" s="319">
        <v>20</v>
      </c>
      <c r="V508" s="319">
        <v>20</v>
      </c>
      <c r="W508" s="319">
        <v>20</v>
      </c>
      <c r="X508" s="319">
        <v>20</v>
      </c>
      <c r="Y508" s="319">
        <v>20</v>
      </c>
      <c r="Z508" s="319">
        <v>20</v>
      </c>
      <c r="AA508" s="319">
        <v>20</v>
      </c>
      <c r="AB508" s="319">
        <v>20</v>
      </c>
      <c r="AC508" s="319">
        <v>20</v>
      </c>
    </row>
    <row r="509" spans="1:29" outlineLevel="1" x14ac:dyDescent="0.2">
      <c r="A509" s="39"/>
      <c r="B509" s="36"/>
      <c r="C509" s="38" t="s">
        <v>843</v>
      </c>
      <c r="D509" s="984" t="str">
        <f t="shared" si="110"/>
        <v>el_us_t11</v>
      </c>
      <c r="E509" s="425" t="s">
        <v>924</v>
      </c>
      <c r="F509" s="425" t="s">
        <v>924</v>
      </c>
      <c r="G509" s="425" t="s">
        <v>924</v>
      </c>
      <c r="H509" s="425" t="s">
        <v>924</v>
      </c>
      <c r="I509" s="62" t="str">
        <f t="shared" si="105"/>
        <v>kWh</v>
      </c>
      <c r="J509" s="249">
        <f t="shared" si="115"/>
        <v>20</v>
      </c>
      <c r="K509" s="318">
        <v>250</v>
      </c>
      <c r="L509" s="319">
        <v>150</v>
      </c>
      <c r="M509" s="319">
        <v>150</v>
      </c>
      <c r="N509" s="272">
        <f t="shared" si="116"/>
        <v>20</v>
      </c>
      <c r="O509" s="86"/>
      <c r="R509" s="319">
        <f t="shared" si="117"/>
        <v>20</v>
      </c>
      <c r="S509" s="319">
        <f t="shared" si="118"/>
        <v>20</v>
      </c>
      <c r="T509" s="319">
        <v>20</v>
      </c>
      <c r="U509" s="319">
        <v>20</v>
      </c>
      <c r="V509" s="319">
        <v>20</v>
      </c>
      <c r="W509" s="319">
        <v>20</v>
      </c>
      <c r="X509" s="319">
        <v>20</v>
      </c>
      <c r="Y509" s="319">
        <v>20</v>
      </c>
      <c r="Z509" s="319">
        <v>20</v>
      </c>
      <c r="AA509" s="319">
        <v>20</v>
      </c>
      <c r="AB509" s="319">
        <v>20</v>
      </c>
      <c r="AC509" s="319">
        <v>20</v>
      </c>
    </row>
    <row r="510" spans="1:29" ht="13.5" outlineLevel="1" thickBot="1" x14ac:dyDescent="0.25">
      <c r="A510" s="39"/>
      <c r="B510" s="263"/>
      <c r="C510" s="264" t="s">
        <v>844</v>
      </c>
      <c r="D510" s="984" t="str">
        <f t="shared" si="110"/>
        <v>el_us_t12</v>
      </c>
      <c r="E510" s="426" t="s">
        <v>925</v>
      </c>
      <c r="F510" s="426" t="s">
        <v>925</v>
      </c>
      <c r="G510" s="426" t="s">
        <v>925</v>
      </c>
      <c r="H510" s="426" t="s">
        <v>925</v>
      </c>
      <c r="I510" s="223" t="str">
        <f t="shared" si="105"/>
        <v>kWh</v>
      </c>
      <c r="J510" s="250">
        <f t="shared" si="115"/>
        <v>20</v>
      </c>
      <c r="K510" s="322">
        <v>250</v>
      </c>
      <c r="L510" s="323">
        <v>150</v>
      </c>
      <c r="M510" s="323">
        <v>150</v>
      </c>
      <c r="N510" s="279">
        <f t="shared" si="116"/>
        <v>20</v>
      </c>
      <c r="O510" s="280"/>
      <c r="R510" s="323">
        <f t="shared" si="117"/>
        <v>20</v>
      </c>
      <c r="S510" s="323">
        <f t="shared" si="118"/>
        <v>20</v>
      </c>
      <c r="T510" s="323">
        <v>20</v>
      </c>
      <c r="U510" s="323">
        <v>20</v>
      </c>
      <c r="V510" s="323">
        <v>20</v>
      </c>
      <c r="W510" s="323">
        <v>20</v>
      </c>
      <c r="X510" s="323">
        <v>20</v>
      </c>
      <c r="Y510" s="323">
        <v>20</v>
      </c>
      <c r="Z510" s="323">
        <v>20</v>
      </c>
      <c r="AA510" s="323">
        <v>20</v>
      </c>
      <c r="AB510" s="323">
        <v>20</v>
      </c>
      <c r="AC510" s="323">
        <v>20</v>
      </c>
    </row>
    <row r="511" spans="1:29" x14ac:dyDescent="0.2">
      <c r="A511" s="39"/>
      <c r="B511" s="253" t="str">
        <f>INDEX(Language!D17:M17,1,_language)&amp;" "&amp;INDEX(Language!D20:M20,1,_language)</f>
        <v>appliances if part of EP</v>
      </c>
      <c r="C511" s="254" t="s">
        <v>845</v>
      </c>
      <c r="D511" s="984" t="str">
        <f t="shared" si="110"/>
        <v>el_us_y</v>
      </c>
      <c r="E511" s="427" t="s">
        <v>900</v>
      </c>
      <c r="F511" s="427" t="s">
        <v>900</v>
      </c>
      <c r="G511" s="427" t="s">
        <v>900</v>
      </c>
      <c r="H511" s="985" t="s">
        <v>900</v>
      </c>
      <c r="I511" s="215" t="str">
        <f t="shared" si="105"/>
        <v>kWh</v>
      </c>
      <c r="J511" s="248">
        <f>SUM(J512:J523)</f>
        <v>0</v>
      </c>
      <c r="K511" s="208">
        <f>SUM(K512:K523)</f>
        <v>600</v>
      </c>
      <c r="L511" s="209">
        <f>SUM(L512:L523)</f>
        <v>600</v>
      </c>
      <c r="M511" s="209">
        <f>SUM(M512:M523)</f>
        <v>600</v>
      </c>
      <c r="N511" s="210">
        <f>SUM(N512:N523)</f>
        <v>0</v>
      </c>
      <c r="O511" s="303"/>
      <c r="R511" s="209"/>
      <c r="S511" s="209"/>
      <c r="T511" s="209"/>
      <c r="U511" s="209"/>
      <c r="V511" s="209"/>
      <c r="W511" s="209"/>
      <c r="X511" s="209"/>
      <c r="Y511" s="209"/>
      <c r="Z511" s="209"/>
      <c r="AA511" s="209"/>
      <c r="AB511" s="209"/>
      <c r="AC511" s="209"/>
    </row>
    <row r="512" spans="1:29" outlineLevel="1" x14ac:dyDescent="0.2">
      <c r="A512" s="39"/>
      <c r="B512" s="991" t="s">
        <v>1762</v>
      </c>
      <c r="C512" s="38" t="s">
        <v>846</v>
      </c>
      <c r="D512" s="984" t="str">
        <f t="shared" si="110"/>
        <v>el_us_t1</v>
      </c>
      <c r="E512" s="425" t="s">
        <v>914</v>
      </c>
      <c r="F512" s="425" t="s">
        <v>914</v>
      </c>
      <c r="G512" s="425" t="s">
        <v>914</v>
      </c>
      <c r="H512" s="425" t="s">
        <v>914</v>
      </c>
      <c r="I512" s="62" t="str">
        <f t="shared" si="105"/>
        <v>kWh</v>
      </c>
      <c r="J512" s="249">
        <f t="shared" ref="J512:J523" si="119">INDEX(K512:N512,,_case_en)</f>
        <v>0</v>
      </c>
      <c r="K512" s="318">
        <v>50</v>
      </c>
      <c r="L512" s="319">
        <v>50</v>
      </c>
      <c r="M512" s="319">
        <v>50</v>
      </c>
      <c r="N512" s="272">
        <f t="shared" ref="N512:N523" si="120">INDEX(R512:AC512,1,N$16)</f>
        <v>0</v>
      </c>
      <c r="O512" s="991" t="s">
        <v>1762</v>
      </c>
      <c r="P512" s="1356" t="s">
        <v>1809</v>
      </c>
      <c r="R512" s="607">
        <v>0</v>
      </c>
      <c r="S512" s="607">
        <v>0</v>
      </c>
      <c r="T512" s="319">
        <v>0</v>
      </c>
      <c r="U512" s="319">
        <v>0</v>
      </c>
      <c r="V512" s="319">
        <v>0</v>
      </c>
      <c r="W512" s="319">
        <v>0</v>
      </c>
      <c r="X512" s="319">
        <v>0</v>
      </c>
      <c r="Y512" s="319">
        <v>0</v>
      </c>
      <c r="Z512" s="319">
        <v>0</v>
      </c>
      <c r="AA512" s="319">
        <v>0</v>
      </c>
      <c r="AB512" s="319">
        <v>0</v>
      </c>
      <c r="AC512" s="319">
        <v>0</v>
      </c>
    </row>
    <row r="513" spans="1:29" outlineLevel="1" x14ac:dyDescent="0.2">
      <c r="A513" s="39"/>
      <c r="B513" s="36"/>
      <c r="C513" s="38" t="s">
        <v>847</v>
      </c>
      <c r="D513" s="984" t="str">
        <f t="shared" si="110"/>
        <v>el_us_t2</v>
      </c>
      <c r="E513" s="425" t="s">
        <v>915</v>
      </c>
      <c r="F513" s="425" t="s">
        <v>915</v>
      </c>
      <c r="G513" s="425" t="s">
        <v>915</v>
      </c>
      <c r="H513" s="425" t="s">
        <v>915</v>
      </c>
      <c r="I513" s="62" t="str">
        <f t="shared" si="105"/>
        <v>kWh</v>
      </c>
      <c r="J513" s="249">
        <f t="shared" si="119"/>
        <v>0</v>
      </c>
      <c r="K513" s="318">
        <v>50</v>
      </c>
      <c r="L513" s="319">
        <v>50</v>
      </c>
      <c r="M513" s="319">
        <v>50</v>
      </c>
      <c r="N513" s="272">
        <f t="shared" si="120"/>
        <v>0</v>
      </c>
      <c r="O513" s="303"/>
      <c r="R513" s="319">
        <f t="shared" ref="R513:R523" si="121">+R512</f>
        <v>0</v>
      </c>
      <c r="S513" s="319">
        <f t="shared" ref="S513:S523" si="122">+S512</f>
        <v>0</v>
      </c>
      <c r="T513" s="319">
        <v>0</v>
      </c>
      <c r="U513" s="319">
        <v>0</v>
      </c>
      <c r="V513" s="319">
        <v>0</v>
      </c>
      <c r="W513" s="319">
        <v>0</v>
      </c>
      <c r="X513" s="319">
        <v>0</v>
      </c>
      <c r="Y513" s="319">
        <v>0</v>
      </c>
      <c r="Z513" s="319">
        <v>0</v>
      </c>
      <c r="AA513" s="319">
        <v>0</v>
      </c>
      <c r="AB513" s="319">
        <v>0</v>
      </c>
      <c r="AC513" s="319">
        <v>0</v>
      </c>
    </row>
    <row r="514" spans="1:29" outlineLevel="1" x14ac:dyDescent="0.2">
      <c r="A514" s="39"/>
      <c r="B514" s="36"/>
      <c r="C514" s="38" t="s">
        <v>848</v>
      </c>
      <c r="D514" s="984" t="str">
        <f t="shared" si="110"/>
        <v>el_us_t3</v>
      </c>
      <c r="E514" s="425" t="s">
        <v>916</v>
      </c>
      <c r="F514" s="425" t="s">
        <v>916</v>
      </c>
      <c r="G514" s="425" t="s">
        <v>916</v>
      </c>
      <c r="H514" s="425" t="s">
        <v>916</v>
      </c>
      <c r="I514" s="62" t="str">
        <f t="shared" si="105"/>
        <v>kWh</v>
      </c>
      <c r="J514" s="249">
        <f t="shared" si="119"/>
        <v>0</v>
      </c>
      <c r="K514" s="318">
        <v>50</v>
      </c>
      <c r="L514" s="319">
        <v>50</v>
      </c>
      <c r="M514" s="319">
        <v>50</v>
      </c>
      <c r="N514" s="272">
        <f t="shared" si="120"/>
        <v>0</v>
      </c>
      <c r="O514" s="303"/>
      <c r="R514" s="319">
        <f t="shared" si="121"/>
        <v>0</v>
      </c>
      <c r="S514" s="319">
        <f t="shared" si="122"/>
        <v>0</v>
      </c>
      <c r="T514" s="319">
        <v>0</v>
      </c>
      <c r="U514" s="319">
        <v>0</v>
      </c>
      <c r="V514" s="319">
        <v>0</v>
      </c>
      <c r="W514" s="319">
        <v>0</v>
      </c>
      <c r="X514" s="319">
        <v>0</v>
      </c>
      <c r="Y514" s="319">
        <v>0</v>
      </c>
      <c r="Z514" s="319">
        <v>0</v>
      </c>
      <c r="AA514" s="319">
        <v>0</v>
      </c>
      <c r="AB514" s="319">
        <v>0</v>
      </c>
      <c r="AC514" s="319">
        <v>0</v>
      </c>
    </row>
    <row r="515" spans="1:29" outlineLevel="1" x14ac:dyDescent="0.2">
      <c r="A515" s="39"/>
      <c r="B515" s="36"/>
      <c r="C515" s="38" t="s">
        <v>849</v>
      </c>
      <c r="D515" s="984" t="str">
        <f t="shared" si="110"/>
        <v>el_us_t4</v>
      </c>
      <c r="E515" s="425" t="s">
        <v>917</v>
      </c>
      <c r="F515" s="425" t="s">
        <v>917</v>
      </c>
      <c r="G515" s="425" t="s">
        <v>917</v>
      </c>
      <c r="H515" s="425" t="s">
        <v>917</v>
      </c>
      <c r="I515" s="62" t="str">
        <f t="shared" si="105"/>
        <v>kWh</v>
      </c>
      <c r="J515" s="249">
        <f t="shared" si="119"/>
        <v>0</v>
      </c>
      <c r="K515" s="318">
        <v>50</v>
      </c>
      <c r="L515" s="319">
        <v>50</v>
      </c>
      <c r="M515" s="319">
        <v>50</v>
      </c>
      <c r="N515" s="272">
        <f t="shared" si="120"/>
        <v>0</v>
      </c>
      <c r="O515" s="303"/>
      <c r="R515" s="319">
        <f t="shared" si="121"/>
        <v>0</v>
      </c>
      <c r="S515" s="319">
        <f t="shared" si="122"/>
        <v>0</v>
      </c>
      <c r="T515" s="319">
        <v>0</v>
      </c>
      <c r="U515" s="319">
        <v>0</v>
      </c>
      <c r="V515" s="319">
        <v>0</v>
      </c>
      <c r="W515" s="319">
        <v>0</v>
      </c>
      <c r="X515" s="319">
        <v>0</v>
      </c>
      <c r="Y515" s="319">
        <v>0</v>
      </c>
      <c r="Z515" s="319">
        <v>0</v>
      </c>
      <c r="AA515" s="319">
        <v>0</v>
      </c>
      <c r="AB515" s="319">
        <v>0</v>
      </c>
      <c r="AC515" s="319">
        <v>0</v>
      </c>
    </row>
    <row r="516" spans="1:29" outlineLevel="1" x14ac:dyDescent="0.2">
      <c r="A516" s="39"/>
      <c r="B516" s="36"/>
      <c r="C516" s="38" t="s">
        <v>850</v>
      </c>
      <c r="D516" s="984" t="str">
        <f t="shared" si="110"/>
        <v>el_us_t5</v>
      </c>
      <c r="E516" s="425" t="s">
        <v>918</v>
      </c>
      <c r="F516" s="425" t="s">
        <v>918</v>
      </c>
      <c r="G516" s="425" t="s">
        <v>918</v>
      </c>
      <c r="H516" s="425" t="s">
        <v>918</v>
      </c>
      <c r="I516" s="62" t="str">
        <f t="shared" si="105"/>
        <v>kWh</v>
      </c>
      <c r="J516" s="249">
        <f t="shared" si="119"/>
        <v>0</v>
      </c>
      <c r="K516" s="318">
        <v>50</v>
      </c>
      <c r="L516" s="319">
        <v>50</v>
      </c>
      <c r="M516" s="319">
        <v>50</v>
      </c>
      <c r="N516" s="272">
        <f t="shared" si="120"/>
        <v>0</v>
      </c>
      <c r="O516" s="303"/>
      <c r="R516" s="319">
        <f t="shared" si="121"/>
        <v>0</v>
      </c>
      <c r="S516" s="319">
        <f t="shared" si="122"/>
        <v>0</v>
      </c>
      <c r="T516" s="319">
        <v>0</v>
      </c>
      <c r="U516" s="319">
        <v>0</v>
      </c>
      <c r="V516" s="319">
        <v>0</v>
      </c>
      <c r="W516" s="319">
        <v>0</v>
      </c>
      <c r="X516" s="319">
        <v>0</v>
      </c>
      <c r="Y516" s="319">
        <v>0</v>
      </c>
      <c r="Z516" s="319">
        <v>0</v>
      </c>
      <c r="AA516" s="319">
        <v>0</v>
      </c>
      <c r="AB516" s="319">
        <v>0</v>
      </c>
      <c r="AC516" s="319">
        <v>0</v>
      </c>
    </row>
    <row r="517" spans="1:29" outlineLevel="1" x14ac:dyDescent="0.2">
      <c r="A517" s="39"/>
      <c r="B517" s="36"/>
      <c r="C517" s="38" t="s">
        <v>851</v>
      </c>
      <c r="D517" s="984" t="str">
        <f t="shared" ref="D517:D536" si="123">INDEX(E517:H517,,_case_en)</f>
        <v>el_us_t6</v>
      </c>
      <c r="E517" s="425" t="s">
        <v>919</v>
      </c>
      <c r="F517" s="425" t="s">
        <v>919</v>
      </c>
      <c r="G517" s="425" t="s">
        <v>919</v>
      </c>
      <c r="H517" s="425" t="s">
        <v>919</v>
      </c>
      <c r="I517" s="62" t="str">
        <f t="shared" si="105"/>
        <v>kWh</v>
      </c>
      <c r="J517" s="249">
        <f t="shared" si="119"/>
        <v>0</v>
      </c>
      <c r="K517" s="318">
        <v>50</v>
      </c>
      <c r="L517" s="319">
        <v>50</v>
      </c>
      <c r="M517" s="319">
        <v>50</v>
      </c>
      <c r="N517" s="272">
        <f t="shared" si="120"/>
        <v>0</v>
      </c>
      <c r="O517" s="303"/>
      <c r="R517" s="319">
        <f t="shared" si="121"/>
        <v>0</v>
      </c>
      <c r="S517" s="319">
        <f t="shared" si="122"/>
        <v>0</v>
      </c>
      <c r="T517" s="319">
        <v>0</v>
      </c>
      <c r="U517" s="319">
        <v>0</v>
      </c>
      <c r="V517" s="319">
        <v>0</v>
      </c>
      <c r="W517" s="319">
        <v>0</v>
      </c>
      <c r="X517" s="319">
        <v>0</v>
      </c>
      <c r="Y517" s="319">
        <v>0</v>
      </c>
      <c r="Z517" s="319">
        <v>0</v>
      </c>
      <c r="AA517" s="319">
        <v>0</v>
      </c>
      <c r="AB517" s="319">
        <v>0</v>
      </c>
      <c r="AC517" s="319">
        <v>0</v>
      </c>
    </row>
    <row r="518" spans="1:29" outlineLevel="1" x14ac:dyDescent="0.2">
      <c r="A518" s="39"/>
      <c r="B518" s="36"/>
      <c r="C518" s="38" t="s">
        <v>852</v>
      </c>
      <c r="D518" s="984" t="str">
        <f t="shared" si="123"/>
        <v>el_us_t7</v>
      </c>
      <c r="E518" s="425" t="s">
        <v>920</v>
      </c>
      <c r="F518" s="425" t="s">
        <v>920</v>
      </c>
      <c r="G518" s="425" t="s">
        <v>920</v>
      </c>
      <c r="H518" s="425" t="s">
        <v>920</v>
      </c>
      <c r="I518" s="62" t="str">
        <f t="shared" si="105"/>
        <v>kWh</v>
      </c>
      <c r="J518" s="249">
        <f t="shared" si="119"/>
        <v>0</v>
      </c>
      <c r="K518" s="318">
        <v>50</v>
      </c>
      <c r="L518" s="319">
        <v>50</v>
      </c>
      <c r="M518" s="319">
        <v>50</v>
      </c>
      <c r="N518" s="272">
        <f t="shared" si="120"/>
        <v>0</v>
      </c>
      <c r="O518" s="303"/>
      <c r="R518" s="319">
        <f t="shared" si="121"/>
        <v>0</v>
      </c>
      <c r="S518" s="319">
        <f t="shared" si="122"/>
        <v>0</v>
      </c>
      <c r="T518" s="319">
        <v>0</v>
      </c>
      <c r="U518" s="319">
        <v>0</v>
      </c>
      <c r="V518" s="319">
        <v>0</v>
      </c>
      <c r="W518" s="319">
        <v>0</v>
      </c>
      <c r="X518" s="319">
        <v>0</v>
      </c>
      <c r="Y518" s="319">
        <v>0</v>
      </c>
      <c r="Z518" s="319">
        <v>0</v>
      </c>
      <c r="AA518" s="319">
        <v>0</v>
      </c>
      <c r="AB518" s="319">
        <v>0</v>
      </c>
      <c r="AC518" s="319">
        <v>0</v>
      </c>
    </row>
    <row r="519" spans="1:29" outlineLevel="1" x14ac:dyDescent="0.2">
      <c r="A519" s="39"/>
      <c r="B519" s="36"/>
      <c r="C519" s="38" t="s">
        <v>853</v>
      </c>
      <c r="D519" s="984" t="str">
        <f t="shared" si="123"/>
        <v>el_us_t8</v>
      </c>
      <c r="E519" s="425" t="s">
        <v>921</v>
      </c>
      <c r="F519" s="425" t="s">
        <v>921</v>
      </c>
      <c r="G519" s="425" t="s">
        <v>921</v>
      </c>
      <c r="H519" s="425" t="s">
        <v>921</v>
      </c>
      <c r="I519" s="62" t="str">
        <f t="shared" si="105"/>
        <v>kWh</v>
      </c>
      <c r="J519" s="249">
        <f t="shared" si="119"/>
        <v>0</v>
      </c>
      <c r="K519" s="318">
        <v>50</v>
      </c>
      <c r="L519" s="319">
        <v>50</v>
      </c>
      <c r="M519" s="319">
        <v>50</v>
      </c>
      <c r="N519" s="272">
        <f t="shared" si="120"/>
        <v>0</v>
      </c>
      <c r="O519" s="303"/>
      <c r="R519" s="319">
        <f t="shared" si="121"/>
        <v>0</v>
      </c>
      <c r="S519" s="319">
        <f t="shared" si="122"/>
        <v>0</v>
      </c>
      <c r="T519" s="319">
        <v>0</v>
      </c>
      <c r="U519" s="319">
        <v>0</v>
      </c>
      <c r="V519" s="319">
        <v>0</v>
      </c>
      <c r="W519" s="319">
        <v>0</v>
      </c>
      <c r="X519" s="319">
        <v>0</v>
      </c>
      <c r="Y519" s="319">
        <v>0</v>
      </c>
      <c r="Z519" s="319">
        <v>0</v>
      </c>
      <c r="AA519" s="319">
        <v>0</v>
      </c>
      <c r="AB519" s="319">
        <v>0</v>
      </c>
      <c r="AC519" s="319">
        <v>0</v>
      </c>
    </row>
    <row r="520" spans="1:29" outlineLevel="1" x14ac:dyDescent="0.2">
      <c r="A520" s="39"/>
      <c r="B520" s="36"/>
      <c r="C520" s="38" t="s">
        <v>854</v>
      </c>
      <c r="D520" s="984" t="str">
        <f t="shared" si="123"/>
        <v>el_us_t9</v>
      </c>
      <c r="E520" s="425" t="s">
        <v>922</v>
      </c>
      <c r="F520" s="425" t="s">
        <v>922</v>
      </c>
      <c r="G520" s="425" t="s">
        <v>922</v>
      </c>
      <c r="H520" s="425" t="s">
        <v>922</v>
      </c>
      <c r="I520" s="62" t="str">
        <f t="shared" si="105"/>
        <v>kWh</v>
      </c>
      <c r="J520" s="249">
        <f t="shared" si="119"/>
        <v>0</v>
      </c>
      <c r="K520" s="318">
        <v>50</v>
      </c>
      <c r="L520" s="319">
        <v>50</v>
      </c>
      <c r="M520" s="319">
        <v>50</v>
      </c>
      <c r="N520" s="272">
        <f t="shared" si="120"/>
        <v>0</v>
      </c>
      <c r="O520" s="303"/>
      <c r="R520" s="319">
        <f t="shared" si="121"/>
        <v>0</v>
      </c>
      <c r="S520" s="319">
        <f t="shared" si="122"/>
        <v>0</v>
      </c>
      <c r="T520" s="319">
        <v>0</v>
      </c>
      <c r="U520" s="319">
        <v>0</v>
      </c>
      <c r="V520" s="319">
        <v>0</v>
      </c>
      <c r="W520" s="319">
        <v>0</v>
      </c>
      <c r="X520" s="319">
        <v>0</v>
      </c>
      <c r="Y520" s="319">
        <v>0</v>
      </c>
      <c r="Z520" s="319">
        <v>0</v>
      </c>
      <c r="AA520" s="319">
        <v>0</v>
      </c>
      <c r="AB520" s="319">
        <v>0</v>
      </c>
      <c r="AC520" s="319">
        <v>0</v>
      </c>
    </row>
    <row r="521" spans="1:29" outlineLevel="1" x14ac:dyDescent="0.2">
      <c r="A521" s="39"/>
      <c r="B521" s="36"/>
      <c r="C521" s="38" t="s">
        <v>855</v>
      </c>
      <c r="D521" s="984" t="str">
        <f t="shared" si="123"/>
        <v>el_us_t10</v>
      </c>
      <c r="E521" s="425" t="s">
        <v>923</v>
      </c>
      <c r="F521" s="425" t="s">
        <v>923</v>
      </c>
      <c r="G521" s="425" t="s">
        <v>923</v>
      </c>
      <c r="H521" s="425" t="s">
        <v>923</v>
      </c>
      <c r="I521" s="62" t="str">
        <f t="shared" si="105"/>
        <v>kWh</v>
      </c>
      <c r="J521" s="249">
        <f t="shared" si="119"/>
        <v>0</v>
      </c>
      <c r="K521" s="318">
        <v>50</v>
      </c>
      <c r="L521" s="319">
        <v>50</v>
      </c>
      <c r="M521" s="319">
        <v>50</v>
      </c>
      <c r="N521" s="272">
        <f t="shared" si="120"/>
        <v>0</v>
      </c>
      <c r="O521" s="303"/>
      <c r="R521" s="319">
        <f t="shared" si="121"/>
        <v>0</v>
      </c>
      <c r="S521" s="319">
        <f t="shared" si="122"/>
        <v>0</v>
      </c>
      <c r="T521" s="319">
        <v>0</v>
      </c>
      <c r="U521" s="319">
        <v>0</v>
      </c>
      <c r="V521" s="319">
        <v>0</v>
      </c>
      <c r="W521" s="319">
        <v>0</v>
      </c>
      <c r="X521" s="319">
        <v>0</v>
      </c>
      <c r="Y521" s="319">
        <v>0</v>
      </c>
      <c r="Z521" s="319">
        <v>0</v>
      </c>
      <c r="AA521" s="319">
        <v>0</v>
      </c>
      <c r="AB521" s="319">
        <v>0</v>
      </c>
      <c r="AC521" s="319">
        <v>0</v>
      </c>
    </row>
    <row r="522" spans="1:29" outlineLevel="1" x14ac:dyDescent="0.2">
      <c r="A522" s="39"/>
      <c r="B522" s="36"/>
      <c r="C522" s="38" t="s">
        <v>856</v>
      </c>
      <c r="D522" s="984" t="str">
        <f t="shared" si="123"/>
        <v>el_us_t11</v>
      </c>
      <c r="E522" s="425" t="s">
        <v>924</v>
      </c>
      <c r="F522" s="425" t="s">
        <v>924</v>
      </c>
      <c r="G522" s="425" t="s">
        <v>924</v>
      </c>
      <c r="H522" s="425" t="s">
        <v>924</v>
      </c>
      <c r="I522" s="62" t="str">
        <f t="shared" si="105"/>
        <v>kWh</v>
      </c>
      <c r="J522" s="249">
        <f t="shared" si="119"/>
        <v>0</v>
      </c>
      <c r="K522" s="318">
        <v>50</v>
      </c>
      <c r="L522" s="319">
        <v>50</v>
      </c>
      <c r="M522" s="319">
        <v>50</v>
      </c>
      <c r="N522" s="272">
        <f t="shared" si="120"/>
        <v>0</v>
      </c>
      <c r="O522" s="303"/>
      <c r="R522" s="319">
        <f t="shared" si="121"/>
        <v>0</v>
      </c>
      <c r="S522" s="319">
        <f t="shared" si="122"/>
        <v>0</v>
      </c>
      <c r="T522" s="319">
        <v>0</v>
      </c>
      <c r="U522" s="319">
        <v>0</v>
      </c>
      <c r="V522" s="319">
        <v>0</v>
      </c>
      <c r="W522" s="319">
        <v>0</v>
      </c>
      <c r="X522" s="319">
        <v>0</v>
      </c>
      <c r="Y522" s="319">
        <v>0</v>
      </c>
      <c r="Z522" s="319">
        <v>0</v>
      </c>
      <c r="AA522" s="319">
        <v>0</v>
      </c>
      <c r="AB522" s="319">
        <v>0</v>
      </c>
      <c r="AC522" s="319">
        <v>0</v>
      </c>
    </row>
    <row r="523" spans="1:29" ht="13.5" outlineLevel="1" thickBot="1" x14ac:dyDescent="0.25">
      <c r="A523" s="39"/>
      <c r="B523" s="263"/>
      <c r="C523" s="38" t="s">
        <v>857</v>
      </c>
      <c r="D523" s="984" t="str">
        <f t="shared" si="123"/>
        <v>el_us_t12</v>
      </c>
      <c r="E523" s="426" t="s">
        <v>925</v>
      </c>
      <c r="F523" s="426" t="s">
        <v>925</v>
      </c>
      <c r="G523" s="426" t="s">
        <v>925</v>
      </c>
      <c r="H523" s="426" t="s">
        <v>925</v>
      </c>
      <c r="I523" s="223" t="str">
        <f t="shared" si="105"/>
        <v>kWh</v>
      </c>
      <c r="J523" s="250">
        <f t="shared" si="119"/>
        <v>0</v>
      </c>
      <c r="K523" s="322">
        <v>50</v>
      </c>
      <c r="L523" s="323">
        <v>50</v>
      </c>
      <c r="M523" s="323">
        <v>50</v>
      </c>
      <c r="N523" s="279">
        <f t="shared" si="120"/>
        <v>0</v>
      </c>
      <c r="O523" s="303"/>
      <c r="R523" s="323">
        <f t="shared" si="121"/>
        <v>0</v>
      </c>
      <c r="S523" s="323">
        <f t="shared" si="122"/>
        <v>0</v>
      </c>
      <c r="T523" s="323">
        <v>0</v>
      </c>
      <c r="U523" s="323">
        <v>0</v>
      </c>
      <c r="V523" s="323">
        <v>0</v>
      </c>
      <c r="W523" s="323">
        <v>0</v>
      </c>
      <c r="X523" s="323">
        <v>0</v>
      </c>
      <c r="Y523" s="323">
        <v>0</v>
      </c>
      <c r="Z523" s="323">
        <v>0</v>
      </c>
      <c r="AA523" s="323">
        <v>0</v>
      </c>
      <c r="AB523" s="323">
        <v>0</v>
      </c>
      <c r="AC523" s="323">
        <v>0</v>
      </c>
    </row>
    <row r="524" spans="1:29" x14ac:dyDescent="0.2">
      <c r="A524" s="39"/>
      <c r="B524" s="253" t="str">
        <f>INDEX(Language!D234:M234,1,_language)</f>
        <v>Non EPBD electricity use</v>
      </c>
      <c r="C524" s="254" t="s">
        <v>858</v>
      </c>
      <c r="D524" s="986" t="str">
        <f t="shared" si="123"/>
        <v>el_nEPus_y</v>
      </c>
      <c r="E524" s="424" t="s">
        <v>977</v>
      </c>
      <c r="F524" s="424" t="s">
        <v>977</v>
      </c>
      <c r="G524" s="424" t="s">
        <v>977</v>
      </c>
      <c r="H524" s="424" t="s">
        <v>977</v>
      </c>
      <c r="I524" s="215" t="str">
        <f t="shared" si="105"/>
        <v>kWh</v>
      </c>
      <c r="J524" s="248">
        <f>SUM(J525:J536)</f>
        <v>0</v>
      </c>
      <c r="K524" s="208">
        <f>SUM(K525:K536)</f>
        <v>2400</v>
      </c>
      <c r="L524" s="209">
        <f>SUM(L525:L536)</f>
        <v>2400</v>
      </c>
      <c r="M524" s="209">
        <f>SUM(M525:M536)</f>
        <v>2400</v>
      </c>
      <c r="N524" s="210">
        <f>SUM(N525:N536)</f>
        <v>0</v>
      </c>
      <c r="O524" s="256" t="s">
        <v>1006</v>
      </c>
      <c r="R524" s="209"/>
      <c r="S524" s="209"/>
      <c r="T524" s="209"/>
      <c r="U524" s="209"/>
      <c r="V524" s="209"/>
      <c r="W524" s="209"/>
      <c r="X524" s="209"/>
      <c r="Y524" s="209"/>
      <c r="Z524" s="209"/>
      <c r="AA524" s="209"/>
      <c r="AB524" s="209"/>
      <c r="AC524" s="209"/>
    </row>
    <row r="525" spans="1:29" outlineLevel="1" x14ac:dyDescent="0.2">
      <c r="A525" s="39"/>
      <c r="B525" s="991" t="s">
        <v>1762</v>
      </c>
      <c r="C525" s="38" t="s">
        <v>859</v>
      </c>
      <c r="D525" s="984" t="str">
        <f t="shared" si="123"/>
        <v>el_nEP_us_t1</v>
      </c>
      <c r="E525" s="425" t="s">
        <v>978</v>
      </c>
      <c r="F525" s="425" t="s">
        <v>978</v>
      </c>
      <c r="G525" s="425" t="s">
        <v>978</v>
      </c>
      <c r="H525" s="425" t="s">
        <v>978</v>
      </c>
      <c r="I525" s="62" t="str">
        <f t="shared" si="105"/>
        <v>kWh</v>
      </c>
      <c r="J525" s="249">
        <f t="shared" ref="J525:J551" si="124">INDEX(K525:N525,,_case_en)</f>
        <v>0</v>
      </c>
      <c r="K525" s="318">
        <v>200</v>
      </c>
      <c r="L525" s="319">
        <v>200</v>
      </c>
      <c r="M525" s="319">
        <v>200</v>
      </c>
      <c r="N525" s="272">
        <f>INDEX(R525:AC525,1,N$16)*Diagram_NEW!BB$32</f>
        <v>0</v>
      </c>
      <c r="O525" s="991" t="s">
        <v>1762</v>
      </c>
      <c r="P525" s="1356" t="s">
        <v>1809</v>
      </c>
      <c r="R525" s="607">
        <v>0</v>
      </c>
      <c r="S525" s="607">
        <v>0</v>
      </c>
      <c r="T525" s="319">
        <v>0</v>
      </c>
      <c r="U525" s="319">
        <v>0</v>
      </c>
      <c r="V525" s="319">
        <v>0</v>
      </c>
      <c r="W525" s="319">
        <v>0</v>
      </c>
      <c r="X525" s="319">
        <v>0</v>
      </c>
      <c r="Y525" s="319">
        <v>0</v>
      </c>
      <c r="Z525" s="319">
        <v>0</v>
      </c>
      <c r="AA525" s="319">
        <v>0</v>
      </c>
      <c r="AB525" s="319">
        <v>0</v>
      </c>
      <c r="AC525" s="319">
        <v>0</v>
      </c>
    </row>
    <row r="526" spans="1:29" outlineLevel="1" x14ac:dyDescent="0.2">
      <c r="A526" s="39"/>
      <c r="B526" s="36"/>
      <c r="C526" s="38" t="s">
        <v>860</v>
      </c>
      <c r="D526" s="984" t="str">
        <f t="shared" si="123"/>
        <v>el_nEP_us_t2</v>
      </c>
      <c r="E526" s="425" t="s">
        <v>979</v>
      </c>
      <c r="F526" s="425" t="s">
        <v>979</v>
      </c>
      <c r="G526" s="425" t="s">
        <v>979</v>
      </c>
      <c r="H526" s="425" t="s">
        <v>979</v>
      </c>
      <c r="I526" s="62" t="str">
        <f t="shared" si="105"/>
        <v>kWh</v>
      </c>
      <c r="J526" s="249">
        <f t="shared" si="124"/>
        <v>0</v>
      </c>
      <c r="K526" s="318">
        <v>200</v>
      </c>
      <c r="L526" s="319">
        <v>200</v>
      </c>
      <c r="M526" s="319">
        <v>200</v>
      </c>
      <c r="N526" s="272">
        <f>INDEX(R526:AC526,1,N$16)*Diagram_NEW!BB$32</f>
        <v>0</v>
      </c>
      <c r="O526" s="86"/>
      <c r="R526" s="319">
        <f t="shared" ref="R526:R536" si="125">+R525</f>
        <v>0</v>
      </c>
      <c r="S526" s="319">
        <f t="shared" ref="S526:S536" si="126">+S525</f>
        <v>0</v>
      </c>
      <c r="T526" s="319">
        <v>0</v>
      </c>
      <c r="U526" s="319">
        <v>0</v>
      </c>
      <c r="V526" s="319">
        <v>0</v>
      </c>
      <c r="W526" s="319">
        <v>0</v>
      </c>
      <c r="X526" s="319">
        <v>0</v>
      </c>
      <c r="Y526" s="319">
        <v>0</v>
      </c>
      <c r="Z526" s="319">
        <v>0</v>
      </c>
      <c r="AA526" s="319">
        <v>0</v>
      </c>
      <c r="AB526" s="319">
        <v>0</v>
      </c>
      <c r="AC526" s="319">
        <v>0</v>
      </c>
    </row>
    <row r="527" spans="1:29" outlineLevel="1" x14ac:dyDescent="0.2">
      <c r="A527" s="39"/>
      <c r="B527" s="36"/>
      <c r="C527" s="38" t="s">
        <v>861</v>
      </c>
      <c r="D527" s="984" t="str">
        <f t="shared" si="123"/>
        <v>el_nEP_us_t3</v>
      </c>
      <c r="E527" s="425" t="s">
        <v>980</v>
      </c>
      <c r="F527" s="425" t="s">
        <v>980</v>
      </c>
      <c r="G527" s="425" t="s">
        <v>980</v>
      </c>
      <c r="H527" s="425" t="s">
        <v>980</v>
      </c>
      <c r="I527" s="62" t="str">
        <f t="shared" si="105"/>
        <v>kWh</v>
      </c>
      <c r="J527" s="249">
        <f t="shared" si="124"/>
        <v>0</v>
      </c>
      <c r="K527" s="318">
        <v>200</v>
      </c>
      <c r="L527" s="319">
        <v>200</v>
      </c>
      <c r="M527" s="319">
        <v>200</v>
      </c>
      <c r="N527" s="272">
        <f>INDEX(R527:AC527,1,N$16)*Diagram_NEW!BB$32</f>
        <v>0</v>
      </c>
      <c r="O527" s="86"/>
      <c r="R527" s="319">
        <f t="shared" si="125"/>
        <v>0</v>
      </c>
      <c r="S527" s="319">
        <f t="shared" si="126"/>
        <v>0</v>
      </c>
      <c r="T527" s="319">
        <v>0</v>
      </c>
      <c r="U527" s="319">
        <v>0</v>
      </c>
      <c r="V527" s="319">
        <v>0</v>
      </c>
      <c r="W527" s="319">
        <v>0</v>
      </c>
      <c r="X527" s="319">
        <v>0</v>
      </c>
      <c r="Y527" s="319">
        <v>0</v>
      </c>
      <c r="Z527" s="319">
        <v>0</v>
      </c>
      <c r="AA527" s="319">
        <v>0</v>
      </c>
      <c r="AB527" s="319">
        <v>0</v>
      </c>
      <c r="AC527" s="319">
        <v>0</v>
      </c>
    </row>
    <row r="528" spans="1:29" outlineLevel="1" x14ac:dyDescent="0.2">
      <c r="A528" s="39"/>
      <c r="B528" s="36"/>
      <c r="C528" s="38" t="s">
        <v>862</v>
      </c>
      <c r="D528" s="984" t="str">
        <f t="shared" si="123"/>
        <v>el_nEP_us_t4</v>
      </c>
      <c r="E528" s="425" t="s">
        <v>981</v>
      </c>
      <c r="F528" s="425" t="s">
        <v>981</v>
      </c>
      <c r="G528" s="425" t="s">
        <v>981</v>
      </c>
      <c r="H528" s="425" t="s">
        <v>981</v>
      </c>
      <c r="I528" s="62" t="str">
        <f t="shared" si="105"/>
        <v>kWh</v>
      </c>
      <c r="J528" s="249">
        <f t="shared" si="124"/>
        <v>0</v>
      </c>
      <c r="K528" s="318">
        <v>200</v>
      </c>
      <c r="L528" s="319">
        <v>200</v>
      </c>
      <c r="M528" s="319">
        <v>200</v>
      </c>
      <c r="N528" s="272">
        <f>INDEX(R528:AC528,1,N$16)*Diagram_NEW!BB$32</f>
        <v>0</v>
      </c>
      <c r="O528" s="86"/>
      <c r="R528" s="319">
        <f t="shared" si="125"/>
        <v>0</v>
      </c>
      <c r="S528" s="319">
        <f t="shared" si="126"/>
        <v>0</v>
      </c>
      <c r="T528" s="319">
        <v>0</v>
      </c>
      <c r="U528" s="319">
        <v>0</v>
      </c>
      <c r="V528" s="319">
        <v>0</v>
      </c>
      <c r="W528" s="319">
        <v>0</v>
      </c>
      <c r="X528" s="319">
        <v>0</v>
      </c>
      <c r="Y528" s="319">
        <v>0</v>
      </c>
      <c r="Z528" s="319">
        <v>0</v>
      </c>
      <c r="AA528" s="319">
        <v>0</v>
      </c>
      <c r="AB528" s="319">
        <v>0</v>
      </c>
      <c r="AC528" s="319">
        <v>0</v>
      </c>
    </row>
    <row r="529" spans="1:29" outlineLevel="1" x14ac:dyDescent="0.2">
      <c r="A529" s="39"/>
      <c r="B529" s="36"/>
      <c r="C529" s="38" t="s">
        <v>863</v>
      </c>
      <c r="D529" s="984" t="str">
        <f t="shared" si="123"/>
        <v>el_nEP_us_t5</v>
      </c>
      <c r="E529" s="425" t="s">
        <v>982</v>
      </c>
      <c r="F529" s="425" t="s">
        <v>982</v>
      </c>
      <c r="G529" s="425" t="s">
        <v>982</v>
      </c>
      <c r="H529" s="425" t="s">
        <v>982</v>
      </c>
      <c r="I529" s="62" t="str">
        <f t="shared" si="105"/>
        <v>kWh</v>
      </c>
      <c r="J529" s="249">
        <f t="shared" si="124"/>
        <v>0</v>
      </c>
      <c r="K529" s="318">
        <v>200</v>
      </c>
      <c r="L529" s="319">
        <v>200</v>
      </c>
      <c r="M529" s="319">
        <v>200</v>
      </c>
      <c r="N529" s="272">
        <f>INDEX(R529:AC529,1,N$16)*Diagram_NEW!BB$32</f>
        <v>0</v>
      </c>
      <c r="O529" s="86"/>
      <c r="R529" s="319">
        <f t="shared" si="125"/>
        <v>0</v>
      </c>
      <c r="S529" s="319">
        <f t="shared" si="126"/>
        <v>0</v>
      </c>
      <c r="T529" s="319">
        <v>0</v>
      </c>
      <c r="U529" s="319">
        <v>0</v>
      </c>
      <c r="V529" s="319">
        <v>0</v>
      </c>
      <c r="W529" s="319">
        <v>0</v>
      </c>
      <c r="X529" s="319">
        <v>0</v>
      </c>
      <c r="Y529" s="319">
        <v>0</v>
      </c>
      <c r="Z529" s="319">
        <v>0</v>
      </c>
      <c r="AA529" s="319">
        <v>0</v>
      </c>
      <c r="AB529" s="319">
        <v>0</v>
      </c>
      <c r="AC529" s="319">
        <v>0</v>
      </c>
    </row>
    <row r="530" spans="1:29" outlineLevel="1" x14ac:dyDescent="0.2">
      <c r="A530" s="39"/>
      <c r="B530" s="36"/>
      <c r="C530" s="38" t="s">
        <v>864</v>
      </c>
      <c r="D530" s="984" t="str">
        <f t="shared" si="123"/>
        <v>el_nEP_us_t6</v>
      </c>
      <c r="E530" s="425" t="s">
        <v>983</v>
      </c>
      <c r="F530" s="425" t="s">
        <v>983</v>
      </c>
      <c r="G530" s="425" t="s">
        <v>983</v>
      </c>
      <c r="H530" s="425" t="s">
        <v>983</v>
      </c>
      <c r="I530" s="62" t="str">
        <f t="shared" si="105"/>
        <v>kWh</v>
      </c>
      <c r="J530" s="249">
        <f t="shared" si="124"/>
        <v>0</v>
      </c>
      <c r="K530" s="318">
        <v>200</v>
      </c>
      <c r="L530" s="319">
        <v>200</v>
      </c>
      <c r="M530" s="319">
        <v>200</v>
      </c>
      <c r="N530" s="272">
        <f>INDEX(R530:AC530,1,N$16)*Diagram_NEW!BB$32</f>
        <v>0</v>
      </c>
      <c r="O530" s="86"/>
      <c r="R530" s="319">
        <f t="shared" si="125"/>
        <v>0</v>
      </c>
      <c r="S530" s="319">
        <f t="shared" si="126"/>
        <v>0</v>
      </c>
      <c r="T530" s="319">
        <v>0</v>
      </c>
      <c r="U530" s="319">
        <v>0</v>
      </c>
      <c r="V530" s="319">
        <v>0</v>
      </c>
      <c r="W530" s="319">
        <v>0</v>
      </c>
      <c r="X530" s="319">
        <v>0</v>
      </c>
      <c r="Y530" s="319">
        <v>0</v>
      </c>
      <c r="Z530" s="319">
        <v>0</v>
      </c>
      <c r="AA530" s="319">
        <v>0</v>
      </c>
      <c r="AB530" s="319">
        <v>0</v>
      </c>
      <c r="AC530" s="319">
        <v>0</v>
      </c>
    </row>
    <row r="531" spans="1:29" outlineLevel="1" x14ac:dyDescent="0.2">
      <c r="A531" s="39"/>
      <c r="B531" s="36"/>
      <c r="C531" s="38" t="s">
        <v>865</v>
      </c>
      <c r="D531" s="984" t="str">
        <f t="shared" si="123"/>
        <v>el_nEP_us_t7</v>
      </c>
      <c r="E531" s="425" t="s">
        <v>984</v>
      </c>
      <c r="F531" s="425" t="s">
        <v>984</v>
      </c>
      <c r="G531" s="425" t="s">
        <v>984</v>
      </c>
      <c r="H531" s="425" t="s">
        <v>984</v>
      </c>
      <c r="I531" s="62" t="str">
        <f t="shared" si="105"/>
        <v>kWh</v>
      </c>
      <c r="J531" s="249">
        <f t="shared" si="124"/>
        <v>0</v>
      </c>
      <c r="K531" s="318">
        <v>200</v>
      </c>
      <c r="L531" s="319">
        <v>200</v>
      </c>
      <c r="M531" s="319">
        <v>200</v>
      </c>
      <c r="N531" s="272">
        <f>INDEX(R531:AC531,1,N$16)*Diagram_NEW!BB$32</f>
        <v>0</v>
      </c>
      <c r="O531" s="86"/>
      <c r="R531" s="319">
        <f t="shared" si="125"/>
        <v>0</v>
      </c>
      <c r="S531" s="319">
        <f t="shared" si="126"/>
        <v>0</v>
      </c>
      <c r="T531" s="319">
        <v>0</v>
      </c>
      <c r="U531" s="319">
        <v>0</v>
      </c>
      <c r="V531" s="319">
        <v>0</v>
      </c>
      <c r="W531" s="319">
        <v>0</v>
      </c>
      <c r="X531" s="319">
        <v>0</v>
      </c>
      <c r="Y531" s="319">
        <v>0</v>
      </c>
      <c r="Z531" s="319">
        <v>0</v>
      </c>
      <c r="AA531" s="319">
        <v>0</v>
      </c>
      <c r="AB531" s="319">
        <v>0</v>
      </c>
      <c r="AC531" s="319">
        <v>0</v>
      </c>
    </row>
    <row r="532" spans="1:29" outlineLevel="1" x14ac:dyDescent="0.2">
      <c r="A532" s="39"/>
      <c r="B532" s="36"/>
      <c r="C532" s="38" t="s">
        <v>866</v>
      </c>
      <c r="D532" s="984" t="str">
        <f t="shared" si="123"/>
        <v>el_nEP_us_t8</v>
      </c>
      <c r="E532" s="425" t="s">
        <v>985</v>
      </c>
      <c r="F532" s="425" t="s">
        <v>985</v>
      </c>
      <c r="G532" s="425" t="s">
        <v>985</v>
      </c>
      <c r="H532" s="425" t="s">
        <v>985</v>
      </c>
      <c r="I532" s="62" t="str">
        <f t="shared" si="105"/>
        <v>kWh</v>
      </c>
      <c r="J532" s="249">
        <f t="shared" si="124"/>
        <v>0</v>
      </c>
      <c r="K532" s="318">
        <v>200</v>
      </c>
      <c r="L532" s="319">
        <v>200</v>
      </c>
      <c r="M532" s="319">
        <v>200</v>
      </c>
      <c r="N532" s="272">
        <f>INDEX(R532:AC532,1,N$16)*Diagram_NEW!BB$32</f>
        <v>0</v>
      </c>
      <c r="O532" s="86"/>
      <c r="R532" s="319">
        <f t="shared" si="125"/>
        <v>0</v>
      </c>
      <c r="S532" s="319">
        <f t="shared" si="126"/>
        <v>0</v>
      </c>
      <c r="T532" s="319">
        <v>0</v>
      </c>
      <c r="U532" s="319">
        <v>0</v>
      </c>
      <c r="V532" s="319">
        <v>0</v>
      </c>
      <c r="W532" s="319">
        <v>0</v>
      </c>
      <c r="X532" s="319">
        <v>0</v>
      </c>
      <c r="Y532" s="319">
        <v>0</v>
      </c>
      <c r="Z532" s="319">
        <v>0</v>
      </c>
      <c r="AA532" s="319">
        <v>0</v>
      </c>
      <c r="AB532" s="319">
        <v>0</v>
      </c>
      <c r="AC532" s="319">
        <v>0</v>
      </c>
    </row>
    <row r="533" spans="1:29" outlineLevel="1" x14ac:dyDescent="0.2">
      <c r="A533" s="39"/>
      <c r="B533" s="36"/>
      <c r="C533" s="38" t="s">
        <v>867</v>
      </c>
      <c r="D533" s="984" t="str">
        <f t="shared" si="123"/>
        <v>el_nEP_us_t9</v>
      </c>
      <c r="E533" s="425" t="s">
        <v>986</v>
      </c>
      <c r="F533" s="425" t="s">
        <v>986</v>
      </c>
      <c r="G533" s="425" t="s">
        <v>986</v>
      </c>
      <c r="H533" s="425" t="s">
        <v>986</v>
      </c>
      <c r="I533" s="62" t="str">
        <f t="shared" si="105"/>
        <v>kWh</v>
      </c>
      <c r="J533" s="249">
        <f t="shared" si="124"/>
        <v>0</v>
      </c>
      <c r="K533" s="318">
        <v>200</v>
      </c>
      <c r="L533" s="319">
        <v>200</v>
      </c>
      <c r="M533" s="319">
        <v>200</v>
      </c>
      <c r="N533" s="272">
        <f>INDEX(R533:AC533,1,N$16)*Diagram_NEW!BB$32</f>
        <v>0</v>
      </c>
      <c r="O533" s="86"/>
      <c r="R533" s="319">
        <f t="shared" si="125"/>
        <v>0</v>
      </c>
      <c r="S533" s="319">
        <f t="shared" si="126"/>
        <v>0</v>
      </c>
      <c r="T533" s="319">
        <v>0</v>
      </c>
      <c r="U533" s="319">
        <v>0</v>
      </c>
      <c r="V533" s="319">
        <v>0</v>
      </c>
      <c r="W533" s="319">
        <v>0</v>
      </c>
      <c r="X533" s="319">
        <v>0</v>
      </c>
      <c r="Y533" s="319">
        <v>0</v>
      </c>
      <c r="Z533" s="319">
        <v>0</v>
      </c>
      <c r="AA533" s="319">
        <v>0</v>
      </c>
      <c r="AB533" s="319">
        <v>0</v>
      </c>
      <c r="AC533" s="319">
        <v>0</v>
      </c>
    </row>
    <row r="534" spans="1:29" outlineLevel="1" x14ac:dyDescent="0.2">
      <c r="A534" s="39"/>
      <c r="B534" s="36"/>
      <c r="C534" s="38" t="s">
        <v>868</v>
      </c>
      <c r="D534" s="984" t="str">
        <f t="shared" si="123"/>
        <v>el_nEP_us_t10</v>
      </c>
      <c r="E534" s="425" t="s">
        <v>987</v>
      </c>
      <c r="F534" s="425" t="s">
        <v>987</v>
      </c>
      <c r="G534" s="425" t="s">
        <v>987</v>
      </c>
      <c r="H534" s="425" t="s">
        <v>987</v>
      </c>
      <c r="I534" s="62" t="str">
        <f t="shared" si="105"/>
        <v>kWh</v>
      </c>
      <c r="J534" s="249">
        <f t="shared" si="124"/>
        <v>0</v>
      </c>
      <c r="K534" s="318">
        <v>200</v>
      </c>
      <c r="L534" s="319">
        <v>200</v>
      </c>
      <c r="M534" s="319">
        <v>200</v>
      </c>
      <c r="N534" s="272">
        <f>INDEX(R534:AC534,1,N$16)*Diagram_NEW!BB$32</f>
        <v>0</v>
      </c>
      <c r="O534" s="86"/>
      <c r="R534" s="319">
        <f t="shared" si="125"/>
        <v>0</v>
      </c>
      <c r="S534" s="319">
        <f t="shared" si="126"/>
        <v>0</v>
      </c>
      <c r="T534" s="319">
        <v>0</v>
      </c>
      <c r="U534" s="319">
        <v>0</v>
      </c>
      <c r="V534" s="319">
        <v>0</v>
      </c>
      <c r="W534" s="319">
        <v>0</v>
      </c>
      <c r="X534" s="319">
        <v>0</v>
      </c>
      <c r="Y534" s="319">
        <v>0</v>
      </c>
      <c r="Z534" s="319">
        <v>0</v>
      </c>
      <c r="AA534" s="319">
        <v>0</v>
      </c>
      <c r="AB534" s="319">
        <v>0</v>
      </c>
      <c r="AC534" s="319">
        <v>0</v>
      </c>
    </row>
    <row r="535" spans="1:29" outlineLevel="1" x14ac:dyDescent="0.2">
      <c r="A535" s="39"/>
      <c r="B535" s="36"/>
      <c r="C535" s="38" t="s">
        <v>869</v>
      </c>
      <c r="D535" s="984" t="str">
        <f t="shared" si="123"/>
        <v>el_nEP_us_t11</v>
      </c>
      <c r="E535" s="425" t="s">
        <v>988</v>
      </c>
      <c r="F535" s="425" t="s">
        <v>988</v>
      </c>
      <c r="G535" s="425" t="s">
        <v>988</v>
      </c>
      <c r="H535" s="425" t="s">
        <v>988</v>
      </c>
      <c r="I535" s="62" t="str">
        <f t="shared" si="105"/>
        <v>kWh</v>
      </c>
      <c r="J535" s="249">
        <f t="shared" si="124"/>
        <v>0</v>
      </c>
      <c r="K535" s="318">
        <v>200</v>
      </c>
      <c r="L535" s="319">
        <v>200</v>
      </c>
      <c r="M535" s="319">
        <v>200</v>
      </c>
      <c r="N535" s="272">
        <f>INDEX(R535:AC535,1,N$16)*Diagram_NEW!BB$32</f>
        <v>0</v>
      </c>
      <c r="O535" s="86"/>
      <c r="R535" s="319">
        <f t="shared" si="125"/>
        <v>0</v>
      </c>
      <c r="S535" s="319">
        <f t="shared" si="126"/>
        <v>0</v>
      </c>
      <c r="T535" s="319">
        <v>0</v>
      </c>
      <c r="U535" s="319">
        <v>0</v>
      </c>
      <c r="V535" s="319">
        <v>0</v>
      </c>
      <c r="W535" s="319">
        <v>0</v>
      </c>
      <c r="X535" s="319">
        <v>0</v>
      </c>
      <c r="Y535" s="319">
        <v>0</v>
      </c>
      <c r="Z535" s="319">
        <v>0</v>
      </c>
      <c r="AA535" s="319">
        <v>0</v>
      </c>
      <c r="AB535" s="319">
        <v>0</v>
      </c>
      <c r="AC535" s="319">
        <v>0</v>
      </c>
    </row>
    <row r="536" spans="1:29" ht="13.5" outlineLevel="1" thickBot="1" x14ac:dyDescent="0.25">
      <c r="A536" s="39"/>
      <c r="B536" s="263"/>
      <c r="C536" s="264" t="s">
        <v>870</v>
      </c>
      <c r="D536" s="984" t="str">
        <f t="shared" si="123"/>
        <v>el_nEP_us_t12</v>
      </c>
      <c r="E536" s="426" t="s">
        <v>989</v>
      </c>
      <c r="F536" s="426" t="s">
        <v>989</v>
      </c>
      <c r="G536" s="426" t="s">
        <v>989</v>
      </c>
      <c r="H536" s="425" t="s">
        <v>989</v>
      </c>
      <c r="I536" s="223" t="str">
        <f t="shared" si="105"/>
        <v>kWh</v>
      </c>
      <c r="J536" s="250">
        <f t="shared" si="124"/>
        <v>0</v>
      </c>
      <c r="K536" s="322">
        <v>200</v>
      </c>
      <c r="L536" s="323">
        <v>200</v>
      </c>
      <c r="M536" s="323">
        <v>200</v>
      </c>
      <c r="N536" s="279">
        <f>INDEX(R536:AC536,1,N$16)*Diagram_NEW!BB$32</f>
        <v>0</v>
      </c>
      <c r="O536" s="280"/>
      <c r="R536" s="323">
        <f t="shared" si="125"/>
        <v>0</v>
      </c>
      <c r="S536" s="323">
        <f t="shared" si="126"/>
        <v>0</v>
      </c>
      <c r="T536" s="323">
        <v>0</v>
      </c>
      <c r="U536" s="323">
        <v>0</v>
      </c>
      <c r="V536" s="323">
        <v>0</v>
      </c>
      <c r="W536" s="323">
        <v>0</v>
      </c>
      <c r="X536" s="323">
        <v>0</v>
      </c>
      <c r="Y536" s="323">
        <v>0</v>
      </c>
      <c r="Z536" s="323">
        <v>0</v>
      </c>
      <c r="AA536" s="323">
        <v>0</v>
      </c>
      <c r="AB536" s="323">
        <v>0</v>
      </c>
      <c r="AC536" s="323">
        <v>0</v>
      </c>
    </row>
    <row r="537" spans="1:29" ht="38.25" x14ac:dyDescent="0.2">
      <c r="A537" s="39"/>
      <c r="B537" s="253" t="str">
        <f>INDEX(Language!D189:M189,1,_language)</f>
        <v>PV solar contribution multiplier</v>
      </c>
      <c r="C537" s="254"/>
      <c r="D537" s="214"/>
      <c r="E537" s="399"/>
      <c r="F537" s="399"/>
      <c r="G537" s="399"/>
      <c r="H537" s="399"/>
      <c r="I537" s="215" t="s">
        <v>991</v>
      </c>
      <c r="J537" s="260">
        <f t="shared" si="124"/>
        <v>1</v>
      </c>
      <c r="K537" s="261">
        <v>3</v>
      </c>
      <c r="L537" s="262">
        <v>1</v>
      </c>
      <c r="M537" s="262">
        <v>2</v>
      </c>
      <c r="N537" s="806">
        <f>INDEX(R537:AC537,1,N$16)*Diagram_NEW!BD27</f>
        <v>1</v>
      </c>
      <c r="O537" s="227" t="s">
        <v>1403</v>
      </c>
      <c r="R537" s="262">
        <v>1</v>
      </c>
      <c r="S537" s="262">
        <v>2</v>
      </c>
      <c r="T537" s="262">
        <v>0</v>
      </c>
      <c r="U537" s="262">
        <v>1</v>
      </c>
      <c r="V537" s="262">
        <v>1</v>
      </c>
      <c r="W537" s="262">
        <v>1</v>
      </c>
      <c r="X537" s="262">
        <v>1</v>
      </c>
      <c r="Y537" s="262">
        <v>1</v>
      </c>
      <c r="Z537" s="262">
        <v>1</v>
      </c>
      <c r="AA537" s="262">
        <v>1</v>
      </c>
      <c r="AB537" s="262">
        <v>1</v>
      </c>
      <c r="AC537" s="262">
        <v>1</v>
      </c>
    </row>
    <row r="538" spans="1:29" ht="19.5" customHeight="1" x14ac:dyDescent="0.2">
      <c r="A538" s="39"/>
      <c r="B538" s="104" t="str">
        <f>INDEX(Language!D190:M190,1,_language)</f>
        <v>PV solar max contribution  per time step</v>
      </c>
      <c r="C538" s="38" t="s">
        <v>993</v>
      </c>
      <c r="D538" s="206"/>
      <c r="E538" s="402"/>
      <c r="F538" s="402"/>
      <c r="G538" s="402"/>
      <c r="H538" s="402"/>
      <c r="I538" s="62" t="str">
        <f t="shared" si="41"/>
        <v>kWh</v>
      </c>
      <c r="J538" s="249">
        <f t="shared" si="124"/>
        <v>300</v>
      </c>
      <c r="K538" s="282">
        <v>500</v>
      </c>
      <c r="L538" s="283">
        <v>500</v>
      </c>
      <c r="M538" s="283">
        <v>500</v>
      </c>
      <c r="N538" s="210">
        <f t="shared" ref="N538:N551" si="127">INDEX(R538:AC538,1,N$16)</f>
        <v>300</v>
      </c>
      <c r="O538" s="86"/>
      <c r="R538" s="283">
        <v>300</v>
      </c>
      <c r="S538" s="283">
        <v>300</v>
      </c>
      <c r="T538" s="283">
        <v>300</v>
      </c>
      <c r="U538" s="283">
        <v>300</v>
      </c>
      <c r="V538" s="283">
        <v>300</v>
      </c>
      <c r="W538" s="283">
        <v>300</v>
      </c>
      <c r="X538" s="283">
        <v>300</v>
      </c>
      <c r="Y538" s="283">
        <v>300</v>
      </c>
      <c r="Z538" s="283">
        <v>300</v>
      </c>
      <c r="AA538" s="283">
        <v>300</v>
      </c>
      <c r="AB538" s="283">
        <v>300</v>
      </c>
      <c r="AC538" s="283">
        <v>300</v>
      </c>
    </row>
    <row r="539" spans="1:29" ht="29.25" customHeight="1" x14ac:dyDescent="0.2">
      <c r="A539" s="39"/>
      <c r="B539" s="104" t="str">
        <f>INDEX(Language!D276:M276,1,_language)</f>
        <v>Solar PV conversion efficiency</v>
      </c>
      <c r="C539" s="38" t="s">
        <v>1175</v>
      </c>
      <c r="D539" s="206"/>
      <c r="E539" s="402"/>
      <c r="F539" s="402"/>
      <c r="G539" s="402"/>
      <c r="H539" s="402"/>
      <c r="I539" s="62" t="s">
        <v>10</v>
      </c>
      <c r="J539" s="249">
        <f t="shared" si="124"/>
        <v>100</v>
      </c>
      <c r="K539" s="282">
        <v>100</v>
      </c>
      <c r="L539" s="283">
        <v>100</v>
      </c>
      <c r="M539" s="283">
        <v>100</v>
      </c>
      <c r="N539" s="210">
        <f t="shared" si="127"/>
        <v>100</v>
      </c>
      <c r="O539" s="86" t="s">
        <v>1331</v>
      </c>
      <c r="R539" s="283">
        <v>100</v>
      </c>
      <c r="S539" s="283">
        <v>100</v>
      </c>
      <c r="T539" s="283">
        <v>100</v>
      </c>
      <c r="U539" s="283">
        <v>100</v>
      </c>
      <c r="V539" s="283">
        <v>100</v>
      </c>
      <c r="W539" s="283">
        <v>100</v>
      </c>
      <c r="X539" s="283">
        <v>100</v>
      </c>
      <c r="Y539" s="283">
        <v>100</v>
      </c>
      <c r="Z539" s="283">
        <v>100</v>
      </c>
      <c r="AA539" s="283">
        <v>100</v>
      </c>
      <c r="AB539" s="283">
        <v>100</v>
      </c>
      <c r="AC539" s="283">
        <v>100</v>
      </c>
    </row>
    <row r="540" spans="1:29" outlineLevel="1" x14ac:dyDescent="0.2">
      <c r="A540" s="39"/>
      <c r="B540" s="36" t="str">
        <f>INDEX(Language!D191:M191,1,_language)</f>
        <v>PV solar contribution profile</v>
      </c>
      <c r="C540" s="38" t="s">
        <v>994</v>
      </c>
      <c r="D540" s="152"/>
      <c r="E540" s="400"/>
      <c r="F540" s="400"/>
      <c r="G540" s="400"/>
      <c r="H540" s="400"/>
      <c r="I540" s="62" t="s">
        <v>10</v>
      </c>
      <c r="J540" s="249">
        <f t="shared" si="124"/>
        <v>15</v>
      </c>
      <c r="K540" s="177">
        <v>15</v>
      </c>
      <c r="L540" s="178">
        <v>15</v>
      </c>
      <c r="M540" s="178">
        <v>15</v>
      </c>
      <c r="N540" s="272">
        <f t="shared" si="127"/>
        <v>15</v>
      </c>
      <c r="O540" s="86"/>
      <c r="R540" s="178">
        <v>15</v>
      </c>
      <c r="S540" s="178">
        <v>15</v>
      </c>
      <c r="T540" s="178">
        <v>15</v>
      </c>
      <c r="U540" s="178">
        <v>15</v>
      </c>
      <c r="V540" s="178">
        <v>15</v>
      </c>
      <c r="W540" s="178">
        <v>15</v>
      </c>
      <c r="X540" s="178">
        <v>15</v>
      </c>
      <c r="Y540" s="178">
        <v>15</v>
      </c>
      <c r="Z540" s="178">
        <v>15</v>
      </c>
      <c r="AA540" s="178">
        <v>15</v>
      </c>
      <c r="AB540" s="178">
        <v>15</v>
      </c>
      <c r="AC540" s="178">
        <v>15</v>
      </c>
    </row>
    <row r="541" spans="1:29" outlineLevel="1" x14ac:dyDescent="0.2">
      <c r="A541" s="39"/>
      <c r="B541" s="36"/>
      <c r="C541" s="38" t="s">
        <v>995</v>
      </c>
      <c r="D541" s="152"/>
      <c r="E541" s="400"/>
      <c r="F541" s="400"/>
      <c r="G541" s="400"/>
      <c r="H541" s="400"/>
      <c r="I541" s="62" t="s">
        <v>10</v>
      </c>
      <c r="J541" s="249">
        <f t="shared" si="124"/>
        <v>20</v>
      </c>
      <c r="K541" s="177">
        <v>20</v>
      </c>
      <c r="L541" s="178">
        <v>20</v>
      </c>
      <c r="M541" s="178">
        <v>20</v>
      </c>
      <c r="N541" s="272">
        <f t="shared" si="127"/>
        <v>20</v>
      </c>
      <c r="O541" s="86"/>
      <c r="R541" s="178">
        <v>20</v>
      </c>
      <c r="S541" s="178">
        <v>20</v>
      </c>
      <c r="T541" s="178">
        <v>20</v>
      </c>
      <c r="U541" s="178">
        <v>20</v>
      </c>
      <c r="V541" s="178">
        <v>20</v>
      </c>
      <c r="W541" s="178">
        <v>20</v>
      </c>
      <c r="X541" s="178">
        <v>20</v>
      </c>
      <c r="Y541" s="178">
        <v>20</v>
      </c>
      <c r="Z541" s="178">
        <v>20</v>
      </c>
      <c r="AA541" s="178">
        <v>20</v>
      </c>
      <c r="AB541" s="178">
        <v>20</v>
      </c>
      <c r="AC541" s="178">
        <v>20</v>
      </c>
    </row>
    <row r="542" spans="1:29" outlineLevel="1" x14ac:dyDescent="0.2">
      <c r="A542" s="39"/>
      <c r="B542" s="36"/>
      <c r="C542" s="38" t="s">
        <v>996</v>
      </c>
      <c r="D542" s="152"/>
      <c r="E542" s="400"/>
      <c r="F542" s="400"/>
      <c r="G542" s="400"/>
      <c r="H542" s="400"/>
      <c r="I542" s="62" t="s">
        <v>10</v>
      </c>
      <c r="J542" s="249">
        <f t="shared" si="124"/>
        <v>50</v>
      </c>
      <c r="K542" s="177">
        <v>50</v>
      </c>
      <c r="L542" s="178">
        <v>50</v>
      </c>
      <c r="M542" s="178">
        <v>50</v>
      </c>
      <c r="N542" s="272">
        <f t="shared" si="127"/>
        <v>50</v>
      </c>
      <c r="O542" s="86"/>
      <c r="R542" s="178">
        <v>50</v>
      </c>
      <c r="S542" s="178">
        <v>50</v>
      </c>
      <c r="T542" s="178">
        <v>50</v>
      </c>
      <c r="U542" s="178">
        <v>50</v>
      </c>
      <c r="V542" s="178">
        <v>50</v>
      </c>
      <c r="W542" s="178">
        <v>50</v>
      </c>
      <c r="X542" s="178">
        <v>50</v>
      </c>
      <c r="Y542" s="178">
        <v>50</v>
      </c>
      <c r="Z542" s="178">
        <v>50</v>
      </c>
      <c r="AA542" s="178">
        <v>50</v>
      </c>
      <c r="AB542" s="178">
        <v>50</v>
      </c>
      <c r="AC542" s="178">
        <v>50</v>
      </c>
    </row>
    <row r="543" spans="1:29" outlineLevel="1" x14ac:dyDescent="0.2">
      <c r="A543" s="39"/>
      <c r="B543" s="36"/>
      <c r="C543" s="38" t="s">
        <v>997</v>
      </c>
      <c r="D543" s="152"/>
      <c r="E543" s="400"/>
      <c r="F543" s="400"/>
      <c r="G543" s="400"/>
      <c r="H543" s="400"/>
      <c r="I543" s="62" t="s">
        <v>10</v>
      </c>
      <c r="J543" s="249">
        <f t="shared" si="124"/>
        <v>70</v>
      </c>
      <c r="K543" s="177">
        <v>70</v>
      </c>
      <c r="L543" s="178">
        <v>70</v>
      </c>
      <c r="M543" s="178">
        <v>70</v>
      </c>
      <c r="N543" s="272">
        <f t="shared" si="127"/>
        <v>70</v>
      </c>
      <c r="O543" s="86"/>
      <c r="R543" s="178">
        <v>70</v>
      </c>
      <c r="S543" s="178">
        <v>70</v>
      </c>
      <c r="T543" s="178">
        <v>70</v>
      </c>
      <c r="U543" s="178">
        <v>70</v>
      </c>
      <c r="V543" s="178">
        <v>70</v>
      </c>
      <c r="W543" s="178">
        <v>70</v>
      </c>
      <c r="X543" s="178">
        <v>70</v>
      </c>
      <c r="Y543" s="178">
        <v>70</v>
      </c>
      <c r="Z543" s="178">
        <v>70</v>
      </c>
      <c r="AA543" s="178">
        <v>70</v>
      </c>
      <c r="AB543" s="178">
        <v>70</v>
      </c>
      <c r="AC543" s="178">
        <v>70</v>
      </c>
    </row>
    <row r="544" spans="1:29" outlineLevel="1" x14ac:dyDescent="0.2">
      <c r="A544" s="39"/>
      <c r="B544" s="36"/>
      <c r="C544" s="38" t="s">
        <v>998</v>
      </c>
      <c r="D544" s="152"/>
      <c r="E544" s="400"/>
      <c r="F544" s="400"/>
      <c r="G544" s="400"/>
      <c r="H544" s="400"/>
      <c r="I544" s="62" t="s">
        <v>10</v>
      </c>
      <c r="J544" s="249">
        <f t="shared" si="124"/>
        <v>85</v>
      </c>
      <c r="K544" s="177">
        <v>85</v>
      </c>
      <c r="L544" s="178">
        <v>85</v>
      </c>
      <c r="M544" s="178">
        <v>85</v>
      </c>
      <c r="N544" s="272">
        <f t="shared" si="127"/>
        <v>85</v>
      </c>
      <c r="O544" s="86"/>
      <c r="R544" s="178">
        <v>85</v>
      </c>
      <c r="S544" s="178">
        <v>85</v>
      </c>
      <c r="T544" s="178">
        <v>85</v>
      </c>
      <c r="U544" s="178">
        <v>85</v>
      </c>
      <c r="V544" s="178">
        <v>85</v>
      </c>
      <c r="W544" s="178">
        <v>85</v>
      </c>
      <c r="X544" s="178">
        <v>85</v>
      </c>
      <c r="Y544" s="178">
        <v>85</v>
      </c>
      <c r="Z544" s="178">
        <v>85</v>
      </c>
      <c r="AA544" s="178">
        <v>85</v>
      </c>
      <c r="AB544" s="178">
        <v>85</v>
      </c>
      <c r="AC544" s="178">
        <v>85</v>
      </c>
    </row>
    <row r="545" spans="1:29" outlineLevel="1" x14ac:dyDescent="0.2">
      <c r="A545" s="39"/>
      <c r="B545" s="36"/>
      <c r="C545" s="38" t="s">
        <v>999</v>
      </c>
      <c r="D545" s="152"/>
      <c r="E545" s="400"/>
      <c r="F545" s="400"/>
      <c r="G545" s="400"/>
      <c r="H545" s="400"/>
      <c r="I545" s="62" t="s">
        <v>10</v>
      </c>
      <c r="J545" s="249">
        <f t="shared" si="124"/>
        <v>95</v>
      </c>
      <c r="K545" s="177">
        <v>95</v>
      </c>
      <c r="L545" s="178">
        <v>95</v>
      </c>
      <c r="M545" s="178">
        <v>95</v>
      </c>
      <c r="N545" s="272">
        <f t="shared" si="127"/>
        <v>95</v>
      </c>
      <c r="O545" s="86"/>
      <c r="R545" s="178">
        <v>95</v>
      </c>
      <c r="S545" s="178">
        <v>95</v>
      </c>
      <c r="T545" s="178">
        <v>95</v>
      </c>
      <c r="U545" s="178">
        <v>95</v>
      </c>
      <c r="V545" s="178">
        <v>95</v>
      </c>
      <c r="W545" s="178">
        <v>95</v>
      </c>
      <c r="X545" s="178">
        <v>95</v>
      </c>
      <c r="Y545" s="178">
        <v>95</v>
      </c>
      <c r="Z545" s="178">
        <v>95</v>
      </c>
      <c r="AA545" s="178">
        <v>95</v>
      </c>
      <c r="AB545" s="178">
        <v>95</v>
      </c>
      <c r="AC545" s="178">
        <v>95</v>
      </c>
    </row>
    <row r="546" spans="1:29" outlineLevel="1" x14ac:dyDescent="0.2">
      <c r="A546" s="39"/>
      <c r="B546" s="36"/>
      <c r="C546" s="38" t="s">
        <v>1000</v>
      </c>
      <c r="D546" s="152"/>
      <c r="E546" s="400"/>
      <c r="F546" s="400"/>
      <c r="G546" s="400"/>
      <c r="H546" s="400"/>
      <c r="I546" s="62" t="s">
        <v>10</v>
      </c>
      <c r="J546" s="249">
        <f t="shared" si="124"/>
        <v>100</v>
      </c>
      <c r="K546" s="177">
        <v>100</v>
      </c>
      <c r="L546" s="178">
        <v>100</v>
      </c>
      <c r="M546" s="178">
        <v>100</v>
      </c>
      <c r="N546" s="272">
        <f t="shared" si="127"/>
        <v>100</v>
      </c>
      <c r="O546" s="86"/>
      <c r="R546" s="178">
        <v>100</v>
      </c>
      <c r="S546" s="178">
        <v>100</v>
      </c>
      <c r="T546" s="178">
        <v>100</v>
      </c>
      <c r="U546" s="178">
        <v>100</v>
      </c>
      <c r="V546" s="178">
        <v>100</v>
      </c>
      <c r="W546" s="178">
        <v>100</v>
      </c>
      <c r="X546" s="178">
        <v>100</v>
      </c>
      <c r="Y546" s="178">
        <v>100</v>
      </c>
      <c r="Z546" s="178">
        <v>100</v>
      </c>
      <c r="AA546" s="178">
        <v>100</v>
      </c>
      <c r="AB546" s="178">
        <v>100</v>
      </c>
      <c r="AC546" s="178">
        <v>100</v>
      </c>
    </row>
    <row r="547" spans="1:29" outlineLevel="1" x14ac:dyDescent="0.2">
      <c r="A547" s="39"/>
      <c r="B547" s="36"/>
      <c r="C547" s="38" t="s">
        <v>1001</v>
      </c>
      <c r="D547" s="152"/>
      <c r="E547" s="400"/>
      <c r="F547" s="400"/>
      <c r="G547" s="400"/>
      <c r="H547" s="400"/>
      <c r="I547" s="62" t="s">
        <v>10</v>
      </c>
      <c r="J547" s="249">
        <f t="shared" si="124"/>
        <v>90</v>
      </c>
      <c r="K547" s="177">
        <v>90</v>
      </c>
      <c r="L547" s="178">
        <v>90</v>
      </c>
      <c r="M547" s="178">
        <v>90</v>
      </c>
      <c r="N547" s="272">
        <f t="shared" si="127"/>
        <v>90</v>
      </c>
      <c r="O547" s="86"/>
      <c r="R547" s="178">
        <v>90</v>
      </c>
      <c r="S547" s="178">
        <v>90</v>
      </c>
      <c r="T547" s="178">
        <v>90</v>
      </c>
      <c r="U547" s="178">
        <v>90</v>
      </c>
      <c r="V547" s="178">
        <v>90</v>
      </c>
      <c r="W547" s="178">
        <v>90</v>
      </c>
      <c r="X547" s="178">
        <v>90</v>
      </c>
      <c r="Y547" s="178">
        <v>90</v>
      </c>
      <c r="Z547" s="178">
        <v>90</v>
      </c>
      <c r="AA547" s="178">
        <v>90</v>
      </c>
      <c r="AB547" s="178">
        <v>90</v>
      </c>
      <c r="AC547" s="178">
        <v>90</v>
      </c>
    </row>
    <row r="548" spans="1:29" outlineLevel="1" x14ac:dyDescent="0.2">
      <c r="A548" s="39"/>
      <c r="B548" s="36"/>
      <c r="C548" s="38" t="s">
        <v>1002</v>
      </c>
      <c r="D548" s="152"/>
      <c r="E548" s="400"/>
      <c r="F548" s="400"/>
      <c r="G548" s="400"/>
      <c r="H548" s="400"/>
      <c r="I548" s="62" t="s">
        <v>10</v>
      </c>
      <c r="J548" s="249">
        <f t="shared" si="124"/>
        <v>80</v>
      </c>
      <c r="K548" s="177">
        <v>80</v>
      </c>
      <c r="L548" s="178">
        <v>80</v>
      </c>
      <c r="M548" s="178">
        <v>80</v>
      </c>
      <c r="N548" s="272">
        <f t="shared" si="127"/>
        <v>80</v>
      </c>
      <c r="O548" s="86"/>
      <c r="R548" s="178">
        <v>80</v>
      </c>
      <c r="S548" s="178">
        <v>80</v>
      </c>
      <c r="T548" s="178">
        <v>80</v>
      </c>
      <c r="U548" s="178">
        <v>80</v>
      </c>
      <c r="V548" s="178">
        <v>80</v>
      </c>
      <c r="W548" s="178">
        <v>80</v>
      </c>
      <c r="X548" s="178">
        <v>80</v>
      </c>
      <c r="Y548" s="178">
        <v>80</v>
      </c>
      <c r="Z548" s="178">
        <v>80</v>
      </c>
      <c r="AA548" s="178">
        <v>80</v>
      </c>
      <c r="AB548" s="178">
        <v>80</v>
      </c>
      <c r="AC548" s="178">
        <v>80</v>
      </c>
    </row>
    <row r="549" spans="1:29" outlineLevel="1" x14ac:dyDescent="0.2">
      <c r="A549" s="39"/>
      <c r="B549" s="36"/>
      <c r="C549" s="38" t="s">
        <v>1003</v>
      </c>
      <c r="D549" s="152"/>
      <c r="E549" s="400"/>
      <c r="F549" s="400"/>
      <c r="G549" s="400"/>
      <c r="H549" s="400"/>
      <c r="I549" s="62" t="s">
        <v>10</v>
      </c>
      <c r="J549" s="249">
        <f t="shared" si="124"/>
        <v>60</v>
      </c>
      <c r="K549" s="177">
        <v>60</v>
      </c>
      <c r="L549" s="178">
        <v>60</v>
      </c>
      <c r="M549" s="178">
        <v>60</v>
      </c>
      <c r="N549" s="272">
        <f t="shared" si="127"/>
        <v>60</v>
      </c>
      <c r="O549" s="86"/>
      <c r="R549" s="178">
        <v>60</v>
      </c>
      <c r="S549" s="178">
        <v>60</v>
      </c>
      <c r="T549" s="178">
        <v>60</v>
      </c>
      <c r="U549" s="178">
        <v>60</v>
      </c>
      <c r="V549" s="178">
        <v>60</v>
      </c>
      <c r="W549" s="178">
        <v>60</v>
      </c>
      <c r="X549" s="178">
        <v>60</v>
      </c>
      <c r="Y549" s="178">
        <v>60</v>
      </c>
      <c r="Z549" s="178">
        <v>60</v>
      </c>
      <c r="AA549" s="178">
        <v>60</v>
      </c>
      <c r="AB549" s="178">
        <v>60</v>
      </c>
      <c r="AC549" s="178">
        <v>60</v>
      </c>
    </row>
    <row r="550" spans="1:29" outlineLevel="1" x14ac:dyDescent="0.2">
      <c r="A550" s="39"/>
      <c r="B550" s="36"/>
      <c r="C550" s="38" t="s">
        <v>1004</v>
      </c>
      <c r="D550" s="152"/>
      <c r="E550" s="400"/>
      <c r="F550" s="400"/>
      <c r="G550" s="400"/>
      <c r="H550" s="400"/>
      <c r="I550" s="62" t="s">
        <v>10</v>
      </c>
      <c r="J550" s="249">
        <f t="shared" si="124"/>
        <v>40</v>
      </c>
      <c r="K550" s="177">
        <v>40</v>
      </c>
      <c r="L550" s="178">
        <v>40</v>
      </c>
      <c r="M550" s="178">
        <v>40</v>
      </c>
      <c r="N550" s="272">
        <f t="shared" si="127"/>
        <v>40</v>
      </c>
      <c r="O550" s="86"/>
      <c r="R550" s="178">
        <v>40</v>
      </c>
      <c r="S550" s="178">
        <v>40</v>
      </c>
      <c r="T550" s="178">
        <v>40</v>
      </c>
      <c r="U550" s="178">
        <v>40</v>
      </c>
      <c r="V550" s="178">
        <v>40</v>
      </c>
      <c r="W550" s="178">
        <v>40</v>
      </c>
      <c r="X550" s="178">
        <v>40</v>
      </c>
      <c r="Y550" s="178">
        <v>40</v>
      </c>
      <c r="Z550" s="178">
        <v>40</v>
      </c>
      <c r="AA550" s="178">
        <v>40</v>
      </c>
      <c r="AB550" s="178">
        <v>40</v>
      </c>
      <c r="AC550" s="178">
        <v>40</v>
      </c>
    </row>
    <row r="551" spans="1:29" ht="13.5" outlineLevel="1" thickBot="1" x14ac:dyDescent="0.25">
      <c r="A551" s="39"/>
      <c r="B551" s="263"/>
      <c r="C551" s="264" t="s">
        <v>1005</v>
      </c>
      <c r="D551" s="222"/>
      <c r="E551" s="403"/>
      <c r="F551" s="403"/>
      <c r="G551" s="403"/>
      <c r="H551" s="403"/>
      <c r="I551" s="223" t="s">
        <v>10</v>
      </c>
      <c r="J551" s="250">
        <f t="shared" si="124"/>
        <v>30</v>
      </c>
      <c r="K551" s="224">
        <v>30</v>
      </c>
      <c r="L551" s="225">
        <v>30</v>
      </c>
      <c r="M551" s="225">
        <v>30</v>
      </c>
      <c r="N551" s="279">
        <f t="shared" si="127"/>
        <v>30</v>
      </c>
      <c r="O551" s="86"/>
      <c r="R551" s="225">
        <v>30</v>
      </c>
      <c r="S551" s="225">
        <v>30</v>
      </c>
      <c r="T551" s="225">
        <v>30</v>
      </c>
      <c r="U551" s="225">
        <v>30</v>
      </c>
      <c r="V551" s="225">
        <v>30</v>
      </c>
      <c r="W551" s="225">
        <v>30</v>
      </c>
      <c r="X551" s="225">
        <v>30</v>
      </c>
      <c r="Y551" s="225">
        <v>30</v>
      </c>
      <c r="Z551" s="225">
        <v>30</v>
      </c>
      <c r="AA551" s="225">
        <v>30</v>
      </c>
      <c r="AB551" s="225">
        <v>30</v>
      </c>
      <c r="AC551" s="225">
        <v>30</v>
      </c>
    </row>
    <row r="552" spans="1:29" x14ac:dyDescent="0.2">
      <c r="A552" s="39"/>
      <c r="B552" s="104" t="str">
        <f>INDEX(Language!D192:M192,1,_language)</f>
        <v>PV electric generation</v>
      </c>
      <c r="C552" s="259" t="s">
        <v>769</v>
      </c>
      <c r="D552" s="206"/>
      <c r="E552" s="402"/>
      <c r="F552" s="402"/>
      <c r="G552" s="402"/>
      <c r="H552" s="402"/>
      <c r="I552" s="207" t="str">
        <f t="shared" si="41"/>
        <v>kWh</v>
      </c>
      <c r="J552" s="349">
        <f>SUM(J553:J564)</f>
        <v>2205</v>
      </c>
      <c r="K552" s="208">
        <f>SUM(K553:K564)</f>
        <v>11025</v>
      </c>
      <c r="L552" s="209">
        <f>SUM(L553:L564)</f>
        <v>3675</v>
      </c>
      <c r="M552" s="209">
        <f>SUM(M553:M564)</f>
        <v>7350</v>
      </c>
      <c r="N552" s="210">
        <f>SUM(N553:N564)</f>
        <v>2205</v>
      </c>
      <c r="O552" s="991" t="s">
        <v>1762</v>
      </c>
      <c r="P552" s="1356" t="s">
        <v>1809</v>
      </c>
      <c r="R552" s="209"/>
      <c r="S552" s="209"/>
      <c r="T552" s="209"/>
      <c r="U552" s="209"/>
      <c r="V552" s="209"/>
      <c r="W552" s="209"/>
      <c r="X552" s="209"/>
      <c r="Y552" s="209"/>
      <c r="Z552" s="209"/>
      <c r="AA552" s="209"/>
      <c r="AB552" s="209"/>
      <c r="AC552" s="209"/>
    </row>
    <row r="553" spans="1:29" outlineLevel="1" x14ac:dyDescent="0.2">
      <c r="A553" s="39"/>
      <c r="B553" s="36"/>
      <c r="C553" s="38" t="s">
        <v>485</v>
      </c>
      <c r="D553" s="152"/>
      <c r="E553" s="400"/>
      <c r="F553" s="400"/>
      <c r="G553" s="400"/>
      <c r="H553" s="400"/>
      <c r="I553" s="62" t="str">
        <f t="shared" ref="I553:I666" si="128">+_En_unit</f>
        <v>kWh</v>
      </c>
      <c r="J553" s="249">
        <f t="shared" ref="J553:J577" si="129">INDEX(K553:N553,,_case_en)</f>
        <v>45</v>
      </c>
      <c r="K553" s="350">
        <f t="shared" ref="K553:N564" si="130">+K$538*K$537*K540/100</f>
        <v>225</v>
      </c>
      <c r="L553" s="351">
        <f t="shared" si="130"/>
        <v>75</v>
      </c>
      <c r="M553" s="351">
        <f t="shared" si="130"/>
        <v>150</v>
      </c>
      <c r="N553" s="272">
        <f t="shared" si="130"/>
        <v>45</v>
      </c>
      <c r="O553" s="86"/>
      <c r="P553" s="1356" t="s">
        <v>1549</v>
      </c>
      <c r="R553" s="351"/>
      <c r="S553" s="351"/>
      <c r="T553" s="351"/>
      <c r="U553" s="351"/>
      <c r="V553" s="351"/>
      <c r="W553" s="351"/>
      <c r="X553" s="351"/>
      <c r="Y553" s="351"/>
      <c r="Z553" s="351"/>
      <c r="AA553" s="351"/>
      <c r="AB553" s="351"/>
      <c r="AC553" s="351"/>
    </row>
    <row r="554" spans="1:29" outlineLevel="1" x14ac:dyDescent="0.2">
      <c r="A554" s="39"/>
      <c r="B554" s="36"/>
      <c r="C554" s="38" t="s">
        <v>486</v>
      </c>
      <c r="D554" s="152"/>
      <c r="E554" s="400"/>
      <c r="F554" s="400"/>
      <c r="G554" s="400"/>
      <c r="H554" s="400"/>
      <c r="I554" s="62" t="str">
        <f t="shared" si="128"/>
        <v>kWh</v>
      </c>
      <c r="J554" s="249">
        <f t="shared" si="129"/>
        <v>60</v>
      </c>
      <c r="K554" s="350">
        <f t="shared" si="130"/>
        <v>300</v>
      </c>
      <c r="L554" s="351">
        <f t="shared" si="130"/>
        <v>100</v>
      </c>
      <c r="M554" s="351">
        <f t="shared" si="130"/>
        <v>200</v>
      </c>
      <c r="N554" s="272">
        <f t="shared" si="130"/>
        <v>60</v>
      </c>
      <c r="O554" s="86"/>
      <c r="R554" s="351"/>
      <c r="S554" s="351"/>
      <c r="T554" s="351"/>
      <c r="U554" s="351"/>
      <c r="V554" s="351"/>
      <c r="W554" s="351"/>
      <c r="X554" s="351"/>
      <c r="Y554" s="351"/>
      <c r="Z554" s="351"/>
      <c r="AA554" s="351"/>
      <c r="AB554" s="351"/>
      <c r="AC554" s="351"/>
    </row>
    <row r="555" spans="1:29" outlineLevel="1" x14ac:dyDescent="0.2">
      <c r="A555" s="39"/>
      <c r="B555" s="36"/>
      <c r="C555" s="38" t="s">
        <v>487</v>
      </c>
      <c r="D555" s="152"/>
      <c r="E555" s="400"/>
      <c r="F555" s="400"/>
      <c r="G555" s="400"/>
      <c r="H555" s="400"/>
      <c r="I555" s="62" t="str">
        <f t="shared" si="128"/>
        <v>kWh</v>
      </c>
      <c r="J555" s="249">
        <f t="shared" si="129"/>
        <v>150</v>
      </c>
      <c r="K555" s="350">
        <f t="shared" si="130"/>
        <v>750</v>
      </c>
      <c r="L555" s="351">
        <f t="shared" si="130"/>
        <v>250</v>
      </c>
      <c r="M555" s="351">
        <f t="shared" si="130"/>
        <v>500</v>
      </c>
      <c r="N555" s="272">
        <f t="shared" si="130"/>
        <v>150</v>
      </c>
      <c r="O555" s="86"/>
      <c r="R555" s="351"/>
      <c r="S555" s="351"/>
      <c r="T555" s="351"/>
      <c r="U555" s="351"/>
      <c r="V555" s="351"/>
      <c r="W555" s="351"/>
      <c r="X555" s="351"/>
      <c r="Y555" s="351"/>
      <c r="Z555" s="351"/>
      <c r="AA555" s="351"/>
      <c r="AB555" s="351"/>
      <c r="AC555" s="351"/>
    </row>
    <row r="556" spans="1:29" outlineLevel="1" x14ac:dyDescent="0.2">
      <c r="A556" s="39"/>
      <c r="B556" s="36"/>
      <c r="C556" s="38" t="s">
        <v>488</v>
      </c>
      <c r="D556" s="152"/>
      <c r="E556" s="400"/>
      <c r="F556" s="400"/>
      <c r="G556" s="400"/>
      <c r="H556" s="400"/>
      <c r="I556" s="62" t="str">
        <f t="shared" si="128"/>
        <v>kWh</v>
      </c>
      <c r="J556" s="249">
        <f t="shared" si="129"/>
        <v>210</v>
      </c>
      <c r="K556" s="350">
        <f t="shared" si="130"/>
        <v>1050</v>
      </c>
      <c r="L556" s="351">
        <f t="shared" si="130"/>
        <v>350</v>
      </c>
      <c r="M556" s="351">
        <f t="shared" si="130"/>
        <v>700</v>
      </c>
      <c r="N556" s="272">
        <f t="shared" si="130"/>
        <v>210</v>
      </c>
      <c r="O556" s="86"/>
      <c r="R556" s="351"/>
      <c r="S556" s="351"/>
      <c r="T556" s="351"/>
      <c r="U556" s="351"/>
      <c r="V556" s="351"/>
      <c r="W556" s="351"/>
      <c r="X556" s="351"/>
      <c r="Y556" s="351"/>
      <c r="Z556" s="351"/>
      <c r="AA556" s="351"/>
      <c r="AB556" s="351"/>
      <c r="AC556" s="351"/>
    </row>
    <row r="557" spans="1:29" outlineLevel="1" x14ac:dyDescent="0.2">
      <c r="A557" s="39"/>
      <c r="B557" s="36"/>
      <c r="C557" s="38" t="s">
        <v>489</v>
      </c>
      <c r="D557" s="152"/>
      <c r="E557" s="400"/>
      <c r="F557" s="400"/>
      <c r="G557" s="400"/>
      <c r="H557" s="400"/>
      <c r="I557" s="62" t="str">
        <f t="shared" si="128"/>
        <v>kWh</v>
      </c>
      <c r="J557" s="249">
        <f t="shared" si="129"/>
        <v>255</v>
      </c>
      <c r="K557" s="350">
        <f t="shared" si="130"/>
        <v>1275</v>
      </c>
      <c r="L557" s="351">
        <f t="shared" si="130"/>
        <v>425</v>
      </c>
      <c r="M557" s="351">
        <f t="shared" si="130"/>
        <v>850</v>
      </c>
      <c r="N557" s="272">
        <f t="shared" si="130"/>
        <v>255</v>
      </c>
      <c r="O557" s="86"/>
      <c r="R557" s="351"/>
      <c r="S557" s="351"/>
      <c r="T557" s="351"/>
      <c r="U557" s="351"/>
      <c r="V557" s="351"/>
      <c r="W557" s="351"/>
      <c r="X557" s="351"/>
      <c r="Y557" s="351"/>
      <c r="Z557" s="351"/>
      <c r="AA557" s="351"/>
      <c r="AB557" s="351"/>
      <c r="AC557" s="351"/>
    </row>
    <row r="558" spans="1:29" outlineLevel="1" x14ac:dyDescent="0.2">
      <c r="A558" s="39"/>
      <c r="B558" s="36"/>
      <c r="C558" s="38" t="s">
        <v>490</v>
      </c>
      <c r="D558" s="152"/>
      <c r="E558" s="400"/>
      <c r="F558" s="400"/>
      <c r="G558" s="400"/>
      <c r="H558" s="400"/>
      <c r="I558" s="62" t="str">
        <f t="shared" si="128"/>
        <v>kWh</v>
      </c>
      <c r="J558" s="249">
        <f t="shared" si="129"/>
        <v>285</v>
      </c>
      <c r="K558" s="350">
        <f t="shared" si="130"/>
        <v>1425</v>
      </c>
      <c r="L558" s="351">
        <f t="shared" si="130"/>
        <v>475</v>
      </c>
      <c r="M558" s="351">
        <f t="shared" si="130"/>
        <v>950</v>
      </c>
      <c r="N558" s="272">
        <f t="shared" si="130"/>
        <v>285</v>
      </c>
      <c r="O558" s="86"/>
      <c r="R558" s="351"/>
      <c r="S558" s="351"/>
      <c r="T558" s="351"/>
      <c r="U558" s="351"/>
      <c r="V558" s="351"/>
      <c r="W558" s="351"/>
      <c r="X558" s="351"/>
      <c r="Y558" s="351"/>
      <c r="Z558" s="351"/>
      <c r="AA558" s="351"/>
      <c r="AB558" s="351"/>
      <c r="AC558" s="351"/>
    </row>
    <row r="559" spans="1:29" outlineLevel="1" x14ac:dyDescent="0.2">
      <c r="A559" s="39"/>
      <c r="B559" s="36"/>
      <c r="C559" s="38" t="s">
        <v>491</v>
      </c>
      <c r="D559" s="152"/>
      <c r="E559" s="400"/>
      <c r="F559" s="400"/>
      <c r="G559" s="400"/>
      <c r="H559" s="400"/>
      <c r="I559" s="62" t="str">
        <f t="shared" si="128"/>
        <v>kWh</v>
      </c>
      <c r="J559" s="249">
        <f t="shared" si="129"/>
        <v>300</v>
      </c>
      <c r="K559" s="350">
        <f t="shared" si="130"/>
        <v>1500</v>
      </c>
      <c r="L559" s="351">
        <f t="shared" si="130"/>
        <v>500</v>
      </c>
      <c r="M559" s="351">
        <f t="shared" si="130"/>
        <v>1000</v>
      </c>
      <c r="N559" s="272">
        <f t="shared" si="130"/>
        <v>300</v>
      </c>
      <c r="O559" s="86"/>
      <c r="R559" s="351"/>
      <c r="S559" s="351"/>
      <c r="T559" s="351"/>
      <c r="U559" s="351"/>
      <c r="V559" s="351"/>
      <c r="W559" s="351"/>
      <c r="X559" s="351"/>
      <c r="Y559" s="351"/>
      <c r="Z559" s="351"/>
      <c r="AA559" s="351"/>
      <c r="AB559" s="351"/>
      <c r="AC559" s="351"/>
    </row>
    <row r="560" spans="1:29" outlineLevel="1" x14ac:dyDescent="0.2">
      <c r="A560" s="39"/>
      <c r="B560" s="36"/>
      <c r="C560" s="38" t="s">
        <v>492</v>
      </c>
      <c r="D560" s="152"/>
      <c r="E560" s="400"/>
      <c r="F560" s="400"/>
      <c r="G560" s="400"/>
      <c r="H560" s="400"/>
      <c r="I560" s="62" t="str">
        <f t="shared" si="128"/>
        <v>kWh</v>
      </c>
      <c r="J560" s="249">
        <f t="shared" si="129"/>
        <v>270</v>
      </c>
      <c r="K560" s="350">
        <f t="shared" si="130"/>
        <v>1350</v>
      </c>
      <c r="L560" s="351">
        <f t="shared" si="130"/>
        <v>450</v>
      </c>
      <c r="M560" s="351">
        <f t="shared" si="130"/>
        <v>900</v>
      </c>
      <c r="N560" s="272">
        <f t="shared" si="130"/>
        <v>270</v>
      </c>
      <c r="O560" s="86"/>
      <c r="R560" s="351"/>
      <c r="S560" s="351"/>
      <c r="T560" s="351"/>
      <c r="U560" s="351"/>
      <c r="V560" s="351"/>
      <c r="W560" s="351"/>
      <c r="X560" s="351"/>
      <c r="Y560" s="351"/>
      <c r="Z560" s="351"/>
      <c r="AA560" s="351"/>
      <c r="AB560" s="351"/>
      <c r="AC560" s="351"/>
    </row>
    <row r="561" spans="1:29" outlineLevel="1" x14ac:dyDescent="0.2">
      <c r="A561" s="39"/>
      <c r="B561" s="36"/>
      <c r="C561" s="38" t="s">
        <v>493</v>
      </c>
      <c r="D561" s="152"/>
      <c r="E561" s="400"/>
      <c r="F561" s="400"/>
      <c r="G561" s="400"/>
      <c r="H561" s="400"/>
      <c r="I561" s="62" t="str">
        <f t="shared" si="128"/>
        <v>kWh</v>
      </c>
      <c r="J561" s="249">
        <f t="shared" si="129"/>
        <v>240</v>
      </c>
      <c r="K561" s="350">
        <f t="shared" si="130"/>
        <v>1200</v>
      </c>
      <c r="L561" s="351">
        <f t="shared" si="130"/>
        <v>400</v>
      </c>
      <c r="M561" s="351">
        <f t="shared" si="130"/>
        <v>800</v>
      </c>
      <c r="N561" s="272">
        <f t="shared" si="130"/>
        <v>240</v>
      </c>
      <c r="O561" s="86"/>
      <c r="R561" s="351"/>
      <c r="S561" s="351"/>
      <c r="T561" s="351"/>
      <c r="U561" s="351"/>
      <c r="V561" s="351"/>
      <c r="W561" s="351"/>
      <c r="X561" s="351"/>
      <c r="Y561" s="351"/>
      <c r="Z561" s="351"/>
      <c r="AA561" s="351"/>
      <c r="AB561" s="351"/>
      <c r="AC561" s="351"/>
    </row>
    <row r="562" spans="1:29" outlineLevel="1" x14ac:dyDescent="0.2">
      <c r="A562" s="39"/>
      <c r="B562" s="36"/>
      <c r="C562" s="38" t="s">
        <v>494</v>
      </c>
      <c r="D562" s="152"/>
      <c r="E562" s="400"/>
      <c r="F562" s="400"/>
      <c r="G562" s="400"/>
      <c r="H562" s="400"/>
      <c r="I562" s="62" t="str">
        <f t="shared" si="128"/>
        <v>kWh</v>
      </c>
      <c r="J562" s="249">
        <f t="shared" si="129"/>
        <v>180</v>
      </c>
      <c r="K562" s="350">
        <f t="shared" si="130"/>
        <v>900</v>
      </c>
      <c r="L562" s="351">
        <f t="shared" si="130"/>
        <v>300</v>
      </c>
      <c r="M562" s="351">
        <f t="shared" si="130"/>
        <v>600</v>
      </c>
      <c r="N562" s="272">
        <f t="shared" si="130"/>
        <v>180</v>
      </c>
      <c r="O562" s="86"/>
      <c r="R562" s="351"/>
      <c r="S562" s="351"/>
      <c r="T562" s="351"/>
      <c r="U562" s="351"/>
      <c r="V562" s="351"/>
      <c r="W562" s="351"/>
      <c r="X562" s="351"/>
      <c r="Y562" s="351"/>
      <c r="Z562" s="351"/>
      <c r="AA562" s="351"/>
      <c r="AB562" s="351"/>
      <c r="AC562" s="351"/>
    </row>
    <row r="563" spans="1:29" outlineLevel="1" x14ac:dyDescent="0.2">
      <c r="A563" s="39"/>
      <c r="B563" s="36"/>
      <c r="C563" s="38" t="s">
        <v>495</v>
      </c>
      <c r="D563" s="152"/>
      <c r="E563" s="400"/>
      <c r="F563" s="400"/>
      <c r="G563" s="400"/>
      <c r="H563" s="400"/>
      <c r="I563" s="62" t="str">
        <f t="shared" si="128"/>
        <v>kWh</v>
      </c>
      <c r="J563" s="249">
        <f t="shared" si="129"/>
        <v>120</v>
      </c>
      <c r="K563" s="350">
        <f t="shared" si="130"/>
        <v>600</v>
      </c>
      <c r="L563" s="351">
        <f t="shared" si="130"/>
        <v>200</v>
      </c>
      <c r="M563" s="351">
        <f t="shared" si="130"/>
        <v>400</v>
      </c>
      <c r="N563" s="272">
        <f t="shared" si="130"/>
        <v>120</v>
      </c>
      <c r="O563" s="86"/>
      <c r="R563" s="351"/>
      <c r="S563" s="351"/>
      <c r="T563" s="351"/>
      <c r="U563" s="351"/>
      <c r="V563" s="351"/>
      <c r="W563" s="351"/>
      <c r="X563" s="351"/>
      <c r="Y563" s="351"/>
      <c r="Z563" s="351"/>
      <c r="AA563" s="351"/>
      <c r="AB563" s="351"/>
      <c r="AC563" s="351"/>
    </row>
    <row r="564" spans="1:29" ht="13.5" outlineLevel="1" thickBot="1" x14ac:dyDescent="0.25">
      <c r="A564" s="39"/>
      <c r="B564" s="258"/>
      <c r="C564" s="197" t="s">
        <v>496</v>
      </c>
      <c r="D564" s="229"/>
      <c r="E564" s="401"/>
      <c r="F564" s="401"/>
      <c r="G564" s="401"/>
      <c r="H564" s="401"/>
      <c r="I564" s="168" t="str">
        <f t="shared" si="128"/>
        <v>kWh</v>
      </c>
      <c r="J564" s="252">
        <f t="shared" si="129"/>
        <v>90</v>
      </c>
      <c r="K564" s="555">
        <f t="shared" si="130"/>
        <v>450</v>
      </c>
      <c r="L564" s="556">
        <f t="shared" si="130"/>
        <v>150</v>
      </c>
      <c r="M564" s="556">
        <f t="shared" si="130"/>
        <v>300</v>
      </c>
      <c r="N564" s="288">
        <f t="shared" si="130"/>
        <v>90</v>
      </c>
      <c r="O564" s="232"/>
      <c r="R564" s="556"/>
      <c r="S564" s="556"/>
      <c r="T564" s="556"/>
      <c r="U564" s="556"/>
      <c r="V564" s="556"/>
      <c r="W564" s="556"/>
      <c r="X564" s="556"/>
      <c r="Y564" s="556"/>
      <c r="Z564" s="556"/>
      <c r="AA564" s="556"/>
      <c r="AB564" s="556"/>
      <c r="AC564" s="556"/>
    </row>
    <row r="565" spans="1:29" x14ac:dyDescent="0.2">
      <c r="A565" s="39"/>
      <c r="B565" s="253" t="str">
        <f>INDEX(Language!D275:M275,1,_language)</f>
        <v>Delivered solar radiation</v>
      </c>
      <c r="C565" s="254" t="s">
        <v>1158</v>
      </c>
      <c r="D565" s="214"/>
      <c r="E565" s="399" t="s">
        <v>901</v>
      </c>
      <c r="F565" s="399" t="s">
        <v>901</v>
      </c>
      <c r="G565" s="399" t="s">
        <v>901</v>
      </c>
      <c r="H565" s="399" t="s">
        <v>901</v>
      </c>
      <c r="I565" s="215" t="str">
        <f t="shared" si="128"/>
        <v>kWh</v>
      </c>
      <c r="J565" s="557">
        <f t="shared" si="129"/>
        <v>2205</v>
      </c>
      <c r="K565" s="558">
        <f>SUM(K566:K577)</f>
        <v>11025</v>
      </c>
      <c r="L565" s="559">
        <f>SUM(L566:L577)</f>
        <v>3675</v>
      </c>
      <c r="M565" s="559">
        <f>SUM(M566:M577)</f>
        <v>7350</v>
      </c>
      <c r="N565" s="218">
        <f>SUM(N566:N577)</f>
        <v>2205</v>
      </c>
      <c r="O565" s="1070" t="s">
        <v>1762</v>
      </c>
      <c r="P565" s="1356" t="s">
        <v>1809</v>
      </c>
      <c r="R565" s="559"/>
      <c r="S565" s="559"/>
      <c r="T565" s="559"/>
      <c r="U565" s="559"/>
      <c r="V565" s="559"/>
      <c r="W565" s="559"/>
      <c r="X565" s="559"/>
      <c r="Y565" s="559"/>
      <c r="Z565" s="559"/>
      <c r="AA565" s="559"/>
      <c r="AB565" s="559"/>
      <c r="AC565" s="559"/>
    </row>
    <row r="566" spans="1:29" outlineLevel="1" x14ac:dyDescent="0.2">
      <c r="A566" s="39"/>
      <c r="B566" s="991" t="s">
        <v>1762</v>
      </c>
      <c r="C566" s="38" t="s">
        <v>1176</v>
      </c>
      <c r="D566" s="152"/>
      <c r="E566" s="400" t="s">
        <v>926</v>
      </c>
      <c r="F566" s="400" t="s">
        <v>926</v>
      </c>
      <c r="G566" s="400" t="s">
        <v>926</v>
      </c>
      <c r="H566" s="400" t="s">
        <v>926</v>
      </c>
      <c r="I566" s="62" t="str">
        <f t="shared" si="128"/>
        <v>kWh</v>
      </c>
      <c r="J566" s="249">
        <f t="shared" si="129"/>
        <v>45</v>
      </c>
      <c r="K566" s="350">
        <f t="shared" ref="K566:N577" si="131">+K553*100/K$539</f>
        <v>225</v>
      </c>
      <c r="L566" s="351">
        <f t="shared" si="131"/>
        <v>75</v>
      </c>
      <c r="M566" s="351">
        <f t="shared" si="131"/>
        <v>150</v>
      </c>
      <c r="N566" s="272">
        <f t="shared" si="131"/>
        <v>45</v>
      </c>
      <c r="O566" s="86"/>
      <c r="R566" s="351"/>
      <c r="S566" s="351"/>
      <c r="T566" s="351"/>
      <c r="U566" s="351"/>
      <c r="V566" s="351"/>
      <c r="W566" s="351"/>
      <c r="X566" s="351"/>
      <c r="Y566" s="351"/>
      <c r="Z566" s="351"/>
      <c r="AA566" s="351"/>
      <c r="AB566" s="351"/>
      <c r="AC566" s="351"/>
    </row>
    <row r="567" spans="1:29" outlineLevel="1" x14ac:dyDescent="0.2">
      <c r="A567" s="39"/>
      <c r="B567" s="36"/>
      <c r="C567" s="38" t="s">
        <v>1177</v>
      </c>
      <c r="D567" s="152"/>
      <c r="E567" s="400" t="s">
        <v>927</v>
      </c>
      <c r="F567" s="400" t="s">
        <v>927</v>
      </c>
      <c r="G567" s="400" t="s">
        <v>927</v>
      </c>
      <c r="H567" s="400" t="s">
        <v>927</v>
      </c>
      <c r="I567" s="62" t="str">
        <f t="shared" si="128"/>
        <v>kWh</v>
      </c>
      <c r="J567" s="249">
        <f t="shared" si="129"/>
        <v>60</v>
      </c>
      <c r="K567" s="350">
        <f t="shared" si="131"/>
        <v>300</v>
      </c>
      <c r="L567" s="351">
        <f t="shared" si="131"/>
        <v>100</v>
      </c>
      <c r="M567" s="351">
        <f t="shared" si="131"/>
        <v>200</v>
      </c>
      <c r="N567" s="272">
        <f t="shared" si="131"/>
        <v>60</v>
      </c>
      <c r="O567" s="86"/>
      <c r="R567" s="351"/>
      <c r="S567" s="351"/>
      <c r="T567" s="351"/>
      <c r="U567" s="351"/>
      <c r="V567" s="351"/>
      <c r="W567" s="351"/>
      <c r="X567" s="351"/>
      <c r="Y567" s="351"/>
      <c r="Z567" s="351"/>
      <c r="AA567" s="351"/>
      <c r="AB567" s="351"/>
      <c r="AC567" s="351"/>
    </row>
    <row r="568" spans="1:29" outlineLevel="1" x14ac:dyDescent="0.2">
      <c r="A568" s="39"/>
      <c r="B568" s="36"/>
      <c r="C568" s="38" t="s">
        <v>1178</v>
      </c>
      <c r="D568" s="152"/>
      <c r="E568" s="400" t="s">
        <v>928</v>
      </c>
      <c r="F568" s="400" t="s">
        <v>928</v>
      </c>
      <c r="G568" s="400" t="s">
        <v>928</v>
      </c>
      <c r="H568" s="400" t="s">
        <v>928</v>
      </c>
      <c r="I568" s="62" t="str">
        <f t="shared" si="128"/>
        <v>kWh</v>
      </c>
      <c r="J568" s="249">
        <f t="shared" si="129"/>
        <v>150</v>
      </c>
      <c r="K568" s="350">
        <f t="shared" si="131"/>
        <v>750</v>
      </c>
      <c r="L568" s="351">
        <f t="shared" si="131"/>
        <v>250</v>
      </c>
      <c r="M568" s="351">
        <f t="shared" si="131"/>
        <v>500</v>
      </c>
      <c r="N568" s="272">
        <f t="shared" si="131"/>
        <v>150</v>
      </c>
      <c r="O568" s="86"/>
      <c r="R568" s="351"/>
      <c r="S568" s="351"/>
      <c r="T568" s="351"/>
      <c r="U568" s="351"/>
      <c r="V568" s="351"/>
      <c r="W568" s="351"/>
      <c r="X568" s="351"/>
      <c r="Y568" s="351"/>
      <c r="Z568" s="351"/>
      <c r="AA568" s="351"/>
      <c r="AB568" s="351"/>
      <c r="AC568" s="351"/>
    </row>
    <row r="569" spans="1:29" outlineLevel="1" x14ac:dyDescent="0.2">
      <c r="A569" s="39"/>
      <c r="B569" s="36"/>
      <c r="C569" s="38" t="s">
        <v>1179</v>
      </c>
      <c r="D569" s="152"/>
      <c r="E569" s="400" t="s">
        <v>929</v>
      </c>
      <c r="F569" s="400" t="s">
        <v>929</v>
      </c>
      <c r="G569" s="400" t="s">
        <v>929</v>
      </c>
      <c r="H569" s="400" t="s">
        <v>929</v>
      </c>
      <c r="I569" s="62" t="str">
        <f t="shared" si="128"/>
        <v>kWh</v>
      </c>
      <c r="J569" s="249">
        <f t="shared" si="129"/>
        <v>210</v>
      </c>
      <c r="K569" s="350">
        <f t="shared" si="131"/>
        <v>1050</v>
      </c>
      <c r="L569" s="351">
        <f t="shared" si="131"/>
        <v>350</v>
      </c>
      <c r="M569" s="351">
        <f t="shared" si="131"/>
        <v>700</v>
      </c>
      <c r="N569" s="272">
        <f t="shared" si="131"/>
        <v>210</v>
      </c>
      <c r="O569" s="86"/>
      <c r="R569" s="351"/>
      <c r="S569" s="351"/>
      <c r="T569" s="351"/>
      <c r="U569" s="351"/>
      <c r="V569" s="351"/>
      <c r="W569" s="351"/>
      <c r="X569" s="351"/>
      <c r="Y569" s="351"/>
      <c r="Z569" s="351"/>
      <c r="AA569" s="351"/>
      <c r="AB569" s="351"/>
      <c r="AC569" s="351"/>
    </row>
    <row r="570" spans="1:29" outlineLevel="1" x14ac:dyDescent="0.2">
      <c r="A570" s="39"/>
      <c r="B570" s="36"/>
      <c r="C570" s="38" t="s">
        <v>1180</v>
      </c>
      <c r="D570" s="152"/>
      <c r="E570" s="400" t="s">
        <v>930</v>
      </c>
      <c r="F570" s="400" t="s">
        <v>930</v>
      </c>
      <c r="G570" s="400" t="s">
        <v>930</v>
      </c>
      <c r="H570" s="400" t="s">
        <v>930</v>
      </c>
      <c r="I570" s="62" t="str">
        <f t="shared" si="128"/>
        <v>kWh</v>
      </c>
      <c r="J570" s="249">
        <f t="shared" si="129"/>
        <v>255</v>
      </c>
      <c r="K570" s="350">
        <f t="shared" si="131"/>
        <v>1275</v>
      </c>
      <c r="L570" s="351">
        <f t="shared" si="131"/>
        <v>425</v>
      </c>
      <c r="M570" s="351">
        <f t="shared" si="131"/>
        <v>850</v>
      </c>
      <c r="N570" s="272">
        <f t="shared" si="131"/>
        <v>255</v>
      </c>
      <c r="O570" s="86"/>
      <c r="R570" s="351"/>
      <c r="S570" s="351"/>
      <c r="T570" s="351"/>
      <c r="U570" s="351"/>
      <c r="V570" s="351"/>
      <c r="W570" s="351"/>
      <c r="X570" s="351"/>
      <c r="Y570" s="351"/>
      <c r="Z570" s="351"/>
      <c r="AA570" s="351"/>
      <c r="AB570" s="351"/>
      <c r="AC570" s="351"/>
    </row>
    <row r="571" spans="1:29" outlineLevel="1" x14ac:dyDescent="0.2">
      <c r="A571" s="39"/>
      <c r="B571" s="36"/>
      <c r="C571" s="38" t="s">
        <v>1181</v>
      </c>
      <c r="D571" s="152"/>
      <c r="E571" s="400" t="s">
        <v>931</v>
      </c>
      <c r="F571" s="400" t="s">
        <v>931</v>
      </c>
      <c r="G571" s="400" t="s">
        <v>931</v>
      </c>
      <c r="H571" s="400" t="s">
        <v>931</v>
      </c>
      <c r="I571" s="62" t="str">
        <f t="shared" si="128"/>
        <v>kWh</v>
      </c>
      <c r="J571" s="249">
        <f t="shared" si="129"/>
        <v>285</v>
      </c>
      <c r="K571" s="350">
        <f t="shared" si="131"/>
        <v>1425</v>
      </c>
      <c r="L571" s="351">
        <f t="shared" si="131"/>
        <v>475</v>
      </c>
      <c r="M571" s="351">
        <f t="shared" si="131"/>
        <v>950</v>
      </c>
      <c r="N571" s="272">
        <f t="shared" si="131"/>
        <v>285</v>
      </c>
      <c r="O571" s="86"/>
      <c r="R571" s="351"/>
      <c r="S571" s="351"/>
      <c r="T571" s="351"/>
      <c r="U571" s="351"/>
      <c r="V571" s="351"/>
      <c r="W571" s="351"/>
      <c r="X571" s="351"/>
      <c r="Y571" s="351"/>
      <c r="Z571" s="351"/>
      <c r="AA571" s="351"/>
      <c r="AB571" s="351"/>
      <c r="AC571" s="351"/>
    </row>
    <row r="572" spans="1:29" outlineLevel="1" x14ac:dyDescent="0.2">
      <c r="A572" s="39"/>
      <c r="B572" s="36"/>
      <c r="C572" s="38" t="s">
        <v>1182</v>
      </c>
      <c r="D572" s="152"/>
      <c r="E572" s="400" t="s">
        <v>932</v>
      </c>
      <c r="F572" s="400" t="s">
        <v>932</v>
      </c>
      <c r="G572" s="400" t="s">
        <v>932</v>
      </c>
      <c r="H572" s="400" t="s">
        <v>932</v>
      </c>
      <c r="I572" s="62" t="str">
        <f t="shared" si="128"/>
        <v>kWh</v>
      </c>
      <c r="J572" s="249">
        <f t="shared" si="129"/>
        <v>300</v>
      </c>
      <c r="K572" s="350">
        <f t="shared" si="131"/>
        <v>1500</v>
      </c>
      <c r="L572" s="351">
        <f t="shared" si="131"/>
        <v>500</v>
      </c>
      <c r="M572" s="351">
        <f t="shared" si="131"/>
        <v>1000</v>
      </c>
      <c r="N572" s="272">
        <f t="shared" si="131"/>
        <v>300</v>
      </c>
      <c r="O572" s="86"/>
      <c r="R572" s="351"/>
      <c r="S572" s="351"/>
      <c r="T572" s="351"/>
      <c r="U572" s="351"/>
      <c r="V572" s="351"/>
      <c r="W572" s="351"/>
      <c r="X572" s="351"/>
      <c r="Y572" s="351"/>
      <c r="Z572" s="351"/>
      <c r="AA572" s="351"/>
      <c r="AB572" s="351"/>
      <c r="AC572" s="351"/>
    </row>
    <row r="573" spans="1:29" outlineLevel="1" x14ac:dyDescent="0.2">
      <c r="A573" s="39"/>
      <c r="B573" s="36"/>
      <c r="C573" s="38" t="s">
        <v>1183</v>
      </c>
      <c r="D573" s="152"/>
      <c r="E573" s="400" t="s">
        <v>933</v>
      </c>
      <c r="F573" s="400" t="s">
        <v>933</v>
      </c>
      <c r="G573" s="400" t="s">
        <v>933</v>
      </c>
      <c r="H573" s="400" t="s">
        <v>933</v>
      </c>
      <c r="I573" s="62" t="str">
        <f t="shared" si="128"/>
        <v>kWh</v>
      </c>
      <c r="J573" s="249">
        <f t="shared" si="129"/>
        <v>270</v>
      </c>
      <c r="K573" s="350">
        <f t="shared" si="131"/>
        <v>1350</v>
      </c>
      <c r="L573" s="351">
        <f t="shared" si="131"/>
        <v>450</v>
      </c>
      <c r="M573" s="351">
        <f t="shared" si="131"/>
        <v>900</v>
      </c>
      <c r="N573" s="272">
        <f t="shared" si="131"/>
        <v>270</v>
      </c>
      <c r="O573" s="86"/>
      <c r="R573" s="351"/>
      <c r="S573" s="351"/>
      <c r="T573" s="351"/>
      <c r="U573" s="351"/>
      <c r="V573" s="351"/>
      <c r="W573" s="351"/>
      <c r="X573" s="351"/>
      <c r="Y573" s="351"/>
      <c r="Z573" s="351"/>
      <c r="AA573" s="351"/>
      <c r="AB573" s="351"/>
      <c r="AC573" s="351"/>
    </row>
    <row r="574" spans="1:29" outlineLevel="1" x14ac:dyDescent="0.2">
      <c r="A574" s="39"/>
      <c r="B574" s="36"/>
      <c r="C574" s="38" t="s">
        <v>1184</v>
      </c>
      <c r="D574" s="152"/>
      <c r="E574" s="400" t="s">
        <v>934</v>
      </c>
      <c r="F574" s="400" t="s">
        <v>934</v>
      </c>
      <c r="G574" s="400" t="s">
        <v>934</v>
      </c>
      <c r="H574" s="400" t="s">
        <v>934</v>
      </c>
      <c r="I574" s="62" t="str">
        <f t="shared" si="128"/>
        <v>kWh</v>
      </c>
      <c r="J574" s="249">
        <f t="shared" si="129"/>
        <v>240</v>
      </c>
      <c r="K574" s="350">
        <f t="shared" si="131"/>
        <v>1200</v>
      </c>
      <c r="L574" s="351">
        <f t="shared" si="131"/>
        <v>400</v>
      </c>
      <c r="M574" s="351">
        <f t="shared" si="131"/>
        <v>800</v>
      </c>
      <c r="N574" s="272">
        <f t="shared" si="131"/>
        <v>240</v>
      </c>
      <c r="O574" s="86"/>
      <c r="R574" s="351"/>
      <c r="S574" s="351"/>
      <c r="T574" s="351"/>
      <c r="U574" s="351"/>
      <c r="V574" s="351"/>
      <c r="W574" s="351"/>
      <c r="X574" s="351"/>
      <c r="Y574" s="351"/>
      <c r="Z574" s="351"/>
      <c r="AA574" s="351"/>
      <c r="AB574" s="351"/>
      <c r="AC574" s="351"/>
    </row>
    <row r="575" spans="1:29" outlineLevel="1" x14ac:dyDescent="0.2">
      <c r="A575" s="39"/>
      <c r="B575" s="36"/>
      <c r="C575" s="38" t="s">
        <v>1185</v>
      </c>
      <c r="D575" s="152"/>
      <c r="E575" s="400" t="s">
        <v>935</v>
      </c>
      <c r="F575" s="400" t="s">
        <v>935</v>
      </c>
      <c r="G575" s="400" t="s">
        <v>935</v>
      </c>
      <c r="H575" s="400" t="s">
        <v>935</v>
      </c>
      <c r="I575" s="62" t="str">
        <f t="shared" si="128"/>
        <v>kWh</v>
      </c>
      <c r="J575" s="249">
        <f t="shared" si="129"/>
        <v>180</v>
      </c>
      <c r="K575" s="350">
        <f t="shared" si="131"/>
        <v>900</v>
      </c>
      <c r="L575" s="351">
        <f t="shared" si="131"/>
        <v>300</v>
      </c>
      <c r="M575" s="351">
        <f t="shared" si="131"/>
        <v>600</v>
      </c>
      <c r="N575" s="272">
        <f t="shared" si="131"/>
        <v>180</v>
      </c>
      <c r="O575" s="86"/>
      <c r="R575" s="351"/>
      <c r="S575" s="351"/>
      <c r="T575" s="351"/>
      <c r="U575" s="351"/>
      <c r="V575" s="351"/>
      <c r="W575" s="351"/>
      <c r="X575" s="351"/>
      <c r="Y575" s="351"/>
      <c r="Z575" s="351"/>
      <c r="AA575" s="351"/>
      <c r="AB575" s="351"/>
      <c r="AC575" s="351"/>
    </row>
    <row r="576" spans="1:29" outlineLevel="1" x14ac:dyDescent="0.2">
      <c r="A576" s="39"/>
      <c r="B576" s="36"/>
      <c r="C576" s="38" t="s">
        <v>1186</v>
      </c>
      <c r="D576" s="152"/>
      <c r="E576" s="400" t="s">
        <v>936</v>
      </c>
      <c r="F576" s="400" t="s">
        <v>936</v>
      </c>
      <c r="G576" s="400" t="s">
        <v>936</v>
      </c>
      <c r="H576" s="400" t="s">
        <v>936</v>
      </c>
      <c r="I576" s="62" t="str">
        <f t="shared" si="128"/>
        <v>kWh</v>
      </c>
      <c r="J576" s="249">
        <f t="shared" si="129"/>
        <v>120</v>
      </c>
      <c r="K576" s="350">
        <f t="shared" si="131"/>
        <v>600</v>
      </c>
      <c r="L576" s="351">
        <f t="shared" si="131"/>
        <v>200</v>
      </c>
      <c r="M576" s="351">
        <f t="shared" si="131"/>
        <v>400</v>
      </c>
      <c r="N576" s="272">
        <f t="shared" si="131"/>
        <v>120</v>
      </c>
      <c r="O576" s="86"/>
      <c r="R576" s="351"/>
      <c r="S576" s="351"/>
      <c r="T576" s="351"/>
      <c r="U576" s="351"/>
      <c r="V576" s="351"/>
      <c r="W576" s="351"/>
      <c r="X576" s="351"/>
      <c r="Y576" s="351"/>
      <c r="Z576" s="351"/>
      <c r="AA576" s="351"/>
      <c r="AB576" s="351"/>
      <c r="AC576" s="351"/>
    </row>
    <row r="577" spans="1:29" outlineLevel="1" x14ac:dyDescent="0.2">
      <c r="A577" s="39"/>
      <c r="B577" s="36"/>
      <c r="C577" s="38" t="s">
        <v>1187</v>
      </c>
      <c r="D577" s="152"/>
      <c r="E577" s="400" t="s">
        <v>937</v>
      </c>
      <c r="F577" s="400" t="s">
        <v>937</v>
      </c>
      <c r="G577" s="400" t="s">
        <v>937</v>
      </c>
      <c r="H577" s="400" t="s">
        <v>937</v>
      </c>
      <c r="I577" s="62" t="str">
        <f t="shared" si="128"/>
        <v>kWh</v>
      </c>
      <c r="J577" s="249">
        <f t="shared" si="129"/>
        <v>90</v>
      </c>
      <c r="K577" s="350">
        <f t="shared" si="131"/>
        <v>450</v>
      </c>
      <c r="L577" s="351">
        <f t="shared" si="131"/>
        <v>150</v>
      </c>
      <c r="M577" s="351">
        <f t="shared" si="131"/>
        <v>300</v>
      </c>
      <c r="N577" s="272">
        <f t="shared" si="131"/>
        <v>90</v>
      </c>
      <c r="O577" s="86"/>
      <c r="R577" s="351"/>
      <c r="S577" s="351"/>
      <c r="T577" s="351"/>
      <c r="U577" s="351"/>
      <c r="V577" s="351"/>
      <c r="W577" s="351"/>
      <c r="X577" s="351"/>
      <c r="Y577" s="351"/>
      <c r="Z577" s="351"/>
      <c r="AA577" s="351"/>
      <c r="AB577" s="351"/>
      <c r="AC577" s="351"/>
    </row>
    <row r="578" spans="1:29" ht="51.75" customHeight="1" thickBot="1" x14ac:dyDescent="0.25">
      <c r="A578" s="39"/>
      <c r="B578" s="980" t="s">
        <v>1465</v>
      </c>
      <c r="C578" s="898"/>
      <c r="D578" s="899"/>
      <c r="E578" s="899"/>
      <c r="F578" s="899"/>
      <c r="G578" s="899"/>
      <c r="H578" s="899"/>
      <c r="I578" s="900"/>
      <c r="J578" s="901"/>
      <c r="K578" s="902"/>
      <c r="L578" s="902"/>
      <c r="M578" s="902"/>
      <c r="N578" s="901"/>
      <c r="O578" s="903"/>
      <c r="R578" s="897"/>
      <c r="S578" s="897"/>
      <c r="T578" s="897"/>
      <c r="U578" s="897"/>
      <c r="V578" s="897"/>
      <c r="W578" s="897"/>
      <c r="X578" s="897"/>
      <c r="Y578" s="897"/>
      <c r="Z578" s="897"/>
      <c r="AA578" s="897"/>
      <c r="AB578" s="897"/>
      <c r="AC578" s="897"/>
    </row>
    <row r="579" spans="1:29" ht="51.75" customHeight="1" thickBot="1" x14ac:dyDescent="0.25">
      <c r="A579" s="39"/>
      <c r="B579" s="1612" t="s">
        <v>2301</v>
      </c>
      <c r="C579" s="1613"/>
      <c r="D579" s="1614"/>
      <c r="E579" s="1614"/>
      <c r="F579" s="1614"/>
      <c r="G579" s="1614"/>
      <c r="H579" s="1614"/>
      <c r="I579" s="1615"/>
      <c r="J579" s="1616"/>
      <c r="K579" s="1617"/>
      <c r="L579" s="1617"/>
      <c r="M579" s="1617"/>
      <c r="N579" s="1616"/>
      <c r="O579" s="1497"/>
      <c r="R579" s="897"/>
      <c r="S579" s="897"/>
      <c r="T579" s="897"/>
      <c r="U579" s="897"/>
      <c r="V579" s="897"/>
      <c r="W579" s="897"/>
      <c r="X579" s="897"/>
      <c r="Y579" s="897"/>
      <c r="Z579" s="897"/>
      <c r="AA579" s="897"/>
      <c r="AB579" s="897"/>
      <c r="AC579" s="897"/>
    </row>
    <row r="580" spans="1:29" ht="47.25" customHeight="1" thickBot="1" x14ac:dyDescent="0.25">
      <c r="A580" s="39"/>
      <c r="B580" s="1618" t="s">
        <v>2300</v>
      </c>
      <c r="C580" s="1619"/>
      <c r="D580" s="1620"/>
      <c r="E580" s="1620"/>
      <c r="F580" s="1620"/>
      <c r="G580" s="1620"/>
      <c r="H580" s="1620"/>
      <c r="I580" s="1621"/>
      <c r="J580" s="1622"/>
      <c r="K580" s="1623"/>
      <c r="L580" s="1623"/>
      <c r="M580" s="1623"/>
      <c r="N580" s="1622"/>
      <c r="O580" s="1624"/>
      <c r="R580" s="897"/>
      <c r="S580" s="897"/>
      <c r="T580" s="897"/>
      <c r="U580" s="897"/>
      <c r="V580" s="897"/>
      <c r="W580" s="897"/>
      <c r="X580" s="897"/>
      <c r="Y580" s="897"/>
      <c r="Z580" s="897"/>
      <c r="AA580" s="897"/>
      <c r="AB580" s="897"/>
      <c r="AC580" s="897"/>
    </row>
    <row r="581" spans="1:29" x14ac:dyDescent="0.2">
      <c r="A581" s="39"/>
      <c r="B581" s="104" t="str">
        <f>INDEX(Language!D220:M220,1,_language)</f>
        <v>Environmental heat</v>
      </c>
      <c r="C581" s="259" t="s">
        <v>769</v>
      </c>
      <c r="D581" s="206"/>
      <c r="E581" s="402"/>
      <c r="F581" s="402"/>
      <c r="G581" s="402"/>
      <c r="H581" s="402"/>
      <c r="I581" s="207" t="str">
        <f t="shared" ref="I581:I594" si="132">+_En_unit</f>
        <v>kWh</v>
      </c>
      <c r="J581" s="349">
        <f>SUM(J582:J593)</f>
        <v>6300</v>
      </c>
      <c r="K581" s="208">
        <f>SUM(K582:K593)</f>
        <v>157500</v>
      </c>
      <c r="L581" s="209">
        <f>SUM(L582:L593)</f>
        <v>17500</v>
      </c>
      <c r="M581" s="209">
        <f>SUM(M582:M593)</f>
        <v>70000</v>
      </c>
      <c r="N581" s="210">
        <f>SUM(N582:N593)</f>
        <v>6300</v>
      </c>
      <c r="O581" s="1611" t="s">
        <v>1762</v>
      </c>
      <c r="R581" s="209"/>
      <c r="S581" s="209"/>
      <c r="T581" s="209"/>
      <c r="U581" s="209"/>
      <c r="V581" s="209"/>
      <c r="W581" s="209"/>
      <c r="X581" s="209"/>
      <c r="Y581" s="209"/>
      <c r="Z581" s="209"/>
      <c r="AA581" s="209"/>
      <c r="AB581" s="209"/>
      <c r="AC581" s="209"/>
    </row>
    <row r="582" spans="1:29" outlineLevel="1" x14ac:dyDescent="0.2">
      <c r="A582" s="39"/>
      <c r="B582" s="36"/>
      <c r="C582" s="38" t="s">
        <v>485</v>
      </c>
      <c r="D582" s="152"/>
      <c r="E582" s="400"/>
      <c r="F582" s="400"/>
      <c r="G582" s="400"/>
      <c r="H582" s="400"/>
      <c r="I582" s="62" t="str">
        <f t="shared" si="128"/>
        <v>kWh</v>
      </c>
      <c r="J582" s="249">
        <f t="shared" ref="J582:J593" si="133">INDEX(K582:N582,,_case_en)</f>
        <v>450</v>
      </c>
      <c r="K582" s="350">
        <f t="shared" ref="K582:N582" si="134">+K$538*K$537*K568/100</f>
        <v>11250</v>
      </c>
      <c r="L582" s="351">
        <f t="shared" si="134"/>
        <v>1250</v>
      </c>
      <c r="M582" s="351">
        <f t="shared" si="134"/>
        <v>5000</v>
      </c>
      <c r="N582" s="272">
        <f t="shared" si="134"/>
        <v>450</v>
      </c>
      <c r="O582" s="86"/>
      <c r="R582" s="351"/>
      <c r="S582" s="351"/>
      <c r="T582" s="351"/>
      <c r="U582" s="351"/>
      <c r="V582" s="351"/>
      <c r="W582" s="351"/>
      <c r="X582" s="351"/>
      <c r="Y582" s="351"/>
      <c r="Z582" s="351"/>
      <c r="AA582" s="351"/>
      <c r="AB582" s="351"/>
      <c r="AC582" s="351"/>
    </row>
    <row r="583" spans="1:29" outlineLevel="1" x14ac:dyDescent="0.2">
      <c r="A583" s="39"/>
      <c r="B583" s="36"/>
      <c r="C583" s="38" t="s">
        <v>486</v>
      </c>
      <c r="D583" s="152"/>
      <c r="E583" s="400"/>
      <c r="F583" s="400"/>
      <c r="G583" s="400"/>
      <c r="H583" s="400"/>
      <c r="I583" s="62" t="str">
        <f t="shared" si="128"/>
        <v>kWh</v>
      </c>
      <c r="J583" s="249">
        <f t="shared" si="133"/>
        <v>630</v>
      </c>
      <c r="K583" s="350">
        <f t="shared" ref="K583:N583" si="135">+K$538*K$537*K569/100</f>
        <v>15750</v>
      </c>
      <c r="L583" s="351">
        <f t="shared" si="135"/>
        <v>1750</v>
      </c>
      <c r="M583" s="351">
        <f t="shared" si="135"/>
        <v>7000</v>
      </c>
      <c r="N583" s="272">
        <f t="shared" si="135"/>
        <v>630</v>
      </c>
      <c r="O583" s="86"/>
      <c r="R583" s="351"/>
      <c r="S583" s="351"/>
      <c r="T583" s="351"/>
      <c r="U583" s="351"/>
      <c r="V583" s="351"/>
      <c r="W583" s="351"/>
      <c r="X583" s="351"/>
      <c r="Y583" s="351"/>
      <c r="Z583" s="351"/>
      <c r="AA583" s="351"/>
      <c r="AB583" s="351"/>
      <c r="AC583" s="351"/>
    </row>
    <row r="584" spans="1:29" outlineLevel="1" x14ac:dyDescent="0.2">
      <c r="A584" s="39"/>
      <c r="B584" s="36"/>
      <c r="C584" s="38" t="s">
        <v>487</v>
      </c>
      <c r="D584" s="152"/>
      <c r="E584" s="400"/>
      <c r="F584" s="400"/>
      <c r="G584" s="400"/>
      <c r="H584" s="400"/>
      <c r="I584" s="62" t="str">
        <f t="shared" si="128"/>
        <v>kWh</v>
      </c>
      <c r="J584" s="249">
        <f t="shared" si="133"/>
        <v>765</v>
      </c>
      <c r="K584" s="350">
        <f t="shared" ref="K584:N584" si="136">+K$538*K$537*K570/100</f>
        <v>19125</v>
      </c>
      <c r="L584" s="351">
        <f t="shared" si="136"/>
        <v>2125</v>
      </c>
      <c r="M584" s="351">
        <f t="shared" si="136"/>
        <v>8500</v>
      </c>
      <c r="N584" s="272">
        <f t="shared" si="136"/>
        <v>765</v>
      </c>
      <c r="O584" s="86"/>
      <c r="R584" s="351"/>
      <c r="S584" s="351"/>
      <c r="T584" s="351"/>
      <c r="U584" s="351"/>
      <c r="V584" s="351"/>
      <c r="W584" s="351"/>
      <c r="X584" s="351"/>
      <c r="Y584" s="351"/>
      <c r="Z584" s="351"/>
      <c r="AA584" s="351"/>
      <c r="AB584" s="351"/>
      <c r="AC584" s="351"/>
    </row>
    <row r="585" spans="1:29" outlineLevel="1" x14ac:dyDescent="0.2">
      <c r="A585" s="39"/>
      <c r="B585" s="36"/>
      <c r="C585" s="38" t="s">
        <v>488</v>
      </c>
      <c r="D585" s="152"/>
      <c r="E585" s="400"/>
      <c r="F585" s="400"/>
      <c r="G585" s="400"/>
      <c r="H585" s="400"/>
      <c r="I585" s="62" t="str">
        <f t="shared" si="128"/>
        <v>kWh</v>
      </c>
      <c r="J585" s="249">
        <f t="shared" si="133"/>
        <v>855</v>
      </c>
      <c r="K585" s="350">
        <f t="shared" ref="K585:N585" si="137">+K$538*K$537*K571/100</f>
        <v>21375</v>
      </c>
      <c r="L585" s="351">
        <f t="shared" si="137"/>
        <v>2375</v>
      </c>
      <c r="M585" s="351">
        <f t="shared" si="137"/>
        <v>9500</v>
      </c>
      <c r="N585" s="272">
        <f t="shared" si="137"/>
        <v>855</v>
      </c>
      <c r="O585" s="86"/>
      <c r="R585" s="351"/>
      <c r="S585" s="351"/>
      <c r="T585" s="351"/>
      <c r="U585" s="351"/>
      <c r="V585" s="351"/>
      <c r="W585" s="351"/>
      <c r="X585" s="351"/>
      <c r="Y585" s="351"/>
      <c r="Z585" s="351"/>
      <c r="AA585" s="351"/>
      <c r="AB585" s="351"/>
      <c r="AC585" s="351"/>
    </row>
    <row r="586" spans="1:29" outlineLevel="1" x14ac:dyDescent="0.2">
      <c r="A586" s="39"/>
      <c r="B586" s="36"/>
      <c r="C586" s="38" t="s">
        <v>489</v>
      </c>
      <c r="D586" s="152"/>
      <c r="E586" s="400"/>
      <c r="F586" s="400"/>
      <c r="G586" s="400"/>
      <c r="H586" s="400"/>
      <c r="I586" s="62" t="str">
        <f t="shared" si="128"/>
        <v>kWh</v>
      </c>
      <c r="J586" s="249">
        <f t="shared" si="133"/>
        <v>900</v>
      </c>
      <c r="K586" s="350">
        <f t="shared" ref="K586:N586" si="138">+K$538*K$537*K572/100</f>
        <v>22500</v>
      </c>
      <c r="L586" s="351">
        <f t="shared" si="138"/>
        <v>2500</v>
      </c>
      <c r="M586" s="351">
        <f t="shared" si="138"/>
        <v>10000</v>
      </c>
      <c r="N586" s="272">
        <f t="shared" si="138"/>
        <v>900</v>
      </c>
      <c r="O586" s="86"/>
      <c r="R586" s="351"/>
      <c r="S586" s="351"/>
      <c r="T586" s="351"/>
      <c r="U586" s="351"/>
      <c r="V586" s="351"/>
      <c r="W586" s="351"/>
      <c r="X586" s="351"/>
      <c r="Y586" s="351"/>
      <c r="Z586" s="351"/>
      <c r="AA586" s="351"/>
      <c r="AB586" s="351"/>
      <c r="AC586" s="351"/>
    </row>
    <row r="587" spans="1:29" outlineLevel="1" x14ac:dyDescent="0.2">
      <c r="A587" s="39"/>
      <c r="B587" s="36"/>
      <c r="C587" s="38" t="s">
        <v>490</v>
      </c>
      <c r="D587" s="152"/>
      <c r="E587" s="400"/>
      <c r="F587" s="400"/>
      <c r="G587" s="400"/>
      <c r="H587" s="400"/>
      <c r="I587" s="62" t="str">
        <f t="shared" si="128"/>
        <v>kWh</v>
      </c>
      <c r="J587" s="249">
        <f t="shared" si="133"/>
        <v>810</v>
      </c>
      <c r="K587" s="350">
        <f t="shared" ref="K587:N587" si="139">+K$538*K$537*K573/100</f>
        <v>20250</v>
      </c>
      <c r="L587" s="351">
        <f t="shared" si="139"/>
        <v>2250</v>
      </c>
      <c r="M587" s="351">
        <f t="shared" si="139"/>
        <v>9000</v>
      </c>
      <c r="N587" s="272">
        <f t="shared" si="139"/>
        <v>810</v>
      </c>
      <c r="O587" s="86"/>
      <c r="R587" s="351"/>
      <c r="S587" s="351"/>
      <c r="T587" s="351"/>
      <c r="U587" s="351"/>
      <c r="V587" s="351"/>
      <c r="W587" s="351"/>
      <c r="X587" s="351"/>
      <c r="Y587" s="351"/>
      <c r="Z587" s="351"/>
      <c r="AA587" s="351"/>
      <c r="AB587" s="351"/>
      <c r="AC587" s="351"/>
    </row>
    <row r="588" spans="1:29" outlineLevel="1" x14ac:dyDescent="0.2">
      <c r="A588" s="39"/>
      <c r="B588" s="36"/>
      <c r="C588" s="38" t="s">
        <v>491</v>
      </c>
      <c r="D588" s="152"/>
      <c r="E588" s="400"/>
      <c r="F588" s="400"/>
      <c r="G588" s="400"/>
      <c r="H588" s="400"/>
      <c r="I588" s="62" t="str">
        <f t="shared" si="128"/>
        <v>kWh</v>
      </c>
      <c r="J588" s="249">
        <f t="shared" si="133"/>
        <v>720</v>
      </c>
      <c r="K588" s="350">
        <f t="shared" ref="K588:N588" si="140">+K$538*K$537*K574/100</f>
        <v>18000</v>
      </c>
      <c r="L588" s="351">
        <f t="shared" si="140"/>
        <v>2000</v>
      </c>
      <c r="M588" s="351">
        <f t="shared" si="140"/>
        <v>8000</v>
      </c>
      <c r="N588" s="272">
        <f t="shared" si="140"/>
        <v>720</v>
      </c>
      <c r="O588" s="86"/>
      <c r="R588" s="351"/>
      <c r="S588" s="351"/>
      <c r="T588" s="351"/>
      <c r="U588" s="351"/>
      <c r="V588" s="351"/>
      <c r="W588" s="351"/>
      <c r="X588" s="351"/>
      <c r="Y588" s="351"/>
      <c r="Z588" s="351"/>
      <c r="AA588" s="351"/>
      <c r="AB588" s="351"/>
      <c r="AC588" s="351"/>
    </row>
    <row r="589" spans="1:29" outlineLevel="1" x14ac:dyDescent="0.2">
      <c r="A589" s="39"/>
      <c r="B589" s="36"/>
      <c r="C589" s="38" t="s">
        <v>492</v>
      </c>
      <c r="D589" s="152"/>
      <c r="E589" s="400"/>
      <c r="F589" s="400"/>
      <c r="G589" s="400"/>
      <c r="H589" s="400"/>
      <c r="I589" s="62" t="str">
        <f t="shared" si="128"/>
        <v>kWh</v>
      </c>
      <c r="J589" s="249">
        <f t="shared" si="133"/>
        <v>540</v>
      </c>
      <c r="K589" s="350">
        <f t="shared" ref="K589:N589" si="141">+K$538*K$537*K575/100</f>
        <v>13500</v>
      </c>
      <c r="L589" s="351">
        <f t="shared" si="141"/>
        <v>1500</v>
      </c>
      <c r="M589" s="351">
        <f t="shared" si="141"/>
        <v>6000</v>
      </c>
      <c r="N589" s="272">
        <f t="shared" si="141"/>
        <v>540</v>
      </c>
      <c r="O589" s="86"/>
      <c r="R589" s="351"/>
      <c r="S589" s="351"/>
      <c r="T589" s="351"/>
      <c r="U589" s="351"/>
      <c r="V589" s="351"/>
      <c r="W589" s="351"/>
      <c r="X589" s="351"/>
      <c r="Y589" s="351"/>
      <c r="Z589" s="351"/>
      <c r="AA589" s="351"/>
      <c r="AB589" s="351"/>
      <c r="AC589" s="351"/>
    </row>
    <row r="590" spans="1:29" outlineLevel="1" x14ac:dyDescent="0.2">
      <c r="A590" s="39"/>
      <c r="B590" s="36"/>
      <c r="C590" s="38" t="s">
        <v>493</v>
      </c>
      <c r="D590" s="152"/>
      <c r="E590" s="400"/>
      <c r="F590" s="400"/>
      <c r="G590" s="400"/>
      <c r="H590" s="400"/>
      <c r="I590" s="62" t="str">
        <f t="shared" si="128"/>
        <v>kWh</v>
      </c>
      <c r="J590" s="249">
        <f t="shared" si="133"/>
        <v>360</v>
      </c>
      <c r="K590" s="350">
        <f t="shared" ref="K590:N590" si="142">+K$538*K$537*K576/100</f>
        <v>9000</v>
      </c>
      <c r="L590" s="351">
        <f t="shared" si="142"/>
        <v>1000</v>
      </c>
      <c r="M590" s="351">
        <f t="shared" si="142"/>
        <v>4000</v>
      </c>
      <c r="N590" s="272">
        <f t="shared" si="142"/>
        <v>360</v>
      </c>
      <c r="O590" s="86"/>
      <c r="R590" s="351"/>
      <c r="S590" s="351"/>
      <c r="T590" s="351"/>
      <c r="U590" s="351"/>
      <c r="V590" s="351"/>
      <c r="W590" s="351"/>
      <c r="X590" s="351"/>
      <c r="Y590" s="351"/>
      <c r="Z590" s="351"/>
      <c r="AA590" s="351"/>
      <c r="AB590" s="351"/>
      <c r="AC590" s="351"/>
    </row>
    <row r="591" spans="1:29" outlineLevel="1" x14ac:dyDescent="0.2">
      <c r="A591" s="39"/>
      <c r="B591" s="36"/>
      <c r="C591" s="38" t="s">
        <v>494</v>
      </c>
      <c r="D591" s="152"/>
      <c r="E591" s="400"/>
      <c r="F591" s="400"/>
      <c r="G591" s="400"/>
      <c r="H591" s="400"/>
      <c r="I591" s="62" t="str">
        <f t="shared" si="128"/>
        <v>kWh</v>
      </c>
      <c r="J591" s="249">
        <f t="shared" si="133"/>
        <v>270</v>
      </c>
      <c r="K591" s="350">
        <f t="shared" ref="K591:N591" si="143">+K$538*K$537*K577/100</f>
        <v>6750</v>
      </c>
      <c r="L591" s="351">
        <f t="shared" si="143"/>
        <v>750</v>
      </c>
      <c r="M591" s="351">
        <f t="shared" si="143"/>
        <v>3000</v>
      </c>
      <c r="N591" s="272">
        <f t="shared" si="143"/>
        <v>270</v>
      </c>
      <c r="O591" s="86"/>
      <c r="R591" s="351"/>
      <c r="S591" s="351"/>
      <c r="T591" s="351"/>
      <c r="U591" s="351"/>
      <c r="V591" s="351"/>
      <c r="W591" s="351"/>
      <c r="X591" s="351"/>
      <c r="Y591" s="351"/>
      <c r="Z591" s="351"/>
      <c r="AA591" s="351"/>
      <c r="AB591" s="351"/>
      <c r="AC591" s="351"/>
    </row>
    <row r="592" spans="1:29" outlineLevel="1" x14ac:dyDescent="0.2">
      <c r="A592" s="39"/>
      <c r="B592" s="36"/>
      <c r="C592" s="38" t="s">
        <v>495</v>
      </c>
      <c r="D592" s="152"/>
      <c r="E592" s="400"/>
      <c r="F592" s="400"/>
      <c r="G592" s="400"/>
      <c r="H592" s="400"/>
      <c r="I592" s="62" t="str">
        <f t="shared" si="128"/>
        <v>kWh</v>
      </c>
      <c r="J592" s="249">
        <f t="shared" si="133"/>
        <v>0</v>
      </c>
      <c r="K592" s="350">
        <f t="shared" ref="K592:N592" si="144">+K$538*K$537*K578/100</f>
        <v>0</v>
      </c>
      <c r="L592" s="351">
        <f t="shared" si="144"/>
        <v>0</v>
      </c>
      <c r="M592" s="351">
        <f t="shared" si="144"/>
        <v>0</v>
      </c>
      <c r="N592" s="272">
        <f t="shared" si="144"/>
        <v>0</v>
      </c>
      <c r="O592" s="86"/>
      <c r="R592" s="351"/>
      <c r="S592" s="351"/>
      <c r="T592" s="351"/>
      <c r="U592" s="351"/>
      <c r="V592" s="351"/>
      <c r="W592" s="351"/>
      <c r="X592" s="351"/>
      <c r="Y592" s="351"/>
      <c r="Z592" s="351"/>
      <c r="AA592" s="351"/>
      <c r="AB592" s="351"/>
      <c r="AC592" s="351"/>
    </row>
    <row r="593" spans="1:30" ht="13.5" outlineLevel="1" thickBot="1" x14ac:dyDescent="0.25">
      <c r="A593" s="39"/>
      <c r="B593" s="263"/>
      <c r="C593" s="264" t="s">
        <v>496</v>
      </c>
      <c r="D593" s="222"/>
      <c r="E593" s="403"/>
      <c r="F593" s="403"/>
      <c r="G593" s="403"/>
      <c r="H593" s="403"/>
      <c r="I593" s="223" t="str">
        <f t="shared" si="128"/>
        <v>kWh</v>
      </c>
      <c r="J593" s="250">
        <f t="shared" si="133"/>
        <v>0</v>
      </c>
      <c r="K593" s="1599">
        <f t="shared" ref="K593:N593" si="145">+K$538*K$537*K580/100</f>
        <v>0</v>
      </c>
      <c r="L593" s="1600">
        <f t="shared" si="145"/>
        <v>0</v>
      </c>
      <c r="M593" s="1600">
        <f t="shared" si="145"/>
        <v>0</v>
      </c>
      <c r="N593" s="279">
        <f t="shared" si="145"/>
        <v>0</v>
      </c>
      <c r="O593" s="280"/>
      <c r="R593" s="556"/>
      <c r="S593" s="556"/>
      <c r="T593" s="556"/>
      <c r="U593" s="556"/>
      <c r="V593" s="556"/>
      <c r="W593" s="556"/>
      <c r="X593" s="556"/>
      <c r="Y593" s="556"/>
      <c r="Z593" s="556"/>
      <c r="AA593" s="556"/>
      <c r="AB593" s="556"/>
      <c r="AC593" s="556"/>
    </row>
    <row r="594" spans="1:30" x14ac:dyDescent="0.2">
      <c r="A594" s="39"/>
      <c r="B594" s="253" t="str">
        <f>INDEX(Language!D233:M233,1,_language)</f>
        <v>Lighting electricity use</v>
      </c>
      <c r="C594" s="254" t="s">
        <v>769</v>
      </c>
      <c r="D594" s="214"/>
      <c r="E594" s="399"/>
      <c r="F594" s="399"/>
      <c r="G594" s="399"/>
      <c r="H594" s="399"/>
      <c r="I594" s="215" t="str">
        <f t="shared" si="132"/>
        <v>kWh</v>
      </c>
      <c r="J594" s="610">
        <f>SUM(J595:J606)</f>
        <v>18900</v>
      </c>
      <c r="K594" s="216">
        <f>SUM(K595:K606)</f>
        <v>2362500</v>
      </c>
      <c r="L594" s="217">
        <f>SUM(L595:L606)</f>
        <v>87500</v>
      </c>
      <c r="M594" s="217">
        <f>SUM(M595:M606)</f>
        <v>700000</v>
      </c>
      <c r="N594" s="218">
        <f>SUM(N595:N606)</f>
        <v>18900</v>
      </c>
      <c r="O594" s="1598" t="s">
        <v>1762</v>
      </c>
      <c r="R594" s="209"/>
      <c r="S594" s="209"/>
      <c r="T594" s="209"/>
      <c r="U594" s="209"/>
      <c r="V594" s="209"/>
      <c r="W594" s="209"/>
      <c r="X594" s="209"/>
      <c r="Y594" s="209"/>
      <c r="Z594" s="209"/>
      <c r="AA594" s="209"/>
      <c r="AB594" s="209"/>
      <c r="AC594" s="209"/>
    </row>
    <row r="595" spans="1:30" outlineLevel="1" x14ac:dyDescent="0.2">
      <c r="A595" s="39"/>
      <c r="B595" s="36"/>
      <c r="C595" s="38" t="s">
        <v>485</v>
      </c>
      <c r="D595" s="152"/>
      <c r="E595" s="400"/>
      <c r="F595" s="400"/>
      <c r="G595" s="400"/>
      <c r="H595" s="400"/>
      <c r="I595" s="62" t="str">
        <f t="shared" si="128"/>
        <v>kWh</v>
      </c>
      <c r="J595" s="249">
        <f t="shared" ref="J595:J606" si="146">INDEX(K595:N595,,_case_en)</f>
        <v>1350</v>
      </c>
      <c r="K595" s="350">
        <f t="shared" ref="K595:N595" si="147">+K$538*K$537*K582/100</f>
        <v>168750</v>
      </c>
      <c r="L595" s="351">
        <f t="shared" si="147"/>
        <v>6250</v>
      </c>
      <c r="M595" s="351">
        <f t="shared" si="147"/>
        <v>50000</v>
      </c>
      <c r="N595" s="272">
        <f t="shared" si="147"/>
        <v>1350</v>
      </c>
      <c r="O595" s="86"/>
      <c r="R595" s="351"/>
      <c r="S595" s="351"/>
      <c r="T595" s="351"/>
      <c r="U595" s="351"/>
      <c r="V595" s="351"/>
      <c r="W595" s="351"/>
      <c r="X595" s="351"/>
      <c r="Y595" s="351"/>
      <c r="Z595" s="351"/>
      <c r="AA595" s="351"/>
      <c r="AB595" s="351"/>
      <c r="AC595" s="351"/>
    </row>
    <row r="596" spans="1:30" outlineLevel="1" x14ac:dyDescent="0.2">
      <c r="A596" s="39"/>
      <c r="B596" s="36"/>
      <c r="C596" s="38" t="s">
        <v>486</v>
      </c>
      <c r="D596" s="152"/>
      <c r="E596" s="400"/>
      <c r="F596" s="400"/>
      <c r="G596" s="400"/>
      <c r="H596" s="400"/>
      <c r="I596" s="62" t="str">
        <f t="shared" si="128"/>
        <v>kWh</v>
      </c>
      <c r="J596" s="249">
        <f t="shared" si="146"/>
        <v>1890</v>
      </c>
      <c r="K596" s="350">
        <f t="shared" ref="K596:N596" si="148">+K$538*K$537*K583/100</f>
        <v>236250</v>
      </c>
      <c r="L596" s="351">
        <f t="shared" si="148"/>
        <v>8750</v>
      </c>
      <c r="M596" s="351">
        <f t="shared" si="148"/>
        <v>70000</v>
      </c>
      <c r="N596" s="272">
        <f t="shared" si="148"/>
        <v>1890</v>
      </c>
      <c r="O596" s="86"/>
      <c r="R596" s="351"/>
      <c r="S596" s="351"/>
      <c r="T596" s="351"/>
      <c r="U596" s="351"/>
      <c r="V596" s="351"/>
      <c r="W596" s="351"/>
      <c r="X596" s="351"/>
      <c r="Y596" s="351"/>
      <c r="Z596" s="351"/>
      <c r="AA596" s="351"/>
      <c r="AB596" s="351"/>
      <c r="AC596" s="351"/>
    </row>
    <row r="597" spans="1:30" outlineLevel="1" x14ac:dyDescent="0.2">
      <c r="A597" s="39"/>
      <c r="B597" s="36"/>
      <c r="C597" s="38" t="s">
        <v>487</v>
      </c>
      <c r="D597" s="152"/>
      <c r="E597" s="400"/>
      <c r="F597" s="400"/>
      <c r="G597" s="400"/>
      <c r="H597" s="400"/>
      <c r="I597" s="62" t="str">
        <f t="shared" si="128"/>
        <v>kWh</v>
      </c>
      <c r="J597" s="249">
        <f t="shared" si="146"/>
        <v>2295</v>
      </c>
      <c r="K597" s="350">
        <f t="shared" ref="K597:N597" si="149">+K$538*K$537*K584/100</f>
        <v>286875</v>
      </c>
      <c r="L597" s="351">
        <f t="shared" si="149"/>
        <v>10625</v>
      </c>
      <c r="M597" s="351">
        <f t="shared" si="149"/>
        <v>85000</v>
      </c>
      <c r="N597" s="272">
        <f t="shared" si="149"/>
        <v>2295</v>
      </c>
      <c r="O597" s="86"/>
      <c r="R597" s="351"/>
      <c r="S597" s="351"/>
      <c r="T597" s="351"/>
      <c r="U597" s="351"/>
      <c r="V597" s="351"/>
      <c r="W597" s="351"/>
      <c r="X597" s="351"/>
      <c r="Y597" s="351"/>
      <c r="Z597" s="351"/>
      <c r="AA597" s="351"/>
      <c r="AB597" s="351"/>
      <c r="AC597" s="351"/>
    </row>
    <row r="598" spans="1:30" outlineLevel="1" x14ac:dyDescent="0.2">
      <c r="A598" s="39"/>
      <c r="B598" s="36"/>
      <c r="C598" s="38" t="s">
        <v>488</v>
      </c>
      <c r="D598" s="152"/>
      <c r="E598" s="400"/>
      <c r="F598" s="400"/>
      <c r="G598" s="400"/>
      <c r="H598" s="400"/>
      <c r="I598" s="62" t="str">
        <f t="shared" si="128"/>
        <v>kWh</v>
      </c>
      <c r="J598" s="249">
        <f t="shared" si="146"/>
        <v>2565</v>
      </c>
      <c r="K598" s="350">
        <f t="shared" ref="K598:N598" si="150">+K$538*K$537*K585/100</f>
        <v>320625</v>
      </c>
      <c r="L598" s="351">
        <f t="shared" si="150"/>
        <v>11875</v>
      </c>
      <c r="M598" s="351">
        <f t="shared" si="150"/>
        <v>95000</v>
      </c>
      <c r="N598" s="272">
        <f t="shared" si="150"/>
        <v>2565</v>
      </c>
      <c r="O598" s="86"/>
      <c r="R598" s="351"/>
      <c r="S598" s="351"/>
      <c r="T598" s="351"/>
      <c r="U598" s="351"/>
      <c r="V598" s="351"/>
      <c r="W598" s="351"/>
      <c r="X598" s="351"/>
      <c r="Y598" s="351"/>
      <c r="Z598" s="351"/>
      <c r="AA598" s="351"/>
      <c r="AB598" s="351"/>
      <c r="AC598" s="351"/>
    </row>
    <row r="599" spans="1:30" outlineLevel="1" x14ac:dyDescent="0.2">
      <c r="A599" s="39"/>
      <c r="B599" s="36"/>
      <c r="C599" s="38" t="s">
        <v>489</v>
      </c>
      <c r="D599" s="152"/>
      <c r="E599" s="400"/>
      <c r="F599" s="400"/>
      <c r="G599" s="400"/>
      <c r="H599" s="400"/>
      <c r="I599" s="62" t="str">
        <f t="shared" si="128"/>
        <v>kWh</v>
      </c>
      <c r="J599" s="249">
        <f t="shared" si="146"/>
        <v>2700</v>
      </c>
      <c r="K599" s="350">
        <f t="shared" ref="K599:N599" si="151">+K$538*K$537*K586/100</f>
        <v>337500</v>
      </c>
      <c r="L599" s="351">
        <f t="shared" si="151"/>
        <v>12500</v>
      </c>
      <c r="M599" s="351">
        <f t="shared" si="151"/>
        <v>100000</v>
      </c>
      <c r="N599" s="272">
        <f t="shared" si="151"/>
        <v>2700</v>
      </c>
      <c r="O599" s="86"/>
      <c r="R599" s="351"/>
      <c r="S599" s="351"/>
      <c r="T599" s="351"/>
      <c r="U599" s="351"/>
      <c r="V599" s="351"/>
      <c r="W599" s="351"/>
      <c r="X599" s="351"/>
      <c r="Y599" s="351"/>
      <c r="Z599" s="351"/>
      <c r="AA599" s="351"/>
      <c r="AB599" s="351"/>
      <c r="AC599" s="351"/>
    </row>
    <row r="600" spans="1:30" outlineLevel="1" x14ac:dyDescent="0.2">
      <c r="A600" s="39"/>
      <c r="B600" s="36"/>
      <c r="C600" s="38" t="s">
        <v>490</v>
      </c>
      <c r="D600" s="152"/>
      <c r="E600" s="400"/>
      <c r="F600" s="400"/>
      <c r="G600" s="400"/>
      <c r="H600" s="400"/>
      <c r="I600" s="62" t="str">
        <f t="shared" si="128"/>
        <v>kWh</v>
      </c>
      <c r="J600" s="249">
        <f t="shared" si="146"/>
        <v>2430</v>
      </c>
      <c r="K600" s="350">
        <f t="shared" ref="K600:N600" si="152">+K$538*K$537*K587/100</f>
        <v>303750</v>
      </c>
      <c r="L600" s="351">
        <f t="shared" si="152"/>
        <v>11250</v>
      </c>
      <c r="M600" s="351">
        <f t="shared" si="152"/>
        <v>90000</v>
      </c>
      <c r="N600" s="272">
        <f t="shared" si="152"/>
        <v>2430</v>
      </c>
      <c r="O600" s="86"/>
      <c r="R600" s="351"/>
      <c r="S600" s="351"/>
      <c r="T600" s="351"/>
      <c r="U600" s="351"/>
      <c r="V600" s="351"/>
      <c r="W600" s="351"/>
      <c r="X600" s="351"/>
      <c r="Y600" s="351"/>
      <c r="Z600" s="351"/>
      <c r="AA600" s="351"/>
      <c r="AB600" s="351"/>
      <c r="AC600" s="351"/>
    </row>
    <row r="601" spans="1:30" outlineLevel="1" x14ac:dyDescent="0.2">
      <c r="A601" s="39"/>
      <c r="B601" s="36"/>
      <c r="C601" s="38" t="s">
        <v>491</v>
      </c>
      <c r="D601" s="152"/>
      <c r="E601" s="400"/>
      <c r="F601" s="400"/>
      <c r="G601" s="400"/>
      <c r="H601" s="400"/>
      <c r="I601" s="62" t="str">
        <f t="shared" si="128"/>
        <v>kWh</v>
      </c>
      <c r="J601" s="249">
        <f t="shared" si="146"/>
        <v>2160</v>
      </c>
      <c r="K601" s="350">
        <f t="shared" ref="K601:N601" si="153">+K$538*K$537*K588/100</f>
        <v>270000</v>
      </c>
      <c r="L601" s="351">
        <f t="shared" si="153"/>
        <v>10000</v>
      </c>
      <c r="M601" s="351">
        <f t="shared" si="153"/>
        <v>80000</v>
      </c>
      <c r="N601" s="272">
        <f t="shared" si="153"/>
        <v>2160</v>
      </c>
      <c r="O601" s="86"/>
      <c r="R601" s="351"/>
      <c r="S601" s="351"/>
      <c r="T601" s="351"/>
      <c r="U601" s="351"/>
      <c r="V601" s="351"/>
      <c r="W601" s="351"/>
      <c r="X601" s="351"/>
      <c r="Y601" s="351"/>
      <c r="Z601" s="351"/>
      <c r="AA601" s="351"/>
      <c r="AB601" s="351"/>
      <c r="AC601" s="351"/>
    </row>
    <row r="602" spans="1:30" outlineLevel="1" x14ac:dyDescent="0.2">
      <c r="A602" s="39"/>
      <c r="B602" s="36"/>
      <c r="C602" s="38" t="s">
        <v>492</v>
      </c>
      <c r="D602" s="152"/>
      <c r="E602" s="400"/>
      <c r="F602" s="400"/>
      <c r="G602" s="400"/>
      <c r="H602" s="400"/>
      <c r="I602" s="62" t="str">
        <f t="shared" si="128"/>
        <v>kWh</v>
      </c>
      <c r="J602" s="249">
        <f t="shared" si="146"/>
        <v>1620</v>
      </c>
      <c r="K602" s="350">
        <f t="shared" ref="K602:N602" si="154">+K$538*K$537*K589/100</f>
        <v>202500</v>
      </c>
      <c r="L602" s="351">
        <f t="shared" si="154"/>
        <v>7500</v>
      </c>
      <c r="M602" s="351">
        <f t="shared" si="154"/>
        <v>60000</v>
      </c>
      <c r="N602" s="272">
        <f t="shared" si="154"/>
        <v>1620</v>
      </c>
      <c r="O602" s="86"/>
      <c r="R602" s="351"/>
      <c r="S602" s="351"/>
      <c r="T602" s="351"/>
      <c r="U602" s="351"/>
      <c r="V602" s="351"/>
      <c r="W602" s="351"/>
      <c r="X602" s="351"/>
      <c r="Y602" s="351"/>
      <c r="Z602" s="351"/>
      <c r="AA602" s="351"/>
      <c r="AB602" s="351"/>
      <c r="AC602" s="351"/>
    </row>
    <row r="603" spans="1:30" outlineLevel="1" x14ac:dyDescent="0.2">
      <c r="A603" s="39"/>
      <c r="B603" s="36"/>
      <c r="C603" s="38" t="s">
        <v>493</v>
      </c>
      <c r="D603" s="152"/>
      <c r="E603" s="400"/>
      <c r="F603" s="400"/>
      <c r="G603" s="400"/>
      <c r="H603" s="400"/>
      <c r="I603" s="62" t="str">
        <f t="shared" si="128"/>
        <v>kWh</v>
      </c>
      <c r="J603" s="249">
        <f t="shared" si="146"/>
        <v>1080</v>
      </c>
      <c r="K603" s="350">
        <f t="shared" ref="K603:N603" si="155">+K$538*K$537*K590/100</f>
        <v>135000</v>
      </c>
      <c r="L603" s="351">
        <f t="shared" si="155"/>
        <v>5000</v>
      </c>
      <c r="M603" s="351">
        <f t="shared" si="155"/>
        <v>40000</v>
      </c>
      <c r="N603" s="272">
        <f t="shared" si="155"/>
        <v>1080</v>
      </c>
      <c r="O603" s="86"/>
      <c r="R603" s="351"/>
      <c r="S603" s="351"/>
      <c r="T603" s="351"/>
      <c r="U603" s="351"/>
      <c r="V603" s="351"/>
      <c r="W603" s="351"/>
      <c r="X603" s="351"/>
      <c r="Y603" s="351"/>
      <c r="Z603" s="351"/>
      <c r="AA603" s="351"/>
      <c r="AB603" s="351"/>
      <c r="AC603" s="351"/>
    </row>
    <row r="604" spans="1:30" outlineLevel="1" x14ac:dyDescent="0.2">
      <c r="A604" s="39"/>
      <c r="B604" s="36"/>
      <c r="C604" s="38" t="s">
        <v>494</v>
      </c>
      <c r="D604" s="152"/>
      <c r="E604" s="400"/>
      <c r="F604" s="400"/>
      <c r="G604" s="400"/>
      <c r="H604" s="400"/>
      <c r="I604" s="62" t="str">
        <f t="shared" si="128"/>
        <v>kWh</v>
      </c>
      <c r="J604" s="249">
        <f t="shared" si="146"/>
        <v>810</v>
      </c>
      <c r="K604" s="350">
        <f t="shared" ref="K604:N604" si="156">+K$538*K$537*K591/100</f>
        <v>101250</v>
      </c>
      <c r="L604" s="351">
        <f t="shared" si="156"/>
        <v>3750</v>
      </c>
      <c r="M604" s="351">
        <f t="shared" si="156"/>
        <v>30000</v>
      </c>
      <c r="N604" s="272">
        <f t="shared" si="156"/>
        <v>810</v>
      </c>
      <c r="O604" s="86"/>
      <c r="R604" s="351"/>
      <c r="S604" s="351"/>
      <c r="T604" s="351"/>
      <c r="U604" s="351"/>
      <c r="V604" s="351"/>
      <c r="W604" s="351"/>
      <c r="X604" s="351"/>
      <c r="Y604" s="351"/>
      <c r="Z604" s="351"/>
      <c r="AA604" s="351"/>
      <c r="AB604" s="351"/>
      <c r="AC604" s="351"/>
    </row>
    <row r="605" spans="1:30" outlineLevel="1" x14ac:dyDescent="0.2">
      <c r="A605" s="39"/>
      <c r="B605" s="36"/>
      <c r="C605" s="38" t="s">
        <v>495</v>
      </c>
      <c r="D605" s="152"/>
      <c r="E605" s="400"/>
      <c r="F605" s="400"/>
      <c r="G605" s="400"/>
      <c r="H605" s="400"/>
      <c r="I605" s="62" t="str">
        <f t="shared" si="128"/>
        <v>kWh</v>
      </c>
      <c r="J605" s="249">
        <f t="shared" si="146"/>
        <v>0</v>
      </c>
      <c r="K605" s="350">
        <f t="shared" ref="K605:N605" si="157">+K$538*K$537*K592/100</f>
        <v>0</v>
      </c>
      <c r="L605" s="351">
        <f t="shared" si="157"/>
        <v>0</v>
      </c>
      <c r="M605" s="351">
        <f t="shared" si="157"/>
        <v>0</v>
      </c>
      <c r="N605" s="272">
        <f t="shared" si="157"/>
        <v>0</v>
      </c>
      <c r="O605" s="86"/>
      <c r="R605" s="351"/>
      <c r="S605" s="351"/>
      <c r="T605" s="351"/>
      <c r="U605" s="351"/>
      <c r="V605" s="351"/>
      <c r="W605" s="351"/>
      <c r="X605" s="351"/>
      <c r="Y605" s="351"/>
      <c r="Z605" s="351"/>
      <c r="AA605" s="351"/>
      <c r="AB605" s="351"/>
      <c r="AC605" s="351"/>
    </row>
    <row r="606" spans="1:30" ht="13.5" outlineLevel="1" thickBot="1" x14ac:dyDescent="0.25">
      <c r="A606" s="39"/>
      <c r="B606" s="258"/>
      <c r="C606" s="197" t="s">
        <v>496</v>
      </c>
      <c r="D606" s="229"/>
      <c r="E606" s="401"/>
      <c r="F606" s="401"/>
      <c r="G606" s="401"/>
      <c r="H606" s="401"/>
      <c r="I606" s="168" t="str">
        <f t="shared" si="128"/>
        <v>kWh</v>
      </c>
      <c r="J606" s="252">
        <f t="shared" si="146"/>
        <v>0</v>
      </c>
      <c r="K606" s="555">
        <f t="shared" ref="K606:N606" si="158">+K$538*K$537*K593/100</f>
        <v>0</v>
      </c>
      <c r="L606" s="556">
        <f t="shared" si="158"/>
        <v>0</v>
      </c>
      <c r="M606" s="556">
        <f t="shared" si="158"/>
        <v>0</v>
      </c>
      <c r="N606" s="288">
        <f t="shared" si="158"/>
        <v>0</v>
      </c>
      <c r="O606" s="232"/>
      <c r="R606" s="556"/>
      <c r="S606" s="556"/>
      <c r="T606" s="556"/>
      <c r="U606" s="556"/>
      <c r="V606" s="556"/>
      <c r="W606" s="556"/>
      <c r="X606" s="556"/>
      <c r="Y606" s="556"/>
      <c r="Z606" s="556"/>
      <c r="AA606" s="556"/>
      <c r="AB606" s="556"/>
      <c r="AC606" s="556"/>
    </row>
    <row r="607" spans="1:30" ht="36" customHeight="1" outlineLevel="1" thickBot="1" x14ac:dyDescent="0.25">
      <c r="A607" s="39"/>
      <c r="B607" s="1610" t="s">
        <v>2299</v>
      </c>
      <c r="C607" s="1605"/>
      <c r="D607" s="1606"/>
      <c r="E607" s="1606"/>
      <c r="F607" s="1606"/>
      <c r="G607" s="1606"/>
      <c r="H607" s="1606"/>
      <c r="I607" s="1607"/>
      <c r="J607" s="1608"/>
      <c r="K607" s="1609"/>
      <c r="L607" s="1609"/>
      <c r="M607" s="1609"/>
      <c r="N607" s="1608"/>
      <c r="O607" s="615"/>
      <c r="R607" s="897"/>
      <c r="S607" s="897"/>
      <c r="T607" s="897"/>
      <c r="U607" s="897"/>
      <c r="V607" s="897"/>
      <c r="W607" s="897"/>
      <c r="X607" s="897"/>
      <c r="Y607" s="897"/>
      <c r="Z607" s="897"/>
      <c r="AA607" s="897"/>
      <c r="AB607" s="897"/>
      <c r="AC607" s="897"/>
    </row>
    <row r="608" spans="1:30" s="26" customFormat="1" ht="36" customHeight="1" outlineLevel="1" thickBot="1" x14ac:dyDescent="0.25">
      <c r="A608" s="1391"/>
      <c r="B608" s="27"/>
      <c r="C608" s="1601"/>
      <c r="D608" s="1602"/>
      <c r="E608" s="1602"/>
      <c r="F608" s="1602"/>
      <c r="G608" s="1602"/>
      <c r="H608" s="1602"/>
      <c r="I608" s="127"/>
      <c r="J608" s="1604"/>
      <c r="K608" s="1603"/>
      <c r="L608" s="1603"/>
      <c r="M608" s="1603"/>
      <c r="N608" s="1604"/>
      <c r="O608" s="1391"/>
      <c r="P608" s="1527"/>
      <c r="Q608" s="1527"/>
      <c r="R608" s="1603"/>
      <c r="S608" s="1603"/>
      <c r="T608" s="1603"/>
      <c r="U608" s="1603"/>
      <c r="V608" s="1603"/>
      <c r="W608" s="1603"/>
      <c r="X608" s="1603"/>
      <c r="Y608" s="1603"/>
      <c r="Z608" s="1603"/>
      <c r="AA608" s="1603"/>
      <c r="AB608" s="1603"/>
      <c r="AC608" s="1603"/>
      <c r="AD608" s="1527"/>
    </row>
    <row r="609" spans="1:29" ht="51.75" customHeight="1" thickBot="1" x14ac:dyDescent="0.25">
      <c r="A609" s="39"/>
      <c r="B609" s="1591" t="s">
        <v>2298</v>
      </c>
      <c r="C609" s="1592"/>
      <c r="D609" s="1593"/>
      <c r="E609" s="1593"/>
      <c r="F609" s="1593"/>
      <c r="G609" s="1593"/>
      <c r="H609" s="1593"/>
      <c r="I609" s="1594"/>
      <c r="J609" s="1595"/>
      <c r="K609" s="1596"/>
      <c r="L609" s="1596"/>
      <c r="M609" s="1596"/>
      <c r="N609" s="1595"/>
      <c r="O609" s="1597"/>
      <c r="R609" s="897"/>
      <c r="S609" s="897"/>
      <c r="T609" s="897"/>
      <c r="U609" s="897"/>
      <c r="V609" s="897"/>
      <c r="W609" s="897"/>
      <c r="X609" s="897"/>
      <c r="Y609" s="897"/>
      <c r="Z609" s="897"/>
      <c r="AA609" s="897"/>
      <c r="AB609" s="897"/>
      <c r="AC609" s="897"/>
    </row>
    <row r="610" spans="1:29" ht="74.25" customHeight="1" thickBot="1" x14ac:dyDescent="0.25">
      <c r="A610" s="39"/>
      <c r="B610" s="326" t="str">
        <f>INDEX(Language!$D$241:$M$241,1,_language)</f>
        <v>Electric energy balance</v>
      </c>
      <c r="C610" s="327"/>
      <c r="D610" s="328"/>
      <c r="E610" s="398"/>
      <c r="F610" s="398"/>
      <c r="G610" s="398"/>
      <c r="H610" s="398"/>
      <c r="I610" s="329"/>
      <c r="J610" s="330"/>
      <c r="K610" s="331"/>
      <c r="L610" s="328"/>
      <c r="M610" s="328"/>
      <c r="N610" s="802"/>
      <c r="O610" s="333" t="s">
        <v>1018</v>
      </c>
      <c r="R610" s="328"/>
      <c r="S610" s="328"/>
      <c r="T610" s="328"/>
      <c r="U610" s="328"/>
      <c r="V610" s="328"/>
      <c r="W610" s="328"/>
      <c r="X610" s="328"/>
      <c r="Y610" s="328"/>
      <c r="Z610" s="328"/>
      <c r="AA610" s="328"/>
      <c r="AB610" s="328"/>
      <c r="AC610" s="328"/>
    </row>
    <row r="611" spans="1:29" ht="18" customHeight="1" x14ac:dyDescent="0.2">
      <c r="A611" s="39"/>
      <c r="B611" s="273" t="str">
        <f>INDEX(Language!$D$242:$M$242,1,_language)</f>
        <v>Total EPBD uses</v>
      </c>
      <c r="C611" s="274" t="s">
        <v>897</v>
      </c>
      <c r="D611" s="275" t="str">
        <f t="shared" ref="D611:D638" si="159">INDEX(E611:H611,,_case_en)</f>
        <v>el_us_y</v>
      </c>
      <c r="E611" s="432" t="s">
        <v>900</v>
      </c>
      <c r="F611" s="432" t="s">
        <v>900</v>
      </c>
      <c r="G611" s="432" t="s">
        <v>900</v>
      </c>
      <c r="H611" s="913" t="s">
        <v>900</v>
      </c>
      <c r="I611" s="276" t="str">
        <f t="shared" si="128"/>
        <v>kWh</v>
      </c>
      <c r="J611" s="364">
        <f>INDEX(K611:N611,,_case_en)</f>
        <v>2327.439523809524</v>
      </c>
      <c r="K611" s="352">
        <f>SUMIF(E$18:E$564,E611,K$18:K$564)</f>
        <v>7455.5231884057976</v>
      </c>
      <c r="L611" s="353">
        <f>SUMIF(F$18:F$564,F611,L$18:L$564)</f>
        <v>7247.9722222222208</v>
      </c>
      <c r="M611" s="353">
        <f>SUMIF(G$18:G$564,G611,M$18:M$564)</f>
        <v>5062.4555555555562</v>
      </c>
      <c r="N611" s="354">
        <f>SUMIF(H$18:H$577,H611,N$18:N$577)</f>
        <v>2327.439523809524</v>
      </c>
      <c r="O611" s="355" t="s">
        <v>1019</v>
      </c>
      <c r="R611" s="353"/>
      <c r="S611" s="353"/>
      <c r="T611" s="353"/>
      <c r="U611" s="353"/>
      <c r="V611" s="353"/>
      <c r="W611" s="353"/>
      <c r="X611" s="353"/>
      <c r="Y611" s="353"/>
      <c r="Z611" s="353"/>
      <c r="AA611" s="353"/>
      <c r="AB611" s="353"/>
      <c r="AC611" s="353"/>
    </row>
    <row r="612" spans="1:29" ht="14.25" customHeight="1" x14ac:dyDescent="0.2">
      <c r="A612" s="1058"/>
      <c r="B612" s="356"/>
      <c r="C612" s="357" t="s">
        <v>1021</v>
      </c>
      <c r="D612" s="358" t="str">
        <f t="shared" si="159"/>
        <v>el_us_t_tot</v>
      </c>
      <c r="E612" s="433" t="s">
        <v>1022</v>
      </c>
      <c r="F612" s="433" t="s">
        <v>1022</v>
      </c>
      <c r="G612" s="433" t="s">
        <v>1022</v>
      </c>
      <c r="H612" s="410" t="s">
        <v>1022</v>
      </c>
      <c r="I612" s="359" t="str">
        <f t="shared" si="128"/>
        <v>kWh</v>
      </c>
      <c r="J612" s="365">
        <f>SUM(J613:J624)</f>
        <v>2327.4395238095235</v>
      </c>
      <c r="K612" s="360">
        <f>SUM(K613:K624)</f>
        <v>7455.5231884057976</v>
      </c>
      <c r="L612" s="361">
        <f>SUM(L613:L624)</f>
        <v>7247.9722222222226</v>
      </c>
      <c r="M612" s="361">
        <f>SUM(M613:M624)</f>
        <v>5062.4555555555562</v>
      </c>
      <c r="N612" s="362">
        <f>SUM(N613:N624)</f>
        <v>2327.4395238095235</v>
      </c>
      <c r="O612" s="363"/>
      <c r="P612" s="1356" t="s">
        <v>1516</v>
      </c>
      <c r="R612" s="361"/>
      <c r="S612" s="361"/>
      <c r="T612" s="361"/>
      <c r="U612" s="361"/>
      <c r="V612" s="361"/>
      <c r="W612" s="361"/>
      <c r="X612" s="361"/>
      <c r="Y612" s="361"/>
      <c r="Z612" s="361"/>
      <c r="AA612" s="361"/>
      <c r="AB612" s="361"/>
      <c r="AC612" s="361"/>
    </row>
    <row r="613" spans="1:29" outlineLevel="1" x14ac:dyDescent="0.2">
      <c r="A613" s="1058"/>
      <c r="B613" s="36"/>
      <c r="C613" s="38" t="s">
        <v>898</v>
      </c>
      <c r="D613" s="152" t="str">
        <f t="shared" si="159"/>
        <v>el_us_t1</v>
      </c>
      <c r="E613" s="425" t="s">
        <v>914</v>
      </c>
      <c r="F613" s="425" t="s">
        <v>914</v>
      </c>
      <c r="G613" s="425" t="s">
        <v>914</v>
      </c>
      <c r="H613" s="400" t="s">
        <v>914</v>
      </c>
      <c r="I613" s="62" t="str">
        <f t="shared" si="128"/>
        <v>kWh</v>
      </c>
      <c r="J613" s="249">
        <f t="shared" ref="J613:J625" si="160">INDEX(K613:N613,,_case_en)</f>
        <v>253.13333333333333</v>
      </c>
      <c r="K613" s="270">
        <f t="shared" ref="K613:K624" si="161">SUMIF(E$18:E$564,E613,K$18:K$564)</f>
        <v>605.9202898550725</v>
      </c>
      <c r="L613" s="271">
        <f t="shared" ref="L613:L624" si="162">SUMIF(F$18:F$564,F613,L$18:L$564)</f>
        <v>975.55555555555554</v>
      </c>
      <c r="M613" s="271">
        <f t="shared" ref="M613:M624" si="163">SUMIF(G$18:G$564,G613,M$18:M$564)</f>
        <v>505.22222222222217</v>
      </c>
      <c r="N613" s="272">
        <f t="shared" ref="N613:N624" si="164">SUMIF(H$18:H$577,H613,N$18:N$577)</f>
        <v>253.13333333333333</v>
      </c>
      <c r="O613" s="86"/>
      <c r="P613" s="1356" t="s">
        <v>1548</v>
      </c>
      <c r="R613" s="271"/>
      <c r="S613" s="271"/>
      <c r="T613" s="271"/>
      <c r="U613" s="271"/>
      <c r="V613" s="271"/>
      <c r="W613" s="271"/>
      <c r="X613" s="271"/>
      <c r="Y613" s="271"/>
      <c r="Z613" s="271"/>
      <c r="AA613" s="271"/>
      <c r="AB613" s="271"/>
      <c r="AC613" s="271"/>
    </row>
    <row r="614" spans="1:29" outlineLevel="1" x14ac:dyDescent="0.2">
      <c r="A614" s="1058"/>
      <c r="B614" s="36"/>
      <c r="C614" s="38" t="s">
        <v>1007</v>
      </c>
      <c r="D614" s="152" t="str">
        <f t="shared" si="159"/>
        <v>el_us_t2</v>
      </c>
      <c r="E614" s="425" t="s">
        <v>915</v>
      </c>
      <c r="F614" s="425" t="s">
        <v>915</v>
      </c>
      <c r="G614" s="425" t="s">
        <v>915</v>
      </c>
      <c r="H614" s="400" t="s">
        <v>915</v>
      </c>
      <c r="I614" s="62" t="str">
        <f t="shared" si="128"/>
        <v>kWh</v>
      </c>
      <c r="J614" s="249">
        <f t="shared" si="160"/>
        <v>213.51666666666665</v>
      </c>
      <c r="K614" s="270">
        <f t="shared" si="161"/>
        <v>566.65942028985501</v>
      </c>
      <c r="L614" s="271">
        <f t="shared" si="162"/>
        <v>935.97222222222229</v>
      </c>
      <c r="M614" s="271">
        <f t="shared" si="163"/>
        <v>465.30555555555554</v>
      </c>
      <c r="N614" s="272">
        <f t="shared" si="164"/>
        <v>213.51666666666665</v>
      </c>
      <c r="O614" s="86"/>
      <c r="P614" s="1356" t="s">
        <v>1548</v>
      </c>
      <c r="R614" s="271"/>
      <c r="S614" s="271"/>
      <c r="T614" s="271"/>
      <c r="U614" s="271"/>
      <c r="V614" s="271"/>
      <c r="W614" s="271"/>
      <c r="X614" s="271"/>
      <c r="Y614" s="271"/>
      <c r="Z614" s="271"/>
      <c r="AA614" s="271"/>
      <c r="AB614" s="271"/>
      <c r="AC614" s="271"/>
    </row>
    <row r="615" spans="1:29" outlineLevel="1" x14ac:dyDescent="0.2">
      <c r="A615" s="1058"/>
      <c r="B615" s="36"/>
      <c r="C615" s="38" t="s">
        <v>1008</v>
      </c>
      <c r="D615" s="152" t="str">
        <f t="shared" si="159"/>
        <v>el_us_t3</v>
      </c>
      <c r="E615" s="425" t="s">
        <v>916</v>
      </c>
      <c r="F615" s="425" t="s">
        <v>916</v>
      </c>
      <c r="G615" s="425" t="s">
        <v>916</v>
      </c>
      <c r="H615" s="400" t="s">
        <v>916</v>
      </c>
      <c r="I615" s="62" t="str">
        <f t="shared" si="128"/>
        <v>kWh</v>
      </c>
      <c r="J615" s="249">
        <f t="shared" si="160"/>
        <v>173.86666666666667</v>
      </c>
      <c r="K615" s="270">
        <f t="shared" si="161"/>
        <v>527.268115942029</v>
      </c>
      <c r="L615" s="271">
        <f t="shared" si="162"/>
        <v>703.8888888888888</v>
      </c>
      <c r="M615" s="271">
        <f t="shared" si="163"/>
        <v>425.33333333333331</v>
      </c>
      <c r="N615" s="272">
        <f t="shared" si="164"/>
        <v>173.86666666666667</v>
      </c>
      <c r="O615" s="86"/>
      <c r="P615" s="1356" t="s">
        <v>1548</v>
      </c>
      <c r="R615" s="271"/>
      <c r="S615" s="271"/>
      <c r="T615" s="271"/>
      <c r="U615" s="271"/>
      <c r="V615" s="271"/>
      <c r="W615" s="271"/>
      <c r="X615" s="271"/>
      <c r="Y615" s="271"/>
      <c r="Z615" s="271"/>
      <c r="AA615" s="271"/>
      <c r="AB615" s="271"/>
      <c r="AC615" s="271"/>
    </row>
    <row r="616" spans="1:29" outlineLevel="1" x14ac:dyDescent="0.2">
      <c r="A616" s="1058"/>
      <c r="B616" s="36"/>
      <c r="C616" s="38" t="s">
        <v>1009</v>
      </c>
      <c r="D616" s="152" t="str">
        <f t="shared" si="159"/>
        <v>el_us_t4</v>
      </c>
      <c r="E616" s="425" t="s">
        <v>917</v>
      </c>
      <c r="F616" s="425" t="s">
        <v>917</v>
      </c>
      <c r="G616" s="425" t="s">
        <v>917</v>
      </c>
      <c r="H616" s="400" t="s">
        <v>917</v>
      </c>
      <c r="I616" s="62" t="str">
        <f t="shared" si="128"/>
        <v>kWh</v>
      </c>
      <c r="J616" s="249">
        <f t="shared" si="160"/>
        <v>134.14999999999998</v>
      </c>
      <c r="K616" s="270">
        <f t="shared" si="161"/>
        <v>552</v>
      </c>
      <c r="L616" s="271">
        <f t="shared" si="162"/>
        <v>467.3888888888888</v>
      </c>
      <c r="M616" s="271">
        <f t="shared" si="163"/>
        <v>396.63333333333333</v>
      </c>
      <c r="N616" s="272">
        <f t="shared" si="164"/>
        <v>134.14999999999998</v>
      </c>
      <c r="O616" s="86"/>
      <c r="P616" s="1356" t="s">
        <v>1548</v>
      </c>
      <c r="R616" s="271"/>
      <c r="S616" s="271"/>
      <c r="T616" s="271"/>
      <c r="U616" s="271"/>
      <c r="V616" s="271"/>
      <c r="W616" s="271"/>
      <c r="X616" s="271"/>
      <c r="Y616" s="271"/>
      <c r="Z616" s="271"/>
      <c r="AA616" s="271"/>
      <c r="AB616" s="271"/>
      <c r="AC616" s="271"/>
    </row>
    <row r="617" spans="1:29" outlineLevel="1" x14ac:dyDescent="0.2">
      <c r="A617" s="1058"/>
      <c r="B617" s="36"/>
      <c r="C617" s="38" t="s">
        <v>1010</v>
      </c>
      <c r="D617" s="152" t="str">
        <f t="shared" si="159"/>
        <v>el_us_t5</v>
      </c>
      <c r="E617" s="425" t="s">
        <v>918</v>
      </c>
      <c r="F617" s="425" t="s">
        <v>918</v>
      </c>
      <c r="G617" s="425" t="s">
        <v>918</v>
      </c>
      <c r="H617" s="400" t="s">
        <v>918</v>
      </c>
      <c r="I617" s="62" t="str">
        <f t="shared" si="128"/>
        <v>kWh</v>
      </c>
      <c r="J617" s="249">
        <f t="shared" si="160"/>
        <v>109.62857142857143</v>
      </c>
      <c r="K617" s="270">
        <f t="shared" si="161"/>
        <v>578.66666666666674</v>
      </c>
      <c r="L617" s="271">
        <f t="shared" si="162"/>
        <v>352</v>
      </c>
      <c r="M617" s="271">
        <f t="shared" si="163"/>
        <v>370.93333333333334</v>
      </c>
      <c r="N617" s="272">
        <f t="shared" si="164"/>
        <v>109.62857142857143</v>
      </c>
      <c r="O617" s="86"/>
      <c r="P617" s="1356" t="s">
        <v>1548</v>
      </c>
      <c r="R617" s="271"/>
      <c r="S617" s="271"/>
      <c r="T617" s="271"/>
      <c r="U617" s="271"/>
      <c r="V617" s="271"/>
      <c r="W617" s="271"/>
      <c r="X617" s="271"/>
      <c r="Y617" s="271"/>
      <c r="Z617" s="271"/>
      <c r="AA617" s="271"/>
      <c r="AB617" s="271"/>
      <c r="AC617" s="271"/>
    </row>
    <row r="618" spans="1:29" outlineLevel="1" x14ac:dyDescent="0.2">
      <c r="A618" s="1058"/>
      <c r="B618" s="36"/>
      <c r="C618" s="38" t="s">
        <v>1011</v>
      </c>
      <c r="D618" s="152" t="str">
        <f t="shared" si="159"/>
        <v>el_us_t6</v>
      </c>
      <c r="E618" s="425" t="s">
        <v>919</v>
      </c>
      <c r="F618" s="425" t="s">
        <v>919</v>
      </c>
      <c r="G618" s="425" t="s">
        <v>919</v>
      </c>
      <c r="H618" s="400" t="s">
        <v>919</v>
      </c>
      <c r="I618" s="62" t="str">
        <f t="shared" si="128"/>
        <v>kWh</v>
      </c>
      <c r="J618" s="249">
        <f t="shared" si="160"/>
        <v>204.51428571428573</v>
      </c>
      <c r="K618" s="270">
        <f t="shared" si="161"/>
        <v>766.66666666666652</v>
      </c>
      <c r="L618" s="271">
        <f t="shared" si="162"/>
        <v>380</v>
      </c>
      <c r="M618" s="271">
        <f t="shared" si="163"/>
        <v>397.33333333333331</v>
      </c>
      <c r="N618" s="272">
        <f t="shared" si="164"/>
        <v>204.51428571428573</v>
      </c>
      <c r="O618" s="86"/>
      <c r="P618" s="1356" t="s">
        <v>1548</v>
      </c>
      <c r="R618" s="271"/>
      <c r="S618" s="271"/>
      <c r="T618" s="271"/>
      <c r="U618" s="271"/>
      <c r="V618" s="271"/>
      <c r="W618" s="271"/>
      <c r="X618" s="271"/>
      <c r="Y618" s="271"/>
      <c r="Z618" s="271"/>
      <c r="AA618" s="271"/>
      <c r="AB618" s="271"/>
      <c r="AC618" s="271"/>
    </row>
    <row r="619" spans="1:29" outlineLevel="1" x14ac:dyDescent="0.2">
      <c r="A619" s="1058"/>
      <c r="B619" s="36"/>
      <c r="C619" s="38" t="s">
        <v>1012</v>
      </c>
      <c r="D619" s="152" t="str">
        <f t="shared" si="159"/>
        <v>el_us_t7</v>
      </c>
      <c r="E619" s="425" t="s">
        <v>920</v>
      </c>
      <c r="F619" s="425" t="s">
        <v>920</v>
      </c>
      <c r="G619" s="425" t="s">
        <v>920</v>
      </c>
      <c r="H619" s="400" t="s">
        <v>920</v>
      </c>
      <c r="I619" s="62" t="str">
        <f t="shared" si="128"/>
        <v>kWh</v>
      </c>
      <c r="J619" s="249">
        <f t="shared" si="160"/>
        <v>267.07142857142856</v>
      </c>
      <c r="K619" s="270">
        <f t="shared" si="161"/>
        <v>829.33333333333326</v>
      </c>
      <c r="L619" s="271">
        <f t="shared" si="162"/>
        <v>389.33333333333331</v>
      </c>
      <c r="M619" s="271">
        <f t="shared" si="163"/>
        <v>406.13333333333333</v>
      </c>
      <c r="N619" s="272">
        <f t="shared" si="164"/>
        <v>267.07142857142856</v>
      </c>
      <c r="O619" s="86"/>
      <c r="P619" s="1356" t="s">
        <v>1548</v>
      </c>
      <c r="R619" s="271"/>
      <c r="S619" s="271"/>
      <c r="T619" s="271"/>
      <c r="U619" s="271"/>
      <c r="V619" s="271"/>
      <c r="W619" s="271"/>
      <c r="X619" s="271"/>
      <c r="Y619" s="271"/>
      <c r="Z619" s="271"/>
      <c r="AA619" s="271"/>
      <c r="AB619" s="271"/>
      <c r="AC619" s="271"/>
    </row>
    <row r="620" spans="1:29" outlineLevel="1" x14ac:dyDescent="0.2">
      <c r="A620" s="1058"/>
      <c r="B620" s="36"/>
      <c r="C620" s="38" t="s">
        <v>1013</v>
      </c>
      <c r="D620" s="152" t="str">
        <f t="shared" si="159"/>
        <v>el_us_t8</v>
      </c>
      <c r="E620" s="425" t="s">
        <v>921</v>
      </c>
      <c r="F620" s="425" t="s">
        <v>921</v>
      </c>
      <c r="G620" s="425" t="s">
        <v>921</v>
      </c>
      <c r="H620" s="400" t="s">
        <v>921</v>
      </c>
      <c r="I620" s="62" t="str">
        <f t="shared" si="128"/>
        <v>kWh</v>
      </c>
      <c r="J620" s="249">
        <f t="shared" si="160"/>
        <v>235.34285714285713</v>
      </c>
      <c r="K620" s="270">
        <f t="shared" si="161"/>
        <v>798</v>
      </c>
      <c r="L620" s="271">
        <f t="shared" si="162"/>
        <v>384.66666666666669</v>
      </c>
      <c r="M620" s="271">
        <f t="shared" si="163"/>
        <v>401.73333333333335</v>
      </c>
      <c r="N620" s="272">
        <f t="shared" si="164"/>
        <v>235.34285714285713</v>
      </c>
      <c r="O620" s="86"/>
      <c r="P620" s="1356" t="s">
        <v>1548</v>
      </c>
      <c r="R620" s="271"/>
      <c r="S620" s="271"/>
      <c r="T620" s="271"/>
      <c r="U620" s="271"/>
      <c r="V620" s="271"/>
      <c r="W620" s="271"/>
      <c r="X620" s="271"/>
      <c r="Y620" s="271"/>
      <c r="Z620" s="271"/>
      <c r="AA620" s="271"/>
      <c r="AB620" s="271"/>
      <c r="AC620" s="271"/>
    </row>
    <row r="621" spans="1:29" outlineLevel="1" x14ac:dyDescent="0.2">
      <c r="A621" s="1058"/>
      <c r="B621" s="36"/>
      <c r="C621" s="38" t="s">
        <v>1014</v>
      </c>
      <c r="D621" s="152" t="str">
        <f t="shared" si="159"/>
        <v>el_us_t9</v>
      </c>
      <c r="E621" s="425" t="s">
        <v>922</v>
      </c>
      <c r="F621" s="425" t="s">
        <v>922</v>
      </c>
      <c r="G621" s="425" t="s">
        <v>922</v>
      </c>
      <c r="H621" s="400" t="s">
        <v>922</v>
      </c>
      <c r="I621" s="62" t="str">
        <f t="shared" si="128"/>
        <v>kWh</v>
      </c>
      <c r="J621" s="249">
        <f t="shared" si="160"/>
        <v>174.81904761904764</v>
      </c>
      <c r="K621" s="270">
        <f t="shared" si="161"/>
        <v>608.5</v>
      </c>
      <c r="L621" s="271">
        <f t="shared" si="162"/>
        <v>356.66666666666663</v>
      </c>
      <c r="M621" s="271">
        <f t="shared" si="163"/>
        <v>375.33333333333331</v>
      </c>
      <c r="N621" s="272">
        <f t="shared" si="164"/>
        <v>174.81904761904764</v>
      </c>
      <c r="O621" s="86"/>
      <c r="P621" s="1356" t="s">
        <v>1548</v>
      </c>
      <c r="R621" s="271"/>
      <c r="S621" s="271"/>
      <c r="T621" s="271"/>
      <c r="U621" s="271"/>
      <c r="V621" s="271"/>
      <c r="W621" s="271"/>
      <c r="X621" s="271"/>
      <c r="Y621" s="271"/>
      <c r="Z621" s="271"/>
      <c r="AA621" s="271"/>
      <c r="AB621" s="271"/>
      <c r="AC621" s="271"/>
    </row>
    <row r="622" spans="1:29" outlineLevel="1" x14ac:dyDescent="0.2">
      <c r="A622" s="1058"/>
      <c r="B622" s="36"/>
      <c r="C622" s="38" t="s">
        <v>1015</v>
      </c>
      <c r="D622" s="152" t="str">
        <f t="shared" si="159"/>
        <v>el_us_t10</v>
      </c>
      <c r="E622" s="425" t="s">
        <v>923</v>
      </c>
      <c r="F622" s="425" t="s">
        <v>923</v>
      </c>
      <c r="G622" s="425" t="s">
        <v>923</v>
      </c>
      <c r="H622" s="400" t="s">
        <v>923</v>
      </c>
      <c r="I622" s="62" t="str">
        <f t="shared" si="128"/>
        <v>kWh</v>
      </c>
      <c r="J622" s="249">
        <f t="shared" si="160"/>
        <v>142.23333333333332</v>
      </c>
      <c r="K622" s="270">
        <f t="shared" si="161"/>
        <v>496.83333333333331</v>
      </c>
      <c r="L622" s="271">
        <f t="shared" si="162"/>
        <v>507.22222222222217</v>
      </c>
      <c r="M622" s="271">
        <f t="shared" si="163"/>
        <v>395.33333333333331</v>
      </c>
      <c r="N622" s="272">
        <f t="shared" si="164"/>
        <v>142.23333333333332</v>
      </c>
      <c r="O622" s="86"/>
      <c r="P622" s="1356" t="s">
        <v>1548</v>
      </c>
      <c r="R622" s="271"/>
      <c r="S622" s="271"/>
      <c r="T622" s="271"/>
      <c r="U622" s="271"/>
      <c r="V622" s="271"/>
      <c r="W622" s="271"/>
      <c r="X622" s="271"/>
      <c r="Y622" s="271"/>
      <c r="Z622" s="271"/>
      <c r="AA622" s="271"/>
      <c r="AB622" s="271"/>
      <c r="AC622" s="271"/>
    </row>
    <row r="623" spans="1:29" outlineLevel="1" x14ac:dyDescent="0.2">
      <c r="A623" s="1058"/>
      <c r="B623" s="36"/>
      <c r="C623" s="38" t="s">
        <v>1016</v>
      </c>
      <c r="D623" s="152" t="str">
        <f t="shared" si="159"/>
        <v>el_us_t11</v>
      </c>
      <c r="E623" s="425" t="s">
        <v>924</v>
      </c>
      <c r="F623" s="425" t="s">
        <v>924</v>
      </c>
      <c r="G623" s="425" t="s">
        <v>924</v>
      </c>
      <c r="H623" s="400" t="s">
        <v>924</v>
      </c>
      <c r="I623" s="62" t="str">
        <f t="shared" si="128"/>
        <v>kWh</v>
      </c>
      <c r="J623" s="249">
        <f t="shared" si="160"/>
        <v>197.69666666666666</v>
      </c>
      <c r="K623" s="270">
        <f t="shared" si="161"/>
        <v>551.0594202898551</v>
      </c>
      <c r="L623" s="271">
        <f t="shared" si="162"/>
        <v>851.3888888888888</v>
      </c>
      <c r="M623" s="271">
        <f t="shared" si="163"/>
        <v>449.60555555555555</v>
      </c>
      <c r="N623" s="272">
        <f t="shared" si="164"/>
        <v>197.69666666666666</v>
      </c>
      <c r="O623" s="86"/>
      <c r="P623" s="1356" t="s">
        <v>1548</v>
      </c>
      <c r="R623" s="271"/>
      <c r="S623" s="271"/>
      <c r="T623" s="271"/>
      <c r="U623" s="271"/>
      <c r="V623" s="271"/>
      <c r="W623" s="271"/>
      <c r="X623" s="271"/>
      <c r="Y623" s="271"/>
      <c r="Z623" s="271"/>
      <c r="AA623" s="271"/>
      <c r="AB623" s="271"/>
      <c r="AC623" s="271"/>
    </row>
    <row r="624" spans="1:29" ht="13.5" outlineLevel="1" thickBot="1" x14ac:dyDescent="0.25">
      <c r="A624" s="1058"/>
      <c r="B624" s="263"/>
      <c r="C624" s="264" t="s">
        <v>1017</v>
      </c>
      <c r="D624" s="222" t="str">
        <f t="shared" si="159"/>
        <v>el_us_t12</v>
      </c>
      <c r="E624" s="429" t="s">
        <v>925</v>
      </c>
      <c r="F624" s="429" t="s">
        <v>925</v>
      </c>
      <c r="G624" s="429" t="s">
        <v>925</v>
      </c>
      <c r="H624" s="403" t="s">
        <v>925</v>
      </c>
      <c r="I624" s="223" t="str">
        <f t="shared" si="128"/>
        <v>kWh</v>
      </c>
      <c r="J624" s="250">
        <f t="shared" si="160"/>
        <v>221.46666666666667</v>
      </c>
      <c r="K624" s="277">
        <f t="shared" si="161"/>
        <v>574.6159420289855</v>
      </c>
      <c r="L624" s="278">
        <f t="shared" si="162"/>
        <v>943.88888888888891</v>
      </c>
      <c r="M624" s="278">
        <f t="shared" si="163"/>
        <v>473.55555555555554</v>
      </c>
      <c r="N624" s="279">
        <f t="shared" si="164"/>
        <v>221.46666666666667</v>
      </c>
      <c r="O624" s="280"/>
      <c r="P624" s="1356" t="s">
        <v>1548</v>
      </c>
      <c r="R624" s="278"/>
      <c r="S624" s="278"/>
      <c r="T624" s="278"/>
      <c r="U624" s="278"/>
      <c r="V624" s="278"/>
      <c r="W624" s="278"/>
      <c r="X624" s="278"/>
      <c r="Y624" s="278"/>
      <c r="Z624" s="278"/>
      <c r="AA624" s="278"/>
      <c r="AB624" s="278"/>
      <c r="AC624" s="278"/>
    </row>
    <row r="625" spans="1:29" ht="25.5" x14ac:dyDescent="0.2">
      <c r="A625" s="1058"/>
      <c r="B625" s="273" t="str">
        <f>INDEX(Language!$D$243:$M$243,1,_language)</f>
        <v>Total non EPBD uses</v>
      </c>
      <c r="C625" s="274" t="s">
        <v>858</v>
      </c>
      <c r="D625" s="993" t="str">
        <f t="shared" si="159"/>
        <v>el_nEPus_y</v>
      </c>
      <c r="E625" s="432" t="s">
        <v>977</v>
      </c>
      <c r="F625" s="432" t="s">
        <v>977</v>
      </c>
      <c r="G625" s="432" t="s">
        <v>977</v>
      </c>
      <c r="H625" s="432" t="s">
        <v>977</v>
      </c>
      <c r="I625" s="276" t="str">
        <f t="shared" si="128"/>
        <v>kWh</v>
      </c>
      <c r="J625" s="364">
        <f t="shared" si="160"/>
        <v>0</v>
      </c>
      <c r="K625" s="352">
        <f>SUMIF($D$18:$D$564,$D625,K$18:K$564)</f>
        <v>2400</v>
      </c>
      <c r="L625" s="353">
        <f>SUMIF($D$18:$D$564,$D625,L$18:L$564)</f>
        <v>2400</v>
      </c>
      <c r="M625" s="353">
        <f>SUMIF($D$18:$D$564,$D625,M$18:M$564)</f>
        <v>2400</v>
      </c>
      <c r="N625" s="354">
        <f>SUMIF($D$18:$D$564,$D625,N$18:N$564)</f>
        <v>0</v>
      </c>
      <c r="O625" s="355" t="s">
        <v>1036</v>
      </c>
      <c r="P625" s="1356" t="s">
        <v>1469</v>
      </c>
      <c r="R625" s="353"/>
      <c r="S625" s="353"/>
      <c r="T625" s="353"/>
      <c r="U625" s="353"/>
      <c r="V625" s="353"/>
      <c r="W625" s="353"/>
      <c r="X625" s="353"/>
      <c r="Y625" s="353"/>
      <c r="Z625" s="353"/>
      <c r="AA625" s="353"/>
      <c r="AB625" s="353"/>
      <c r="AC625" s="353"/>
    </row>
    <row r="626" spans="1:29" x14ac:dyDescent="0.2">
      <c r="A626" s="1058"/>
      <c r="B626" s="356"/>
      <c r="C626" s="357" t="s">
        <v>1023</v>
      </c>
      <c r="D626" s="994" t="str">
        <f t="shared" si="159"/>
        <v>el_nEP_us_tot</v>
      </c>
      <c r="E626" s="433" t="s">
        <v>1249</v>
      </c>
      <c r="F626" s="433" t="s">
        <v>1249</v>
      </c>
      <c r="G626" s="433" t="s">
        <v>1249</v>
      </c>
      <c r="H626" s="433" t="s">
        <v>1249</v>
      </c>
      <c r="I626" s="359" t="str">
        <f t="shared" si="128"/>
        <v>kWh</v>
      </c>
      <c r="J626" s="365">
        <f>SUM(J627:J638)</f>
        <v>0</v>
      </c>
      <c r="K626" s="360">
        <f>SUM(K627:K638)</f>
        <v>2400</v>
      </c>
      <c r="L626" s="361">
        <f>SUM(L627:L638)</f>
        <v>2400</v>
      </c>
      <c r="M626" s="361">
        <f>SUM(M627:M638)</f>
        <v>2400</v>
      </c>
      <c r="N626" s="362">
        <f>SUM(N627:N638)</f>
        <v>0</v>
      </c>
      <c r="O626" s="363"/>
      <c r="P626" s="1356" t="s">
        <v>1469</v>
      </c>
      <c r="R626" s="361"/>
      <c r="S626" s="361"/>
      <c r="T626" s="361"/>
      <c r="U626" s="361"/>
      <c r="V626" s="361"/>
      <c r="W626" s="361"/>
      <c r="X626" s="361"/>
      <c r="Y626" s="361"/>
      <c r="Z626" s="361"/>
      <c r="AA626" s="361"/>
      <c r="AB626" s="361"/>
      <c r="AC626" s="361"/>
    </row>
    <row r="627" spans="1:29" outlineLevel="1" x14ac:dyDescent="0.2">
      <c r="A627" s="1058"/>
      <c r="B627" s="36"/>
      <c r="C627" s="38" t="s">
        <v>1024</v>
      </c>
      <c r="D627" s="984" t="str">
        <f t="shared" si="159"/>
        <v>el_nEP_us_t1</v>
      </c>
      <c r="E627" s="425" t="s">
        <v>978</v>
      </c>
      <c r="F627" s="425" t="s">
        <v>978</v>
      </c>
      <c r="G627" s="425" t="s">
        <v>978</v>
      </c>
      <c r="H627" s="425" t="s">
        <v>978</v>
      </c>
      <c r="I627" s="62" t="str">
        <f t="shared" si="128"/>
        <v>kWh</v>
      </c>
      <c r="J627" s="249">
        <f t="shared" ref="J627:J638" si="165">INDEX(K627:N627,,_case_en)</f>
        <v>0</v>
      </c>
      <c r="K627" s="270">
        <f t="shared" ref="K627:N638" si="166">SUMIF($D$18:$D$564,$D627,K$18:K$564)</f>
        <v>200</v>
      </c>
      <c r="L627" s="271">
        <f t="shared" si="166"/>
        <v>200</v>
      </c>
      <c r="M627" s="271">
        <f t="shared" si="166"/>
        <v>200</v>
      </c>
      <c r="N627" s="272">
        <f t="shared" si="166"/>
        <v>0</v>
      </c>
      <c r="O627" s="86"/>
      <c r="P627" s="1356" t="s">
        <v>1469</v>
      </c>
      <c r="R627" s="271"/>
      <c r="S627" s="271"/>
      <c r="T627" s="271"/>
      <c r="U627" s="271"/>
      <c r="V627" s="271"/>
      <c r="W627" s="271"/>
      <c r="X627" s="271"/>
      <c r="Y627" s="271"/>
      <c r="Z627" s="271"/>
      <c r="AA627" s="271"/>
      <c r="AB627" s="271"/>
      <c r="AC627" s="271"/>
    </row>
    <row r="628" spans="1:29" outlineLevel="1" x14ac:dyDescent="0.2">
      <c r="A628" s="1058"/>
      <c r="B628" s="36"/>
      <c r="C628" s="38" t="s">
        <v>1025</v>
      </c>
      <c r="D628" s="984" t="str">
        <f t="shared" si="159"/>
        <v>el_nEP_us_t2</v>
      </c>
      <c r="E628" s="425" t="s">
        <v>979</v>
      </c>
      <c r="F628" s="425" t="s">
        <v>979</v>
      </c>
      <c r="G628" s="425" t="s">
        <v>979</v>
      </c>
      <c r="H628" s="425" t="s">
        <v>979</v>
      </c>
      <c r="I628" s="62" t="str">
        <f t="shared" si="128"/>
        <v>kWh</v>
      </c>
      <c r="J628" s="249">
        <f t="shared" si="165"/>
        <v>0</v>
      </c>
      <c r="K628" s="270">
        <f t="shared" si="166"/>
        <v>200</v>
      </c>
      <c r="L628" s="271">
        <f t="shared" si="166"/>
        <v>200</v>
      </c>
      <c r="M628" s="271">
        <f t="shared" si="166"/>
        <v>200</v>
      </c>
      <c r="N628" s="272">
        <f t="shared" si="166"/>
        <v>0</v>
      </c>
      <c r="O628" s="86"/>
      <c r="P628" s="1356" t="s">
        <v>1469</v>
      </c>
      <c r="R628" s="271"/>
      <c r="S628" s="271"/>
      <c r="T628" s="271"/>
      <c r="U628" s="271"/>
      <c r="V628" s="271"/>
      <c r="W628" s="271"/>
      <c r="X628" s="271"/>
      <c r="Y628" s="271"/>
      <c r="Z628" s="271"/>
      <c r="AA628" s="271"/>
      <c r="AB628" s="271"/>
      <c r="AC628" s="271"/>
    </row>
    <row r="629" spans="1:29" outlineLevel="1" x14ac:dyDescent="0.2">
      <c r="A629" s="1058"/>
      <c r="B629" s="36"/>
      <c r="C629" s="38" t="s">
        <v>1026</v>
      </c>
      <c r="D629" s="984" t="str">
        <f t="shared" si="159"/>
        <v>el_nEP_us_t3</v>
      </c>
      <c r="E629" s="425" t="s">
        <v>980</v>
      </c>
      <c r="F629" s="425" t="s">
        <v>980</v>
      </c>
      <c r="G629" s="425" t="s">
        <v>980</v>
      </c>
      <c r="H629" s="425" t="s">
        <v>980</v>
      </c>
      <c r="I629" s="62" t="str">
        <f t="shared" si="128"/>
        <v>kWh</v>
      </c>
      <c r="J629" s="249">
        <f t="shared" si="165"/>
        <v>0</v>
      </c>
      <c r="K629" s="270">
        <f t="shared" si="166"/>
        <v>200</v>
      </c>
      <c r="L629" s="271">
        <f t="shared" si="166"/>
        <v>200</v>
      </c>
      <c r="M629" s="271">
        <f t="shared" si="166"/>
        <v>200</v>
      </c>
      <c r="N629" s="272">
        <f t="shared" si="166"/>
        <v>0</v>
      </c>
      <c r="O629" s="86"/>
      <c r="P629" s="1356" t="s">
        <v>1469</v>
      </c>
      <c r="R629" s="271"/>
      <c r="S629" s="271"/>
      <c r="T629" s="271"/>
      <c r="U629" s="271"/>
      <c r="V629" s="271"/>
      <c r="W629" s="271"/>
      <c r="X629" s="271"/>
      <c r="Y629" s="271"/>
      <c r="Z629" s="271"/>
      <c r="AA629" s="271"/>
      <c r="AB629" s="271"/>
      <c r="AC629" s="271"/>
    </row>
    <row r="630" spans="1:29" outlineLevel="1" x14ac:dyDescent="0.2">
      <c r="A630" s="1058"/>
      <c r="B630" s="36"/>
      <c r="C630" s="38" t="s">
        <v>1027</v>
      </c>
      <c r="D630" s="984" t="str">
        <f t="shared" si="159"/>
        <v>el_nEP_us_t4</v>
      </c>
      <c r="E630" s="425" t="s">
        <v>981</v>
      </c>
      <c r="F630" s="425" t="s">
        <v>981</v>
      </c>
      <c r="G630" s="425" t="s">
        <v>981</v>
      </c>
      <c r="H630" s="425" t="s">
        <v>981</v>
      </c>
      <c r="I630" s="62" t="str">
        <f t="shared" si="128"/>
        <v>kWh</v>
      </c>
      <c r="J630" s="249">
        <f t="shared" si="165"/>
        <v>0</v>
      </c>
      <c r="K630" s="270">
        <f t="shared" si="166"/>
        <v>200</v>
      </c>
      <c r="L630" s="271">
        <f t="shared" si="166"/>
        <v>200</v>
      </c>
      <c r="M630" s="271">
        <f t="shared" si="166"/>
        <v>200</v>
      </c>
      <c r="N630" s="272">
        <f t="shared" si="166"/>
        <v>0</v>
      </c>
      <c r="O630" s="86"/>
      <c r="P630" s="1356" t="s">
        <v>1469</v>
      </c>
      <c r="R630" s="271"/>
      <c r="S630" s="271"/>
      <c r="T630" s="271"/>
      <c r="U630" s="271"/>
      <c r="V630" s="271"/>
      <c r="W630" s="271"/>
      <c r="X630" s="271"/>
      <c r="Y630" s="271"/>
      <c r="Z630" s="271"/>
      <c r="AA630" s="271"/>
      <c r="AB630" s="271"/>
      <c r="AC630" s="271"/>
    </row>
    <row r="631" spans="1:29" outlineLevel="1" x14ac:dyDescent="0.2">
      <c r="A631" s="1058"/>
      <c r="B631" s="36"/>
      <c r="C631" s="38" t="s">
        <v>1028</v>
      </c>
      <c r="D631" s="984" t="str">
        <f t="shared" si="159"/>
        <v>el_nEP_us_t5</v>
      </c>
      <c r="E631" s="425" t="s">
        <v>982</v>
      </c>
      <c r="F631" s="425" t="s">
        <v>982</v>
      </c>
      <c r="G631" s="425" t="s">
        <v>982</v>
      </c>
      <c r="H631" s="425" t="s">
        <v>982</v>
      </c>
      <c r="I631" s="62" t="str">
        <f t="shared" si="128"/>
        <v>kWh</v>
      </c>
      <c r="J631" s="249">
        <f t="shared" si="165"/>
        <v>0</v>
      </c>
      <c r="K631" s="270">
        <f t="shared" si="166"/>
        <v>200</v>
      </c>
      <c r="L631" s="271">
        <f t="shared" si="166"/>
        <v>200</v>
      </c>
      <c r="M631" s="271">
        <f t="shared" si="166"/>
        <v>200</v>
      </c>
      <c r="N631" s="272">
        <f t="shared" si="166"/>
        <v>0</v>
      </c>
      <c r="O631" s="86"/>
      <c r="P631" s="1356" t="s">
        <v>1469</v>
      </c>
      <c r="R631" s="271"/>
      <c r="S631" s="271"/>
      <c r="T631" s="271"/>
      <c r="U631" s="271"/>
      <c r="V631" s="271"/>
      <c r="W631" s="271"/>
      <c r="X631" s="271"/>
      <c r="Y631" s="271"/>
      <c r="Z631" s="271"/>
      <c r="AA631" s="271"/>
      <c r="AB631" s="271"/>
      <c r="AC631" s="271"/>
    </row>
    <row r="632" spans="1:29" outlineLevel="1" x14ac:dyDescent="0.2">
      <c r="A632" s="1058"/>
      <c r="B632" s="36"/>
      <c r="C632" s="38" t="s">
        <v>1029</v>
      </c>
      <c r="D632" s="984" t="str">
        <f t="shared" si="159"/>
        <v>el_nEP_us_t6</v>
      </c>
      <c r="E632" s="425" t="s">
        <v>983</v>
      </c>
      <c r="F632" s="425" t="s">
        <v>983</v>
      </c>
      <c r="G632" s="425" t="s">
        <v>983</v>
      </c>
      <c r="H632" s="425" t="s">
        <v>983</v>
      </c>
      <c r="I632" s="62" t="str">
        <f t="shared" si="128"/>
        <v>kWh</v>
      </c>
      <c r="J632" s="249">
        <f t="shared" si="165"/>
        <v>0</v>
      </c>
      <c r="K632" s="270">
        <f t="shared" si="166"/>
        <v>200</v>
      </c>
      <c r="L632" s="271">
        <f t="shared" si="166"/>
        <v>200</v>
      </c>
      <c r="M632" s="271">
        <f t="shared" si="166"/>
        <v>200</v>
      </c>
      <c r="N632" s="272">
        <f t="shared" si="166"/>
        <v>0</v>
      </c>
      <c r="O632" s="86"/>
      <c r="P632" s="1356" t="s">
        <v>1469</v>
      </c>
      <c r="R632" s="271"/>
      <c r="S632" s="271"/>
      <c r="T632" s="271"/>
      <c r="U632" s="271"/>
      <c r="V632" s="271"/>
      <c r="W632" s="271"/>
      <c r="X632" s="271"/>
      <c r="Y632" s="271"/>
      <c r="Z632" s="271"/>
      <c r="AA632" s="271"/>
      <c r="AB632" s="271"/>
      <c r="AC632" s="271"/>
    </row>
    <row r="633" spans="1:29" outlineLevel="1" x14ac:dyDescent="0.2">
      <c r="A633" s="1058"/>
      <c r="B633" s="36"/>
      <c r="C633" s="38" t="s">
        <v>1030</v>
      </c>
      <c r="D633" s="984" t="str">
        <f t="shared" si="159"/>
        <v>el_nEP_us_t7</v>
      </c>
      <c r="E633" s="425" t="s">
        <v>984</v>
      </c>
      <c r="F633" s="425" t="s">
        <v>984</v>
      </c>
      <c r="G633" s="425" t="s">
        <v>984</v>
      </c>
      <c r="H633" s="425" t="s">
        <v>984</v>
      </c>
      <c r="I633" s="62" t="str">
        <f t="shared" si="128"/>
        <v>kWh</v>
      </c>
      <c r="J633" s="249">
        <f t="shared" si="165"/>
        <v>0</v>
      </c>
      <c r="K633" s="270">
        <f t="shared" si="166"/>
        <v>200</v>
      </c>
      <c r="L633" s="271">
        <f t="shared" si="166"/>
        <v>200</v>
      </c>
      <c r="M633" s="271">
        <f t="shared" si="166"/>
        <v>200</v>
      </c>
      <c r="N633" s="272">
        <f t="shared" si="166"/>
        <v>0</v>
      </c>
      <c r="O633" s="86"/>
      <c r="P633" s="1356" t="s">
        <v>1469</v>
      </c>
      <c r="R633" s="271"/>
      <c r="S633" s="271"/>
      <c r="T633" s="271"/>
      <c r="U633" s="271"/>
      <c r="V633" s="271"/>
      <c r="W633" s="271"/>
      <c r="X633" s="271"/>
      <c r="Y633" s="271"/>
      <c r="Z633" s="271"/>
      <c r="AA633" s="271"/>
      <c r="AB633" s="271"/>
      <c r="AC633" s="271"/>
    </row>
    <row r="634" spans="1:29" outlineLevel="1" x14ac:dyDescent="0.2">
      <c r="A634" s="1058"/>
      <c r="B634" s="36"/>
      <c r="C634" s="38" t="s">
        <v>1031</v>
      </c>
      <c r="D634" s="984" t="str">
        <f t="shared" si="159"/>
        <v>el_nEP_us_t8</v>
      </c>
      <c r="E634" s="425" t="s">
        <v>985</v>
      </c>
      <c r="F634" s="425" t="s">
        <v>985</v>
      </c>
      <c r="G634" s="425" t="s">
        <v>985</v>
      </c>
      <c r="H634" s="425" t="s">
        <v>985</v>
      </c>
      <c r="I634" s="62" t="str">
        <f t="shared" si="128"/>
        <v>kWh</v>
      </c>
      <c r="J634" s="249">
        <f t="shared" si="165"/>
        <v>0</v>
      </c>
      <c r="K634" s="270">
        <f t="shared" si="166"/>
        <v>200</v>
      </c>
      <c r="L634" s="271">
        <f t="shared" si="166"/>
        <v>200</v>
      </c>
      <c r="M634" s="271">
        <f t="shared" si="166"/>
        <v>200</v>
      </c>
      <c r="N634" s="272">
        <f t="shared" si="166"/>
        <v>0</v>
      </c>
      <c r="O634" s="86"/>
      <c r="P634" s="1356" t="s">
        <v>1469</v>
      </c>
      <c r="R634" s="271"/>
      <c r="S634" s="271"/>
      <c r="T634" s="271"/>
      <c r="U634" s="271"/>
      <c r="V634" s="271"/>
      <c r="W634" s="271"/>
      <c r="X634" s="271"/>
      <c r="Y634" s="271"/>
      <c r="Z634" s="271"/>
      <c r="AA634" s="271"/>
      <c r="AB634" s="271"/>
      <c r="AC634" s="271"/>
    </row>
    <row r="635" spans="1:29" outlineLevel="1" x14ac:dyDescent="0.2">
      <c r="A635" s="1058"/>
      <c r="B635" s="36"/>
      <c r="C635" s="38" t="s">
        <v>1032</v>
      </c>
      <c r="D635" s="984" t="str">
        <f t="shared" si="159"/>
        <v>el_nEP_us_t9</v>
      </c>
      <c r="E635" s="425" t="s">
        <v>986</v>
      </c>
      <c r="F635" s="425" t="s">
        <v>986</v>
      </c>
      <c r="G635" s="425" t="s">
        <v>986</v>
      </c>
      <c r="H635" s="425" t="s">
        <v>986</v>
      </c>
      <c r="I635" s="62" t="str">
        <f t="shared" si="128"/>
        <v>kWh</v>
      </c>
      <c r="J635" s="249">
        <f t="shared" si="165"/>
        <v>0</v>
      </c>
      <c r="K635" s="270">
        <f t="shared" si="166"/>
        <v>200</v>
      </c>
      <c r="L635" s="271">
        <f t="shared" si="166"/>
        <v>200</v>
      </c>
      <c r="M635" s="271">
        <f t="shared" si="166"/>
        <v>200</v>
      </c>
      <c r="N635" s="272">
        <f t="shared" si="166"/>
        <v>0</v>
      </c>
      <c r="O635" s="86"/>
      <c r="P635" s="1356" t="s">
        <v>1469</v>
      </c>
      <c r="R635" s="271"/>
      <c r="S635" s="271"/>
      <c r="T635" s="271"/>
      <c r="U635" s="271"/>
      <c r="V635" s="271"/>
      <c r="W635" s="271"/>
      <c r="X635" s="271"/>
      <c r="Y635" s="271"/>
      <c r="Z635" s="271"/>
      <c r="AA635" s="271"/>
      <c r="AB635" s="271"/>
      <c r="AC635" s="271"/>
    </row>
    <row r="636" spans="1:29" outlineLevel="1" x14ac:dyDescent="0.2">
      <c r="A636" s="1058"/>
      <c r="B636" s="36"/>
      <c r="C636" s="38" t="s">
        <v>1033</v>
      </c>
      <c r="D636" s="984" t="str">
        <f t="shared" si="159"/>
        <v>el_nEP_us_t10</v>
      </c>
      <c r="E636" s="425" t="s">
        <v>987</v>
      </c>
      <c r="F636" s="425" t="s">
        <v>987</v>
      </c>
      <c r="G636" s="425" t="s">
        <v>987</v>
      </c>
      <c r="H636" s="425" t="s">
        <v>987</v>
      </c>
      <c r="I636" s="62" t="str">
        <f t="shared" si="128"/>
        <v>kWh</v>
      </c>
      <c r="J636" s="249">
        <f t="shared" si="165"/>
        <v>0</v>
      </c>
      <c r="K636" s="270">
        <f t="shared" si="166"/>
        <v>200</v>
      </c>
      <c r="L636" s="271">
        <f t="shared" si="166"/>
        <v>200</v>
      </c>
      <c r="M636" s="271">
        <f t="shared" si="166"/>
        <v>200</v>
      </c>
      <c r="N636" s="272">
        <f t="shared" si="166"/>
        <v>0</v>
      </c>
      <c r="O636" s="86"/>
      <c r="P636" s="1356" t="s">
        <v>1469</v>
      </c>
      <c r="R636" s="271"/>
      <c r="S636" s="271"/>
      <c r="T636" s="271"/>
      <c r="U636" s="271"/>
      <c r="V636" s="271"/>
      <c r="W636" s="271"/>
      <c r="X636" s="271"/>
      <c r="Y636" s="271"/>
      <c r="Z636" s="271"/>
      <c r="AA636" s="271"/>
      <c r="AB636" s="271"/>
      <c r="AC636" s="271"/>
    </row>
    <row r="637" spans="1:29" outlineLevel="1" x14ac:dyDescent="0.2">
      <c r="A637" s="1058"/>
      <c r="B637" s="36"/>
      <c r="C637" s="38" t="s">
        <v>1034</v>
      </c>
      <c r="D637" s="984" t="str">
        <f t="shared" si="159"/>
        <v>el_nEP_us_t11</v>
      </c>
      <c r="E637" s="425" t="s">
        <v>988</v>
      </c>
      <c r="F637" s="425" t="s">
        <v>988</v>
      </c>
      <c r="G637" s="425" t="s">
        <v>988</v>
      </c>
      <c r="H637" s="425" t="s">
        <v>988</v>
      </c>
      <c r="I637" s="62" t="str">
        <f t="shared" si="128"/>
        <v>kWh</v>
      </c>
      <c r="J637" s="249">
        <f t="shared" si="165"/>
        <v>0</v>
      </c>
      <c r="K637" s="270">
        <f t="shared" si="166"/>
        <v>200</v>
      </c>
      <c r="L637" s="271">
        <f t="shared" si="166"/>
        <v>200</v>
      </c>
      <c r="M637" s="271">
        <f t="shared" si="166"/>
        <v>200</v>
      </c>
      <c r="N637" s="272">
        <f t="shared" si="166"/>
        <v>0</v>
      </c>
      <c r="O637" s="86"/>
      <c r="P637" s="1356" t="s">
        <v>1469</v>
      </c>
      <c r="R637" s="271"/>
      <c r="S637" s="271"/>
      <c r="T637" s="271"/>
      <c r="U637" s="271"/>
      <c r="V637" s="271"/>
      <c r="W637" s="271"/>
      <c r="X637" s="271"/>
      <c r="Y637" s="271"/>
      <c r="Z637" s="271"/>
      <c r="AA637" s="271"/>
      <c r="AB637" s="271"/>
      <c r="AC637" s="271"/>
    </row>
    <row r="638" spans="1:29" ht="13.5" outlineLevel="1" thickBot="1" x14ac:dyDescent="0.25">
      <c r="A638" s="1058"/>
      <c r="B638" s="263"/>
      <c r="C638" s="264" t="s">
        <v>1035</v>
      </c>
      <c r="D638" s="995" t="str">
        <f t="shared" si="159"/>
        <v>el_nEP_us_t12</v>
      </c>
      <c r="E638" s="425" t="s">
        <v>989</v>
      </c>
      <c r="F638" s="429" t="s">
        <v>989</v>
      </c>
      <c r="G638" s="429" t="s">
        <v>989</v>
      </c>
      <c r="H638" s="429" t="s">
        <v>989</v>
      </c>
      <c r="I638" s="223" t="str">
        <f t="shared" si="128"/>
        <v>kWh</v>
      </c>
      <c r="J638" s="250">
        <f t="shared" si="165"/>
        <v>0</v>
      </c>
      <c r="K638" s="277">
        <f t="shared" si="166"/>
        <v>200</v>
      </c>
      <c r="L638" s="278">
        <f t="shared" si="166"/>
        <v>200</v>
      </c>
      <c r="M638" s="278">
        <f t="shared" si="166"/>
        <v>200</v>
      </c>
      <c r="N638" s="279">
        <f t="shared" si="166"/>
        <v>0</v>
      </c>
      <c r="O638" s="280"/>
      <c r="P638" s="1356" t="s">
        <v>1469</v>
      </c>
      <c r="R638" s="278"/>
      <c r="S638" s="278"/>
      <c r="T638" s="278"/>
      <c r="U638" s="278"/>
      <c r="V638" s="278"/>
      <c r="W638" s="278"/>
      <c r="X638" s="278"/>
      <c r="Y638" s="278"/>
      <c r="Z638" s="278"/>
      <c r="AA638" s="278"/>
      <c r="AB638" s="278"/>
      <c r="AC638" s="278"/>
    </row>
    <row r="639" spans="1:29" ht="104.25" customHeight="1" thickBot="1" x14ac:dyDescent="0.25">
      <c r="A639" s="39"/>
      <c r="B639" s="393" t="s">
        <v>1108</v>
      </c>
      <c r="C639" s="336"/>
      <c r="D639" s="337"/>
      <c r="E639" s="407"/>
      <c r="F639" s="407"/>
      <c r="G639" s="407"/>
      <c r="H639" s="407"/>
      <c r="I639" s="338"/>
      <c r="J639" s="388"/>
      <c r="K639" s="389"/>
      <c r="L639" s="390"/>
      <c r="M639" s="390"/>
      <c r="N639" s="391"/>
      <c r="O639" s="392"/>
      <c r="R639" s="390"/>
      <c r="S639" s="390"/>
      <c r="T639" s="390"/>
      <c r="U639" s="390"/>
      <c r="V639" s="390"/>
      <c r="W639" s="390"/>
      <c r="X639" s="390"/>
      <c r="Y639" s="390"/>
      <c r="Z639" s="390"/>
      <c r="AA639" s="390"/>
      <c r="AB639" s="390"/>
      <c r="AC639" s="390"/>
    </row>
    <row r="640" spans="1:29" ht="82.5" customHeight="1" x14ac:dyDescent="0.2">
      <c r="A640" s="39"/>
      <c r="B640" s="386" t="str">
        <f>INDEX(Language!$D$341:$M$341,1,_language)</f>
        <v>National option: separate CHP exported energy accounting</v>
      </c>
      <c r="C640" s="259" t="s">
        <v>1252</v>
      </c>
      <c r="D640" s="206"/>
      <c r="E640" s="402"/>
      <c r="F640" s="402"/>
      <c r="G640" s="402"/>
      <c r="H640" s="402"/>
      <c r="I640" s="207"/>
      <c r="J640" s="334">
        <f>INDEX(K640:N640,,_case_en)</f>
        <v>0</v>
      </c>
      <c r="K640" s="366">
        <v>1</v>
      </c>
      <c r="L640" s="367">
        <v>1</v>
      </c>
      <c r="M640" s="367">
        <v>1</v>
      </c>
      <c r="N640" s="207">
        <f>INDEX(R640:AC640,1,N$16)</f>
        <v>0</v>
      </c>
      <c r="O640" s="371" t="s">
        <v>1464</v>
      </c>
      <c r="R640" s="914">
        <v>0</v>
      </c>
      <c r="S640" s="914">
        <v>0</v>
      </c>
      <c r="T640" s="914">
        <v>1</v>
      </c>
      <c r="U640" s="914">
        <v>0</v>
      </c>
      <c r="V640" s="914">
        <v>0</v>
      </c>
      <c r="W640" s="914">
        <v>0</v>
      </c>
      <c r="X640" s="914">
        <v>0</v>
      </c>
      <c r="Y640" s="914">
        <v>0</v>
      </c>
      <c r="Z640" s="914">
        <v>0</v>
      </c>
      <c r="AA640" s="914">
        <v>0</v>
      </c>
      <c r="AB640" s="914">
        <v>0</v>
      </c>
      <c r="AC640" s="914">
        <v>0</v>
      </c>
    </row>
    <row r="641" spans="1:29" ht="42.75" customHeight="1" x14ac:dyDescent="0.2">
      <c r="A641" s="39"/>
      <c r="B641" s="386" t="s">
        <v>1466</v>
      </c>
      <c r="C641" s="259"/>
      <c r="D641" s="206"/>
      <c r="E641" s="402"/>
      <c r="F641" s="402"/>
      <c r="G641" s="402"/>
      <c r="H641" s="402"/>
      <c r="I641" s="207"/>
      <c r="J641" s="334"/>
      <c r="K641" s="366"/>
      <c r="L641" s="367"/>
      <c r="M641" s="367"/>
      <c r="N641" s="207">
        <f>INDEX(R641:AC641,1,N$16)</f>
        <v>0</v>
      </c>
      <c r="O641" s="371" t="s">
        <v>1468</v>
      </c>
      <c r="R641" s="914">
        <v>0</v>
      </c>
      <c r="S641" s="914">
        <v>0</v>
      </c>
      <c r="T641" s="914">
        <v>0</v>
      </c>
      <c r="U641" s="914">
        <v>0</v>
      </c>
      <c r="V641" s="914">
        <v>0</v>
      </c>
      <c r="W641" s="914">
        <v>0</v>
      </c>
      <c r="X641" s="914">
        <v>0</v>
      </c>
      <c r="Y641" s="914">
        <v>0</v>
      </c>
      <c r="Z641" s="914">
        <v>0</v>
      </c>
      <c r="AA641" s="914">
        <v>0</v>
      </c>
      <c r="AB641" s="914">
        <v>0</v>
      </c>
      <c r="AC641" s="914">
        <v>0</v>
      </c>
    </row>
    <row r="642" spans="1:29" ht="48" customHeight="1" x14ac:dyDescent="0.2">
      <c r="A642" s="39"/>
      <c r="B642" s="386" t="s">
        <v>1467</v>
      </c>
      <c r="C642" s="259" t="s">
        <v>1038</v>
      </c>
      <c r="D642" s="206"/>
      <c r="E642" s="402"/>
      <c r="F642" s="402"/>
      <c r="G642" s="402"/>
      <c r="H642" s="402"/>
      <c r="I642" s="207"/>
      <c r="J642" s="334">
        <f>INDEX(K642:N642,,_case_en)</f>
        <v>0</v>
      </c>
      <c r="K642" s="366">
        <v>1</v>
      </c>
      <c r="L642" s="367">
        <v>0</v>
      </c>
      <c r="M642" s="367">
        <v>1</v>
      </c>
      <c r="N642" s="207">
        <f>INDEX(R642:AC642,1,N$16)</f>
        <v>0</v>
      </c>
      <c r="O642" s="371"/>
      <c r="R642" s="914">
        <v>0</v>
      </c>
      <c r="S642" s="914">
        <v>0</v>
      </c>
      <c r="T642" s="914">
        <v>0</v>
      </c>
      <c r="U642" s="914">
        <v>0</v>
      </c>
      <c r="V642" s="914">
        <v>0</v>
      </c>
      <c r="W642" s="914">
        <v>0</v>
      </c>
      <c r="X642" s="914">
        <v>0</v>
      </c>
      <c r="Y642" s="914">
        <v>0</v>
      </c>
      <c r="Z642" s="914">
        <v>0</v>
      </c>
      <c r="AA642" s="914">
        <v>0</v>
      </c>
      <c r="AB642" s="914">
        <v>0</v>
      </c>
      <c r="AC642" s="914">
        <v>0</v>
      </c>
    </row>
    <row r="643" spans="1:29" x14ac:dyDescent="0.2">
      <c r="A643" s="39"/>
      <c r="B643" s="36"/>
      <c r="C643" s="38"/>
      <c r="D643" s="152"/>
      <c r="E643" s="425"/>
      <c r="F643" s="425"/>
      <c r="G643" s="425"/>
      <c r="H643" s="400"/>
      <c r="I643" s="62"/>
      <c r="J643" s="249"/>
      <c r="K643" s="270"/>
      <c r="L643" s="271"/>
      <c r="M643" s="271"/>
      <c r="N643" s="272"/>
      <c r="O643" s="895"/>
      <c r="R643" s="271"/>
      <c r="S643" s="271"/>
      <c r="T643" s="271"/>
      <c r="U643" s="271"/>
      <c r="V643" s="271"/>
      <c r="W643" s="271"/>
      <c r="X643" s="271"/>
      <c r="Y643" s="271"/>
      <c r="Z643" s="271"/>
      <c r="AA643" s="271"/>
      <c r="AB643" s="271"/>
      <c r="AC643" s="271"/>
    </row>
    <row r="644" spans="1:29" x14ac:dyDescent="0.2">
      <c r="A644" s="39"/>
      <c r="B644" s="36"/>
      <c r="C644" s="38"/>
      <c r="D644" s="152"/>
      <c r="E644" s="425"/>
      <c r="F644" s="425"/>
      <c r="G644" s="425"/>
      <c r="H644" s="400"/>
      <c r="I644" s="62"/>
      <c r="J644" s="249"/>
      <c r="K644" s="270"/>
      <c r="L644" s="271"/>
      <c r="M644" s="271"/>
      <c r="N644" s="272"/>
      <c r="O644" s="895" t="s">
        <v>1462</v>
      </c>
      <c r="R644" s="271"/>
      <c r="S644" s="271"/>
      <c r="T644" s="271"/>
      <c r="U644" s="271"/>
      <c r="V644" s="271"/>
      <c r="W644" s="271"/>
      <c r="X644" s="271"/>
      <c r="Y644" s="271"/>
      <c r="Z644" s="271"/>
      <c r="AA644" s="271"/>
      <c r="AB644" s="271"/>
      <c r="AC644" s="271"/>
    </row>
    <row r="645" spans="1:29" ht="13.5" thickBot="1" x14ac:dyDescent="0.25">
      <c r="A645" s="39"/>
      <c r="B645" s="258"/>
      <c r="C645" s="197"/>
      <c r="D645" s="229"/>
      <c r="E645" s="426"/>
      <c r="F645" s="426"/>
      <c r="G645" s="426"/>
      <c r="H645" s="401"/>
      <c r="I645" s="168"/>
      <c r="J645" s="252"/>
      <c r="K645" s="286"/>
      <c r="L645" s="287"/>
      <c r="M645" s="287"/>
      <c r="N645" s="288"/>
      <c r="O645" s="896"/>
      <c r="R645" s="271"/>
      <c r="S645" s="271"/>
      <c r="T645" s="271"/>
      <c r="U645" s="271"/>
      <c r="V645" s="271"/>
      <c r="W645" s="271"/>
      <c r="X645" s="271"/>
      <c r="Y645" s="271"/>
      <c r="Z645" s="271"/>
      <c r="AA645" s="271"/>
      <c r="AB645" s="271"/>
      <c r="AC645" s="271"/>
    </row>
    <row r="646" spans="1:29" x14ac:dyDescent="0.2">
      <c r="A646" s="39"/>
      <c r="B646" s="380" t="str">
        <f>INDEX(Language!$D$245:$M$245,1,_language)</f>
        <v>Derated PV contribution</v>
      </c>
      <c r="C646" s="381" t="s">
        <v>1471</v>
      </c>
      <c r="D646" s="275"/>
      <c r="E646" s="409"/>
      <c r="F646" s="409"/>
      <c r="G646" s="409"/>
      <c r="H646" s="409"/>
      <c r="I646" s="382" t="str">
        <f t="shared" si="128"/>
        <v>kWh</v>
      </c>
      <c r="J646" s="372">
        <f>INDEX(K646:N646,,_case_en)</f>
        <v>2205</v>
      </c>
      <c r="K646" s="373">
        <f>K552*(K611/(K611+K$642*K625))</f>
        <v>8340.2110249075376</v>
      </c>
      <c r="L646" s="374">
        <f>L552*(L611/(L611+L$642*L625))</f>
        <v>3675</v>
      </c>
      <c r="M646" s="374">
        <f>M552*(M611/(M611+M$642*M625))</f>
        <v>4986.1668262308658</v>
      </c>
      <c r="N646" s="375">
        <f>N552*(N611/(N611+N$641*N625))</f>
        <v>2205</v>
      </c>
      <c r="O646" s="355" t="s">
        <v>1054</v>
      </c>
      <c r="R646" s="374"/>
      <c r="S646" s="374"/>
      <c r="T646" s="374"/>
      <c r="U646" s="374"/>
      <c r="V646" s="374"/>
      <c r="W646" s="374"/>
      <c r="X646" s="374"/>
      <c r="Y646" s="374"/>
      <c r="Z646" s="374"/>
      <c r="AA646" s="374"/>
      <c r="AB646" s="374"/>
      <c r="AC646" s="374"/>
    </row>
    <row r="647" spans="1:29" x14ac:dyDescent="0.2">
      <c r="A647" s="39"/>
      <c r="B647" s="383"/>
      <c r="C647" s="384" t="s">
        <v>1057</v>
      </c>
      <c r="D647" s="358"/>
      <c r="E647" s="410"/>
      <c r="F647" s="410"/>
      <c r="G647" s="410"/>
      <c r="H647" s="410"/>
      <c r="I647" s="385" t="str">
        <f t="shared" si="128"/>
        <v>kWh</v>
      </c>
      <c r="J647" s="376">
        <f>SUM(J648:J659)</f>
        <v>2205</v>
      </c>
      <c r="K647" s="377">
        <f>SUM(K648:K659)</f>
        <v>8389.9743154273674</v>
      </c>
      <c r="L647" s="378">
        <f>SUM(L648:L659)</f>
        <v>3675</v>
      </c>
      <c r="M647" s="378">
        <f>SUM(M648:M659)</f>
        <v>4915.9395561273213</v>
      </c>
      <c r="N647" s="379">
        <f>SUM(N648:N659)</f>
        <v>2205</v>
      </c>
      <c r="O647" s="363" t="s">
        <v>1055</v>
      </c>
      <c r="P647" s="1356" t="s">
        <v>1470</v>
      </c>
      <c r="R647" s="378"/>
      <c r="S647" s="378"/>
      <c r="T647" s="378"/>
      <c r="U647" s="378"/>
      <c r="V647" s="378"/>
      <c r="W647" s="378"/>
      <c r="X647" s="378"/>
      <c r="Y647" s="378"/>
      <c r="Z647" s="378"/>
      <c r="AA647" s="378"/>
      <c r="AB647" s="378"/>
      <c r="AC647" s="378"/>
    </row>
    <row r="648" spans="1:29" outlineLevel="1" x14ac:dyDescent="0.2">
      <c r="A648" s="39"/>
      <c r="B648" s="36"/>
      <c r="C648" s="38" t="s">
        <v>1472</v>
      </c>
      <c r="D648" s="152"/>
      <c r="E648" s="400"/>
      <c r="F648" s="400"/>
      <c r="G648" s="400"/>
      <c r="H648" s="400"/>
      <c r="I648" s="62" t="str">
        <f t="shared" si="128"/>
        <v>kWh</v>
      </c>
      <c r="J648" s="249">
        <f t="shared" ref="J648:J660" si="167">INDEX(K648:N648,,_case_en)</f>
        <v>45</v>
      </c>
      <c r="K648" s="270">
        <f t="shared" ref="K648:M659" si="168">K553*(K613/(K613+K$642*K627))</f>
        <v>169.16321245852703</v>
      </c>
      <c r="L648" s="271">
        <f t="shared" si="168"/>
        <v>75</v>
      </c>
      <c r="M648" s="271">
        <f t="shared" si="168"/>
        <v>107.46021742555538</v>
      </c>
      <c r="N648" s="272">
        <f t="shared" ref="N648:N659" si="169">N553*(N613/(N613+N$641*N627))</f>
        <v>45</v>
      </c>
      <c r="O648" s="86"/>
      <c r="R648" s="271"/>
      <c r="S648" s="271"/>
      <c r="T648" s="271"/>
      <c r="U648" s="271"/>
      <c r="V648" s="271"/>
      <c r="W648" s="271"/>
      <c r="X648" s="271"/>
      <c r="Y648" s="271"/>
      <c r="Z648" s="271"/>
      <c r="AA648" s="271"/>
      <c r="AB648" s="271"/>
      <c r="AC648" s="271"/>
    </row>
    <row r="649" spans="1:29" outlineLevel="1" x14ac:dyDescent="0.2">
      <c r="A649" s="39"/>
      <c r="B649" s="36"/>
      <c r="C649" s="38" t="s">
        <v>1473</v>
      </c>
      <c r="D649" s="152"/>
      <c r="E649" s="400"/>
      <c r="F649" s="400"/>
      <c r="G649" s="400"/>
      <c r="H649" s="400"/>
      <c r="I649" s="62" t="str">
        <f t="shared" si="128"/>
        <v>kWh</v>
      </c>
      <c r="J649" s="249">
        <f t="shared" si="167"/>
        <v>60</v>
      </c>
      <c r="K649" s="270">
        <f t="shared" si="168"/>
        <v>221.73839072202952</v>
      </c>
      <c r="L649" s="271">
        <f t="shared" si="168"/>
        <v>100</v>
      </c>
      <c r="M649" s="271">
        <f t="shared" si="168"/>
        <v>139.87724938415934</v>
      </c>
      <c r="N649" s="272">
        <f t="shared" si="169"/>
        <v>60</v>
      </c>
      <c r="O649" s="86"/>
      <c r="R649" s="271"/>
      <c r="S649" s="271"/>
      <c r="T649" s="271"/>
      <c r="U649" s="271"/>
      <c r="V649" s="271"/>
      <c r="W649" s="271"/>
      <c r="X649" s="271"/>
      <c r="Y649" s="271"/>
      <c r="Z649" s="271"/>
      <c r="AA649" s="271"/>
      <c r="AB649" s="271"/>
      <c r="AC649" s="271"/>
    </row>
    <row r="650" spans="1:29" outlineLevel="1" x14ac:dyDescent="0.2">
      <c r="A650" s="39"/>
      <c r="B650" s="36"/>
      <c r="C650" s="38" t="s">
        <v>1474</v>
      </c>
      <c r="D650" s="152"/>
      <c r="E650" s="400"/>
      <c r="F650" s="400"/>
      <c r="G650" s="400"/>
      <c r="H650" s="400"/>
      <c r="I650" s="62" t="str">
        <f t="shared" si="128"/>
        <v>kWh</v>
      </c>
      <c r="J650" s="249">
        <f t="shared" si="167"/>
        <v>150</v>
      </c>
      <c r="K650" s="270">
        <f t="shared" si="168"/>
        <v>543.74869224714291</v>
      </c>
      <c r="L650" s="271">
        <f t="shared" si="168"/>
        <v>250</v>
      </c>
      <c r="M650" s="271">
        <f t="shared" si="168"/>
        <v>340.08528784648189</v>
      </c>
      <c r="N650" s="272">
        <f t="shared" si="169"/>
        <v>150</v>
      </c>
      <c r="O650" s="86"/>
      <c r="R650" s="271"/>
      <c r="S650" s="271"/>
      <c r="T650" s="271"/>
      <c r="U650" s="271"/>
      <c r="V650" s="271"/>
      <c r="W650" s="271"/>
      <c r="X650" s="271"/>
      <c r="Y650" s="271"/>
      <c r="Z650" s="271"/>
      <c r="AA650" s="271"/>
      <c r="AB650" s="271"/>
      <c r="AC650" s="271"/>
    </row>
    <row r="651" spans="1:29" outlineLevel="1" x14ac:dyDescent="0.2">
      <c r="A651" s="39"/>
      <c r="B651" s="36"/>
      <c r="C651" s="38" t="s">
        <v>1475</v>
      </c>
      <c r="D651" s="152"/>
      <c r="E651" s="400"/>
      <c r="F651" s="400"/>
      <c r="G651" s="400"/>
      <c r="H651" s="400"/>
      <c r="I651" s="62" t="str">
        <f t="shared" si="128"/>
        <v>kWh</v>
      </c>
      <c r="J651" s="249">
        <f t="shared" si="167"/>
        <v>210</v>
      </c>
      <c r="K651" s="270">
        <f t="shared" si="168"/>
        <v>770.74468085106389</v>
      </c>
      <c r="L651" s="271">
        <f t="shared" si="168"/>
        <v>350</v>
      </c>
      <c r="M651" s="271">
        <f t="shared" si="168"/>
        <v>465.35001955416504</v>
      </c>
      <c r="N651" s="272">
        <f t="shared" si="169"/>
        <v>210</v>
      </c>
      <c r="O651" s="86"/>
      <c r="R651" s="271"/>
      <c r="S651" s="271"/>
      <c r="T651" s="271"/>
      <c r="U651" s="271"/>
      <c r="V651" s="271"/>
      <c r="W651" s="271"/>
      <c r="X651" s="271"/>
      <c r="Y651" s="271"/>
      <c r="Z651" s="271"/>
      <c r="AA651" s="271"/>
      <c r="AB651" s="271"/>
      <c r="AC651" s="271"/>
    </row>
    <row r="652" spans="1:29" outlineLevel="1" x14ac:dyDescent="0.2">
      <c r="A652" s="39"/>
      <c r="B652" s="36"/>
      <c r="C652" s="38" t="s">
        <v>1476</v>
      </c>
      <c r="D652" s="152"/>
      <c r="E652" s="400"/>
      <c r="F652" s="400"/>
      <c r="G652" s="400"/>
      <c r="H652" s="400"/>
      <c r="I652" s="62" t="str">
        <f t="shared" si="128"/>
        <v>kWh</v>
      </c>
      <c r="J652" s="249">
        <f t="shared" si="167"/>
        <v>255</v>
      </c>
      <c r="K652" s="270">
        <f t="shared" si="168"/>
        <v>947.51712328767121</v>
      </c>
      <c r="L652" s="271">
        <f t="shared" si="168"/>
        <v>425</v>
      </c>
      <c r="M652" s="271">
        <f t="shared" si="168"/>
        <v>552.24194301728153</v>
      </c>
      <c r="N652" s="272">
        <f t="shared" si="169"/>
        <v>255</v>
      </c>
      <c r="O652" s="86"/>
      <c r="R652" s="271"/>
      <c r="S652" s="271"/>
      <c r="T652" s="271"/>
      <c r="U652" s="271"/>
      <c r="V652" s="271"/>
      <c r="W652" s="271"/>
      <c r="X652" s="271"/>
      <c r="Y652" s="271"/>
      <c r="Z652" s="271"/>
      <c r="AA652" s="271"/>
      <c r="AB652" s="271"/>
      <c r="AC652" s="271"/>
    </row>
    <row r="653" spans="1:29" outlineLevel="1" x14ac:dyDescent="0.2">
      <c r="A653" s="39"/>
      <c r="B653" s="36"/>
      <c r="C653" s="38" t="s">
        <v>1477</v>
      </c>
      <c r="D653" s="152"/>
      <c r="E653" s="400"/>
      <c r="F653" s="400"/>
      <c r="G653" s="400"/>
      <c r="H653" s="400"/>
      <c r="I653" s="62" t="str">
        <f t="shared" si="128"/>
        <v>kWh</v>
      </c>
      <c r="J653" s="249">
        <f t="shared" si="167"/>
        <v>285</v>
      </c>
      <c r="K653" s="270">
        <f t="shared" si="168"/>
        <v>1130.1724137931033</v>
      </c>
      <c r="L653" s="271">
        <f t="shared" si="168"/>
        <v>475</v>
      </c>
      <c r="M653" s="271">
        <f t="shared" si="168"/>
        <v>631.91964285714289</v>
      </c>
      <c r="N653" s="272">
        <f t="shared" si="169"/>
        <v>285</v>
      </c>
      <c r="O653" s="86"/>
      <c r="R653" s="271"/>
      <c r="S653" s="271"/>
      <c r="T653" s="271"/>
      <c r="U653" s="271"/>
      <c r="V653" s="271"/>
      <c r="W653" s="271"/>
      <c r="X653" s="271"/>
      <c r="Y653" s="271"/>
      <c r="Z653" s="271"/>
      <c r="AA653" s="271"/>
      <c r="AB653" s="271"/>
      <c r="AC653" s="271"/>
    </row>
    <row r="654" spans="1:29" outlineLevel="1" x14ac:dyDescent="0.2">
      <c r="A654" s="39"/>
      <c r="B654" s="36"/>
      <c r="C654" s="38" t="s">
        <v>1478</v>
      </c>
      <c r="D654" s="152"/>
      <c r="E654" s="400"/>
      <c r="F654" s="400"/>
      <c r="G654" s="400"/>
      <c r="H654" s="400"/>
      <c r="I654" s="62" t="str">
        <f t="shared" si="128"/>
        <v>kWh</v>
      </c>
      <c r="J654" s="249">
        <f t="shared" si="167"/>
        <v>300</v>
      </c>
      <c r="K654" s="270">
        <f t="shared" si="168"/>
        <v>1208.5492227979273</v>
      </c>
      <c r="L654" s="271">
        <f t="shared" si="168"/>
        <v>500</v>
      </c>
      <c r="M654" s="271">
        <f t="shared" si="168"/>
        <v>670.03959524857021</v>
      </c>
      <c r="N654" s="272">
        <f t="shared" si="169"/>
        <v>300</v>
      </c>
      <c r="O654" s="86"/>
      <c r="R654" s="271"/>
      <c r="S654" s="271"/>
      <c r="T654" s="271"/>
      <c r="U654" s="271"/>
      <c r="V654" s="271"/>
      <c r="W654" s="271"/>
      <c r="X654" s="271"/>
      <c r="Y654" s="271"/>
      <c r="Z654" s="271"/>
      <c r="AA654" s="271"/>
      <c r="AB654" s="271"/>
      <c r="AC654" s="271"/>
    </row>
    <row r="655" spans="1:29" outlineLevel="1" x14ac:dyDescent="0.2">
      <c r="A655" s="39"/>
      <c r="B655" s="36"/>
      <c r="C655" s="38" t="s">
        <v>1479</v>
      </c>
      <c r="D655" s="152"/>
      <c r="E655" s="400"/>
      <c r="F655" s="400"/>
      <c r="G655" s="400"/>
      <c r="H655" s="400"/>
      <c r="I655" s="62" t="str">
        <f t="shared" si="128"/>
        <v>kWh</v>
      </c>
      <c r="J655" s="249">
        <f t="shared" si="167"/>
        <v>270</v>
      </c>
      <c r="K655" s="270">
        <f t="shared" si="168"/>
        <v>1079.4589178356714</v>
      </c>
      <c r="L655" s="271">
        <f t="shared" si="168"/>
        <v>450</v>
      </c>
      <c r="M655" s="271">
        <f t="shared" si="168"/>
        <v>600.86417017504994</v>
      </c>
      <c r="N655" s="272">
        <f t="shared" si="169"/>
        <v>270</v>
      </c>
      <c r="O655" s="86"/>
      <c r="R655" s="271"/>
      <c r="S655" s="271"/>
      <c r="T655" s="271"/>
      <c r="U655" s="271"/>
      <c r="V655" s="271"/>
      <c r="W655" s="271"/>
      <c r="X655" s="271"/>
      <c r="Y655" s="271"/>
      <c r="Z655" s="271"/>
      <c r="AA655" s="271"/>
      <c r="AB655" s="271"/>
      <c r="AC655" s="271"/>
    </row>
    <row r="656" spans="1:29" outlineLevel="1" x14ac:dyDescent="0.2">
      <c r="A656" s="39"/>
      <c r="B656" s="36"/>
      <c r="C656" s="38" t="s">
        <v>1480</v>
      </c>
      <c r="D656" s="152"/>
      <c r="E656" s="400"/>
      <c r="F656" s="400"/>
      <c r="G656" s="400"/>
      <c r="H656" s="400"/>
      <c r="I656" s="62" t="str">
        <f t="shared" si="128"/>
        <v>kWh</v>
      </c>
      <c r="J656" s="249">
        <f t="shared" si="167"/>
        <v>240</v>
      </c>
      <c r="K656" s="270">
        <f t="shared" si="168"/>
        <v>903.15398886827461</v>
      </c>
      <c r="L656" s="271">
        <f t="shared" si="168"/>
        <v>400</v>
      </c>
      <c r="M656" s="271">
        <f t="shared" si="168"/>
        <v>521.90034762456548</v>
      </c>
      <c r="N656" s="272">
        <f t="shared" si="169"/>
        <v>240</v>
      </c>
      <c r="O656" s="86"/>
      <c r="R656" s="271"/>
      <c r="S656" s="271"/>
      <c r="T656" s="271"/>
      <c r="U656" s="271"/>
      <c r="V656" s="271"/>
      <c r="W656" s="271"/>
      <c r="X656" s="271"/>
      <c r="Y656" s="271"/>
      <c r="Z656" s="271"/>
      <c r="AA656" s="271"/>
      <c r="AB656" s="271"/>
      <c r="AC656" s="271"/>
    </row>
    <row r="657" spans="1:29" outlineLevel="1" x14ac:dyDescent="0.2">
      <c r="A657" s="39"/>
      <c r="B657" s="36"/>
      <c r="C657" s="38" t="s">
        <v>1481</v>
      </c>
      <c r="D657" s="152"/>
      <c r="E657" s="400"/>
      <c r="F657" s="400"/>
      <c r="G657" s="400"/>
      <c r="H657" s="400"/>
      <c r="I657" s="62" t="str">
        <f t="shared" si="128"/>
        <v>kWh</v>
      </c>
      <c r="J657" s="249">
        <f t="shared" si="167"/>
        <v>180</v>
      </c>
      <c r="K657" s="270">
        <f t="shared" si="168"/>
        <v>641.68859124611345</v>
      </c>
      <c r="L657" s="271">
        <f t="shared" si="168"/>
        <v>300</v>
      </c>
      <c r="M657" s="271">
        <f t="shared" si="168"/>
        <v>398.43225083986562</v>
      </c>
      <c r="N657" s="272">
        <f t="shared" si="169"/>
        <v>180</v>
      </c>
      <c r="O657" s="86"/>
      <c r="R657" s="271"/>
      <c r="S657" s="271"/>
      <c r="T657" s="271"/>
      <c r="U657" s="271"/>
      <c r="V657" s="271"/>
      <c r="W657" s="271"/>
      <c r="X657" s="271"/>
      <c r="Y657" s="271"/>
      <c r="Z657" s="271"/>
      <c r="AA657" s="271"/>
      <c r="AB657" s="271"/>
      <c r="AC657" s="271"/>
    </row>
    <row r="658" spans="1:29" outlineLevel="1" x14ac:dyDescent="0.2">
      <c r="A658" s="39"/>
      <c r="B658" s="36"/>
      <c r="C658" s="38" t="s">
        <v>1482</v>
      </c>
      <c r="D658" s="152"/>
      <c r="E658" s="400"/>
      <c r="F658" s="400"/>
      <c r="G658" s="400"/>
      <c r="H658" s="400"/>
      <c r="I658" s="62" t="str">
        <f t="shared" si="128"/>
        <v>kWh</v>
      </c>
      <c r="J658" s="249">
        <f t="shared" si="167"/>
        <v>120</v>
      </c>
      <c r="K658" s="270">
        <f t="shared" si="168"/>
        <v>440.22569085986748</v>
      </c>
      <c r="L658" s="271">
        <f t="shared" si="168"/>
        <v>200</v>
      </c>
      <c r="M658" s="271">
        <f t="shared" si="168"/>
        <v>276.84834386679091</v>
      </c>
      <c r="N658" s="272">
        <f t="shared" si="169"/>
        <v>120</v>
      </c>
      <c r="O658" s="86"/>
      <c r="R658" s="271"/>
      <c r="S658" s="271"/>
      <c r="T658" s="271"/>
      <c r="U658" s="271"/>
      <c r="V658" s="271"/>
      <c r="W658" s="271"/>
      <c r="X658" s="271"/>
      <c r="Y658" s="271"/>
      <c r="Z658" s="271"/>
      <c r="AA658" s="271"/>
      <c r="AB658" s="271"/>
      <c r="AC658" s="271"/>
    </row>
    <row r="659" spans="1:29" ht="13.5" outlineLevel="1" thickBot="1" x14ac:dyDescent="0.25">
      <c r="A659" s="39"/>
      <c r="B659" s="263"/>
      <c r="C659" s="38" t="s">
        <v>1483</v>
      </c>
      <c r="D659" s="222"/>
      <c r="E659" s="403"/>
      <c r="F659" s="403"/>
      <c r="G659" s="403"/>
      <c r="H659" s="403"/>
      <c r="I659" s="223" t="str">
        <f t="shared" si="128"/>
        <v>kWh</v>
      </c>
      <c r="J659" s="250">
        <f t="shared" si="167"/>
        <v>90</v>
      </c>
      <c r="K659" s="277">
        <f t="shared" si="168"/>
        <v>333.81339045997549</v>
      </c>
      <c r="L659" s="278">
        <f t="shared" si="168"/>
        <v>150</v>
      </c>
      <c r="M659" s="278">
        <f t="shared" si="168"/>
        <v>210.92048828769384</v>
      </c>
      <c r="N659" s="279">
        <f t="shared" si="169"/>
        <v>90</v>
      </c>
      <c r="O659" s="280"/>
      <c r="R659" s="278"/>
      <c r="S659" s="278"/>
      <c r="T659" s="278"/>
      <c r="U659" s="278"/>
      <c r="V659" s="278"/>
      <c r="W659" s="278"/>
      <c r="X659" s="278"/>
      <c r="Y659" s="278"/>
      <c r="Z659" s="278"/>
      <c r="AA659" s="278"/>
      <c r="AB659" s="278"/>
      <c r="AC659" s="278"/>
    </row>
    <row r="660" spans="1:29" ht="21" customHeight="1" x14ac:dyDescent="0.2">
      <c r="A660" s="39"/>
      <c r="B660" s="380" t="str">
        <f>INDEX(Language!$D$246:$M$246,1,_language)</f>
        <v>Derated CHP contribution</v>
      </c>
      <c r="C660" s="381" t="s">
        <v>1484</v>
      </c>
      <c r="D660" s="275"/>
      <c r="E660" s="409"/>
      <c r="F660" s="409"/>
      <c r="G660" s="409"/>
      <c r="H660" s="409"/>
      <c r="I660" s="382" t="str">
        <f t="shared" si="128"/>
        <v>kWh</v>
      </c>
      <c r="J660" s="372">
        <f t="shared" si="167"/>
        <v>642.72727272727275</v>
      </c>
      <c r="K660" s="373">
        <f>K304*(K611/(K611+K$642*K625))</f>
        <v>192.55898470204991</v>
      </c>
      <c r="L660" s="374">
        <f>L304*(L611/(L611+L$642*L625))</f>
        <v>6575.7575757575742</v>
      </c>
      <c r="M660" s="374">
        <f>M304*(M611/(M611+M$642*M625))</f>
        <v>302.19192886247669</v>
      </c>
      <c r="N660" s="375">
        <f>N304*(N611/(N611+N$642*N625))</f>
        <v>642.72727272727275</v>
      </c>
      <c r="O660" s="355" t="s">
        <v>1054</v>
      </c>
      <c r="R660" s="374"/>
      <c r="S660" s="374"/>
      <c r="T660" s="374"/>
      <c r="U660" s="374"/>
      <c r="V660" s="374"/>
      <c r="W660" s="374"/>
      <c r="X660" s="374"/>
      <c r="Y660" s="374"/>
      <c r="Z660" s="374"/>
      <c r="AA660" s="374"/>
      <c r="AB660" s="374"/>
      <c r="AC660" s="374"/>
    </row>
    <row r="661" spans="1:29" ht="22.5" customHeight="1" x14ac:dyDescent="0.2">
      <c r="A661" s="39"/>
      <c r="B661" s="383"/>
      <c r="C661" s="384" t="s">
        <v>1485</v>
      </c>
      <c r="D661" s="358"/>
      <c r="E661" s="410"/>
      <c r="F661" s="410"/>
      <c r="G661" s="410"/>
      <c r="H661" s="410"/>
      <c r="I661" s="385" t="str">
        <f t="shared" si="128"/>
        <v>kWh</v>
      </c>
      <c r="J661" s="376">
        <f>SUM(J662:J673)</f>
        <v>642.72727272727275</v>
      </c>
      <c r="K661" s="377">
        <f>SUM(K662:K673)</f>
        <v>187.44529825622857</v>
      </c>
      <c r="L661" s="378">
        <f>SUM(L662:L673)</f>
        <v>6575.7575757575742</v>
      </c>
      <c r="M661" s="378">
        <f>SUM(M662:M673)</f>
        <v>306.72644034433961</v>
      </c>
      <c r="N661" s="379">
        <f>SUM(N662:N673)</f>
        <v>642.72727272727275</v>
      </c>
      <c r="O661" s="363" t="s">
        <v>1055</v>
      </c>
      <c r="P661" s="1356" t="s">
        <v>1470</v>
      </c>
      <c r="R661" s="378"/>
      <c r="S661" s="378"/>
      <c r="T661" s="378"/>
      <c r="U661" s="378"/>
      <c r="V661" s="378"/>
      <c r="W661" s="378"/>
      <c r="X661" s="378"/>
      <c r="Y661" s="378"/>
      <c r="Z661" s="378"/>
      <c r="AA661" s="378"/>
      <c r="AB661" s="378"/>
      <c r="AC661" s="378"/>
    </row>
    <row r="662" spans="1:29" outlineLevel="1" x14ac:dyDescent="0.2">
      <c r="A662" s="39"/>
      <c r="B662" s="36"/>
      <c r="C662" s="38" t="s">
        <v>1486</v>
      </c>
      <c r="D662" s="152"/>
      <c r="E662" s="400"/>
      <c r="F662" s="400"/>
      <c r="G662" s="400"/>
      <c r="H662" s="400"/>
      <c r="I662" s="62" t="str">
        <f t="shared" si="128"/>
        <v>kWh</v>
      </c>
      <c r="J662" s="249">
        <f t="shared" ref="J662:J674" si="170">INDEX(K662:N662,,_case_en)</f>
        <v>63.636363636363633</v>
      </c>
      <c r="K662" s="270">
        <f t="shared" ref="K662:N673" si="171">K305*(K613/(K613+K$642*K627))</f>
        <v>23.922070448680589</v>
      </c>
      <c r="L662" s="271">
        <f t="shared" si="171"/>
        <v>636.36363636363637</v>
      </c>
      <c r="M662" s="271">
        <f t="shared" si="171"/>
        <v>45.589183150235613</v>
      </c>
      <c r="N662" s="272">
        <f t="shared" si="171"/>
        <v>63.636363636363633</v>
      </c>
      <c r="O662" s="86"/>
      <c r="R662" s="271"/>
      <c r="S662" s="271"/>
      <c r="T662" s="271"/>
      <c r="U662" s="271"/>
      <c r="V662" s="271"/>
      <c r="W662" s="271"/>
      <c r="X662" s="271"/>
      <c r="Y662" s="271"/>
      <c r="Z662" s="271"/>
      <c r="AA662" s="271"/>
      <c r="AB662" s="271"/>
      <c r="AC662" s="271"/>
    </row>
    <row r="663" spans="1:29" outlineLevel="1" x14ac:dyDescent="0.2">
      <c r="A663" s="39"/>
      <c r="B663" s="36"/>
      <c r="C663" s="38" t="s">
        <v>1487</v>
      </c>
      <c r="D663" s="152"/>
      <c r="E663" s="400"/>
      <c r="F663" s="400"/>
      <c r="G663" s="400"/>
      <c r="H663" s="400"/>
      <c r="I663" s="62" t="str">
        <f t="shared" si="128"/>
        <v>kWh</v>
      </c>
      <c r="J663" s="249">
        <f t="shared" si="170"/>
        <v>63.636363636363633</v>
      </c>
      <c r="K663" s="270">
        <f t="shared" si="171"/>
        <v>23.517708106881916</v>
      </c>
      <c r="L663" s="271">
        <f t="shared" si="171"/>
        <v>636.36363636363637</v>
      </c>
      <c r="M663" s="271">
        <f t="shared" si="171"/>
        <v>44.506397531323422</v>
      </c>
      <c r="N663" s="272">
        <f t="shared" si="171"/>
        <v>63.636363636363633</v>
      </c>
      <c r="O663" s="86"/>
      <c r="R663" s="271"/>
      <c r="S663" s="271"/>
      <c r="T663" s="271"/>
      <c r="U663" s="271"/>
      <c r="V663" s="271"/>
      <c r="W663" s="271"/>
      <c r="X663" s="271"/>
      <c r="Y663" s="271"/>
      <c r="Z663" s="271"/>
      <c r="AA663" s="271"/>
      <c r="AB663" s="271"/>
      <c r="AC663" s="271"/>
    </row>
    <row r="664" spans="1:29" outlineLevel="1" x14ac:dyDescent="0.2">
      <c r="A664" s="39"/>
      <c r="B664" s="36"/>
      <c r="C664" s="38" t="s">
        <v>1488</v>
      </c>
      <c r="D664" s="152"/>
      <c r="E664" s="400"/>
      <c r="F664" s="400"/>
      <c r="G664" s="400"/>
      <c r="H664" s="400"/>
      <c r="I664" s="62" t="str">
        <f t="shared" si="128"/>
        <v>kWh</v>
      </c>
      <c r="J664" s="249">
        <f t="shared" si="170"/>
        <v>63.636363636363633</v>
      </c>
      <c r="K664" s="270">
        <f t="shared" si="171"/>
        <v>23.068126337757576</v>
      </c>
      <c r="L664" s="271">
        <f t="shared" si="171"/>
        <v>636.36363636363637</v>
      </c>
      <c r="M664" s="271">
        <f t="shared" si="171"/>
        <v>43.28358208955224</v>
      </c>
      <c r="N664" s="272">
        <f t="shared" si="171"/>
        <v>63.636363636363633</v>
      </c>
      <c r="O664" s="86"/>
      <c r="R664" s="271"/>
      <c r="S664" s="271"/>
      <c r="T664" s="271"/>
      <c r="U664" s="271"/>
      <c r="V664" s="271"/>
      <c r="W664" s="271"/>
      <c r="X664" s="271"/>
      <c r="Y664" s="271"/>
      <c r="Z664" s="271"/>
      <c r="AA664" s="271"/>
      <c r="AB664" s="271"/>
      <c r="AC664" s="271"/>
    </row>
    <row r="665" spans="1:29" outlineLevel="1" x14ac:dyDescent="0.2">
      <c r="A665" s="39"/>
      <c r="B665" s="36"/>
      <c r="C665" s="38" t="s">
        <v>1489</v>
      </c>
      <c r="D665" s="152"/>
      <c r="E665" s="400"/>
      <c r="F665" s="400"/>
      <c r="G665" s="400"/>
      <c r="H665" s="400"/>
      <c r="I665" s="62" t="str">
        <f t="shared" si="128"/>
        <v>kWh</v>
      </c>
      <c r="J665" s="249">
        <f t="shared" si="170"/>
        <v>63.636363636363633</v>
      </c>
      <c r="K665" s="270">
        <f t="shared" si="171"/>
        <v>23.355899419729205</v>
      </c>
      <c r="L665" s="271">
        <f t="shared" si="171"/>
        <v>636.36363636363637</v>
      </c>
      <c r="M665" s="271">
        <f t="shared" si="171"/>
        <v>42.304547232196818</v>
      </c>
      <c r="N665" s="272">
        <f t="shared" si="171"/>
        <v>63.636363636363633</v>
      </c>
      <c r="O665" s="86"/>
      <c r="R665" s="271"/>
      <c r="S665" s="271"/>
      <c r="T665" s="271"/>
      <c r="U665" s="271"/>
      <c r="V665" s="271"/>
      <c r="W665" s="271"/>
      <c r="X665" s="271"/>
      <c r="Y665" s="271"/>
      <c r="Z665" s="271"/>
      <c r="AA665" s="271"/>
      <c r="AB665" s="271"/>
      <c r="AC665" s="271"/>
    </row>
    <row r="666" spans="1:29" outlineLevel="1" x14ac:dyDescent="0.2">
      <c r="A666" s="39"/>
      <c r="B666" s="36"/>
      <c r="C666" s="38" t="s">
        <v>1490</v>
      </c>
      <c r="D666" s="152"/>
      <c r="E666" s="400"/>
      <c r="F666" s="400"/>
      <c r="G666" s="400"/>
      <c r="H666" s="400"/>
      <c r="I666" s="62" t="str">
        <f t="shared" si="128"/>
        <v>kWh</v>
      </c>
      <c r="J666" s="249">
        <f t="shared" si="170"/>
        <v>38.181818181818187</v>
      </c>
      <c r="K666" s="270">
        <f t="shared" si="171"/>
        <v>0</v>
      </c>
      <c r="L666" s="271">
        <f t="shared" si="171"/>
        <v>424.24242424242419</v>
      </c>
      <c r="M666" s="271">
        <f t="shared" si="171"/>
        <v>0</v>
      </c>
      <c r="N666" s="272">
        <f t="shared" si="171"/>
        <v>38.181818181818187</v>
      </c>
      <c r="O666" s="86"/>
      <c r="R666" s="271"/>
      <c r="S666" s="271"/>
      <c r="T666" s="271"/>
      <c r="U666" s="271"/>
      <c r="V666" s="271"/>
      <c r="W666" s="271"/>
      <c r="X666" s="271"/>
      <c r="Y666" s="271"/>
      <c r="Z666" s="271"/>
      <c r="AA666" s="271"/>
      <c r="AB666" s="271"/>
      <c r="AC666" s="271"/>
    </row>
    <row r="667" spans="1:29" outlineLevel="1" x14ac:dyDescent="0.2">
      <c r="A667" s="39"/>
      <c r="B667" s="36"/>
      <c r="C667" s="38" t="s">
        <v>1491</v>
      </c>
      <c r="D667" s="152"/>
      <c r="E667" s="400"/>
      <c r="F667" s="400"/>
      <c r="G667" s="400"/>
      <c r="H667" s="400"/>
      <c r="I667" s="62" t="str">
        <f t="shared" ref="I667:I831" si="172">+_En_unit</f>
        <v>kWh</v>
      </c>
      <c r="J667" s="249">
        <f t="shared" si="170"/>
        <v>25.454545454545453</v>
      </c>
      <c r="K667" s="270">
        <f t="shared" si="171"/>
        <v>0</v>
      </c>
      <c r="L667" s="271">
        <f t="shared" si="171"/>
        <v>424.24242424242419</v>
      </c>
      <c r="M667" s="271">
        <f t="shared" si="171"/>
        <v>0</v>
      </c>
      <c r="N667" s="272">
        <f t="shared" si="171"/>
        <v>25.454545454545453</v>
      </c>
      <c r="O667" s="86"/>
      <c r="R667" s="271"/>
      <c r="S667" s="271"/>
      <c r="T667" s="271"/>
      <c r="U667" s="271"/>
      <c r="V667" s="271"/>
      <c r="W667" s="271"/>
      <c r="X667" s="271"/>
      <c r="Y667" s="271"/>
      <c r="Z667" s="271"/>
      <c r="AA667" s="271"/>
      <c r="AB667" s="271"/>
      <c r="AC667" s="271"/>
    </row>
    <row r="668" spans="1:29" outlineLevel="1" x14ac:dyDescent="0.2">
      <c r="A668" s="39"/>
      <c r="B668" s="36"/>
      <c r="C668" s="38" t="s">
        <v>1492</v>
      </c>
      <c r="D668" s="152"/>
      <c r="E668" s="400"/>
      <c r="F668" s="400"/>
      <c r="G668" s="400"/>
      <c r="H668" s="400"/>
      <c r="I668" s="62" t="str">
        <f t="shared" si="172"/>
        <v>kWh</v>
      </c>
      <c r="J668" s="249">
        <f t="shared" si="170"/>
        <v>31.818181818181817</v>
      </c>
      <c r="K668" s="270">
        <f t="shared" si="171"/>
        <v>0</v>
      </c>
      <c r="L668" s="271">
        <f t="shared" si="171"/>
        <v>424.24242424242419</v>
      </c>
      <c r="M668" s="271">
        <f t="shared" si="171"/>
        <v>0</v>
      </c>
      <c r="N668" s="272">
        <f t="shared" si="171"/>
        <v>31.818181818181817</v>
      </c>
      <c r="O668" s="86"/>
      <c r="R668" s="271"/>
      <c r="S668" s="271"/>
      <c r="T668" s="271"/>
      <c r="U668" s="271"/>
      <c r="V668" s="271"/>
      <c r="W668" s="271"/>
      <c r="X668" s="271"/>
      <c r="Y668" s="271"/>
      <c r="Z668" s="271"/>
      <c r="AA668" s="271"/>
      <c r="AB668" s="271"/>
      <c r="AC668" s="271"/>
    </row>
    <row r="669" spans="1:29" outlineLevel="1" x14ac:dyDescent="0.2">
      <c r="A669" s="39"/>
      <c r="B669" s="36"/>
      <c r="C669" s="38" t="s">
        <v>1493</v>
      </c>
      <c r="D669" s="152"/>
      <c r="E669" s="400"/>
      <c r="F669" s="400"/>
      <c r="G669" s="400"/>
      <c r="H669" s="400"/>
      <c r="I669" s="62" t="str">
        <f t="shared" si="172"/>
        <v>kWh</v>
      </c>
      <c r="J669" s="249">
        <f t="shared" si="170"/>
        <v>38.181818181818187</v>
      </c>
      <c r="K669" s="270">
        <f t="shared" si="171"/>
        <v>0</v>
      </c>
      <c r="L669" s="271">
        <f t="shared" si="171"/>
        <v>424.24242424242419</v>
      </c>
      <c r="M669" s="271">
        <f t="shared" si="171"/>
        <v>0</v>
      </c>
      <c r="N669" s="272">
        <f t="shared" si="171"/>
        <v>38.181818181818187</v>
      </c>
      <c r="O669" s="86"/>
      <c r="R669" s="271"/>
      <c r="S669" s="271"/>
      <c r="T669" s="271"/>
      <c r="U669" s="271"/>
      <c r="V669" s="271"/>
      <c r="W669" s="271"/>
      <c r="X669" s="271"/>
      <c r="Y669" s="271"/>
      <c r="Z669" s="271"/>
      <c r="AA669" s="271"/>
      <c r="AB669" s="271"/>
      <c r="AC669" s="271"/>
    </row>
    <row r="670" spans="1:29" outlineLevel="1" x14ac:dyDescent="0.2">
      <c r="A670" s="39"/>
      <c r="B670" s="36"/>
      <c r="C670" s="38" t="s">
        <v>1494</v>
      </c>
      <c r="D670" s="152"/>
      <c r="E670" s="400"/>
      <c r="F670" s="400"/>
      <c r="G670" s="400"/>
      <c r="H670" s="400"/>
      <c r="I670" s="62" t="str">
        <f t="shared" si="172"/>
        <v>kWh</v>
      </c>
      <c r="J670" s="249">
        <f t="shared" si="170"/>
        <v>63.636363636363633</v>
      </c>
      <c r="K670" s="270">
        <f t="shared" si="171"/>
        <v>23.947264856355766</v>
      </c>
      <c r="L670" s="271">
        <f t="shared" si="171"/>
        <v>424.24242424242419</v>
      </c>
      <c r="M670" s="271">
        <f t="shared" si="171"/>
        <v>0</v>
      </c>
      <c r="N670" s="272">
        <f t="shared" si="171"/>
        <v>63.636363636363633</v>
      </c>
      <c r="O670" s="86"/>
      <c r="R670" s="271"/>
      <c r="S670" s="271"/>
      <c r="T670" s="271"/>
      <c r="U670" s="271"/>
      <c r="V670" s="271"/>
      <c r="W670" s="271"/>
      <c r="X670" s="271"/>
      <c r="Y670" s="271"/>
      <c r="Z670" s="271"/>
      <c r="AA670" s="271"/>
      <c r="AB670" s="271"/>
      <c r="AC670" s="271"/>
    </row>
    <row r="671" spans="1:29" outlineLevel="1" x14ac:dyDescent="0.2">
      <c r="A671" s="39"/>
      <c r="B671" s="36"/>
      <c r="C671" s="38" t="s">
        <v>1495</v>
      </c>
      <c r="D671" s="152"/>
      <c r="E671" s="400"/>
      <c r="F671" s="400"/>
      <c r="G671" s="400"/>
      <c r="H671" s="400"/>
      <c r="I671" s="62" t="str">
        <f t="shared" si="172"/>
        <v>kWh</v>
      </c>
      <c r="J671" s="249">
        <f t="shared" si="170"/>
        <v>63.636363636363633</v>
      </c>
      <c r="K671" s="270">
        <f t="shared" si="171"/>
        <v>22.685960296579768</v>
      </c>
      <c r="L671" s="271">
        <f t="shared" si="171"/>
        <v>636.36363636363637</v>
      </c>
      <c r="M671" s="271">
        <f t="shared" si="171"/>
        <v>42.257965998167563</v>
      </c>
      <c r="N671" s="272">
        <f t="shared" si="171"/>
        <v>63.636363636363633</v>
      </c>
      <c r="O671" s="86"/>
      <c r="R671" s="271"/>
      <c r="S671" s="271"/>
      <c r="T671" s="271"/>
      <c r="U671" s="271"/>
      <c r="V671" s="271"/>
      <c r="W671" s="271"/>
      <c r="X671" s="271"/>
      <c r="Y671" s="271"/>
      <c r="Z671" s="271"/>
      <c r="AA671" s="271"/>
      <c r="AB671" s="271"/>
      <c r="AC671" s="271"/>
    </row>
    <row r="672" spans="1:29" outlineLevel="1" x14ac:dyDescent="0.2">
      <c r="A672" s="39"/>
      <c r="B672" s="36"/>
      <c r="C672" s="38" t="s">
        <v>1496</v>
      </c>
      <c r="D672" s="152"/>
      <c r="E672" s="400"/>
      <c r="F672" s="400"/>
      <c r="G672" s="400"/>
      <c r="H672" s="400"/>
      <c r="I672" s="62" t="str">
        <f t="shared" si="172"/>
        <v>kWh</v>
      </c>
      <c r="J672" s="249">
        <f t="shared" si="170"/>
        <v>63.636363636363633</v>
      </c>
      <c r="K672" s="270">
        <f t="shared" si="171"/>
        <v>23.345301788023274</v>
      </c>
      <c r="L672" s="271">
        <f t="shared" si="171"/>
        <v>636.36363636363637</v>
      </c>
      <c r="M672" s="271">
        <f t="shared" si="171"/>
        <v>44.044054706080374</v>
      </c>
      <c r="N672" s="272">
        <f t="shared" si="171"/>
        <v>63.636363636363633</v>
      </c>
      <c r="O672" s="86"/>
      <c r="R672" s="271"/>
      <c r="S672" s="271"/>
      <c r="T672" s="271"/>
      <c r="U672" s="271"/>
      <c r="V672" s="271"/>
      <c r="W672" s="271"/>
      <c r="X672" s="271"/>
      <c r="Y672" s="271"/>
      <c r="Z672" s="271"/>
      <c r="AA672" s="271"/>
      <c r="AB672" s="271"/>
      <c r="AC672" s="271"/>
    </row>
    <row r="673" spans="1:30" ht="13.5" outlineLevel="1" thickBot="1" x14ac:dyDescent="0.25">
      <c r="A673" s="39"/>
      <c r="B673" s="263"/>
      <c r="C673" s="38" t="s">
        <v>1497</v>
      </c>
      <c r="D673" s="222"/>
      <c r="E673" s="403"/>
      <c r="F673" s="403"/>
      <c r="G673" s="403"/>
      <c r="H673" s="403"/>
      <c r="I673" s="223" t="str">
        <f t="shared" si="172"/>
        <v>kWh</v>
      </c>
      <c r="J673" s="250">
        <f t="shared" si="170"/>
        <v>63.636363636363633</v>
      </c>
      <c r="K673" s="277">
        <f t="shared" si="171"/>
        <v>23.602967002220488</v>
      </c>
      <c r="L673" s="278">
        <f t="shared" si="171"/>
        <v>636.36363636363637</v>
      </c>
      <c r="M673" s="278">
        <f t="shared" si="171"/>
        <v>44.740709636783535</v>
      </c>
      <c r="N673" s="279">
        <f t="shared" si="171"/>
        <v>63.636363636363633</v>
      </c>
      <c r="O673" s="280"/>
      <c r="R673" s="278"/>
      <c r="S673" s="278"/>
      <c r="T673" s="278"/>
      <c r="U673" s="278"/>
      <c r="V673" s="278"/>
      <c r="W673" s="278"/>
      <c r="X673" s="278"/>
      <c r="Y673" s="278"/>
      <c r="Z673" s="278"/>
      <c r="AA673" s="278"/>
      <c r="AB673" s="278"/>
      <c r="AC673" s="278"/>
    </row>
    <row r="674" spans="1:30" ht="24.75" customHeight="1" x14ac:dyDescent="0.2">
      <c r="A674" s="39"/>
      <c r="B674" s="380" t="str">
        <f>INDEX(Language!$D$247:$M$247,1,_language)</f>
        <v>Valid on-site electric energy for EPBD uses</v>
      </c>
      <c r="C674" s="381" t="s">
        <v>1052</v>
      </c>
      <c r="D674" s="275"/>
      <c r="E674" s="409"/>
      <c r="F674" s="409"/>
      <c r="G674" s="409"/>
      <c r="H674" s="409"/>
      <c r="I674" s="382" t="str">
        <f t="shared" si="172"/>
        <v>kWh</v>
      </c>
      <c r="J674" s="372">
        <f t="shared" si="170"/>
        <v>2847.727272727273</v>
      </c>
      <c r="K674" s="373">
        <f>+K660+K646</f>
        <v>8532.7700096095869</v>
      </c>
      <c r="L674" s="374">
        <f>+L660+L646</f>
        <v>10250.757575757574</v>
      </c>
      <c r="M674" s="374">
        <f>+M660+M646</f>
        <v>5288.3587550933426</v>
      </c>
      <c r="N674" s="375">
        <f>+N660+N646</f>
        <v>2847.727272727273</v>
      </c>
      <c r="O674" s="355"/>
      <c r="R674" s="374"/>
      <c r="S674" s="374"/>
      <c r="T674" s="374"/>
      <c r="U674" s="374"/>
      <c r="V674" s="374"/>
      <c r="W674" s="374"/>
      <c r="X674" s="374"/>
      <c r="Y674" s="374"/>
      <c r="Z674" s="374"/>
      <c r="AA674" s="374"/>
      <c r="AB674" s="374"/>
      <c r="AC674" s="374"/>
    </row>
    <row r="675" spans="1:30" x14ac:dyDescent="0.2">
      <c r="A675" s="39"/>
      <c r="B675" s="383"/>
      <c r="C675" s="384" t="s">
        <v>1053</v>
      </c>
      <c r="D675" s="358"/>
      <c r="E675" s="410"/>
      <c r="F675" s="410"/>
      <c r="G675" s="410"/>
      <c r="H675" s="410"/>
      <c r="I675" s="385" t="str">
        <f t="shared" si="172"/>
        <v>kWh</v>
      </c>
      <c r="J675" s="376">
        <f>SUM(J676:J687)</f>
        <v>2847.7272727272725</v>
      </c>
      <c r="K675" s="377">
        <f>SUM(K676:K687)</f>
        <v>8577.4196136835963</v>
      </c>
      <c r="L675" s="378">
        <f>SUM(L676:L687)</f>
        <v>10250.757575757574</v>
      </c>
      <c r="M675" s="378">
        <f>SUM(M676:M687)</f>
        <v>5222.6659964716609</v>
      </c>
      <c r="N675" s="379">
        <f>SUM(N676:N687)</f>
        <v>2847.7272727272725</v>
      </c>
      <c r="O675" s="363"/>
      <c r="R675" s="378"/>
      <c r="S675" s="378"/>
      <c r="T675" s="378"/>
      <c r="U675" s="378"/>
      <c r="V675" s="378"/>
      <c r="W675" s="378"/>
      <c r="X675" s="378"/>
      <c r="Y675" s="378"/>
      <c r="Z675" s="378"/>
      <c r="AA675" s="378"/>
      <c r="AB675" s="378"/>
      <c r="AC675" s="378"/>
    </row>
    <row r="676" spans="1:30" outlineLevel="1" x14ac:dyDescent="0.2">
      <c r="A676" s="39"/>
      <c r="B676" s="36"/>
      <c r="C676" s="38" t="s">
        <v>1040</v>
      </c>
      <c r="D676" s="152"/>
      <c r="E676" s="400"/>
      <c r="F676" s="400"/>
      <c r="G676" s="400"/>
      <c r="H676" s="400"/>
      <c r="I676" s="62" t="str">
        <f t="shared" si="172"/>
        <v>kWh</v>
      </c>
      <c r="J676" s="249">
        <f t="shared" ref="J676:J688" si="173">INDEX(K676:N676,,_case_en)</f>
        <v>108.63636363636363</v>
      </c>
      <c r="K676" s="270">
        <f t="shared" ref="K676:N687" si="174">+K662+K648</f>
        <v>193.08528290720761</v>
      </c>
      <c r="L676" s="271">
        <f t="shared" si="174"/>
        <v>711.36363636363637</v>
      </c>
      <c r="M676" s="271">
        <f t="shared" si="174"/>
        <v>153.049400575791</v>
      </c>
      <c r="N676" s="272">
        <f t="shared" si="174"/>
        <v>108.63636363636363</v>
      </c>
      <c r="O676" s="86"/>
      <c r="P676" s="1356" t="s">
        <v>1498</v>
      </c>
      <c r="R676" s="271"/>
      <c r="S676" s="271"/>
      <c r="T676" s="271"/>
      <c r="U676" s="271"/>
      <c r="V676" s="271"/>
      <c r="W676" s="271"/>
      <c r="X676" s="271"/>
      <c r="Y676" s="271"/>
      <c r="Z676" s="271"/>
      <c r="AA676" s="271"/>
      <c r="AB676" s="271"/>
      <c r="AC676" s="271"/>
    </row>
    <row r="677" spans="1:30" outlineLevel="1" x14ac:dyDescent="0.2">
      <c r="A677" s="39"/>
      <c r="B677" s="36"/>
      <c r="C677" s="38" t="s">
        <v>1041</v>
      </c>
      <c r="D677" s="152"/>
      <c r="E677" s="400"/>
      <c r="F677" s="400"/>
      <c r="G677" s="400"/>
      <c r="H677" s="400"/>
      <c r="I677" s="62" t="str">
        <f t="shared" si="172"/>
        <v>kWh</v>
      </c>
      <c r="J677" s="249">
        <f t="shared" si="173"/>
        <v>123.63636363636363</v>
      </c>
      <c r="K677" s="270">
        <f t="shared" si="174"/>
        <v>245.25609882891143</v>
      </c>
      <c r="L677" s="271">
        <f t="shared" si="174"/>
        <v>736.36363636363637</v>
      </c>
      <c r="M677" s="271">
        <f t="shared" si="174"/>
        <v>184.38364691548276</v>
      </c>
      <c r="N677" s="272">
        <f t="shared" si="174"/>
        <v>123.63636363636363</v>
      </c>
      <c r="O677" s="86"/>
      <c r="P677" s="1356" t="s">
        <v>1499</v>
      </c>
      <c r="R677" s="271"/>
      <c r="S677" s="271"/>
      <c r="T677" s="271"/>
      <c r="U677" s="271"/>
      <c r="V677" s="271"/>
      <c r="W677" s="271"/>
      <c r="X677" s="271"/>
      <c r="Y677" s="271"/>
      <c r="Z677" s="271"/>
      <c r="AA677" s="271"/>
      <c r="AB677" s="271"/>
      <c r="AC677" s="271"/>
    </row>
    <row r="678" spans="1:30" outlineLevel="1" x14ac:dyDescent="0.2">
      <c r="A678" s="39"/>
      <c r="B678" s="36"/>
      <c r="C678" s="38" t="s">
        <v>1042</v>
      </c>
      <c r="D678" s="152"/>
      <c r="E678" s="400"/>
      <c r="F678" s="400"/>
      <c r="G678" s="400"/>
      <c r="H678" s="400"/>
      <c r="I678" s="62" t="str">
        <f t="shared" si="172"/>
        <v>kWh</v>
      </c>
      <c r="J678" s="249">
        <f t="shared" si="173"/>
        <v>213.63636363636363</v>
      </c>
      <c r="K678" s="270">
        <f t="shared" si="174"/>
        <v>566.81681858490049</v>
      </c>
      <c r="L678" s="271">
        <f t="shared" si="174"/>
        <v>886.36363636363637</v>
      </c>
      <c r="M678" s="271">
        <f t="shared" si="174"/>
        <v>383.36886993603412</v>
      </c>
      <c r="N678" s="272">
        <f t="shared" si="174"/>
        <v>213.63636363636363</v>
      </c>
      <c r="O678" s="86"/>
      <c r="P678" s="1356" t="s">
        <v>1500</v>
      </c>
      <c r="R678" s="271"/>
      <c r="S678" s="271"/>
      <c r="T678" s="271"/>
      <c r="U678" s="271"/>
      <c r="V678" s="271"/>
      <c r="W678" s="271"/>
      <c r="X678" s="271"/>
      <c r="Y678" s="271"/>
      <c r="Z678" s="271"/>
      <c r="AA678" s="271"/>
      <c r="AB678" s="271"/>
      <c r="AC678" s="271"/>
    </row>
    <row r="679" spans="1:30" outlineLevel="1" x14ac:dyDescent="0.2">
      <c r="A679" s="39"/>
      <c r="B679" s="36"/>
      <c r="C679" s="38" t="s">
        <v>1043</v>
      </c>
      <c r="D679" s="152"/>
      <c r="E679" s="400"/>
      <c r="F679" s="400"/>
      <c r="G679" s="400"/>
      <c r="H679" s="400"/>
      <c r="I679" s="62" t="str">
        <f t="shared" si="172"/>
        <v>kWh</v>
      </c>
      <c r="J679" s="249">
        <f t="shared" si="173"/>
        <v>273.63636363636363</v>
      </c>
      <c r="K679" s="270">
        <f t="shared" si="174"/>
        <v>794.1005802707931</v>
      </c>
      <c r="L679" s="271">
        <f t="shared" si="174"/>
        <v>986.36363636363637</v>
      </c>
      <c r="M679" s="271">
        <f t="shared" si="174"/>
        <v>507.65456678636184</v>
      </c>
      <c r="N679" s="272">
        <f t="shared" si="174"/>
        <v>273.63636363636363</v>
      </c>
      <c r="O679" s="86"/>
      <c r="P679" s="1356" t="s">
        <v>1501</v>
      </c>
      <c r="R679" s="271"/>
      <c r="S679" s="271"/>
      <c r="T679" s="271"/>
      <c r="U679" s="271"/>
      <c r="V679" s="271"/>
      <c r="W679" s="271"/>
      <c r="X679" s="271"/>
      <c r="Y679" s="271"/>
      <c r="Z679" s="271"/>
      <c r="AA679" s="271"/>
      <c r="AB679" s="271"/>
      <c r="AC679" s="271"/>
    </row>
    <row r="680" spans="1:30" outlineLevel="1" x14ac:dyDescent="0.2">
      <c r="A680" s="39"/>
      <c r="B680" s="36"/>
      <c r="C680" s="38" t="s">
        <v>1044</v>
      </c>
      <c r="D680" s="152"/>
      <c r="E680" s="400"/>
      <c r="F680" s="400"/>
      <c r="G680" s="400"/>
      <c r="H680" s="400"/>
      <c r="I680" s="62" t="str">
        <f t="shared" si="172"/>
        <v>kWh</v>
      </c>
      <c r="J680" s="249">
        <f t="shared" si="173"/>
        <v>293.18181818181819</v>
      </c>
      <c r="K680" s="270">
        <f t="shared" si="174"/>
        <v>947.51712328767121</v>
      </c>
      <c r="L680" s="271">
        <f t="shared" si="174"/>
        <v>849.24242424242425</v>
      </c>
      <c r="M680" s="271">
        <f t="shared" si="174"/>
        <v>552.24194301728153</v>
      </c>
      <c r="N680" s="272">
        <f t="shared" si="174"/>
        <v>293.18181818181819</v>
      </c>
      <c r="O680" s="86"/>
      <c r="R680" s="271"/>
      <c r="S680" s="271"/>
      <c r="T680" s="271"/>
      <c r="U680" s="271"/>
      <c r="V680" s="271"/>
      <c r="W680" s="271"/>
      <c r="X680" s="271"/>
      <c r="Y680" s="271"/>
      <c r="Z680" s="271"/>
      <c r="AA680" s="271"/>
      <c r="AB680" s="271"/>
      <c r="AC680" s="271"/>
    </row>
    <row r="681" spans="1:30" outlineLevel="1" x14ac:dyDescent="0.2">
      <c r="A681" s="39"/>
      <c r="B681" s="36"/>
      <c r="C681" s="38" t="s">
        <v>1045</v>
      </c>
      <c r="D681" s="152"/>
      <c r="E681" s="400"/>
      <c r="F681" s="400"/>
      <c r="G681" s="400"/>
      <c r="H681" s="400"/>
      <c r="I681" s="62" t="str">
        <f t="shared" si="172"/>
        <v>kWh</v>
      </c>
      <c r="J681" s="249">
        <f t="shared" si="173"/>
        <v>310.45454545454544</v>
      </c>
      <c r="K681" s="270">
        <f t="shared" si="174"/>
        <v>1130.1724137931033</v>
      </c>
      <c r="L681" s="271">
        <f t="shared" si="174"/>
        <v>899.24242424242425</v>
      </c>
      <c r="M681" s="271">
        <f t="shared" si="174"/>
        <v>631.91964285714289</v>
      </c>
      <c r="N681" s="272">
        <f t="shared" si="174"/>
        <v>310.45454545454544</v>
      </c>
      <c r="O681" s="86"/>
      <c r="R681" s="271"/>
      <c r="S681" s="271"/>
      <c r="T681" s="271"/>
      <c r="U681" s="271"/>
      <c r="V681" s="271"/>
      <c r="W681" s="271"/>
      <c r="X681" s="271"/>
      <c r="Y681" s="271"/>
      <c r="Z681" s="271"/>
      <c r="AA681" s="271"/>
      <c r="AB681" s="271"/>
      <c r="AC681" s="271"/>
    </row>
    <row r="682" spans="1:30" outlineLevel="1" x14ac:dyDescent="0.2">
      <c r="A682" s="39"/>
      <c r="B682" s="36"/>
      <c r="C682" s="38" t="s">
        <v>1046</v>
      </c>
      <c r="D682" s="152"/>
      <c r="E682" s="400"/>
      <c r="F682" s="400"/>
      <c r="G682" s="400"/>
      <c r="H682" s="400"/>
      <c r="I682" s="62" t="str">
        <f t="shared" si="172"/>
        <v>kWh</v>
      </c>
      <c r="J682" s="249">
        <f t="shared" si="173"/>
        <v>331.81818181818181</v>
      </c>
      <c r="K682" s="270">
        <f t="shared" si="174"/>
        <v>1208.5492227979273</v>
      </c>
      <c r="L682" s="271">
        <f t="shared" si="174"/>
        <v>924.24242424242425</v>
      </c>
      <c r="M682" s="271">
        <f t="shared" si="174"/>
        <v>670.03959524857021</v>
      </c>
      <c r="N682" s="272">
        <f t="shared" si="174"/>
        <v>331.81818181818181</v>
      </c>
      <c r="O682" s="86"/>
      <c r="R682" s="271"/>
      <c r="S682" s="271"/>
      <c r="T682" s="271"/>
      <c r="U682" s="271"/>
      <c r="V682" s="271"/>
      <c r="W682" s="271"/>
      <c r="X682" s="271"/>
      <c r="Y682" s="271"/>
      <c r="Z682" s="271"/>
      <c r="AA682" s="271"/>
      <c r="AB682" s="271"/>
      <c r="AC682" s="271"/>
    </row>
    <row r="683" spans="1:30" outlineLevel="1" x14ac:dyDescent="0.2">
      <c r="A683" s="39"/>
      <c r="B683" s="36"/>
      <c r="C683" s="38" t="s">
        <v>1047</v>
      </c>
      <c r="D683" s="152"/>
      <c r="E683" s="400"/>
      <c r="F683" s="400"/>
      <c r="G683" s="400"/>
      <c r="H683" s="400"/>
      <c r="I683" s="62" t="str">
        <f t="shared" si="172"/>
        <v>kWh</v>
      </c>
      <c r="J683" s="249">
        <f t="shared" si="173"/>
        <v>308.18181818181819</v>
      </c>
      <c r="K683" s="270">
        <f t="shared" si="174"/>
        <v>1079.4589178356714</v>
      </c>
      <c r="L683" s="271">
        <f t="shared" si="174"/>
        <v>874.24242424242425</v>
      </c>
      <c r="M683" s="271">
        <f t="shared" si="174"/>
        <v>600.86417017504994</v>
      </c>
      <c r="N683" s="272">
        <f t="shared" si="174"/>
        <v>308.18181818181819</v>
      </c>
      <c r="O683" s="86"/>
      <c r="R683" s="271"/>
      <c r="S683" s="271"/>
      <c r="T683" s="271"/>
      <c r="U683" s="271"/>
      <c r="V683" s="271"/>
      <c r="W683" s="271"/>
      <c r="X683" s="271"/>
      <c r="Y683" s="271"/>
      <c r="Z683" s="271"/>
      <c r="AA683" s="271"/>
      <c r="AB683" s="271"/>
      <c r="AC683" s="271"/>
    </row>
    <row r="684" spans="1:30" outlineLevel="1" x14ac:dyDescent="0.2">
      <c r="A684" s="39"/>
      <c r="B684" s="36"/>
      <c r="C684" s="38" t="s">
        <v>1048</v>
      </c>
      <c r="D684" s="152"/>
      <c r="E684" s="400"/>
      <c r="F684" s="400"/>
      <c r="G684" s="400"/>
      <c r="H684" s="400"/>
      <c r="I684" s="62" t="str">
        <f t="shared" si="172"/>
        <v>kWh</v>
      </c>
      <c r="J684" s="249">
        <f t="shared" si="173"/>
        <v>303.63636363636363</v>
      </c>
      <c r="K684" s="270">
        <f t="shared" si="174"/>
        <v>927.1012537246304</v>
      </c>
      <c r="L684" s="271">
        <f t="shared" si="174"/>
        <v>824.24242424242425</v>
      </c>
      <c r="M684" s="271">
        <f t="shared" si="174"/>
        <v>521.90034762456548</v>
      </c>
      <c r="N684" s="272">
        <f t="shared" si="174"/>
        <v>303.63636363636363</v>
      </c>
      <c r="O684" s="86"/>
      <c r="R684" s="271"/>
      <c r="S684" s="271"/>
      <c r="T684" s="271"/>
      <c r="U684" s="271"/>
      <c r="V684" s="271"/>
      <c r="W684" s="271"/>
      <c r="X684" s="271"/>
      <c r="Y684" s="271"/>
      <c r="Z684" s="271"/>
      <c r="AA684" s="271"/>
      <c r="AB684" s="271"/>
      <c r="AC684" s="271"/>
    </row>
    <row r="685" spans="1:30" outlineLevel="1" x14ac:dyDescent="0.2">
      <c r="A685" s="39"/>
      <c r="B685" s="36"/>
      <c r="C685" s="38" t="s">
        <v>1049</v>
      </c>
      <c r="D685" s="152"/>
      <c r="E685" s="400"/>
      <c r="F685" s="400"/>
      <c r="G685" s="400"/>
      <c r="H685" s="400"/>
      <c r="I685" s="62" t="str">
        <f t="shared" si="172"/>
        <v>kWh</v>
      </c>
      <c r="J685" s="249">
        <f t="shared" si="173"/>
        <v>243.63636363636363</v>
      </c>
      <c r="K685" s="270">
        <f t="shared" si="174"/>
        <v>664.37455154269321</v>
      </c>
      <c r="L685" s="271">
        <f t="shared" si="174"/>
        <v>936.36363636363637</v>
      </c>
      <c r="M685" s="271">
        <f t="shared" si="174"/>
        <v>440.69021683803317</v>
      </c>
      <c r="N685" s="272">
        <f t="shared" si="174"/>
        <v>243.63636363636363</v>
      </c>
      <c r="O685" s="86"/>
      <c r="R685" s="271"/>
      <c r="S685" s="271"/>
      <c r="T685" s="271"/>
      <c r="U685" s="271"/>
      <c r="V685" s="271"/>
      <c r="W685" s="271"/>
      <c r="X685" s="271"/>
      <c r="Y685" s="271"/>
      <c r="Z685" s="271"/>
      <c r="AA685" s="271"/>
      <c r="AB685" s="271"/>
      <c r="AC685" s="271"/>
    </row>
    <row r="686" spans="1:30" outlineLevel="1" x14ac:dyDescent="0.2">
      <c r="A686" s="39"/>
      <c r="B686" s="36"/>
      <c r="C686" s="38" t="s">
        <v>1050</v>
      </c>
      <c r="D686" s="152"/>
      <c r="E686" s="400"/>
      <c r="F686" s="400"/>
      <c r="G686" s="400"/>
      <c r="H686" s="400"/>
      <c r="I686" s="62" t="str">
        <f t="shared" si="172"/>
        <v>kWh</v>
      </c>
      <c r="J686" s="249">
        <f t="shared" si="173"/>
        <v>183.63636363636363</v>
      </c>
      <c r="K686" s="270">
        <f t="shared" si="174"/>
        <v>463.57099264789076</v>
      </c>
      <c r="L686" s="271">
        <f t="shared" si="174"/>
        <v>836.36363636363637</v>
      </c>
      <c r="M686" s="271">
        <f t="shared" si="174"/>
        <v>320.89239857287129</v>
      </c>
      <c r="N686" s="272">
        <f t="shared" si="174"/>
        <v>183.63636363636363</v>
      </c>
      <c r="O686" s="86"/>
      <c r="R686" s="271"/>
      <c r="S686" s="271"/>
      <c r="T686" s="271"/>
      <c r="U686" s="271"/>
      <c r="V686" s="271"/>
      <c r="W686" s="271"/>
      <c r="X686" s="271"/>
      <c r="Y686" s="271"/>
      <c r="Z686" s="271"/>
      <c r="AA686" s="271"/>
      <c r="AB686" s="271"/>
      <c r="AC686" s="271"/>
    </row>
    <row r="687" spans="1:30" ht="13.5" outlineLevel="1" thickBot="1" x14ac:dyDescent="0.25">
      <c r="A687" s="39"/>
      <c r="B687" s="263"/>
      <c r="C687" s="38" t="s">
        <v>1051</v>
      </c>
      <c r="D687" s="222"/>
      <c r="E687" s="403"/>
      <c r="F687" s="403"/>
      <c r="G687" s="403"/>
      <c r="H687" s="403"/>
      <c r="I687" s="223" t="str">
        <f t="shared" si="172"/>
        <v>kWh</v>
      </c>
      <c r="J687" s="250">
        <f t="shared" si="173"/>
        <v>153.63636363636363</v>
      </c>
      <c r="K687" s="277">
        <f t="shared" si="174"/>
        <v>357.416357462196</v>
      </c>
      <c r="L687" s="278">
        <f t="shared" si="174"/>
        <v>786.36363636363637</v>
      </c>
      <c r="M687" s="278">
        <f t="shared" si="174"/>
        <v>255.66119792447739</v>
      </c>
      <c r="N687" s="279">
        <f t="shared" si="174"/>
        <v>153.63636363636363</v>
      </c>
      <c r="O687" s="280"/>
      <c r="R687" s="278"/>
      <c r="S687" s="278"/>
      <c r="T687" s="278"/>
      <c r="U687" s="278"/>
      <c r="V687" s="278"/>
      <c r="W687" s="278"/>
      <c r="X687" s="278"/>
      <c r="Y687" s="278"/>
      <c r="Z687" s="278"/>
      <c r="AA687" s="278"/>
      <c r="AB687" s="278"/>
      <c r="AC687" s="278"/>
    </row>
    <row r="688" spans="1:30" ht="14.25" customHeight="1" x14ac:dyDescent="0.2">
      <c r="A688" s="39"/>
      <c r="B688" s="380" t="str">
        <f>INDEX(Language!$D$248:$M$248,1,_language)</f>
        <v>On site electricity used in the same time step</v>
      </c>
      <c r="C688" s="381" t="s">
        <v>1515</v>
      </c>
      <c r="D688" s="275"/>
      <c r="E688" s="409"/>
      <c r="F688" s="409"/>
      <c r="G688" s="409"/>
      <c r="H688" s="409"/>
      <c r="I688" s="382" t="str">
        <f t="shared" si="172"/>
        <v>kWh</v>
      </c>
      <c r="J688" s="921">
        <f t="shared" si="173"/>
        <v>2327.439523809524</v>
      </c>
      <c r="K688" s="922">
        <f>MIN(K674,K611)</f>
        <v>7455.5231884057976</v>
      </c>
      <c r="L688" s="923">
        <f>MIN(L674,L611)</f>
        <v>7247.9722222222208</v>
      </c>
      <c r="M688" s="923">
        <f>MIN(M674,M611)</f>
        <v>5062.4555555555562</v>
      </c>
      <c r="N688" s="924">
        <f>MIN(N674,N611)</f>
        <v>2327.439523809524</v>
      </c>
      <c r="O688" s="355"/>
      <c r="R688" s="374"/>
      <c r="S688" s="374"/>
      <c r="T688" s="374"/>
      <c r="U688" s="374"/>
      <c r="V688" s="374"/>
      <c r="W688" s="374"/>
      <c r="X688" s="374"/>
      <c r="Y688" s="374"/>
      <c r="Z688" s="374"/>
      <c r="AA688" s="374"/>
      <c r="AB688" s="374"/>
      <c r="AC688" s="374"/>
      <c r="AD688" s="1635"/>
    </row>
    <row r="689" spans="1:30" x14ac:dyDescent="0.2">
      <c r="A689" s="39"/>
      <c r="B689" s="383"/>
      <c r="C689" s="384" t="s">
        <v>1514</v>
      </c>
      <c r="D689" s="358"/>
      <c r="E689" s="410"/>
      <c r="F689" s="410"/>
      <c r="G689" s="410"/>
      <c r="H689" s="410"/>
      <c r="I689" s="385" t="str">
        <f t="shared" si="172"/>
        <v>kWh</v>
      </c>
      <c r="J689" s="376">
        <f>SUM(J690:J701)</f>
        <v>2011.171645021645</v>
      </c>
      <c r="K689" s="377">
        <f>SUM(K690:K701)</f>
        <v>6416.5968477882343</v>
      </c>
      <c r="L689" s="378">
        <f>SUM(L690:L701)</f>
        <v>6611.621212121212</v>
      </c>
      <c r="M689" s="378">
        <f>SUM(M690:M701)</f>
        <v>4040.7888472579907</v>
      </c>
      <c r="N689" s="379">
        <f>SUM(N690:N701)</f>
        <v>2011.171645021645</v>
      </c>
      <c r="O689" s="363"/>
      <c r="P689" s="1356" t="s">
        <v>1517</v>
      </c>
      <c r="R689" s="378"/>
      <c r="S689" s="378"/>
      <c r="T689" s="378"/>
      <c r="U689" s="378"/>
      <c r="V689" s="378"/>
      <c r="W689" s="378"/>
      <c r="X689" s="378"/>
      <c r="Y689" s="378"/>
      <c r="Z689" s="378"/>
      <c r="AA689" s="378"/>
      <c r="AB689" s="378"/>
      <c r="AC689" s="378"/>
      <c r="AD689" s="1635"/>
    </row>
    <row r="690" spans="1:30" outlineLevel="1" x14ac:dyDescent="0.2">
      <c r="A690" s="39"/>
      <c r="B690" s="36"/>
      <c r="C690" s="38" t="s">
        <v>1502</v>
      </c>
      <c r="D690" s="152"/>
      <c r="E690" s="400"/>
      <c r="F690" s="400"/>
      <c r="G690" s="400"/>
      <c r="H690" s="400"/>
      <c r="I690" s="62" t="str">
        <f t="shared" si="172"/>
        <v>kWh</v>
      </c>
      <c r="J690" s="249">
        <f t="shared" ref="J690:J702" si="175">INDEX(K690:N690,,_case_en)</f>
        <v>108.63636363636363</v>
      </c>
      <c r="K690" s="270">
        <f t="shared" ref="K690:N701" si="176">MIN(K676,K613)</f>
        <v>193.08528290720761</v>
      </c>
      <c r="L690" s="271">
        <f t="shared" si="176"/>
        <v>711.36363636363637</v>
      </c>
      <c r="M690" s="271">
        <f t="shared" si="176"/>
        <v>153.049400575791</v>
      </c>
      <c r="N690" s="272">
        <f t="shared" si="176"/>
        <v>108.63636363636363</v>
      </c>
      <c r="O690" s="86"/>
      <c r="P690" s="1356" t="s">
        <v>1518</v>
      </c>
      <c r="R690" s="271"/>
      <c r="S690" s="271"/>
      <c r="T690" s="271"/>
      <c r="U690" s="271"/>
      <c r="V690" s="271"/>
      <c r="W690" s="271"/>
      <c r="X690" s="271"/>
      <c r="Y690" s="271"/>
      <c r="Z690" s="271"/>
      <c r="AA690" s="271"/>
      <c r="AB690" s="271"/>
      <c r="AC690" s="271"/>
      <c r="AD690" s="1635"/>
    </row>
    <row r="691" spans="1:30" outlineLevel="1" x14ac:dyDescent="0.2">
      <c r="A691" s="39"/>
      <c r="B691" s="36"/>
      <c r="C691" s="38" t="s">
        <v>1503</v>
      </c>
      <c r="D691" s="152"/>
      <c r="E691" s="400"/>
      <c r="F691" s="400"/>
      <c r="G691" s="400"/>
      <c r="H691" s="400"/>
      <c r="I691" s="62" t="str">
        <f t="shared" si="172"/>
        <v>kWh</v>
      </c>
      <c r="J691" s="249">
        <f t="shared" si="175"/>
        <v>123.63636363636363</v>
      </c>
      <c r="K691" s="270">
        <f t="shared" si="176"/>
        <v>245.25609882891143</v>
      </c>
      <c r="L691" s="271">
        <f t="shared" si="176"/>
        <v>736.36363636363637</v>
      </c>
      <c r="M691" s="271">
        <f t="shared" si="176"/>
        <v>184.38364691548276</v>
      </c>
      <c r="N691" s="272">
        <f t="shared" si="176"/>
        <v>123.63636363636363</v>
      </c>
      <c r="O691" s="86"/>
      <c r="P691" s="1356" t="s">
        <v>1518</v>
      </c>
      <c r="R691" s="271"/>
      <c r="S691" s="271"/>
      <c r="T691" s="271"/>
      <c r="U691" s="271"/>
      <c r="V691" s="271"/>
      <c r="W691" s="271"/>
      <c r="X691" s="271"/>
      <c r="Y691" s="271"/>
      <c r="Z691" s="271"/>
      <c r="AA691" s="271"/>
      <c r="AB691" s="271"/>
      <c r="AC691" s="271"/>
      <c r="AD691" s="1635"/>
    </row>
    <row r="692" spans="1:30" outlineLevel="1" x14ac:dyDescent="0.2">
      <c r="A692" s="39"/>
      <c r="B692" s="36"/>
      <c r="C692" s="38" t="s">
        <v>1504</v>
      </c>
      <c r="D692" s="152"/>
      <c r="E692" s="400"/>
      <c r="F692" s="400"/>
      <c r="G692" s="400"/>
      <c r="H692" s="400"/>
      <c r="I692" s="62" t="str">
        <f t="shared" si="172"/>
        <v>kWh</v>
      </c>
      <c r="J692" s="249">
        <f t="shared" si="175"/>
        <v>173.86666666666667</v>
      </c>
      <c r="K692" s="270">
        <f t="shared" si="176"/>
        <v>527.268115942029</v>
      </c>
      <c r="L692" s="271">
        <f t="shared" si="176"/>
        <v>703.8888888888888</v>
      </c>
      <c r="M692" s="271">
        <f t="shared" si="176"/>
        <v>383.36886993603412</v>
      </c>
      <c r="N692" s="272">
        <f t="shared" si="176"/>
        <v>173.86666666666667</v>
      </c>
      <c r="O692" s="86"/>
      <c r="P692" s="1356" t="s">
        <v>1518</v>
      </c>
      <c r="R692" s="271"/>
      <c r="S692" s="271"/>
      <c r="T692" s="271"/>
      <c r="U692" s="271"/>
      <c r="V692" s="271"/>
      <c r="W692" s="271"/>
      <c r="X692" s="271"/>
      <c r="Y692" s="271"/>
      <c r="Z692" s="271"/>
      <c r="AA692" s="271"/>
      <c r="AB692" s="271"/>
      <c r="AC692" s="271"/>
      <c r="AD692" s="1635"/>
    </row>
    <row r="693" spans="1:30" outlineLevel="1" x14ac:dyDescent="0.2">
      <c r="A693" s="39"/>
      <c r="B693" s="36"/>
      <c r="C693" s="38" t="s">
        <v>1505</v>
      </c>
      <c r="D693" s="152"/>
      <c r="E693" s="400"/>
      <c r="F693" s="400"/>
      <c r="G693" s="400"/>
      <c r="H693" s="400"/>
      <c r="I693" s="62" t="str">
        <f t="shared" si="172"/>
        <v>kWh</v>
      </c>
      <c r="J693" s="249">
        <f t="shared" si="175"/>
        <v>134.14999999999998</v>
      </c>
      <c r="K693" s="270">
        <f t="shared" si="176"/>
        <v>552</v>
      </c>
      <c r="L693" s="271">
        <f t="shared" si="176"/>
        <v>467.3888888888888</v>
      </c>
      <c r="M693" s="271">
        <f t="shared" si="176"/>
        <v>396.63333333333333</v>
      </c>
      <c r="N693" s="272">
        <f t="shared" si="176"/>
        <v>134.14999999999998</v>
      </c>
      <c r="O693" s="86"/>
      <c r="P693" s="1356" t="s">
        <v>1518</v>
      </c>
      <c r="R693" s="271"/>
      <c r="S693" s="271"/>
      <c r="T693" s="271"/>
      <c r="U693" s="271"/>
      <c r="V693" s="271"/>
      <c r="W693" s="271"/>
      <c r="X693" s="271"/>
      <c r="Y693" s="271"/>
      <c r="Z693" s="271"/>
      <c r="AA693" s="271"/>
      <c r="AB693" s="271"/>
      <c r="AC693" s="271"/>
      <c r="AD693" s="1635"/>
    </row>
    <row r="694" spans="1:30" outlineLevel="1" x14ac:dyDescent="0.2">
      <c r="A694" s="39"/>
      <c r="B694" s="36"/>
      <c r="C694" s="38" t="s">
        <v>1506</v>
      </c>
      <c r="D694" s="152"/>
      <c r="E694" s="400"/>
      <c r="F694" s="400"/>
      <c r="G694" s="400"/>
      <c r="H694" s="400"/>
      <c r="I694" s="62" t="str">
        <f t="shared" si="172"/>
        <v>kWh</v>
      </c>
      <c r="J694" s="249">
        <f t="shared" si="175"/>
        <v>109.62857142857143</v>
      </c>
      <c r="K694" s="270">
        <f t="shared" si="176"/>
        <v>578.66666666666674</v>
      </c>
      <c r="L694" s="271">
        <f t="shared" si="176"/>
        <v>352</v>
      </c>
      <c r="M694" s="271">
        <f t="shared" si="176"/>
        <v>370.93333333333334</v>
      </c>
      <c r="N694" s="272">
        <f t="shared" si="176"/>
        <v>109.62857142857143</v>
      </c>
      <c r="O694" s="86"/>
      <c r="P694" s="1356" t="s">
        <v>1518</v>
      </c>
      <c r="R694" s="271"/>
      <c r="S694" s="271"/>
      <c r="T694" s="271"/>
      <c r="U694" s="271"/>
      <c r="V694" s="271"/>
      <c r="W694" s="271"/>
      <c r="X694" s="271"/>
      <c r="Y694" s="271"/>
      <c r="Z694" s="271"/>
      <c r="AA694" s="271"/>
      <c r="AB694" s="271"/>
      <c r="AC694" s="271"/>
      <c r="AD694" s="1635"/>
    </row>
    <row r="695" spans="1:30" outlineLevel="1" x14ac:dyDescent="0.2">
      <c r="A695" s="39"/>
      <c r="B695" s="36"/>
      <c r="C695" s="38" t="s">
        <v>1507</v>
      </c>
      <c r="D695" s="152"/>
      <c r="E695" s="400"/>
      <c r="F695" s="400"/>
      <c r="G695" s="400"/>
      <c r="H695" s="400"/>
      <c r="I695" s="62" t="str">
        <f t="shared" si="172"/>
        <v>kWh</v>
      </c>
      <c r="J695" s="249">
        <f t="shared" si="175"/>
        <v>204.51428571428573</v>
      </c>
      <c r="K695" s="270">
        <f t="shared" si="176"/>
        <v>766.66666666666652</v>
      </c>
      <c r="L695" s="271">
        <f t="shared" si="176"/>
        <v>380</v>
      </c>
      <c r="M695" s="271">
        <f t="shared" si="176"/>
        <v>397.33333333333331</v>
      </c>
      <c r="N695" s="272">
        <f t="shared" si="176"/>
        <v>204.51428571428573</v>
      </c>
      <c r="O695" s="86"/>
      <c r="P695" s="1356" t="s">
        <v>1518</v>
      </c>
      <c r="R695" s="271"/>
      <c r="S695" s="271"/>
      <c r="T695" s="271"/>
      <c r="U695" s="271"/>
      <c r="V695" s="271"/>
      <c r="W695" s="271"/>
      <c r="X695" s="271"/>
      <c r="Y695" s="271"/>
      <c r="Z695" s="271"/>
      <c r="AA695" s="271"/>
      <c r="AB695" s="271"/>
      <c r="AC695" s="271"/>
      <c r="AD695" s="1635"/>
    </row>
    <row r="696" spans="1:30" outlineLevel="1" x14ac:dyDescent="0.2">
      <c r="A696" s="39"/>
      <c r="B696" s="36"/>
      <c r="C696" s="38" t="s">
        <v>1508</v>
      </c>
      <c r="D696" s="152"/>
      <c r="E696" s="400"/>
      <c r="F696" s="400"/>
      <c r="G696" s="400"/>
      <c r="H696" s="400"/>
      <c r="I696" s="62" t="str">
        <f t="shared" si="172"/>
        <v>kWh</v>
      </c>
      <c r="J696" s="249">
        <f t="shared" si="175"/>
        <v>267.07142857142856</v>
      </c>
      <c r="K696" s="270">
        <f t="shared" si="176"/>
        <v>829.33333333333326</v>
      </c>
      <c r="L696" s="271">
        <f t="shared" si="176"/>
        <v>389.33333333333331</v>
      </c>
      <c r="M696" s="271">
        <f t="shared" si="176"/>
        <v>406.13333333333333</v>
      </c>
      <c r="N696" s="272">
        <f t="shared" si="176"/>
        <v>267.07142857142856</v>
      </c>
      <c r="O696" s="86"/>
      <c r="P696" s="1356" t="s">
        <v>1518</v>
      </c>
      <c r="R696" s="271"/>
      <c r="S696" s="271"/>
      <c r="T696" s="271"/>
      <c r="U696" s="271"/>
      <c r="V696" s="271"/>
      <c r="W696" s="271"/>
      <c r="X696" s="271"/>
      <c r="Y696" s="271"/>
      <c r="Z696" s="271"/>
      <c r="AA696" s="271"/>
      <c r="AB696" s="271"/>
      <c r="AC696" s="271"/>
      <c r="AD696" s="1635"/>
    </row>
    <row r="697" spans="1:30" outlineLevel="1" x14ac:dyDescent="0.2">
      <c r="A697" s="39"/>
      <c r="B697" s="36"/>
      <c r="C697" s="38" t="s">
        <v>1509</v>
      </c>
      <c r="D697" s="152"/>
      <c r="E697" s="400"/>
      <c r="F697" s="400"/>
      <c r="G697" s="400"/>
      <c r="H697" s="400"/>
      <c r="I697" s="62" t="str">
        <f t="shared" si="172"/>
        <v>kWh</v>
      </c>
      <c r="J697" s="249">
        <f t="shared" si="175"/>
        <v>235.34285714285713</v>
      </c>
      <c r="K697" s="270">
        <f t="shared" si="176"/>
        <v>798</v>
      </c>
      <c r="L697" s="271">
        <f t="shared" si="176"/>
        <v>384.66666666666669</v>
      </c>
      <c r="M697" s="271">
        <f t="shared" si="176"/>
        <v>401.73333333333335</v>
      </c>
      <c r="N697" s="272">
        <f t="shared" si="176"/>
        <v>235.34285714285713</v>
      </c>
      <c r="O697" s="86"/>
      <c r="P697" s="1356" t="s">
        <v>1518</v>
      </c>
      <c r="R697" s="271"/>
      <c r="S697" s="271"/>
      <c r="T697" s="271"/>
      <c r="U697" s="271"/>
      <c r="V697" s="271"/>
      <c r="W697" s="271"/>
      <c r="X697" s="271"/>
      <c r="Y697" s="271"/>
      <c r="Z697" s="271"/>
      <c r="AA697" s="271"/>
      <c r="AB697" s="271"/>
      <c r="AC697" s="271"/>
      <c r="AD697" s="1635"/>
    </row>
    <row r="698" spans="1:30" outlineLevel="1" x14ac:dyDescent="0.2">
      <c r="A698" s="39"/>
      <c r="B698" s="36"/>
      <c r="C698" s="38" t="s">
        <v>1510</v>
      </c>
      <c r="D698" s="152"/>
      <c r="E698" s="400"/>
      <c r="F698" s="400"/>
      <c r="G698" s="400"/>
      <c r="H698" s="400"/>
      <c r="I698" s="62" t="str">
        <f t="shared" si="172"/>
        <v>kWh</v>
      </c>
      <c r="J698" s="249">
        <f t="shared" si="175"/>
        <v>174.81904761904764</v>
      </c>
      <c r="K698" s="270">
        <f t="shared" si="176"/>
        <v>608.5</v>
      </c>
      <c r="L698" s="271">
        <f t="shared" si="176"/>
        <v>356.66666666666663</v>
      </c>
      <c r="M698" s="271">
        <f t="shared" si="176"/>
        <v>375.33333333333331</v>
      </c>
      <c r="N698" s="272">
        <f t="shared" si="176"/>
        <v>174.81904761904764</v>
      </c>
      <c r="O698" s="86"/>
      <c r="P698" s="1356" t="s">
        <v>1518</v>
      </c>
      <c r="R698" s="271"/>
      <c r="S698" s="271"/>
      <c r="T698" s="271"/>
      <c r="U698" s="271"/>
      <c r="V698" s="271"/>
      <c r="W698" s="271"/>
      <c r="X698" s="271"/>
      <c r="Y698" s="271"/>
      <c r="Z698" s="271"/>
      <c r="AA698" s="271"/>
      <c r="AB698" s="271"/>
      <c r="AC698" s="271"/>
      <c r="AD698" s="1635"/>
    </row>
    <row r="699" spans="1:30" outlineLevel="1" x14ac:dyDescent="0.2">
      <c r="A699" s="39"/>
      <c r="B699" s="36"/>
      <c r="C699" s="38" t="s">
        <v>1511</v>
      </c>
      <c r="D699" s="152"/>
      <c r="E699" s="400"/>
      <c r="F699" s="400"/>
      <c r="G699" s="400"/>
      <c r="H699" s="400"/>
      <c r="I699" s="62" t="str">
        <f t="shared" si="172"/>
        <v>kWh</v>
      </c>
      <c r="J699" s="249">
        <f t="shared" si="175"/>
        <v>142.23333333333332</v>
      </c>
      <c r="K699" s="270">
        <f t="shared" si="176"/>
        <v>496.83333333333331</v>
      </c>
      <c r="L699" s="271">
        <f t="shared" si="176"/>
        <v>507.22222222222217</v>
      </c>
      <c r="M699" s="271">
        <f t="shared" si="176"/>
        <v>395.33333333333331</v>
      </c>
      <c r="N699" s="272">
        <f t="shared" si="176"/>
        <v>142.23333333333332</v>
      </c>
      <c r="O699" s="86"/>
      <c r="P699" s="1356" t="s">
        <v>1518</v>
      </c>
      <c r="R699" s="271"/>
      <c r="S699" s="271"/>
      <c r="T699" s="271"/>
      <c r="U699" s="271"/>
      <c r="V699" s="271"/>
      <c r="W699" s="271"/>
      <c r="X699" s="271"/>
      <c r="Y699" s="271"/>
      <c r="Z699" s="271"/>
      <c r="AA699" s="271"/>
      <c r="AB699" s="271"/>
      <c r="AC699" s="271"/>
      <c r="AD699" s="1635"/>
    </row>
    <row r="700" spans="1:30" outlineLevel="1" x14ac:dyDescent="0.2">
      <c r="A700" s="39"/>
      <c r="B700" s="36"/>
      <c r="C700" s="38" t="s">
        <v>1512</v>
      </c>
      <c r="D700" s="152"/>
      <c r="E700" s="400"/>
      <c r="F700" s="400"/>
      <c r="G700" s="400"/>
      <c r="H700" s="400"/>
      <c r="I700" s="62" t="str">
        <f t="shared" si="172"/>
        <v>kWh</v>
      </c>
      <c r="J700" s="249">
        <f t="shared" si="175"/>
        <v>183.63636363636363</v>
      </c>
      <c r="K700" s="270">
        <f t="shared" si="176"/>
        <v>463.57099264789076</v>
      </c>
      <c r="L700" s="271">
        <f t="shared" si="176"/>
        <v>836.36363636363637</v>
      </c>
      <c r="M700" s="271">
        <f t="shared" si="176"/>
        <v>320.89239857287129</v>
      </c>
      <c r="N700" s="272">
        <f t="shared" si="176"/>
        <v>183.63636363636363</v>
      </c>
      <c r="O700" s="86"/>
      <c r="P700" s="1356" t="s">
        <v>1518</v>
      </c>
      <c r="R700" s="271"/>
      <c r="S700" s="271"/>
      <c r="T700" s="271"/>
      <c r="U700" s="271"/>
      <c r="V700" s="271"/>
      <c r="W700" s="271"/>
      <c r="X700" s="271"/>
      <c r="Y700" s="271"/>
      <c r="Z700" s="271"/>
      <c r="AA700" s="271"/>
      <c r="AB700" s="271"/>
      <c r="AC700" s="271"/>
      <c r="AD700" s="1635"/>
    </row>
    <row r="701" spans="1:30" ht="13.5" outlineLevel="1" thickBot="1" x14ac:dyDescent="0.25">
      <c r="A701" s="39"/>
      <c r="B701" s="263"/>
      <c r="C701" s="38" t="s">
        <v>1513</v>
      </c>
      <c r="D701" s="222"/>
      <c r="E701" s="403"/>
      <c r="F701" s="403"/>
      <c r="G701" s="403"/>
      <c r="H701" s="403"/>
      <c r="I701" s="223" t="str">
        <f t="shared" si="172"/>
        <v>kWh</v>
      </c>
      <c r="J701" s="250">
        <f t="shared" si="175"/>
        <v>153.63636363636363</v>
      </c>
      <c r="K701" s="277">
        <f t="shared" si="176"/>
        <v>357.416357462196</v>
      </c>
      <c r="L701" s="278">
        <f t="shared" si="176"/>
        <v>786.36363636363637</v>
      </c>
      <c r="M701" s="278">
        <f t="shared" si="176"/>
        <v>255.66119792447739</v>
      </c>
      <c r="N701" s="279">
        <f t="shared" si="176"/>
        <v>153.63636363636363</v>
      </c>
      <c r="O701" s="280"/>
      <c r="P701" s="1356" t="s">
        <v>1518</v>
      </c>
      <c r="R701" s="278"/>
      <c r="S701" s="278"/>
      <c r="T701" s="278"/>
      <c r="U701" s="278"/>
      <c r="V701" s="278"/>
      <c r="W701" s="278"/>
      <c r="X701" s="278"/>
      <c r="Y701" s="278"/>
      <c r="Z701" s="278"/>
      <c r="AA701" s="278"/>
      <c r="AB701" s="278"/>
      <c r="AC701" s="278"/>
      <c r="AD701" s="1635"/>
    </row>
    <row r="702" spans="1:30" ht="14.25" customHeight="1" x14ac:dyDescent="0.2">
      <c r="A702" s="39"/>
      <c r="B702" s="380" t="str">
        <f>INDEX(Language!$D$262:$M$262,1,_language)</f>
        <v>Used PV electricity</v>
      </c>
      <c r="C702" s="381" t="s">
        <v>1533</v>
      </c>
      <c r="D702" s="275"/>
      <c r="E702" s="409"/>
      <c r="F702" s="409"/>
      <c r="G702" s="409"/>
      <c r="H702" s="409"/>
      <c r="I702" s="382" t="str">
        <f t="shared" si="172"/>
        <v>kWh</v>
      </c>
      <c r="J702" s="921">
        <f t="shared" si="175"/>
        <v>1802.1403240223462</v>
      </c>
      <c r="K702" s="922">
        <f>IF(K674&gt;0,K688*K646/K674,0)</f>
        <v>7287.274428159687</v>
      </c>
      <c r="L702" s="923">
        <f>IF(L674&gt;0,L688*L646/L674,0)</f>
        <v>2598.4711588204859</v>
      </c>
      <c r="M702" s="923">
        <f>IF(M674&gt;0,M688*M646/M674,0)</f>
        <v>4773.1723809523819</v>
      </c>
      <c r="N702" s="924">
        <f>IF(N674&gt;0,N688*N646/N674,0)</f>
        <v>1802.1403240223462</v>
      </c>
      <c r="O702" s="355"/>
      <c r="R702" s="374"/>
      <c r="S702" s="374"/>
      <c r="T702" s="374"/>
      <c r="U702" s="374"/>
      <c r="V702" s="374"/>
      <c r="W702" s="374"/>
      <c r="X702" s="374"/>
      <c r="Y702" s="374"/>
      <c r="Z702" s="374"/>
      <c r="AA702" s="374"/>
      <c r="AB702" s="374"/>
      <c r="AC702" s="374"/>
      <c r="AD702" s="1635"/>
    </row>
    <row r="703" spans="1:30" x14ac:dyDescent="0.2">
      <c r="A703" s="39"/>
      <c r="B703" s="383"/>
      <c r="C703" s="384" t="s">
        <v>1532</v>
      </c>
      <c r="D703" s="358"/>
      <c r="E703" s="410"/>
      <c r="F703" s="410"/>
      <c r="G703" s="410"/>
      <c r="H703" s="410"/>
      <c r="I703" s="385" t="str">
        <f t="shared" si="172"/>
        <v>kWh</v>
      </c>
      <c r="J703" s="376">
        <f>SUM(J704:J715)</f>
        <v>1514.0365297839728</v>
      </c>
      <c r="K703" s="377">
        <f>SUM(K704:K715)</f>
        <v>6251.8321673833325</v>
      </c>
      <c r="L703" s="378">
        <f>SUM(L704:L715)</f>
        <v>2010.4812287740276</v>
      </c>
      <c r="M703" s="378">
        <f>SUM(M704:M715)</f>
        <v>3747.66346656715</v>
      </c>
      <c r="N703" s="379">
        <f>SUM(N704:N715)</f>
        <v>1514.0365297839728</v>
      </c>
      <c r="O703" s="363"/>
      <c r="R703" s="378"/>
      <c r="S703" s="378"/>
      <c r="T703" s="378"/>
      <c r="U703" s="378"/>
      <c r="V703" s="378"/>
      <c r="W703" s="378"/>
      <c r="X703" s="378"/>
      <c r="Y703" s="378"/>
      <c r="Z703" s="378"/>
      <c r="AA703" s="378"/>
      <c r="AB703" s="378"/>
      <c r="AC703" s="378"/>
      <c r="AD703" s="1635"/>
    </row>
    <row r="704" spans="1:30" outlineLevel="1" x14ac:dyDescent="0.2">
      <c r="A704" s="39"/>
      <c r="B704" s="36"/>
      <c r="C704" s="38" t="s">
        <v>1520</v>
      </c>
      <c r="D704" s="152"/>
      <c r="E704" s="400"/>
      <c r="F704" s="400"/>
      <c r="G704" s="400"/>
      <c r="H704" s="400"/>
      <c r="I704" s="62" t="str">
        <f t="shared" si="172"/>
        <v>kWh</v>
      </c>
      <c r="J704" s="249">
        <f t="shared" ref="J704:J716" si="177">INDEX(K704:N704,,_case_en)</f>
        <v>45</v>
      </c>
      <c r="K704" s="270">
        <f t="shared" ref="K704:N715" si="178">IF(K676&gt;0,K690*K648/K676,0)</f>
        <v>169.16321245852703</v>
      </c>
      <c r="L704" s="271">
        <f t="shared" si="178"/>
        <v>75</v>
      </c>
      <c r="M704" s="271">
        <f t="shared" si="178"/>
        <v>107.46021742555538</v>
      </c>
      <c r="N704" s="272">
        <f t="shared" si="178"/>
        <v>45</v>
      </c>
      <c r="O704" s="86"/>
      <c r="P704" s="1356" t="s">
        <v>1498</v>
      </c>
      <c r="R704" s="271"/>
      <c r="S704" s="271"/>
      <c r="T704" s="271"/>
      <c r="U704" s="271"/>
      <c r="V704" s="271"/>
      <c r="W704" s="271"/>
      <c r="X704" s="271"/>
      <c r="Y704" s="271"/>
      <c r="Z704" s="271"/>
      <c r="AA704" s="271"/>
      <c r="AB704" s="271"/>
      <c r="AC704" s="271"/>
      <c r="AD704" s="1635"/>
    </row>
    <row r="705" spans="1:30" outlineLevel="1" x14ac:dyDescent="0.2">
      <c r="A705" s="39"/>
      <c r="B705" s="36"/>
      <c r="C705" s="38" t="s">
        <v>1521</v>
      </c>
      <c r="D705" s="152"/>
      <c r="E705" s="400"/>
      <c r="F705" s="400"/>
      <c r="G705" s="400"/>
      <c r="H705" s="400"/>
      <c r="I705" s="62" t="str">
        <f t="shared" si="172"/>
        <v>kWh</v>
      </c>
      <c r="J705" s="249">
        <f t="shared" si="177"/>
        <v>60.000000000000007</v>
      </c>
      <c r="K705" s="270">
        <f t="shared" si="178"/>
        <v>221.73839072202952</v>
      </c>
      <c r="L705" s="271">
        <f t="shared" si="178"/>
        <v>100</v>
      </c>
      <c r="M705" s="271">
        <f t="shared" si="178"/>
        <v>139.87724938415934</v>
      </c>
      <c r="N705" s="272">
        <f t="shared" si="178"/>
        <v>60.000000000000007</v>
      </c>
      <c r="O705" s="86"/>
      <c r="P705" s="1356" t="s">
        <v>1499</v>
      </c>
      <c r="R705" s="271"/>
      <c r="S705" s="271"/>
      <c r="T705" s="271"/>
      <c r="U705" s="271"/>
      <c r="V705" s="271"/>
      <c r="W705" s="271"/>
      <c r="X705" s="271"/>
      <c r="Y705" s="271"/>
      <c r="Z705" s="271"/>
      <c r="AA705" s="271"/>
      <c r="AB705" s="271"/>
      <c r="AC705" s="271"/>
      <c r="AD705" s="1635"/>
    </row>
    <row r="706" spans="1:30" outlineLevel="1" x14ac:dyDescent="0.2">
      <c r="A706" s="39"/>
      <c r="B706" s="36"/>
      <c r="C706" s="38" t="s">
        <v>1522</v>
      </c>
      <c r="D706" s="152"/>
      <c r="E706" s="400"/>
      <c r="F706" s="400"/>
      <c r="G706" s="400"/>
      <c r="H706" s="400"/>
      <c r="I706" s="62" t="str">
        <f t="shared" si="172"/>
        <v>kWh</v>
      </c>
      <c r="J706" s="249">
        <f t="shared" si="177"/>
        <v>122.07659574468086</v>
      </c>
      <c r="K706" s="270">
        <f t="shared" si="178"/>
        <v>505.80952982810925</v>
      </c>
      <c r="L706" s="271">
        <f t="shared" si="178"/>
        <v>198.53276353276348</v>
      </c>
      <c r="M706" s="271">
        <f t="shared" si="178"/>
        <v>340.08528784648189</v>
      </c>
      <c r="N706" s="272">
        <f t="shared" si="178"/>
        <v>122.07659574468086</v>
      </c>
      <c r="O706" s="86"/>
      <c r="P706" s="1356" t="s">
        <v>1500</v>
      </c>
      <c r="R706" s="271"/>
      <c r="S706" s="271"/>
      <c r="T706" s="271"/>
      <c r="U706" s="271"/>
      <c r="V706" s="271"/>
      <c r="W706" s="271"/>
      <c r="X706" s="271"/>
      <c r="Y706" s="271"/>
      <c r="Z706" s="271"/>
      <c r="AA706" s="271"/>
      <c r="AB706" s="271"/>
      <c r="AC706" s="271"/>
      <c r="AD706" s="1635"/>
    </row>
    <row r="707" spans="1:30" outlineLevel="1" x14ac:dyDescent="0.2">
      <c r="A707" s="39"/>
      <c r="B707" s="36"/>
      <c r="C707" s="38" t="s">
        <v>1523</v>
      </c>
      <c r="D707" s="152"/>
      <c r="E707" s="400"/>
      <c r="F707" s="400"/>
      <c r="G707" s="400"/>
      <c r="H707" s="400"/>
      <c r="I707" s="62" t="str">
        <f t="shared" si="172"/>
        <v>kWh</v>
      </c>
      <c r="J707" s="249">
        <f t="shared" si="177"/>
        <v>102.95232558139534</v>
      </c>
      <c r="K707" s="270">
        <f t="shared" si="178"/>
        <v>535.76470588235293</v>
      </c>
      <c r="L707" s="271">
        <f t="shared" si="178"/>
        <v>165.84767025089602</v>
      </c>
      <c r="M707" s="271">
        <f t="shared" si="178"/>
        <v>363.58055555555558</v>
      </c>
      <c r="N707" s="272">
        <f t="shared" si="178"/>
        <v>102.95232558139534</v>
      </c>
      <c r="O707" s="86"/>
      <c r="R707" s="271"/>
      <c r="S707" s="271"/>
      <c r="T707" s="271"/>
      <c r="U707" s="271"/>
      <c r="V707" s="271"/>
      <c r="W707" s="271"/>
      <c r="X707" s="271"/>
      <c r="Y707" s="271"/>
      <c r="Z707" s="271"/>
      <c r="AA707" s="271"/>
      <c r="AB707" s="271"/>
      <c r="AC707" s="271"/>
      <c r="AD707" s="1635"/>
    </row>
    <row r="708" spans="1:30" outlineLevel="1" x14ac:dyDescent="0.2">
      <c r="A708" s="39"/>
      <c r="B708" s="36"/>
      <c r="C708" s="38" t="s">
        <v>1524</v>
      </c>
      <c r="D708" s="152"/>
      <c r="E708" s="400"/>
      <c r="F708" s="400"/>
      <c r="G708" s="400"/>
      <c r="H708" s="400"/>
      <c r="I708" s="62" t="str">
        <f t="shared" si="172"/>
        <v>kWh</v>
      </c>
      <c r="J708" s="249">
        <f t="shared" si="177"/>
        <v>95.351362126245846</v>
      </c>
      <c r="K708" s="270">
        <f t="shared" si="178"/>
        <v>578.66666666666674</v>
      </c>
      <c r="L708" s="271">
        <f t="shared" si="178"/>
        <v>176.15700267618197</v>
      </c>
      <c r="M708" s="271">
        <f t="shared" si="178"/>
        <v>370.93333333333334</v>
      </c>
      <c r="N708" s="272">
        <f t="shared" si="178"/>
        <v>95.351362126245846</v>
      </c>
      <c r="O708" s="86"/>
      <c r="R708" s="271"/>
      <c r="S708" s="271"/>
      <c r="T708" s="271"/>
      <c r="U708" s="271"/>
      <c r="V708" s="271"/>
      <c r="W708" s="271"/>
      <c r="X708" s="271"/>
      <c r="Y708" s="271"/>
      <c r="Z708" s="271"/>
      <c r="AA708" s="271"/>
      <c r="AB708" s="271"/>
      <c r="AC708" s="271"/>
      <c r="AD708" s="1635"/>
    </row>
    <row r="709" spans="1:30" outlineLevel="1" x14ac:dyDescent="0.2">
      <c r="A709" s="39"/>
      <c r="B709" s="36"/>
      <c r="C709" s="38" t="s">
        <v>1525</v>
      </c>
      <c r="D709" s="152"/>
      <c r="E709" s="400"/>
      <c r="F709" s="400"/>
      <c r="G709" s="400"/>
      <c r="H709" s="400"/>
      <c r="I709" s="62" t="str">
        <f t="shared" si="172"/>
        <v>kWh</v>
      </c>
      <c r="J709" s="249">
        <f t="shared" si="177"/>
        <v>187.74591089730185</v>
      </c>
      <c r="K709" s="270">
        <f t="shared" si="178"/>
        <v>766.66666666666652</v>
      </c>
      <c r="L709" s="271">
        <f t="shared" si="178"/>
        <v>200.72451558550969</v>
      </c>
      <c r="M709" s="271">
        <f t="shared" si="178"/>
        <v>397.33333333333331</v>
      </c>
      <c r="N709" s="272">
        <f t="shared" si="178"/>
        <v>187.74591089730185</v>
      </c>
      <c r="O709" s="86"/>
      <c r="R709" s="271"/>
      <c r="S709" s="271"/>
      <c r="T709" s="271"/>
      <c r="U709" s="271"/>
      <c r="V709" s="271"/>
      <c r="W709" s="271"/>
      <c r="X709" s="271"/>
      <c r="Y709" s="271"/>
      <c r="Z709" s="271"/>
      <c r="AA709" s="271"/>
      <c r="AB709" s="271"/>
      <c r="AC709" s="271"/>
      <c r="AD709" s="1635"/>
    </row>
    <row r="710" spans="1:30" outlineLevel="1" x14ac:dyDescent="0.2">
      <c r="A710" s="39"/>
      <c r="B710" s="36"/>
      <c r="C710" s="38" t="s">
        <v>1526</v>
      </c>
      <c r="D710" s="152"/>
      <c r="E710" s="400"/>
      <c r="F710" s="400"/>
      <c r="G710" s="400"/>
      <c r="H710" s="400"/>
      <c r="I710" s="62" t="str">
        <f t="shared" si="172"/>
        <v>kWh</v>
      </c>
      <c r="J710" s="249">
        <f t="shared" si="177"/>
        <v>241.46183953033267</v>
      </c>
      <c r="K710" s="270">
        <f t="shared" si="178"/>
        <v>829.33333333333326</v>
      </c>
      <c r="L710" s="271">
        <f t="shared" si="178"/>
        <v>210.62295081967213</v>
      </c>
      <c r="M710" s="271">
        <f t="shared" si="178"/>
        <v>406.13333333333333</v>
      </c>
      <c r="N710" s="272">
        <f t="shared" si="178"/>
        <v>241.46183953033267</v>
      </c>
      <c r="O710" s="86"/>
      <c r="R710" s="271"/>
      <c r="S710" s="271"/>
      <c r="T710" s="271"/>
      <c r="U710" s="271"/>
      <c r="V710" s="271"/>
      <c r="W710" s="271"/>
      <c r="X710" s="271"/>
      <c r="Y710" s="271"/>
      <c r="Z710" s="271"/>
      <c r="AA710" s="271"/>
      <c r="AB710" s="271"/>
      <c r="AC710" s="271"/>
      <c r="AD710" s="1635"/>
    </row>
    <row r="711" spans="1:30" outlineLevel="1" x14ac:dyDescent="0.2">
      <c r="A711" s="39"/>
      <c r="B711" s="36"/>
      <c r="C711" s="38" t="s">
        <v>1527</v>
      </c>
      <c r="D711" s="152"/>
      <c r="E711" s="400"/>
      <c r="F711" s="400"/>
      <c r="G711" s="400"/>
      <c r="H711" s="400"/>
      <c r="I711" s="62" t="str">
        <f t="shared" si="172"/>
        <v>kWh</v>
      </c>
      <c r="J711" s="249">
        <f t="shared" si="177"/>
        <v>206.18533501896334</v>
      </c>
      <c r="K711" s="270">
        <f t="shared" si="178"/>
        <v>798</v>
      </c>
      <c r="L711" s="271">
        <f t="shared" si="178"/>
        <v>198</v>
      </c>
      <c r="M711" s="271">
        <f t="shared" si="178"/>
        <v>401.73333333333335</v>
      </c>
      <c r="N711" s="272">
        <f t="shared" si="178"/>
        <v>206.18533501896334</v>
      </c>
      <c r="O711" s="86"/>
      <c r="R711" s="271"/>
      <c r="S711" s="271"/>
      <c r="T711" s="271"/>
      <c r="U711" s="271"/>
      <c r="V711" s="271"/>
      <c r="W711" s="271"/>
      <c r="X711" s="271"/>
      <c r="Y711" s="271"/>
      <c r="Z711" s="271"/>
      <c r="AA711" s="271"/>
      <c r="AB711" s="271"/>
      <c r="AC711" s="271"/>
      <c r="AD711" s="1635"/>
    </row>
    <row r="712" spans="1:30" outlineLevel="1" x14ac:dyDescent="0.2">
      <c r="A712" s="39"/>
      <c r="B712" s="36"/>
      <c r="C712" s="38" t="s">
        <v>1528</v>
      </c>
      <c r="D712" s="152"/>
      <c r="E712" s="400"/>
      <c r="F712" s="400"/>
      <c r="G712" s="400"/>
      <c r="H712" s="400"/>
      <c r="I712" s="62" t="str">
        <f t="shared" si="172"/>
        <v>kWh</v>
      </c>
      <c r="J712" s="249">
        <f t="shared" si="177"/>
        <v>138.18032506415742</v>
      </c>
      <c r="K712" s="270">
        <f t="shared" si="178"/>
        <v>592.78228782287817</v>
      </c>
      <c r="L712" s="271">
        <f t="shared" si="178"/>
        <v>173.08823529411762</v>
      </c>
      <c r="M712" s="271">
        <f t="shared" si="178"/>
        <v>375.33333333333331</v>
      </c>
      <c r="N712" s="272">
        <f t="shared" si="178"/>
        <v>138.18032506415742</v>
      </c>
      <c r="O712" s="86"/>
      <c r="R712" s="271"/>
      <c r="S712" s="271"/>
      <c r="T712" s="271"/>
      <c r="U712" s="271"/>
      <c r="V712" s="271"/>
      <c r="W712" s="271"/>
      <c r="X712" s="271"/>
      <c r="Y712" s="271"/>
      <c r="Z712" s="271"/>
      <c r="AA712" s="271"/>
      <c r="AB712" s="271"/>
      <c r="AC712" s="271"/>
      <c r="AD712" s="1635"/>
    </row>
    <row r="713" spans="1:30" outlineLevel="1" x14ac:dyDescent="0.2">
      <c r="A713" s="39"/>
      <c r="B713" s="36"/>
      <c r="C713" s="38" t="s">
        <v>1529</v>
      </c>
      <c r="D713" s="152"/>
      <c r="E713" s="400"/>
      <c r="F713" s="400"/>
      <c r="G713" s="400"/>
      <c r="H713" s="400"/>
      <c r="I713" s="62" t="str">
        <f t="shared" si="172"/>
        <v>kWh</v>
      </c>
      <c r="J713" s="249">
        <f t="shared" si="177"/>
        <v>105.08283582089551</v>
      </c>
      <c r="K713" s="270">
        <f t="shared" si="178"/>
        <v>479.86829268292678</v>
      </c>
      <c r="L713" s="271">
        <f t="shared" si="178"/>
        <v>162.50809061488673</v>
      </c>
      <c r="M713" s="271">
        <f t="shared" si="178"/>
        <v>357.42465753424653</v>
      </c>
      <c r="N713" s="272">
        <f t="shared" si="178"/>
        <v>105.08283582089551</v>
      </c>
      <c r="O713" s="86"/>
      <c r="R713" s="271"/>
      <c r="S713" s="271"/>
      <c r="T713" s="271"/>
      <c r="U713" s="271"/>
      <c r="V713" s="271"/>
      <c r="W713" s="271"/>
      <c r="X713" s="271"/>
      <c r="Y713" s="271"/>
      <c r="Z713" s="271"/>
      <c r="AA713" s="271"/>
      <c r="AB713" s="271"/>
      <c r="AC713" s="271"/>
      <c r="AD713" s="1635"/>
    </row>
    <row r="714" spans="1:30" outlineLevel="1" x14ac:dyDescent="0.2">
      <c r="A714" s="39"/>
      <c r="B714" s="36"/>
      <c r="C714" s="38" t="s">
        <v>1530</v>
      </c>
      <c r="D714" s="152"/>
      <c r="E714" s="400"/>
      <c r="F714" s="400"/>
      <c r="G714" s="400"/>
      <c r="H714" s="400"/>
      <c r="I714" s="62" t="str">
        <f t="shared" si="172"/>
        <v>kWh</v>
      </c>
      <c r="J714" s="249">
        <f t="shared" si="177"/>
        <v>120</v>
      </c>
      <c r="K714" s="270">
        <f t="shared" si="178"/>
        <v>440.22569085986748</v>
      </c>
      <c r="L714" s="271">
        <f t="shared" si="178"/>
        <v>200</v>
      </c>
      <c r="M714" s="271">
        <f t="shared" si="178"/>
        <v>276.84834386679091</v>
      </c>
      <c r="N714" s="272">
        <f t="shared" si="178"/>
        <v>120</v>
      </c>
      <c r="O714" s="86"/>
      <c r="R714" s="271"/>
      <c r="S714" s="271"/>
      <c r="T714" s="271"/>
      <c r="U714" s="271"/>
      <c r="V714" s="271"/>
      <c r="W714" s="271"/>
      <c r="X714" s="271"/>
      <c r="Y714" s="271"/>
      <c r="Z714" s="271"/>
      <c r="AA714" s="271"/>
      <c r="AB714" s="271"/>
      <c r="AC714" s="271"/>
      <c r="AD714" s="1635"/>
    </row>
    <row r="715" spans="1:30" ht="13.5" outlineLevel="1" thickBot="1" x14ac:dyDescent="0.25">
      <c r="A715" s="39"/>
      <c r="B715" s="263"/>
      <c r="C715" s="38" t="s">
        <v>1531</v>
      </c>
      <c r="D715" s="222"/>
      <c r="E715" s="403"/>
      <c r="F715" s="403"/>
      <c r="G715" s="403"/>
      <c r="H715" s="403"/>
      <c r="I715" s="223" t="str">
        <f t="shared" si="172"/>
        <v>kWh</v>
      </c>
      <c r="J715" s="250">
        <f t="shared" si="177"/>
        <v>90</v>
      </c>
      <c r="K715" s="277">
        <f t="shared" si="178"/>
        <v>333.81339045997549</v>
      </c>
      <c r="L715" s="278">
        <f t="shared" si="178"/>
        <v>150</v>
      </c>
      <c r="M715" s="278">
        <f t="shared" si="178"/>
        <v>210.92048828769384</v>
      </c>
      <c r="N715" s="279">
        <f t="shared" si="178"/>
        <v>90</v>
      </c>
      <c r="O715" s="280"/>
      <c r="R715" s="278"/>
      <c r="S715" s="278"/>
      <c r="T715" s="278"/>
      <c r="U715" s="278"/>
      <c r="V715" s="278"/>
      <c r="W715" s="278"/>
      <c r="X715" s="278"/>
      <c r="Y715" s="278"/>
      <c r="Z715" s="278"/>
      <c r="AA715" s="278"/>
      <c r="AB715" s="278"/>
      <c r="AC715" s="278"/>
      <c r="AD715" s="1635"/>
    </row>
    <row r="716" spans="1:30" ht="14.25" customHeight="1" x14ac:dyDescent="0.2">
      <c r="A716" s="39"/>
      <c r="B716" s="380" t="str">
        <f>INDEX(Language!$D$261:$M$261,1,_language)</f>
        <v>Used CHP electricity</v>
      </c>
      <c r="C716" s="381" t="s">
        <v>1534</v>
      </c>
      <c r="D716" s="275"/>
      <c r="E716" s="409"/>
      <c r="F716" s="409"/>
      <c r="G716" s="409"/>
      <c r="H716" s="409"/>
      <c r="I716" s="382" t="str">
        <f t="shared" si="172"/>
        <v>kWh</v>
      </c>
      <c r="J716" s="372">
        <f t="shared" si="177"/>
        <v>525.29919978717737</v>
      </c>
      <c r="K716" s="373">
        <f>IF(K674&gt;0,K688*K660/K674,0)</f>
        <v>168.24876024611109</v>
      </c>
      <c r="L716" s="374">
        <f>IF(L674&gt;0,L688*L660/L674,0)</f>
        <v>4649.5010634017344</v>
      </c>
      <c r="M716" s="374">
        <f>IF(M674&gt;0,M688*M660/M674,0)</f>
        <v>289.28317460317459</v>
      </c>
      <c r="N716" s="375">
        <f>IF(N674&gt;0,N688*N660/N674,0)</f>
        <v>525.29919978717737</v>
      </c>
      <c r="O716" s="355"/>
      <c r="R716" s="374"/>
      <c r="S716" s="374"/>
      <c r="T716" s="374"/>
      <c r="U716" s="374"/>
      <c r="V716" s="374"/>
      <c r="W716" s="374"/>
      <c r="X716" s="374"/>
      <c r="Y716" s="374"/>
      <c r="Z716" s="374"/>
      <c r="AA716" s="374"/>
      <c r="AB716" s="374"/>
      <c r="AC716" s="374"/>
    </row>
    <row r="717" spans="1:30" x14ac:dyDescent="0.2">
      <c r="A717" s="39"/>
      <c r="B717" s="383"/>
      <c r="C717" s="384" t="s">
        <v>1535</v>
      </c>
      <c r="D717" s="358"/>
      <c r="E717" s="410"/>
      <c r="F717" s="410"/>
      <c r="G717" s="410"/>
      <c r="H717" s="410"/>
      <c r="I717" s="385" t="str">
        <f t="shared" si="172"/>
        <v>kWh</v>
      </c>
      <c r="J717" s="376">
        <f>SUM(J718:J729)</f>
        <v>497.13511523767215</v>
      </c>
      <c r="K717" s="377">
        <f>SUM(K718:K729)</f>
        <v>164.76468040490138</v>
      </c>
      <c r="L717" s="378">
        <f>SUM(L718:L729)</f>
        <v>4601.1399833471833</v>
      </c>
      <c r="M717" s="378">
        <f>SUM(M718:M729)</f>
        <v>293.12538069083973</v>
      </c>
      <c r="N717" s="379">
        <f>SUM(N718:N729)</f>
        <v>497.13511523767215</v>
      </c>
      <c r="O717" s="363"/>
      <c r="P717" s="1356" t="s">
        <v>1498</v>
      </c>
      <c r="R717" s="378"/>
      <c r="S717" s="378"/>
      <c r="T717" s="378"/>
      <c r="U717" s="378"/>
      <c r="V717" s="378"/>
      <c r="W717" s="378"/>
      <c r="X717" s="378"/>
      <c r="Y717" s="378"/>
      <c r="Z717" s="378"/>
      <c r="AA717" s="378"/>
      <c r="AB717" s="378"/>
      <c r="AC717" s="378"/>
    </row>
    <row r="718" spans="1:30" outlineLevel="1" x14ac:dyDescent="0.2">
      <c r="A718" s="39"/>
      <c r="B718" s="36"/>
      <c r="C718" s="38" t="s">
        <v>1536</v>
      </c>
      <c r="D718" s="152"/>
      <c r="E718" s="400"/>
      <c r="F718" s="400"/>
      <c r="G718" s="400"/>
      <c r="H718" s="400"/>
      <c r="I718" s="62" t="str">
        <f t="shared" si="172"/>
        <v>kWh</v>
      </c>
      <c r="J718" s="249">
        <f t="shared" ref="J718:J730" si="179">INDEX(K718:N718,,_case_en)</f>
        <v>63.636363636363633</v>
      </c>
      <c r="K718" s="270">
        <f t="shared" ref="K718:N729" si="180">IF(K676&gt;0,K690*K662/K676,0)</f>
        <v>23.922070448680589</v>
      </c>
      <c r="L718" s="271">
        <f t="shared" si="180"/>
        <v>636.36363636363637</v>
      </c>
      <c r="M718" s="271">
        <f t="shared" si="180"/>
        <v>45.589183150235613</v>
      </c>
      <c r="N718" s="272">
        <f t="shared" si="180"/>
        <v>63.636363636363633</v>
      </c>
      <c r="O718" s="86"/>
      <c r="P718" s="1356" t="s">
        <v>1499</v>
      </c>
      <c r="R718" s="271"/>
      <c r="S718" s="271"/>
      <c r="T718" s="271"/>
      <c r="U718" s="271"/>
      <c r="V718" s="271"/>
      <c r="W718" s="271"/>
      <c r="X718" s="271"/>
      <c r="Y718" s="271"/>
      <c r="Z718" s="271"/>
      <c r="AA718" s="271"/>
      <c r="AB718" s="271"/>
      <c r="AC718" s="271"/>
    </row>
    <row r="719" spans="1:30" outlineLevel="1" x14ac:dyDescent="0.2">
      <c r="A719" s="39"/>
      <c r="B719" s="36"/>
      <c r="C719" s="38" t="s">
        <v>1537</v>
      </c>
      <c r="D719" s="152"/>
      <c r="E719" s="400"/>
      <c r="F719" s="400"/>
      <c r="G719" s="400"/>
      <c r="H719" s="400"/>
      <c r="I719" s="62" t="str">
        <f t="shared" si="172"/>
        <v>kWh</v>
      </c>
      <c r="J719" s="249">
        <f t="shared" si="179"/>
        <v>63.636363636363633</v>
      </c>
      <c r="K719" s="270">
        <f t="shared" si="180"/>
        <v>23.517708106881916</v>
      </c>
      <c r="L719" s="271">
        <f t="shared" si="180"/>
        <v>636.36363636363637</v>
      </c>
      <c r="M719" s="271">
        <f t="shared" si="180"/>
        <v>44.506397531323422</v>
      </c>
      <c r="N719" s="272">
        <f t="shared" si="180"/>
        <v>63.636363636363633</v>
      </c>
      <c r="O719" s="86"/>
      <c r="P719" s="1356" t="s">
        <v>1500</v>
      </c>
      <c r="R719" s="271"/>
      <c r="S719" s="271"/>
      <c r="T719" s="271"/>
      <c r="U719" s="271"/>
      <c r="V719" s="271"/>
      <c r="W719" s="271"/>
      <c r="X719" s="271"/>
      <c r="Y719" s="271"/>
      <c r="Z719" s="271"/>
      <c r="AA719" s="271"/>
      <c r="AB719" s="271"/>
      <c r="AC719" s="271"/>
    </row>
    <row r="720" spans="1:30" outlineLevel="1" x14ac:dyDescent="0.2">
      <c r="A720" s="39"/>
      <c r="B720" s="36"/>
      <c r="C720" s="38" t="s">
        <v>1538</v>
      </c>
      <c r="D720" s="152"/>
      <c r="E720" s="400"/>
      <c r="F720" s="400"/>
      <c r="G720" s="400"/>
      <c r="H720" s="400"/>
      <c r="I720" s="62" t="str">
        <f t="shared" si="172"/>
        <v>kWh</v>
      </c>
      <c r="J720" s="249">
        <f t="shared" si="179"/>
        <v>51.790070921985816</v>
      </c>
      <c r="K720" s="270">
        <f t="shared" si="180"/>
        <v>21.458586113919782</v>
      </c>
      <c r="L720" s="271">
        <f t="shared" si="180"/>
        <v>505.35612535612529</v>
      </c>
      <c r="M720" s="271">
        <f t="shared" si="180"/>
        <v>43.28358208955224</v>
      </c>
      <c r="N720" s="272">
        <f t="shared" si="180"/>
        <v>51.790070921985816</v>
      </c>
      <c r="O720" s="86"/>
      <c r="R720" s="271"/>
      <c r="S720" s="271"/>
      <c r="T720" s="271"/>
      <c r="U720" s="271"/>
      <c r="V720" s="271"/>
      <c r="W720" s="271"/>
      <c r="X720" s="271"/>
      <c r="Y720" s="271"/>
      <c r="Z720" s="271"/>
      <c r="AA720" s="271"/>
      <c r="AB720" s="271"/>
      <c r="AC720" s="271"/>
    </row>
    <row r="721" spans="1:29" outlineLevel="1" x14ac:dyDescent="0.2">
      <c r="A721" s="39"/>
      <c r="B721" s="36"/>
      <c r="C721" s="38" t="s">
        <v>1539</v>
      </c>
      <c r="D721" s="152"/>
      <c r="E721" s="400"/>
      <c r="F721" s="400"/>
      <c r="G721" s="400"/>
      <c r="H721" s="400"/>
      <c r="I721" s="62" t="str">
        <f t="shared" si="172"/>
        <v>kWh</v>
      </c>
      <c r="J721" s="249">
        <f t="shared" si="179"/>
        <v>31.197674418604645</v>
      </c>
      <c r="K721" s="270">
        <f t="shared" si="180"/>
        <v>16.235294117647058</v>
      </c>
      <c r="L721" s="271">
        <f t="shared" si="180"/>
        <v>301.54121863799281</v>
      </c>
      <c r="M721" s="271">
        <f t="shared" si="180"/>
        <v>33.052777777777777</v>
      </c>
      <c r="N721" s="272">
        <f t="shared" si="180"/>
        <v>31.197674418604645</v>
      </c>
      <c r="O721" s="86"/>
      <c r="R721" s="271"/>
      <c r="S721" s="271"/>
      <c r="T721" s="271"/>
      <c r="U721" s="271"/>
      <c r="V721" s="271"/>
      <c r="W721" s="271"/>
      <c r="X721" s="271"/>
      <c r="Y721" s="271"/>
      <c r="Z721" s="271"/>
      <c r="AA721" s="271"/>
      <c r="AB721" s="271"/>
      <c r="AC721" s="271"/>
    </row>
    <row r="722" spans="1:29" outlineLevel="1" x14ac:dyDescent="0.2">
      <c r="A722" s="39"/>
      <c r="B722" s="36"/>
      <c r="C722" s="38" t="s">
        <v>1540</v>
      </c>
      <c r="D722" s="152"/>
      <c r="E722" s="400"/>
      <c r="F722" s="400"/>
      <c r="G722" s="400"/>
      <c r="H722" s="400"/>
      <c r="I722" s="62" t="str">
        <f t="shared" si="172"/>
        <v>kWh</v>
      </c>
      <c r="J722" s="249">
        <f t="shared" si="179"/>
        <v>14.277209302325584</v>
      </c>
      <c r="K722" s="270">
        <f t="shared" si="180"/>
        <v>0</v>
      </c>
      <c r="L722" s="271">
        <f t="shared" si="180"/>
        <v>175.842997323818</v>
      </c>
      <c r="M722" s="271">
        <f t="shared" si="180"/>
        <v>0</v>
      </c>
      <c r="N722" s="272">
        <f t="shared" si="180"/>
        <v>14.277209302325584</v>
      </c>
      <c r="O722" s="86"/>
      <c r="R722" s="271"/>
      <c r="S722" s="271"/>
      <c r="T722" s="271"/>
      <c r="U722" s="271"/>
      <c r="V722" s="271"/>
      <c r="W722" s="271"/>
      <c r="X722" s="271"/>
      <c r="Y722" s="271"/>
      <c r="Z722" s="271"/>
      <c r="AA722" s="271"/>
      <c r="AB722" s="271"/>
      <c r="AC722" s="271"/>
    </row>
    <row r="723" spans="1:29" outlineLevel="1" x14ac:dyDescent="0.2">
      <c r="A723" s="39"/>
      <c r="B723" s="36"/>
      <c r="C723" s="38" t="s">
        <v>1541</v>
      </c>
      <c r="D723" s="152"/>
      <c r="E723" s="400"/>
      <c r="F723" s="400"/>
      <c r="G723" s="400"/>
      <c r="H723" s="400"/>
      <c r="I723" s="62" t="str">
        <f t="shared" si="172"/>
        <v>kWh</v>
      </c>
      <c r="J723" s="249">
        <f t="shared" si="179"/>
        <v>16.768374816983897</v>
      </c>
      <c r="K723" s="270">
        <f t="shared" si="180"/>
        <v>0</v>
      </c>
      <c r="L723" s="271">
        <f t="shared" si="180"/>
        <v>179.27548441449028</v>
      </c>
      <c r="M723" s="271">
        <f t="shared" si="180"/>
        <v>0</v>
      </c>
      <c r="N723" s="272">
        <f t="shared" si="180"/>
        <v>16.768374816983897</v>
      </c>
      <c r="O723" s="86"/>
      <c r="R723" s="271"/>
      <c r="S723" s="271"/>
      <c r="T723" s="271"/>
      <c r="U723" s="271"/>
      <c r="V723" s="271"/>
      <c r="W723" s="271"/>
      <c r="X723" s="271"/>
      <c r="Y723" s="271"/>
      <c r="Z723" s="271"/>
      <c r="AA723" s="271"/>
      <c r="AB723" s="271"/>
      <c r="AC723" s="271"/>
    </row>
    <row r="724" spans="1:29" outlineLevel="1" x14ac:dyDescent="0.2">
      <c r="A724" s="39"/>
      <c r="B724" s="36"/>
      <c r="C724" s="38" t="s">
        <v>1542</v>
      </c>
      <c r="D724" s="152"/>
      <c r="E724" s="400"/>
      <c r="F724" s="400"/>
      <c r="G724" s="400"/>
      <c r="H724" s="400"/>
      <c r="I724" s="62" t="str">
        <f t="shared" si="172"/>
        <v>kWh</v>
      </c>
      <c r="J724" s="249">
        <f t="shared" si="179"/>
        <v>25.609589041095887</v>
      </c>
      <c r="K724" s="270">
        <f t="shared" si="180"/>
        <v>0</v>
      </c>
      <c r="L724" s="271">
        <f t="shared" si="180"/>
        <v>178.71038251366116</v>
      </c>
      <c r="M724" s="271">
        <f t="shared" si="180"/>
        <v>0</v>
      </c>
      <c r="N724" s="272">
        <f t="shared" si="180"/>
        <v>25.609589041095887</v>
      </c>
      <c r="O724" s="86"/>
      <c r="R724" s="271"/>
      <c r="S724" s="271"/>
      <c r="T724" s="271"/>
      <c r="U724" s="271"/>
      <c r="V724" s="271"/>
      <c r="W724" s="271"/>
      <c r="X724" s="271"/>
      <c r="Y724" s="271"/>
      <c r="Z724" s="271"/>
      <c r="AA724" s="271"/>
      <c r="AB724" s="271"/>
      <c r="AC724" s="271"/>
    </row>
    <row r="725" spans="1:29" outlineLevel="1" x14ac:dyDescent="0.2">
      <c r="A725" s="39"/>
      <c r="B725" s="36"/>
      <c r="C725" s="38" t="s">
        <v>1543</v>
      </c>
      <c r="D725" s="152"/>
      <c r="E725" s="400"/>
      <c r="F725" s="400"/>
      <c r="G725" s="400"/>
      <c r="H725" s="400"/>
      <c r="I725" s="62" t="str">
        <f t="shared" si="172"/>
        <v>kWh</v>
      </c>
      <c r="J725" s="249">
        <f t="shared" si="179"/>
        <v>29.157522123893806</v>
      </c>
      <c r="K725" s="270">
        <f t="shared" si="180"/>
        <v>0</v>
      </c>
      <c r="L725" s="271">
        <f t="shared" si="180"/>
        <v>186.66666666666666</v>
      </c>
      <c r="M725" s="271">
        <f t="shared" si="180"/>
        <v>0</v>
      </c>
      <c r="N725" s="272">
        <f t="shared" si="180"/>
        <v>29.157522123893806</v>
      </c>
      <c r="O725" s="86"/>
      <c r="R725" s="271"/>
      <c r="S725" s="271"/>
      <c r="T725" s="271"/>
      <c r="U725" s="271"/>
      <c r="V725" s="271"/>
      <c r="W725" s="271"/>
      <c r="X725" s="271"/>
      <c r="Y725" s="271"/>
      <c r="Z725" s="271"/>
      <c r="AA725" s="271"/>
      <c r="AB725" s="271"/>
      <c r="AC725" s="271"/>
    </row>
    <row r="726" spans="1:29" outlineLevel="1" x14ac:dyDescent="0.2">
      <c r="A726" s="39"/>
      <c r="B726" s="36"/>
      <c r="C726" s="38" t="s">
        <v>1544</v>
      </c>
      <c r="D726" s="152"/>
      <c r="E726" s="400"/>
      <c r="F726" s="400"/>
      <c r="G726" s="400"/>
      <c r="H726" s="400"/>
      <c r="I726" s="62" t="str">
        <f t="shared" si="172"/>
        <v>kWh</v>
      </c>
      <c r="J726" s="249">
        <f t="shared" si="179"/>
        <v>36.638722554890222</v>
      </c>
      <c r="K726" s="270">
        <f t="shared" si="180"/>
        <v>15.717712177121772</v>
      </c>
      <c r="L726" s="271">
        <f t="shared" si="180"/>
        <v>183.57843137254898</v>
      </c>
      <c r="M726" s="271">
        <f t="shared" si="180"/>
        <v>0</v>
      </c>
      <c r="N726" s="272">
        <f t="shared" si="180"/>
        <v>36.638722554890222</v>
      </c>
      <c r="O726" s="86"/>
      <c r="R726" s="271"/>
      <c r="S726" s="271"/>
      <c r="T726" s="271"/>
      <c r="U726" s="271"/>
      <c r="V726" s="271"/>
      <c r="W726" s="271"/>
      <c r="X726" s="271"/>
      <c r="Y726" s="271"/>
      <c r="Z726" s="271"/>
      <c r="AA726" s="271"/>
      <c r="AB726" s="271"/>
      <c r="AC726" s="271"/>
    </row>
    <row r="727" spans="1:29" outlineLevel="1" x14ac:dyDescent="0.2">
      <c r="A727" s="39"/>
      <c r="B727" s="36"/>
      <c r="C727" s="38" t="s">
        <v>1545</v>
      </c>
      <c r="D727" s="152"/>
      <c r="E727" s="400"/>
      <c r="F727" s="400"/>
      <c r="G727" s="400"/>
      <c r="H727" s="400"/>
      <c r="I727" s="62" t="str">
        <f t="shared" si="172"/>
        <v>kWh</v>
      </c>
      <c r="J727" s="249">
        <f t="shared" si="179"/>
        <v>37.150497512437809</v>
      </c>
      <c r="K727" s="270">
        <f t="shared" si="180"/>
        <v>16.965040650406504</v>
      </c>
      <c r="L727" s="271">
        <f t="shared" si="180"/>
        <v>344.71413160733545</v>
      </c>
      <c r="M727" s="271">
        <f t="shared" si="180"/>
        <v>37.908675799086758</v>
      </c>
      <c r="N727" s="272">
        <f t="shared" si="180"/>
        <v>37.150497512437809</v>
      </c>
      <c r="O727" s="86"/>
      <c r="R727" s="271"/>
      <c r="S727" s="271"/>
      <c r="T727" s="271"/>
      <c r="U727" s="271"/>
      <c r="V727" s="271"/>
      <c r="W727" s="271"/>
      <c r="X727" s="271"/>
      <c r="Y727" s="271"/>
      <c r="Z727" s="271"/>
      <c r="AA727" s="271"/>
      <c r="AB727" s="271"/>
      <c r="AC727" s="271"/>
    </row>
    <row r="728" spans="1:29" outlineLevel="1" x14ac:dyDescent="0.2">
      <c r="A728" s="39"/>
      <c r="B728" s="36"/>
      <c r="C728" s="38" t="s">
        <v>1546</v>
      </c>
      <c r="D728" s="152"/>
      <c r="E728" s="400"/>
      <c r="F728" s="400"/>
      <c r="G728" s="400"/>
      <c r="H728" s="400"/>
      <c r="I728" s="62" t="str">
        <f t="shared" si="172"/>
        <v>kWh</v>
      </c>
      <c r="J728" s="249">
        <f t="shared" si="179"/>
        <v>63.636363636363633</v>
      </c>
      <c r="K728" s="270">
        <f t="shared" si="180"/>
        <v>23.345301788023274</v>
      </c>
      <c r="L728" s="271">
        <f t="shared" si="180"/>
        <v>636.36363636363637</v>
      </c>
      <c r="M728" s="271">
        <f t="shared" si="180"/>
        <v>44.044054706080374</v>
      </c>
      <c r="N728" s="272">
        <f t="shared" si="180"/>
        <v>63.636363636363633</v>
      </c>
      <c r="O728" s="86"/>
      <c r="R728" s="271"/>
      <c r="S728" s="271"/>
      <c r="T728" s="271"/>
      <c r="U728" s="271"/>
      <c r="V728" s="271"/>
      <c r="W728" s="271"/>
      <c r="X728" s="271"/>
      <c r="Y728" s="271"/>
      <c r="Z728" s="271"/>
      <c r="AA728" s="271"/>
      <c r="AB728" s="271"/>
      <c r="AC728" s="271"/>
    </row>
    <row r="729" spans="1:29" ht="13.5" outlineLevel="1" thickBot="1" x14ac:dyDescent="0.25">
      <c r="A729" s="39"/>
      <c r="B729" s="263"/>
      <c r="C729" s="38" t="s">
        <v>1547</v>
      </c>
      <c r="D729" s="222"/>
      <c r="E729" s="403"/>
      <c r="F729" s="403"/>
      <c r="G729" s="403"/>
      <c r="H729" s="403"/>
      <c r="I729" s="223" t="str">
        <f t="shared" si="172"/>
        <v>kWh</v>
      </c>
      <c r="J729" s="250">
        <f t="shared" si="179"/>
        <v>63.636363636363626</v>
      </c>
      <c r="K729" s="277">
        <f t="shared" si="180"/>
        <v>23.602967002220488</v>
      </c>
      <c r="L729" s="278">
        <f t="shared" si="180"/>
        <v>636.36363636363637</v>
      </c>
      <c r="M729" s="278">
        <f t="shared" si="180"/>
        <v>44.740709636783535</v>
      </c>
      <c r="N729" s="279">
        <f t="shared" si="180"/>
        <v>63.636363636363626</v>
      </c>
      <c r="O729" s="280"/>
      <c r="R729" s="278"/>
      <c r="S729" s="278"/>
      <c r="T729" s="278"/>
      <c r="U729" s="278"/>
      <c r="V729" s="278"/>
      <c r="W729" s="278"/>
      <c r="X729" s="278"/>
      <c r="Y729" s="278"/>
      <c r="Z729" s="278"/>
      <c r="AA729" s="278"/>
      <c r="AB729" s="278"/>
      <c r="AC729" s="278"/>
    </row>
    <row r="730" spans="1:29" x14ac:dyDescent="0.2">
      <c r="A730" s="39"/>
      <c r="B730" s="380" t="str">
        <f>INDEX(Language!$D$249:$M$249,1,_language)</f>
        <v>Not used delivered electric energy</v>
      </c>
      <c r="C730" s="381" t="s">
        <v>1551</v>
      </c>
      <c r="D730" s="275"/>
      <c r="E730" s="409"/>
      <c r="F730" s="409"/>
      <c r="G730" s="409"/>
      <c r="H730" s="409"/>
      <c r="I730" s="382" t="str">
        <f t="shared" si="172"/>
        <v>kWh</v>
      </c>
      <c r="J730" s="372">
        <f t="shared" si="179"/>
        <v>0</v>
      </c>
      <c r="K730" s="373">
        <f>+K611-K688</f>
        <v>0</v>
      </c>
      <c r="L730" s="374">
        <f>+L611-L688</f>
        <v>0</v>
      </c>
      <c r="M730" s="374">
        <f>+M611-M688</f>
        <v>0</v>
      </c>
      <c r="N730" s="375">
        <f>+N611-N688</f>
        <v>0</v>
      </c>
      <c r="O730" s="355"/>
      <c r="R730" s="374"/>
      <c r="S730" s="374"/>
      <c r="T730" s="374"/>
      <c r="U730" s="374"/>
      <c r="V730" s="374"/>
      <c r="W730" s="374"/>
      <c r="X730" s="374"/>
      <c r="Y730" s="374"/>
      <c r="Z730" s="374"/>
      <c r="AA730" s="374"/>
      <c r="AB730" s="374"/>
      <c r="AC730" s="374"/>
    </row>
    <row r="731" spans="1:29" x14ac:dyDescent="0.2">
      <c r="A731" s="39"/>
      <c r="B731" s="383"/>
      <c r="C731" s="384" t="s">
        <v>1552</v>
      </c>
      <c r="D731" s="358"/>
      <c r="E731" s="410"/>
      <c r="F731" s="410"/>
      <c r="G731" s="410"/>
      <c r="H731" s="410"/>
      <c r="I731" s="385" t="str">
        <f t="shared" si="172"/>
        <v>kWh</v>
      </c>
      <c r="J731" s="376">
        <f>SUM(J732:J743)</f>
        <v>316.26787878787877</v>
      </c>
      <c r="K731" s="377">
        <f>SUM(K732:K743)</f>
        <v>1038.9263406175623</v>
      </c>
      <c r="L731" s="378">
        <f>SUM(L732:L743)</f>
        <v>636.35101010101005</v>
      </c>
      <c r="M731" s="378">
        <f>SUM(M732:M743)</f>
        <v>1021.6667082975656</v>
      </c>
      <c r="N731" s="379">
        <f>SUM(N732:N743)</f>
        <v>316.26787878787877</v>
      </c>
      <c r="O731" s="363"/>
      <c r="P731" s="1356" t="s">
        <v>1554</v>
      </c>
      <c r="R731" s="378"/>
      <c r="S731" s="378"/>
      <c r="T731" s="378"/>
      <c r="U731" s="378"/>
      <c r="V731" s="378"/>
      <c r="W731" s="378"/>
      <c r="X731" s="378"/>
      <c r="Y731" s="378"/>
      <c r="Z731" s="378"/>
      <c r="AA731" s="378"/>
      <c r="AB731" s="378"/>
      <c r="AC731" s="378"/>
    </row>
    <row r="732" spans="1:29" outlineLevel="1" x14ac:dyDescent="0.2">
      <c r="A732" s="39"/>
      <c r="B732" s="36"/>
      <c r="C732" s="38" t="s">
        <v>1555</v>
      </c>
      <c r="D732" s="152"/>
      <c r="E732" s="400"/>
      <c r="F732" s="400"/>
      <c r="G732" s="400"/>
      <c r="H732" s="400"/>
      <c r="I732" s="62" t="str">
        <f t="shared" si="172"/>
        <v>kWh</v>
      </c>
      <c r="J732" s="249">
        <f t="shared" ref="J732:J744" si="181">INDEX(K732:N732,,_case_en)</f>
        <v>144.4969696969697</v>
      </c>
      <c r="K732" s="270">
        <f t="shared" ref="K732:N743" si="182">+K613-K690</f>
        <v>412.83500694786488</v>
      </c>
      <c r="L732" s="271">
        <f t="shared" si="182"/>
        <v>264.19191919191917</v>
      </c>
      <c r="M732" s="271">
        <f t="shared" si="182"/>
        <v>352.1728216464312</v>
      </c>
      <c r="N732" s="272">
        <f t="shared" si="182"/>
        <v>144.4969696969697</v>
      </c>
      <c r="O732" s="86"/>
      <c r="P732" s="1356" t="s">
        <v>1553</v>
      </c>
      <c r="R732" s="271"/>
      <c r="S732" s="271"/>
      <c r="T732" s="271"/>
      <c r="U732" s="271"/>
      <c r="V732" s="271"/>
      <c r="W732" s="271"/>
      <c r="X732" s="271"/>
      <c r="Y732" s="271"/>
      <c r="Z732" s="271"/>
      <c r="AA732" s="271"/>
      <c r="AB732" s="271"/>
      <c r="AC732" s="271"/>
    </row>
    <row r="733" spans="1:29" outlineLevel="1" x14ac:dyDescent="0.2">
      <c r="A733" s="39"/>
      <c r="B733" s="36"/>
      <c r="C733" s="38" t="s">
        <v>1556</v>
      </c>
      <c r="D733" s="152"/>
      <c r="E733" s="400"/>
      <c r="F733" s="400"/>
      <c r="G733" s="400"/>
      <c r="H733" s="400"/>
      <c r="I733" s="62" t="str">
        <f t="shared" si="172"/>
        <v>kWh</v>
      </c>
      <c r="J733" s="249">
        <f t="shared" si="181"/>
        <v>89.880303030303025</v>
      </c>
      <c r="K733" s="270">
        <f t="shared" si="182"/>
        <v>321.40332146094357</v>
      </c>
      <c r="L733" s="271">
        <f t="shared" si="182"/>
        <v>199.60858585858591</v>
      </c>
      <c r="M733" s="271">
        <f t="shared" si="182"/>
        <v>280.92190864007279</v>
      </c>
      <c r="N733" s="272">
        <f t="shared" si="182"/>
        <v>89.880303030303025</v>
      </c>
      <c r="O733" s="86"/>
      <c r="P733" s="1356" t="s">
        <v>1553</v>
      </c>
      <c r="R733" s="271"/>
      <c r="S733" s="271"/>
      <c r="T733" s="271"/>
      <c r="U733" s="271"/>
      <c r="V733" s="271"/>
      <c r="W733" s="271"/>
      <c r="X733" s="271"/>
      <c r="Y733" s="271"/>
      <c r="Z733" s="271"/>
      <c r="AA733" s="271"/>
      <c r="AB733" s="271"/>
      <c r="AC733" s="271"/>
    </row>
    <row r="734" spans="1:29" outlineLevel="1" x14ac:dyDescent="0.2">
      <c r="A734" s="39"/>
      <c r="B734" s="36"/>
      <c r="C734" s="38" t="s">
        <v>1557</v>
      </c>
      <c r="D734" s="152"/>
      <c r="E734" s="400"/>
      <c r="F734" s="400"/>
      <c r="G734" s="400"/>
      <c r="H734" s="400"/>
      <c r="I734" s="62" t="str">
        <f t="shared" si="172"/>
        <v>kWh</v>
      </c>
      <c r="J734" s="249">
        <f t="shared" si="181"/>
        <v>0</v>
      </c>
      <c r="K734" s="270">
        <f t="shared" si="182"/>
        <v>0</v>
      </c>
      <c r="L734" s="271">
        <f t="shared" si="182"/>
        <v>0</v>
      </c>
      <c r="M734" s="271">
        <f t="shared" si="182"/>
        <v>41.964463397299198</v>
      </c>
      <c r="N734" s="272">
        <f t="shared" si="182"/>
        <v>0</v>
      </c>
      <c r="O734" s="86"/>
      <c r="P734" s="1356" t="s">
        <v>1553</v>
      </c>
      <c r="R734" s="271"/>
      <c r="S734" s="271"/>
      <c r="T734" s="271"/>
      <c r="U734" s="271"/>
      <c r="V734" s="271"/>
      <c r="W734" s="271"/>
      <c r="X734" s="271"/>
      <c r="Y734" s="271"/>
      <c r="Z734" s="271"/>
      <c r="AA734" s="271"/>
      <c r="AB734" s="271"/>
      <c r="AC734" s="271"/>
    </row>
    <row r="735" spans="1:29" outlineLevel="1" x14ac:dyDescent="0.2">
      <c r="A735" s="39"/>
      <c r="B735" s="36"/>
      <c r="C735" s="38" t="s">
        <v>1558</v>
      </c>
      <c r="D735" s="152"/>
      <c r="E735" s="400"/>
      <c r="F735" s="400"/>
      <c r="G735" s="400"/>
      <c r="H735" s="400"/>
      <c r="I735" s="62" t="str">
        <f t="shared" si="172"/>
        <v>kWh</v>
      </c>
      <c r="J735" s="249">
        <f t="shared" si="181"/>
        <v>0</v>
      </c>
      <c r="K735" s="270">
        <f t="shared" si="182"/>
        <v>0</v>
      </c>
      <c r="L735" s="271">
        <f t="shared" si="182"/>
        <v>0</v>
      </c>
      <c r="M735" s="271">
        <f t="shared" si="182"/>
        <v>0</v>
      </c>
      <c r="N735" s="272">
        <f t="shared" si="182"/>
        <v>0</v>
      </c>
      <c r="O735" s="86"/>
      <c r="P735" s="1356" t="s">
        <v>1553</v>
      </c>
      <c r="R735" s="271"/>
      <c r="S735" s="271"/>
      <c r="T735" s="271"/>
      <c r="U735" s="271"/>
      <c r="V735" s="271"/>
      <c r="W735" s="271"/>
      <c r="X735" s="271"/>
      <c r="Y735" s="271"/>
      <c r="Z735" s="271"/>
      <c r="AA735" s="271"/>
      <c r="AB735" s="271"/>
      <c r="AC735" s="271"/>
    </row>
    <row r="736" spans="1:29" outlineLevel="1" x14ac:dyDescent="0.2">
      <c r="A736" s="39"/>
      <c r="B736" s="36"/>
      <c r="C736" s="38" t="s">
        <v>1559</v>
      </c>
      <c r="D736" s="152"/>
      <c r="E736" s="400"/>
      <c r="F736" s="400"/>
      <c r="G736" s="400"/>
      <c r="H736" s="400"/>
      <c r="I736" s="62" t="str">
        <f t="shared" si="172"/>
        <v>kWh</v>
      </c>
      <c r="J736" s="249">
        <f t="shared" si="181"/>
        <v>0</v>
      </c>
      <c r="K736" s="270">
        <f t="shared" si="182"/>
        <v>0</v>
      </c>
      <c r="L736" s="271">
        <f t="shared" si="182"/>
        <v>0</v>
      </c>
      <c r="M736" s="271">
        <f t="shared" si="182"/>
        <v>0</v>
      </c>
      <c r="N736" s="272">
        <f t="shared" si="182"/>
        <v>0</v>
      </c>
      <c r="O736" s="86"/>
      <c r="P736" s="1356" t="s">
        <v>1553</v>
      </c>
      <c r="R736" s="271"/>
      <c r="S736" s="271"/>
      <c r="T736" s="271"/>
      <c r="U736" s="271"/>
      <c r="V736" s="271"/>
      <c r="W736" s="271"/>
      <c r="X736" s="271"/>
      <c r="Y736" s="271"/>
      <c r="Z736" s="271"/>
      <c r="AA736" s="271"/>
      <c r="AB736" s="271"/>
      <c r="AC736" s="271"/>
    </row>
    <row r="737" spans="1:30" outlineLevel="1" x14ac:dyDescent="0.2">
      <c r="A737" s="39"/>
      <c r="B737" s="36"/>
      <c r="C737" s="38" t="s">
        <v>1560</v>
      </c>
      <c r="D737" s="152"/>
      <c r="E737" s="400"/>
      <c r="F737" s="400"/>
      <c r="G737" s="400"/>
      <c r="H737" s="400"/>
      <c r="I737" s="62" t="str">
        <f t="shared" si="172"/>
        <v>kWh</v>
      </c>
      <c r="J737" s="249">
        <f t="shared" si="181"/>
        <v>0</v>
      </c>
      <c r="K737" s="270">
        <f t="shared" si="182"/>
        <v>0</v>
      </c>
      <c r="L737" s="271">
        <f t="shared" si="182"/>
        <v>0</v>
      </c>
      <c r="M737" s="271">
        <f t="shared" si="182"/>
        <v>0</v>
      </c>
      <c r="N737" s="272">
        <f t="shared" si="182"/>
        <v>0</v>
      </c>
      <c r="O737" s="86"/>
      <c r="P737" s="1356" t="s">
        <v>1553</v>
      </c>
      <c r="R737" s="271"/>
      <c r="S737" s="271"/>
      <c r="T737" s="271"/>
      <c r="U737" s="271"/>
      <c r="V737" s="271"/>
      <c r="W737" s="271"/>
      <c r="X737" s="271"/>
      <c r="Y737" s="271"/>
      <c r="Z737" s="271"/>
      <c r="AA737" s="271"/>
      <c r="AB737" s="271"/>
      <c r="AC737" s="271"/>
    </row>
    <row r="738" spans="1:30" outlineLevel="1" x14ac:dyDescent="0.2">
      <c r="A738" s="39"/>
      <c r="B738" s="36"/>
      <c r="C738" s="38" t="s">
        <v>1561</v>
      </c>
      <c r="D738" s="152"/>
      <c r="E738" s="400"/>
      <c r="F738" s="400"/>
      <c r="G738" s="400"/>
      <c r="H738" s="400"/>
      <c r="I738" s="62" t="str">
        <f t="shared" si="172"/>
        <v>kWh</v>
      </c>
      <c r="J738" s="249">
        <f t="shared" si="181"/>
        <v>0</v>
      </c>
      <c r="K738" s="270">
        <f t="shared" si="182"/>
        <v>0</v>
      </c>
      <c r="L738" s="271">
        <f t="shared" si="182"/>
        <v>0</v>
      </c>
      <c r="M738" s="271">
        <f t="shared" si="182"/>
        <v>0</v>
      </c>
      <c r="N738" s="272">
        <f t="shared" si="182"/>
        <v>0</v>
      </c>
      <c r="O738" s="86"/>
      <c r="P738" s="1356" t="s">
        <v>1553</v>
      </c>
      <c r="R738" s="271"/>
      <c r="S738" s="271"/>
      <c r="T738" s="271"/>
      <c r="U738" s="271"/>
      <c r="V738" s="271"/>
      <c r="W738" s="271"/>
      <c r="X738" s="271"/>
      <c r="Y738" s="271"/>
      <c r="Z738" s="271"/>
      <c r="AA738" s="271"/>
      <c r="AB738" s="271"/>
      <c r="AC738" s="271"/>
    </row>
    <row r="739" spans="1:30" outlineLevel="1" x14ac:dyDescent="0.2">
      <c r="A739" s="39"/>
      <c r="B739" s="36"/>
      <c r="C739" s="38" t="s">
        <v>1562</v>
      </c>
      <c r="D739" s="152"/>
      <c r="E739" s="400"/>
      <c r="F739" s="400"/>
      <c r="G739" s="400"/>
      <c r="H739" s="400"/>
      <c r="I739" s="62" t="str">
        <f t="shared" si="172"/>
        <v>kWh</v>
      </c>
      <c r="J739" s="249">
        <f t="shared" si="181"/>
        <v>0</v>
      </c>
      <c r="K739" s="270">
        <f t="shared" si="182"/>
        <v>0</v>
      </c>
      <c r="L739" s="271">
        <f t="shared" si="182"/>
        <v>0</v>
      </c>
      <c r="M739" s="271">
        <f t="shared" si="182"/>
        <v>0</v>
      </c>
      <c r="N739" s="272">
        <f t="shared" si="182"/>
        <v>0</v>
      </c>
      <c r="O739" s="86"/>
      <c r="P739" s="1356" t="s">
        <v>1553</v>
      </c>
      <c r="R739" s="271"/>
      <c r="S739" s="271"/>
      <c r="T739" s="271"/>
      <c r="U739" s="271"/>
      <c r="V739" s="271"/>
      <c r="W739" s="271"/>
      <c r="X739" s="271"/>
      <c r="Y739" s="271"/>
      <c r="Z739" s="271"/>
      <c r="AA739" s="271"/>
      <c r="AB739" s="271"/>
      <c r="AC739" s="271"/>
    </row>
    <row r="740" spans="1:30" outlineLevel="1" x14ac:dyDescent="0.2">
      <c r="A740" s="39"/>
      <c r="B740" s="36"/>
      <c r="C740" s="38" t="s">
        <v>1563</v>
      </c>
      <c r="D740" s="152"/>
      <c r="E740" s="400"/>
      <c r="F740" s="400"/>
      <c r="G740" s="400"/>
      <c r="H740" s="400"/>
      <c r="I740" s="62" t="str">
        <f t="shared" si="172"/>
        <v>kWh</v>
      </c>
      <c r="J740" s="249">
        <f t="shared" si="181"/>
        <v>0</v>
      </c>
      <c r="K740" s="270">
        <f t="shared" si="182"/>
        <v>0</v>
      </c>
      <c r="L740" s="271">
        <f t="shared" si="182"/>
        <v>0</v>
      </c>
      <c r="M740" s="271">
        <f t="shared" si="182"/>
        <v>0</v>
      </c>
      <c r="N740" s="272">
        <f t="shared" si="182"/>
        <v>0</v>
      </c>
      <c r="O740" s="86"/>
      <c r="P740" s="1356" t="s">
        <v>1553</v>
      </c>
      <c r="R740" s="271"/>
      <c r="S740" s="271"/>
      <c r="T740" s="271"/>
      <c r="U740" s="271"/>
      <c r="V740" s="271"/>
      <c r="W740" s="271"/>
      <c r="X740" s="271"/>
      <c r="Y740" s="271"/>
      <c r="Z740" s="271"/>
      <c r="AA740" s="271"/>
      <c r="AB740" s="271"/>
      <c r="AC740" s="271"/>
    </row>
    <row r="741" spans="1:30" outlineLevel="1" x14ac:dyDescent="0.2">
      <c r="A741" s="39"/>
      <c r="B741" s="36"/>
      <c r="C741" s="38" t="s">
        <v>1564</v>
      </c>
      <c r="D741" s="152"/>
      <c r="E741" s="400"/>
      <c r="F741" s="400"/>
      <c r="G741" s="400"/>
      <c r="H741" s="400"/>
      <c r="I741" s="62" t="str">
        <f t="shared" si="172"/>
        <v>kWh</v>
      </c>
      <c r="J741" s="249">
        <f t="shared" si="181"/>
        <v>0</v>
      </c>
      <c r="K741" s="270">
        <f t="shared" si="182"/>
        <v>0</v>
      </c>
      <c r="L741" s="271">
        <f t="shared" si="182"/>
        <v>0</v>
      </c>
      <c r="M741" s="271">
        <f t="shared" si="182"/>
        <v>0</v>
      </c>
      <c r="N741" s="272">
        <f t="shared" si="182"/>
        <v>0</v>
      </c>
      <c r="O741" s="86"/>
      <c r="P741" s="1356" t="s">
        <v>1553</v>
      </c>
      <c r="R741" s="271"/>
      <c r="S741" s="271"/>
      <c r="T741" s="271"/>
      <c r="U741" s="271"/>
      <c r="V741" s="271"/>
      <c r="W741" s="271"/>
      <c r="X741" s="271"/>
      <c r="Y741" s="271"/>
      <c r="Z741" s="271"/>
      <c r="AA741" s="271"/>
      <c r="AB741" s="271"/>
      <c r="AC741" s="271"/>
    </row>
    <row r="742" spans="1:30" outlineLevel="1" x14ac:dyDescent="0.2">
      <c r="A742" s="39"/>
      <c r="B742" s="36"/>
      <c r="C742" s="38" t="s">
        <v>1565</v>
      </c>
      <c r="D742" s="152"/>
      <c r="E742" s="400"/>
      <c r="F742" s="400"/>
      <c r="G742" s="400"/>
      <c r="H742" s="400"/>
      <c r="I742" s="62" t="str">
        <f t="shared" si="172"/>
        <v>kWh</v>
      </c>
      <c r="J742" s="249">
        <f t="shared" si="181"/>
        <v>14.060303030303032</v>
      </c>
      <c r="K742" s="270">
        <f t="shared" si="182"/>
        <v>87.488427641964336</v>
      </c>
      <c r="L742" s="271">
        <f t="shared" si="182"/>
        <v>15.025252525252426</v>
      </c>
      <c r="M742" s="271">
        <f t="shared" si="182"/>
        <v>128.71315698268427</v>
      </c>
      <c r="N742" s="272">
        <f t="shared" si="182"/>
        <v>14.060303030303032</v>
      </c>
      <c r="O742" s="86"/>
      <c r="P742" s="1356" t="s">
        <v>1553</v>
      </c>
      <c r="R742" s="271"/>
      <c r="S742" s="271"/>
      <c r="T742" s="271"/>
      <c r="U742" s="271"/>
      <c r="V742" s="271"/>
      <c r="W742" s="271"/>
      <c r="X742" s="271"/>
      <c r="Y742" s="271"/>
      <c r="Z742" s="271"/>
      <c r="AA742" s="271"/>
      <c r="AB742" s="271"/>
      <c r="AC742" s="271"/>
    </row>
    <row r="743" spans="1:30" ht="13.5" outlineLevel="1" thickBot="1" x14ac:dyDescent="0.25">
      <c r="A743" s="39"/>
      <c r="B743" s="263"/>
      <c r="C743" s="38" t="s">
        <v>1566</v>
      </c>
      <c r="D743" s="222"/>
      <c r="E743" s="403"/>
      <c r="F743" s="403"/>
      <c r="G743" s="403"/>
      <c r="H743" s="403"/>
      <c r="I743" s="223" t="str">
        <f t="shared" si="172"/>
        <v>kWh</v>
      </c>
      <c r="J743" s="250">
        <f t="shared" si="181"/>
        <v>67.830303030303043</v>
      </c>
      <c r="K743" s="277">
        <f t="shared" si="182"/>
        <v>217.1995845667895</v>
      </c>
      <c r="L743" s="278">
        <f t="shared" si="182"/>
        <v>157.52525252525254</v>
      </c>
      <c r="M743" s="278">
        <f t="shared" si="182"/>
        <v>217.89435763107815</v>
      </c>
      <c r="N743" s="279">
        <f t="shared" si="182"/>
        <v>67.830303030303043</v>
      </c>
      <c r="O743" s="280"/>
      <c r="P743" s="1356" t="s">
        <v>1553</v>
      </c>
      <c r="R743" s="278"/>
      <c r="S743" s="278"/>
      <c r="T743" s="278"/>
      <c r="U743" s="278"/>
      <c r="V743" s="278"/>
      <c r="W743" s="278"/>
      <c r="X743" s="278"/>
      <c r="Y743" s="278"/>
      <c r="Z743" s="278"/>
      <c r="AA743" s="278"/>
      <c r="AB743" s="278"/>
      <c r="AC743" s="278"/>
    </row>
    <row r="744" spans="1:30" x14ac:dyDescent="0.2">
      <c r="A744" s="39"/>
      <c r="B744" s="380" t="str">
        <f>INDEX(Language!$D$258:$M$258,1,_language)</f>
        <v>Not used exported electricity</v>
      </c>
      <c r="C744" s="381" t="s">
        <v>1568</v>
      </c>
      <c r="D744" s="275"/>
      <c r="E744" s="409"/>
      <c r="F744" s="409"/>
      <c r="G744" s="409"/>
      <c r="H744" s="409"/>
      <c r="I744" s="382" t="str">
        <f t="shared" si="172"/>
        <v>kWh</v>
      </c>
      <c r="J744" s="921">
        <f t="shared" si="181"/>
        <v>520.28774891774901</v>
      </c>
      <c r="K744" s="922">
        <f>+K674-K688</f>
        <v>1077.2468212037893</v>
      </c>
      <c r="L744" s="923">
        <f>+L674-L688</f>
        <v>3002.7853535353534</v>
      </c>
      <c r="M744" s="923">
        <f>+M674-M688</f>
        <v>225.90319953778635</v>
      </c>
      <c r="N744" s="924">
        <f>+N674-N688</f>
        <v>520.28774891774901</v>
      </c>
      <c r="O744" s="355" t="s">
        <v>1075</v>
      </c>
      <c r="R744" s="374"/>
      <c r="S744" s="374"/>
      <c r="T744" s="374"/>
      <c r="U744" s="374"/>
      <c r="V744" s="374"/>
      <c r="W744" s="374"/>
      <c r="X744" s="374"/>
      <c r="Y744" s="374"/>
      <c r="Z744" s="374"/>
      <c r="AA744" s="374"/>
      <c r="AB744" s="374"/>
      <c r="AC744" s="374"/>
    </row>
    <row r="745" spans="1:30" x14ac:dyDescent="0.2">
      <c r="A745" s="39"/>
      <c r="B745" s="383"/>
      <c r="C745" s="384" t="s">
        <v>1569</v>
      </c>
      <c r="D745" s="358"/>
      <c r="E745" s="410"/>
      <c r="F745" s="410"/>
      <c r="G745" s="410"/>
      <c r="H745" s="410"/>
      <c r="I745" s="385" t="str">
        <f t="shared" si="172"/>
        <v>kWh</v>
      </c>
      <c r="J745" s="376">
        <f>SUM(J746:J757)</f>
        <v>836.55562770562767</v>
      </c>
      <c r="K745" s="377">
        <f>SUM(K746:K757)</f>
        <v>2160.8227658953615</v>
      </c>
      <c r="L745" s="378">
        <f>SUM(L746:L757)</f>
        <v>3639.136363636364</v>
      </c>
      <c r="M745" s="378">
        <f>SUM(M746:M757)</f>
        <v>1181.8771492136718</v>
      </c>
      <c r="N745" s="379">
        <f>SUM(N746:N757)</f>
        <v>836.55562770562767</v>
      </c>
      <c r="O745" s="363"/>
      <c r="P745" s="1356" t="s">
        <v>1583</v>
      </c>
      <c r="R745" s="378"/>
      <c r="S745" s="378"/>
      <c r="T745" s="378"/>
      <c r="U745" s="378"/>
      <c r="V745" s="378"/>
      <c r="W745" s="378"/>
      <c r="X745" s="378"/>
      <c r="Y745" s="378"/>
      <c r="Z745" s="378"/>
      <c r="AA745" s="378"/>
      <c r="AB745" s="378"/>
      <c r="AC745" s="378"/>
    </row>
    <row r="746" spans="1:30" outlineLevel="1" x14ac:dyDescent="0.2">
      <c r="A746" s="39"/>
      <c r="B746" s="36"/>
      <c r="C746" s="38" t="s">
        <v>1570</v>
      </c>
      <c r="D746" s="152"/>
      <c r="E746" s="400"/>
      <c r="F746" s="400"/>
      <c r="G746" s="400"/>
      <c r="H746" s="400"/>
      <c r="I746" s="62" t="str">
        <f t="shared" si="172"/>
        <v>kWh</v>
      </c>
      <c r="J746" s="249">
        <f t="shared" ref="J746:J758" si="183">INDEX(K746:N746,,_case_en)</f>
        <v>0</v>
      </c>
      <c r="K746" s="270">
        <f t="shared" ref="K746:N757" si="184">K676-K690</f>
        <v>0</v>
      </c>
      <c r="L746" s="271">
        <f t="shared" si="184"/>
        <v>0</v>
      </c>
      <c r="M746" s="271">
        <f t="shared" si="184"/>
        <v>0</v>
      </c>
      <c r="N746" s="272">
        <f t="shared" si="184"/>
        <v>0</v>
      </c>
      <c r="O746" s="86"/>
      <c r="P746" s="1356" t="s">
        <v>1582</v>
      </c>
      <c r="R746" s="271"/>
      <c r="S746" s="271"/>
      <c r="T746" s="271"/>
      <c r="U746" s="271"/>
      <c r="V746" s="271"/>
      <c r="W746" s="271"/>
      <c r="X746" s="271"/>
      <c r="Y746" s="271"/>
      <c r="Z746" s="271"/>
      <c r="AA746" s="271"/>
      <c r="AB746" s="271"/>
      <c r="AC746" s="271"/>
    </row>
    <row r="747" spans="1:30" outlineLevel="1" x14ac:dyDescent="0.2">
      <c r="A747" s="39"/>
      <c r="B747" s="36"/>
      <c r="C747" s="38" t="s">
        <v>1571</v>
      </c>
      <c r="D747" s="152"/>
      <c r="E747" s="400"/>
      <c r="F747" s="400"/>
      <c r="G747" s="400"/>
      <c r="H747" s="400"/>
      <c r="I747" s="62" t="str">
        <f t="shared" si="172"/>
        <v>kWh</v>
      </c>
      <c r="J747" s="249">
        <f t="shared" si="183"/>
        <v>0</v>
      </c>
      <c r="K747" s="270">
        <f t="shared" si="184"/>
        <v>0</v>
      </c>
      <c r="L747" s="271">
        <f t="shared" si="184"/>
        <v>0</v>
      </c>
      <c r="M747" s="271">
        <f t="shared" si="184"/>
        <v>0</v>
      </c>
      <c r="N747" s="272">
        <f t="shared" si="184"/>
        <v>0</v>
      </c>
      <c r="O747" s="86"/>
      <c r="P747" s="1356" t="s">
        <v>1582</v>
      </c>
      <c r="R747" s="271"/>
      <c r="S747" s="271"/>
      <c r="T747" s="271"/>
      <c r="U747" s="271"/>
      <c r="V747" s="271"/>
      <c r="W747" s="271"/>
      <c r="X747" s="271"/>
      <c r="Y747" s="271"/>
      <c r="Z747" s="271"/>
      <c r="AA747" s="271"/>
      <c r="AB747" s="271"/>
      <c r="AC747" s="271"/>
      <c r="AD747" s="1635"/>
    </row>
    <row r="748" spans="1:30" outlineLevel="1" x14ac:dyDescent="0.2">
      <c r="A748" s="39"/>
      <c r="B748" s="36"/>
      <c r="C748" s="38" t="s">
        <v>1572</v>
      </c>
      <c r="D748" s="152"/>
      <c r="E748" s="400"/>
      <c r="F748" s="400"/>
      <c r="G748" s="400"/>
      <c r="H748" s="400"/>
      <c r="I748" s="62" t="str">
        <f t="shared" si="172"/>
        <v>kWh</v>
      </c>
      <c r="J748" s="249">
        <f t="shared" si="183"/>
        <v>39.769696969696952</v>
      </c>
      <c r="K748" s="270">
        <f t="shared" si="184"/>
        <v>39.54870264287149</v>
      </c>
      <c r="L748" s="271">
        <f t="shared" si="184"/>
        <v>182.47474747474757</v>
      </c>
      <c r="M748" s="271">
        <f t="shared" si="184"/>
        <v>0</v>
      </c>
      <c r="N748" s="272">
        <f t="shared" si="184"/>
        <v>39.769696969696952</v>
      </c>
      <c r="O748" s="86"/>
      <c r="P748" s="1356" t="s">
        <v>1582</v>
      </c>
      <c r="R748" s="271"/>
      <c r="S748" s="271"/>
      <c r="T748" s="271"/>
      <c r="U748" s="271"/>
      <c r="V748" s="271"/>
      <c r="W748" s="271"/>
      <c r="X748" s="271"/>
      <c r="Y748" s="271"/>
      <c r="Z748" s="271"/>
      <c r="AA748" s="271"/>
      <c r="AB748" s="271"/>
      <c r="AC748" s="271"/>
      <c r="AD748" s="1635"/>
    </row>
    <row r="749" spans="1:30" outlineLevel="1" x14ac:dyDescent="0.2">
      <c r="A749" s="39"/>
      <c r="B749" s="36"/>
      <c r="C749" s="38" t="s">
        <v>1573</v>
      </c>
      <c r="D749" s="152"/>
      <c r="E749" s="400"/>
      <c r="F749" s="400"/>
      <c r="G749" s="400"/>
      <c r="H749" s="400"/>
      <c r="I749" s="62" t="str">
        <f t="shared" si="172"/>
        <v>kWh</v>
      </c>
      <c r="J749" s="249">
        <f t="shared" si="183"/>
        <v>139.48636363636365</v>
      </c>
      <c r="K749" s="270">
        <f t="shared" si="184"/>
        <v>242.1005802707931</v>
      </c>
      <c r="L749" s="271">
        <f t="shared" si="184"/>
        <v>518.97474747474757</v>
      </c>
      <c r="M749" s="271">
        <f t="shared" si="184"/>
        <v>111.02123345302851</v>
      </c>
      <c r="N749" s="272">
        <f t="shared" si="184"/>
        <v>139.48636363636365</v>
      </c>
      <c r="O749" s="86"/>
      <c r="P749" s="1356" t="s">
        <v>1582</v>
      </c>
      <c r="R749" s="271"/>
      <c r="S749" s="271"/>
      <c r="T749" s="271"/>
      <c r="U749" s="271"/>
      <c r="V749" s="271"/>
      <c r="W749" s="271"/>
      <c r="X749" s="271"/>
      <c r="Y749" s="271"/>
      <c r="Z749" s="271"/>
      <c r="AA749" s="271"/>
      <c r="AB749" s="271"/>
      <c r="AC749" s="271"/>
      <c r="AD749" s="1635"/>
    </row>
    <row r="750" spans="1:30" outlineLevel="1" x14ac:dyDescent="0.2">
      <c r="A750" s="39"/>
      <c r="B750" s="36"/>
      <c r="C750" s="38" t="s">
        <v>1574</v>
      </c>
      <c r="D750" s="152"/>
      <c r="E750" s="400"/>
      <c r="F750" s="400"/>
      <c r="G750" s="400"/>
      <c r="H750" s="400"/>
      <c r="I750" s="62" t="str">
        <f t="shared" si="172"/>
        <v>kWh</v>
      </c>
      <c r="J750" s="249">
        <f t="shared" si="183"/>
        <v>183.55324675324675</v>
      </c>
      <c r="K750" s="270">
        <f t="shared" si="184"/>
        <v>368.85045662100447</v>
      </c>
      <c r="L750" s="271">
        <f t="shared" si="184"/>
        <v>497.24242424242425</v>
      </c>
      <c r="M750" s="271">
        <f t="shared" si="184"/>
        <v>181.30860968394819</v>
      </c>
      <c r="N750" s="272">
        <f t="shared" si="184"/>
        <v>183.55324675324675</v>
      </c>
      <c r="O750" s="86"/>
      <c r="P750" s="1356" t="s">
        <v>1582</v>
      </c>
      <c r="R750" s="271"/>
      <c r="S750" s="271"/>
      <c r="T750" s="271"/>
      <c r="U750" s="271"/>
      <c r="V750" s="271"/>
      <c r="W750" s="271"/>
      <c r="X750" s="271"/>
      <c r="Y750" s="271"/>
      <c r="Z750" s="271"/>
      <c r="AA750" s="271"/>
      <c r="AB750" s="271"/>
      <c r="AC750" s="271"/>
      <c r="AD750" s="1635"/>
    </row>
    <row r="751" spans="1:30" outlineLevel="1" x14ac:dyDescent="0.2">
      <c r="A751" s="39"/>
      <c r="B751" s="36"/>
      <c r="C751" s="38" t="s">
        <v>1575</v>
      </c>
      <c r="D751" s="152"/>
      <c r="E751" s="400"/>
      <c r="F751" s="400"/>
      <c r="G751" s="400"/>
      <c r="H751" s="400"/>
      <c r="I751" s="62" t="str">
        <f t="shared" si="172"/>
        <v>kWh</v>
      </c>
      <c r="J751" s="249">
        <f t="shared" si="183"/>
        <v>105.94025974025971</v>
      </c>
      <c r="K751" s="270">
        <f t="shared" si="184"/>
        <v>363.50574712643675</v>
      </c>
      <c r="L751" s="271">
        <f t="shared" si="184"/>
        <v>519.24242424242425</v>
      </c>
      <c r="M751" s="271">
        <f t="shared" si="184"/>
        <v>234.58630952380958</v>
      </c>
      <c r="N751" s="272">
        <f t="shared" si="184"/>
        <v>105.94025974025971</v>
      </c>
      <c r="O751" s="86"/>
      <c r="P751" s="1356" t="s">
        <v>1582</v>
      </c>
      <c r="R751" s="271"/>
      <c r="S751" s="271"/>
      <c r="T751" s="271"/>
      <c r="U751" s="271"/>
      <c r="V751" s="271"/>
      <c r="W751" s="271"/>
      <c r="X751" s="271"/>
      <c r="Y751" s="271"/>
      <c r="Z751" s="271"/>
      <c r="AA751" s="271"/>
      <c r="AB751" s="271"/>
      <c r="AC751" s="271"/>
      <c r="AD751" s="1635"/>
    </row>
    <row r="752" spans="1:30" outlineLevel="1" x14ac:dyDescent="0.2">
      <c r="A752" s="39"/>
      <c r="B752" s="36"/>
      <c r="C752" s="38" t="s">
        <v>1576</v>
      </c>
      <c r="D752" s="152"/>
      <c r="E752" s="400"/>
      <c r="F752" s="400"/>
      <c r="G752" s="400"/>
      <c r="H752" s="400"/>
      <c r="I752" s="62" t="str">
        <f t="shared" si="172"/>
        <v>kWh</v>
      </c>
      <c r="J752" s="249">
        <f t="shared" si="183"/>
        <v>64.746753246753258</v>
      </c>
      <c r="K752" s="270">
        <f t="shared" si="184"/>
        <v>379.21588946459406</v>
      </c>
      <c r="L752" s="271">
        <f t="shared" si="184"/>
        <v>534.90909090909099</v>
      </c>
      <c r="M752" s="271">
        <f t="shared" si="184"/>
        <v>263.90626191523688</v>
      </c>
      <c r="N752" s="272">
        <f t="shared" si="184"/>
        <v>64.746753246753258</v>
      </c>
      <c r="O752" s="86"/>
      <c r="P752" s="1356" t="s">
        <v>1582</v>
      </c>
      <c r="R752" s="271"/>
      <c r="S752" s="271"/>
      <c r="T752" s="271"/>
      <c r="U752" s="271"/>
      <c r="V752" s="271"/>
      <c r="W752" s="271"/>
      <c r="X752" s="271"/>
      <c r="Y752" s="271"/>
      <c r="Z752" s="271"/>
      <c r="AA752" s="271"/>
      <c r="AB752" s="271"/>
      <c r="AC752" s="271"/>
      <c r="AD752" s="1635"/>
    </row>
    <row r="753" spans="1:30" outlineLevel="1" x14ac:dyDescent="0.2">
      <c r="A753" s="39"/>
      <c r="B753" s="36"/>
      <c r="C753" s="38" t="s">
        <v>1577</v>
      </c>
      <c r="D753" s="152"/>
      <c r="E753" s="400"/>
      <c r="F753" s="400"/>
      <c r="G753" s="400"/>
      <c r="H753" s="400"/>
      <c r="I753" s="62" t="str">
        <f t="shared" si="172"/>
        <v>kWh</v>
      </c>
      <c r="J753" s="249">
        <f t="shared" si="183"/>
        <v>72.83896103896106</v>
      </c>
      <c r="K753" s="270">
        <f t="shared" si="184"/>
        <v>281.4589178356714</v>
      </c>
      <c r="L753" s="271">
        <f t="shared" si="184"/>
        <v>489.57575757575756</v>
      </c>
      <c r="M753" s="271">
        <f t="shared" si="184"/>
        <v>199.13083684171659</v>
      </c>
      <c r="N753" s="272">
        <f t="shared" si="184"/>
        <v>72.83896103896106</v>
      </c>
      <c r="O753" s="86"/>
      <c r="P753" s="1356" t="s">
        <v>1582</v>
      </c>
      <c r="R753" s="271"/>
      <c r="S753" s="271"/>
      <c r="T753" s="271"/>
      <c r="U753" s="271"/>
      <c r="V753" s="271"/>
      <c r="W753" s="271"/>
      <c r="X753" s="271"/>
      <c r="Y753" s="271"/>
      <c r="Z753" s="271"/>
      <c r="AA753" s="271"/>
      <c r="AB753" s="271"/>
      <c r="AC753" s="271"/>
      <c r="AD753" s="1635"/>
    </row>
    <row r="754" spans="1:30" outlineLevel="1" x14ac:dyDescent="0.2">
      <c r="A754" s="39"/>
      <c r="B754" s="36"/>
      <c r="C754" s="38" t="s">
        <v>1578</v>
      </c>
      <c r="D754" s="152"/>
      <c r="E754" s="400"/>
      <c r="F754" s="400"/>
      <c r="G754" s="400"/>
      <c r="H754" s="400"/>
      <c r="I754" s="62" t="str">
        <f t="shared" si="172"/>
        <v>kWh</v>
      </c>
      <c r="J754" s="249">
        <f t="shared" si="183"/>
        <v>128.81731601731599</v>
      </c>
      <c r="K754" s="270">
        <f t="shared" si="184"/>
        <v>318.6012537246304</v>
      </c>
      <c r="L754" s="271">
        <f t="shared" si="184"/>
        <v>467.57575757575762</v>
      </c>
      <c r="M754" s="271">
        <f t="shared" si="184"/>
        <v>146.56701429123217</v>
      </c>
      <c r="N754" s="272">
        <f t="shared" si="184"/>
        <v>128.81731601731599</v>
      </c>
      <c r="O754" s="86"/>
      <c r="P754" s="1356" t="s">
        <v>1582</v>
      </c>
      <c r="R754" s="271"/>
      <c r="S754" s="271"/>
      <c r="T754" s="271"/>
      <c r="U754" s="271"/>
      <c r="V754" s="271"/>
      <c r="W754" s="271"/>
      <c r="X754" s="271"/>
      <c r="Y754" s="271"/>
      <c r="Z754" s="271"/>
      <c r="AA754" s="271"/>
      <c r="AB754" s="271"/>
      <c r="AC754" s="271"/>
      <c r="AD754" s="1635"/>
    </row>
    <row r="755" spans="1:30" outlineLevel="1" x14ac:dyDescent="0.2">
      <c r="A755" s="39"/>
      <c r="B755" s="36"/>
      <c r="C755" s="38" t="s">
        <v>1579</v>
      </c>
      <c r="D755" s="152"/>
      <c r="E755" s="400"/>
      <c r="F755" s="400"/>
      <c r="G755" s="400"/>
      <c r="H755" s="400"/>
      <c r="I755" s="62" t="str">
        <f t="shared" si="172"/>
        <v>kWh</v>
      </c>
      <c r="J755" s="249">
        <f t="shared" si="183"/>
        <v>101.40303030303031</v>
      </c>
      <c r="K755" s="270">
        <f t="shared" si="184"/>
        <v>167.5412182093599</v>
      </c>
      <c r="L755" s="271">
        <f t="shared" si="184"/>
        <v>429.1414141414142</v>
      </c>
      <c r="M755" s="271">
        <f t="shared" si="184"/>
        <v>45.356883504699852</v>
      </c>
      <c r="N755" s="272">
        <f t="shared" si="184"/>
        <v>101.40303030303031</v>
      </c>
      <c r="O755" s="86"/>
      <c r="P755" s="1356" t="s">
        <v>1582</v>
      </c>
      <c r="R755" s="271"/>
      <c r="S755" s="271"/>
      <c r="T755" s="271"/>
      <c r="U755" s="271"/>
      <c r="V755" s="271"/>
      <c r="W755" s="271"/>
      <c r="X755" s="271"/>
      <c r="Y755" s="271"/>
      <c r="Z755" s="271"/>
      <c r="AA755" s="271"/>
      <c r="AB755" s="271"/>
      <c r="AC755" s="271"/>
      <c r="AD755" s="1635"/>
    </row>
    <row r="756" spans="1:30" outlineLevel="1" x14ac:dyDescent="0.2">
      <c r="A756" s="39"/>
      <c r="B756" s="36"/>
      <c r="C756" s="38" t="s">
        <v>1580</v>
      </c>
      <c r="D756" s="152"/>
      <c r="E756" s="400"/>
      <c r="F756" s="400"/>
      <c r="G756" s="400"/>
      <c r="H756" s="400"/>
      <c r="I756" s="62" t="str">
        <f t="shared" si="172"/>
        <v>kWh</v>
      </c>
      <c r="J756" s="249">
        <f t="shared" si="183"/>
        <v>0</v>
      </c>
      <c r="K756" s="270">
        <f t="shared" si="184"/>
        <v>0</v>
      </c>
      <c r="L756" s="271">
        <f t="shared" si="184"/>
        <v>0</v>
      </c>
      <c r="M756" s="271">
        <f t="shared" si="184"/>
        <v>0</v>
      </c>
      <c r="N756" s="272">
        <f t="shared" si="184"/>
        <v>0</v>
      </c>
      <c r="O756" s="86"/>
      <c r="P756" s="1356" t="s">
        <v>1582</v>
      </c>
      <c r="R756" s="271"/>
      <c r="S756" s="271"/>
      <c r="T756" s="271"/>
      <c r="U756" s="271"/>
      <c r="V756" s="271"/>
      <c r="W756" s="271"/>
      <c r="X756" s="271"/>
      <c r="Y756" s="271"/>
      <c r="Z756" s="271"/>
      <c r="AA756" s="271"/>
      <c r="AB756" s="271"/>
      <c r="AC756" s="271"/>
      <c r="AD756" s="1635"/>
    </row>
    <row r="757" spans="1:30" ht="13.5" outlineLevel="1" thickBot="1" x14ac:dyDescent="0.25">
      <c r="A757" s="39"/>
      <c r="B757" s="263"/>
      <c r="C757" s="38" t="s">
        <v>1581</v>
      </c>
      <c r="D757" s="222"/>
      <c r="E757" s="403"/>
      <c r="F757" s="403"/>
      <c r="G757" s="403"/>
      <c r="H757" s="403"/>
      <c r="I757" s="223" t="str">
        <f t="shared" si="172"/>
        <v>kWh</v>
      </c>
      <c r="J757" s="250">
        <f t="shared" si="183"/>
        <v>0</v>
      </c>
      <c r="K757" s="277">
        <f t="shared" si="184"/>
        <v>0</v>
      </c>
      <c r="L757" s="278">
        <f t="shared" si="184"/>
        <v>0</v>
      </c>
      <c r="M757" s="278">
        <f t="shared" si="184"/>
        <v>0</v>
      </c>
      <c r="N757" s="279">
        <f t="shared" si="184"/>
        <v>0</v>
      </c>
      <c r="O757" s="280"/>
      <c r="P757" s="1356" t="s">
        <v>1582</v>
      </c>
      <c r="R757" s="278"/>
      <c r="S757" s="278"/>
      <c r="T757" s="278"/>
      <c r="U757" s="278"/>
      <c r="V757" s="278"/>
      <c r="W757" s="278"/>
      <c r="X757" s="278"/>
      <c r="Y757" s="278"/>
      <c r="Z757" s="278"/>
      <c r="AA757" s="278"/>
      <c r="AB757" s="278"/>
      <c r="AC757" s="278"/>
      <c r="AD757" s="1635"/>
    </row>
    <row r="758" spans="1:30" x14ac:dyDescent="0.2">
      <c r="A758" s="39"/>
      <c r="B758" s="380" t="str">
        <f>INDEX(Language!$D$250:$M$250,1,_language)</f>
        <v>Not used exported PV electric energy</v>
      </c>
      <c r="C758" s="381" t="s">
        <v>1567</v>
      </c>
      <c r="D758" s="275"/>
      <c r="E758" s="409"/>
      <c r="F758" s="409"/>
      <c r="G758" s="409"/>
      <c r="H758" s="409"/>
      <c r="I758" s="382" t="str">
        <f t="shared" si="172"/>
        <v>kWh</v>
      </c>
      <c r="J758" s="921">
        <f t="shared" si="183"/>
        <v>402.85967597765369</v>
      </c>
      <c r="K758" s="922">
        <f>IF((K646+K660)&gt;0,K744*K646/(K646+K660),0)</f>
        <v>1052.9365967478504</v>
      </c>
      <c r="L758" s="923">
        <f>IF((L646+L660)&gt;0,L744*L646/(L646+L660),0)</f>
        <v>1076.5288411795138</v>
      </c>
      <c r="M758" s="923">
        <f>IF((M646+M660)&gt;0,M744*M646/(M646+M660),0)</f>
        <v>212.99444527848428</v>
      </c>
      <c r="N758" s="924">
        <f>IF((N646+N660)&gt;0,N744*N646/(N646+N660),0)</f>
        <v>402.85967597765369</v>
      </c>
      <c r="O758" s="355" t="s">
        <v>1075</v>
      </c>
      <c r="R758" s="374"/>
      <c r="S758" s="374"/>
      <c r="T758" s="374"/>
      <c r="U758" s="374"/>
      <c r="V758" s="374"/>
      <c r="W758" s="374"/>
      <c r="X758" s="374"/>
      <c r="Y758" s="374"/>
      <c r="Z758" s="374"/>
      <c r="AA758" s="374"/>
      <c r="AB758" s="374"/>
      <c r="AC758" s="374"/>
      <c r="AD758" s="1635"/>
    </row>
    <row r="759" spans="1:30" x14ac:dyDescent="0.2">
      <c r="A759" s="39"/>
      <c r="B759" s="383"/>
      <c r="C759" s="384" t="s">
        <v>1584</v>
      </c>
      <c r="D759" s="358"/>
      <c r="E759" s="410"/>
      <c r="F759" s="410"/>
      <c r="G759" s="410"/>
      <c r="H759" s="410"/>
      <c r="I759" s="385" t="str">
        <f t="shared" si="172"/>
        <v>kWh</v>
      </c>
      <c r="J759" s="376">
        <f>SUM(J760:J771)</f>
        <v>690.96347021602719</v>
      </c>
      <c r="K759" s="377">
        <f>SUM(K760:K771)</f>
        <v>2138.1421480440345</v>
      </c>
      <c r="L759" s="378">
        <f>SUM(L760:L771)</f>
        <v>1664.5187712259726</v>
      </c>
      <c r="M759" s="378">
        <f>SUM(M760:M771)</f>
        <v>1168.2760895601721</v>
      </c>
      <c r="N759" s="379">
        <f>SUM(N760:N771)</f>
        <v>690.96347021602719</v>
      </c>
      <c r="O759" s="363"/>
      <c r="P759" s="1356" t="s">
        <v>1498</v>
      </c>
      <c r="R759" s="378"/>
      <c r="S759" s="378"/>
      <c r="T759" s="378"/>
      <c r="U759" s="378"/>
      <c r="V759" s="378"/>
      <c r="W759" s="378"/>
      <c r="X759" s="378"/>
      <c r="Y759" s="378"/>
      <c r="Z759" s="378"/>
      <c r="AA759" s="378"/>
      <c r="AB759" s="378"/>
      <c r="AC759" s="378"/>
    </row>
    <row r="760" spans="1:30" outlineLevel="1" x14ac:dyDescent="0.2">
      <c r="A760" s="39"/>
      <c r="B760" s="36"/>
      <c r="C760" s="38" t="s">
        <v>1585</v>
      </c>
      <c r="D760" s="152"/>
      <c r="E760" s="400"/>
      <c r="F760" s="400"/>
      <c r="G760" s="400"/>
      <c r="H760" s="400"/>
      <c r="I760" s="62" t="str">
        <f t="shared" si="172"/>
        <v>kWh</v>
      </c>
      <c r="J760" s="249">
        <f t="shared" ref="J760:J772" si="185">INDEX(K760:N760,,_case_en)</f>
        <v>0</v>
      </c>
      <c r="K760" s="270">
        <f t="shared" ref="K760:N771" si="186">IF((K648+K662)&gt;0,K746*K648/(K648+K662),0)</f>
        <v>0</v>
      </c>
      <c r="L760" s="271">
        <f t="shared" si="186"/>
        <v>0</v>
      </c>
      <c r="M760" s="271">
        <f t="shared" si="186"/>
        <v>0</v>
      </c>
      <c r="N760" s="272">
        <f t="shared" si="186"/>
        <v>0</v>
      </c>
      <c r="O760" s="86"/>
      <c r="P760" s="1356" t="s">
        <v>1499</v>
      </c>
      <c r="R760" s="271"/>
      <c r="S760" s="271"/>
      <c r="T760" s="271"/>
      <c r="U760" s="271"/>
      <c r="V760" s="271"/>
      <c r="W760" s="271"/>
      <c r="X760" s="271"/>
      <c r="Y760" s="271"/>
      <c r="Z760" s="271"/>
      <c r="AA760" s="271"/>
      <c r="AB760" s="271"/>
      <c r="AC760" s="271"/>
    </row>
    <row r="761" spans="1:30" outlineLevel="1" x14ac:dyDescent="0.2">
      <c r="A761" s="39"/>
      <c r="B761" s="36"/>
      <c r="C761" s="38" t="s">
        <v>1586</v>
      </c>
      <c r="D761" s="152"/>
      <c r="E761" s="400"/>
      <c r="F761" s="400"/>
      <c r="G761" s="400"/>
      <c r="H761" s="400"/>
      <c r="I761" s="62" t="str">
        <f t="shared" si="172"/>
        <v>kWh</v>
      </c>
      <c r="J761" s="249">
        <f t="shared" si="185"/>
        <v>0</v>
      </c>
      <c r="K761" s="270">
        <f t="shared" si="186"/>
        <v>0</v>
      </c>
      <c r="L761" s="271">
        <f t="shared" si="186"/>
        <v>0</v>
      </c>
      <c r="M761" s="271">
        <f t="shared" si="186"/>
        <v>0</v>
      </c>
      <c r="N761" s="272">
        <f t="shared" si="186"/>
        <v>0</v>
      </c>
      <c r="O761" s="86"/>
      <c r="P761" s="1356" t="s">
        <v>1500</v>
      </c>
      <c r="R761" s="271"/>
      <c r="S761" s="271"/>
      <c r="T761" s="271"/>
      <c r="U761" s="271"/>
      <c r="V761" s="271"/>
      <c r="W761" s="271"/>
      <c r="X761" s="271"/>
      <c r="Y761" s="271"/>
      <c r="Z761" s="271"/>
      <c r="AA761" s="271"/>
      <c r="AB761" s="271"/>
      <c r="AC761" s="271"/>
    </row>
    <row r="762" spans="1:30" outlineLevel="1" x14ac:dyDescent="0.2">
      <c r="A762" s="39"/>
      <c r="B762" s="36"/>
      <c r="C762" s="38" t="s">
        <v>1587</v>
      </c>
      <c r="D762" s="152"/>
      <c r="E762" s="400"/>
      <c r="F762" s="400"/>
      <c r="G762" s="400"/>
      <c r="H762" s="400"/>
      <c r="I762" s="62" t="str">
        <f t="shared" si="172"/>
        <v>kWh</v>
      </c>
      <c r="J762" s="249">
        <f t="shared" si="185"/>
        <v>27.923404255319134</v>
      </c>
      <c r="K762" s="270">
        <f t="shared" si="186"/>
        <v>37.9391624190337</v>
      </c>
      <c r="L762" s="271">
        <f t="shared" si="186"/>
        <v>51.467236467236489</v>
      </c>
      <c r="M762" s="271">
        <f t="shared" si="186"/>
        <v>0</v>
      </c>
      <c r="N762" s="272">
        <f t="shared" si="186"/>
        <v>27.923404255319134</v>
      </c>
      <c r="O762" s="86"/>
      <c r="R762" s="271"/>
      <c r="S762" s="271"/>
      <c r="T762" s="271"/>
      <c r="U762" s="271"/>
      <c r="V762" s="271"/>
      <c r="W762" s="271"/>
      <c r="X762" s="271"/>
      <c r="Y762" s="271"/>
      <c r="Z762" s="271"/>
      <c r="AA762" s="271"/>
      <c r="AB762" s="271"/>
      <c r="AC762" s="271"/>
    </row>
    <row r="763" spans="1:30" outlineLevel="1" x14ac:dyDescent="0.2">
      <c r="A763" s="39"/>
      <c r="B763" s="36"/>
      <c r="C763" s="38" t="s">
        <v>1588</v>
      </c>
      <c r="D763" s="152"/>
      <c r="E763" s="400"/>
      <c r="F763" s="400"/>
      <c r="G763" s="400"/>
      <c r="H763" s="400"/>
      <c r="I763" s="62" t="str">
        <f t="shared" si="172"/>
        <v>kWh</v>
      </c>
      <c r="J763" s="249">
        <f t="shared" si="185"/>
        <v>107.04767441860467</v>
      </c>
      <c r="K763" s="270">
        <f t="shared" si="186"/>
        <v>234.97997496871093</v>
      </c>
      <c r="L763" s="271">
        <f t="shared" si="186"/>
        <v>184.15232974910396</v>
      </c>
      <c r="M763" s="271">
        <f t="shared" si="186"/>
        <v>101.76946399860948</v>
      </c>
      <c r="N763" s="272">
        <f t="shared" si="186"/>
        <v>107.04767441860467</v>
      </c>
      <c r="O763" s="86"/>
      <c r="R763" s="271"/>
      <c r="S763" s="271"/>
      <c r="T763" s="271"/>
      <c r="U763" s="271"/>
      <c r="V763" s="271"/>
      <c r="W763" s="271"/>
      <c r="X763" s="271"/>
      <c r="Y763" s="271"/>
      <c r="Z763" s="271"/>
      <c r="AA763" s="271"/>
      <c r="AB763" s="271"/>
      <c r="AC763" s="271"/>
    </row>
    <row r="764" spans="1:30" outlineLevel="1" x14ac:dyDescent="0.2">
      <c r="A764" s="39"/>
      <c r="B764" s="36"/>
      <c r="C764" s="38" t="s">
        <v>1589</v>
      </c>
      <c r="D764" s="152"/>
      <c r="E764" s="400"/>
      <c r="F764" s="400"/>
      <c r="G764" s="400"/>
      <c r="H764" s="400"/>
      <c r="I764" s="62" t="str">
        <f t="shared" si="172"/>
        <v>kWh</v>
      </c>
      <c r="J764" s="249">
        <f t="shared" si="185"/>
        <v>159.64863787375415</v>
      </c>
      <c r="K764" s="270">
        <f t="shared" si="186"/>
        <v>368.85045662100447</v>
      </c>
      <c r="L764" s="271">
        <f t="shared" si="186"/>
        <v>248.84299732381803</v>
      </c>
      <c r="M764" s="271">
        <f t="shared" si="186"/>
        <v>181.30860968394819</v>
      </c>
      <c r="N764" s="272">
        <f t="shared" si="186"/>
        <v>159.64863787375415</v>
      </c>
      <c r="O764" s="86"/>
      <c r="R764" s="271"/>
      <c r="S764" s="271"/>
      <c r="T764" s="271"/>
      <c r="U764" s="271"/>
      <c r="V764" s="271"/>
      <c r="W764" s="271"/>
      <c r="X764" s="271"/>
      <c r="Y764" s="271"/>
      <c r="Z764" s="271"/>
      <c r="AA764" s="271"/>
      <c r="AB764" s="271"/>
      <c r="AC764" s="271"/>
    </row>
    <row r="765" spans="1:30" outlineLevel="1" x14ac:dyDescent="0.2">
      <c r="A765" s="39"/>
      <c r="B765" s="36"/>
      <c r="C765" s="38" t="s">
        <v>1590</v>
      </c>
      <c r="D765" s="152"/>
      <c r="E765" s="400"/>
      <c r="F765" s="400"/>
      <c r="G765" s="400"/>
      <c r="H765" s="400"/>
      <c r="I765" s="62" t="str">
        <f t="shared" si="172"/>
        <v>kWh</v>
      </c>
      <c r="J765" s="249">
        <f t="shared" si="185"/>
        <v>97.25408910269816</v>
      </c>
      <c r="K765" s="270">
        <f t="shared" si="186"/>
        <v>363.50574712643675</v>
      </c>
      <c r="L765" s="271">
        <f t="shared" si="186"/>
        <v>274.27548441449034</v>
      </c>
      <c r="M765" s="271">
        <f t="shared" si="186"/>
        <v>234.58630952380958</v>
      </c>
      <c r="N765" s="272">
        <f t="shared" si="186"/>
        <v>97.25408910269816</v>
      </c>
      <c r="O765" s="86"/>
      <c r="R765" s="271"/>
      <c r="S765" s="271"/>
      <c r="T765" s="271"/>
      <c r="U765" s="271"/>
      <c r="V765" s="271"/>
      <c r="W765" s="271"/>
      <c r="X765" s="271"/>
      <c r="Y765" s="271"/>
      <c r="Z765" s="271"/>
      <c r="AA765" s="271"/>
      <c r="AB765" s="271"/>
      <c r="AC765" s="271"/>
    </row>
    <row r="766" spans="1:30" outlineLevel="1" x14ac:dyDescent="0.2">
      <c r="A766" s="39"/>
      <c r="B766" s="36"/>
      <c r="C766" s="38" t="s">
        <v>1591</v>
      </c>
      <c r="D766" s="152"/>
      <c r="E766" s="400"/>
      <c r="F766" s="400"/>
      <c r="G766" s="400"/>
      <c r="H766" s="400"/>
      <c r="I766" s="62" t="str">
        <f t="shared" si="172"/>
        <v>kWh</v>
      </c>
      <c r="J766" s="249">
        <f t="shared" si="185"/>
        <v>58.538160469667332</v>
      </c>
      <c r="K766" s="270">
        <f t="shared" si="186"/>
        <v>379.21588946459406</v>
      </c>
      <c r="L766" s="271">
        <f t="shared" si="186"/>
        <v>289.3770491803279</v>
      </c>
      <c r="M766" s="271">
        <f t="shared" si="186"/>
        <v>263.90626191523688</v>
      </c>
      <c r="N766" s="272">
        <f t="shared" si="186"/>
        <v>58.538160469667332</v>
      </c>
      <c r="O766" s="86"/>
      <c r="R766" s="271"/>
      <c r="S766" s="271"/>
      <c r="T766" s="271"/>
      <c r="U766" s="271"/>
      <c r="V766" s="271"/>
      <c r="W766" s="271"/>
      <c r="X766" s="271"/>
      <c r="Y766" s="271"/>
      <c r="Z766" s="271"/>
      <c r="AA766" s="271"/>
      <c r="AB766" s="271"/>
      <c r="AC766" s="271"/>
    </row>
    <row r="767" spans="1:30" outlineLevel="1" x14ac:dyDescent="0.2">
      <c r="A767" s="39"/>
      <c r="B767" s="36"/>
      <c r="C767" s="38" t="s">
        <v>1592</v>
      </c>
      <c r="D767" s="152"/>
      <c r="E767" s="400"/>
      <c r="F767" s="400"/>
      <c r="G767" s="400"/>
      <c r="H767" s="400"/>
      <c r="I767" s="62" t="str">
        <f t="shared" si="172"/>
        <v>kWh</v>
      </c>
      <c r="J767" s="249">
        <f t="shared" si="185"/>
        <v>63.814664981036685</v>
      </c>
      <c r="K767" s="270">
        <f t="shared" si="186"/>
        <v>281.4589178356714</v>
      </c>
      <c r="L767" s="271">
        <f t="shared" si="186"/>
        <v>252</v>
      </c>
      <c r="M767" s="271">
        <f t="shared" si="186"/>
        <v>199.13083684171659</v>
      </c>
      <c r="N767" s="272">
        <f t="shared" si="186"/>
        <v>63.814664981036685</v>
      </c>
      <c r="O767" s="86"/>
      <c r="R767" s="271"/>
      <c r="S767" s="271"/>
      <c r="T767" s="271"/>
      <c r="U767" s="271"/>
      <c r="V767" s="271"/>
      <c r="W767" s="271"/>
      <c r="X767" s="271"/>
      <c r="Y767" s="271"/>
      <c r="Z767" s="271"/>
      <c r="AA767" s="271"/>
      <c r="AB767" s="271"/>
      <c r="AC767" s="271"/>
    </row>
    <row r="768" spans="1:30" outlineLevel="1" x14ac:dyDescent="0.2">
      <c r="A768" s="39"/>
      <c r="B768" s="36"/>
      <c r="C768" s="38" t="s">
        <v>1593</v>
      </c>
      <c r="D768" s="152"/>
      <c r="E768" s="400"/>
      <c r="F768" s="400"/>
      <c r="G768" s="400"/>
      <c r="H768" s="400"/>
      <c r="I768" s="62" t="str">
        <f t="shared" si="172"/>
        <v>kWh</v>
      </c>
      <c r="J768" s="249">
        <f t="shared" si="185"/>
        <v>101.81967493584258</v>
      </c>
      <c r="K768" s="270">
        <f t="shared" si="186"/>
        <v>310.37170104539643</v>
      </c>
      <c r="L768" s="271">
        <f t="shared" si="186"/>
        <v>226.91176470588235</v>
      </c>
      <c r="M768" s="271">
        <f t="shared" si="186"/>
        <v>146.56701429123217</v>
      </c>
      <c r="N768" s="272">
        <f t="shared" si="186"/>
        <v>101.81967493584258</v>
      </c>
      <c r="O768" s="86"/>
      <c r="R768" s="271"/>
      <c r="S768" s="271"/>
      <c r="T768" s="271"/>
      <c r="U768" s="271"/>
      <c r="V768" s="271"/>
      <c r="W768" s="271"/>
      <c r="X768" s="271"/>
      <c r="Y768" s="271"/>
      <c r="Z768" s="271"/>
      <c r="AA768" s="271"/>
      <c r="AB768" s="271"/>
      <c r="AC768" s="271"/>
    </row>
    <row r="769" spans="1:29" outlineLevel="1" x14ac:dyDescent="0.2">
      <c r="A769" s="39"/>
      <c r="B769" s="36"/>
      <c r="C769" s="38" t="s">
        <v>1594</v>
      </c>
      <c r="D769" s="152"/>
      <c r="E769" s="400"/>
      <c r="F769" s="400"/>
      <c r="G769" s="400"/>
      <c r="H769" s="400"/>
      <c r="I769" s="62" t="str">
        <f t="shared" si="172"/>
        <v>kWh</v>
      </c>
      <c r="J769" s="249">
        <f t="shared" si="185"/>
        <v>74.917164179104489</v>
      </c>
      <c r="K769" s="270">
        <f t="shared" si="186"/>
        <v>161.82029856318664</v>
      </c>
      <c r="L769" s="271">
        <f t="shared" si="186"/>
        <v>137.49190938511327</v>
      </c>
      <c r="M769" s="271">
        <f t="shared" si="186"/>
        <v>41.007593305619046</v>
      </c>
      <c r="N769" s="272">
        <f t="shared" si="186"/>
        <v>74.917164179104489</v>
      </c>
      <c r="O769" s="86"/>
      <c r="R769" s="271"/>
      <c r="S769" s="271"/>
      <c r="T769" s="271"/>
      <c r="U769" s="271"/>
      <c r="V769" s="271"/>
      <c r="W769" s="271"/>
      <c r="X769" s="271"/>
      <c r="Y769" s="271"/>
      <c r="Z769" s="271"/>
      <c r="AA769" s="271"/>
      <c r="AB769" s="271"/>
      <c r="AC769" s="271"/>
    </row>
    <row r="770" spans="1:29" outlineLevel="1" x14ac:dyDescent="0.2">
      <c r="A770" s="39"/>
      <c r="B770" s="36"/>
      <c r="C770" s="38" t="s">
        <v>1595</v>
      </c>
      <c r="D770" s="152"/>
      <c r="E770" s="400"/>
      <c r="F770" s="400"/>
      <c r="G770" s="400"/>
      <c r="H770" s="400"/>
      <c r="I770" s="62" t="str">
        <f t="shared" si="172"/>
        <v>kWh</v>
      </c>
      <c r="J770" s="249">
        <f t="shared" si="185"/>
        <v>0</v>
      </c>
      <c r="K770" s="270">
        <f t="shared" si="186"/>
        <v>0</v>
      </c>
      <c r="L770" s="271">
        <f t="shared" si="186"/>
        <v>0</v>
      </c>
      <c r="M770" s="271">
        <f t="shared" si="186"/>
        <v>0</v>
      </c>
      <c r="N770" s="272">
        <f t="shared" si="186"/>
        <v>0</v>
      </c>
      <c r="O770" s="86"/>
      <c r="R770" s="271"/>
      <c r="S770" s="271"/>
      <c r="T770" s="271"/>
      <c r="U770" s="271"/>
      <c r="V770" s="271"/>
      <c r="W770" s="271"/>
      <c r="X770" s="271"/>
      <c r="Y770" s="271"/>
      <c r="Z770" s="271"/>
      <c r="AA770" s="271"/>
      <c r="AB770" s="271"/>
      <c r="AC770" s="271"/>
    </row>
    <row r="771" spans="1:29" ht="13.5" outlineLevel="1" thickBot="1" x14ac:dyDescent="0.25">
      <c r="A771" s="39"/>
      <c r="B771" s="263"/>
      <c r="C771" s="38" t="s">
        <v>1596</v>
      </c>
      <c r="D771" s="222"/>
      <c r="E771" s="403"/>
      <c r="F771" s="403"/>
      <c r="G771" s="403"/>
      <c r="H771" s="403"/>
      <c r="I771" s="223" t="str">
        <f t="shared" si="172"/>
        <v>kWh</v>
      </c>
      <c r="J771" s="250">
        <f t="shared" si="185"/>
        <v>0</v>
      </c>
      <c r="K771" s="277">
        <f t="shared" si="186"/>
        <v>0</v>
      </c>
      <c r="L771" s="278">
        <f t="shared" si="186"/>
        <v>0</v>
      </c>
      <c r="M771" s="278">
        <f t="shared" si="186"/>
        <v>0</v>
      </c>
      <c r="N771" s="279">
        <f t="shared" si="186"/>
        <v>0</v>
      </c>
      <c r="O771" s="280"/>
      <c r="R771" s="278"/>
      <c r="S771" s="278"/>
      <c r="T771" s="278"/>
      <c r="U771" s="278"/>
      <c r="V771" s="278"/>
      <c r="W771" s="278"/>
      <c r="X771" s="278"/>
      <c r="Y771" s="278"/>
      <c r="Z771" s="278"/>
      <c r="AA771" s="278"/>
      <c r="AB771" s="278"/>
      <c r="AC771" s="278"/>
    </row>
    <row r="772" spans="1:29" x14ac:dyDescent="0.2">
      <c r="A772" s="39"/>
      <c r="B772" s="380" t="str">
        <f>INDEX(Language!$D$251:$M$251,1,_language)</f>
        <v>Not used exported CHP electric energy</v>
      </c>
      <c r="C772" s="381" t="s">
        <v>1597</v>
      </c>
      <c r="D772" s="275"/>
      <c r="E772" s="409"/>
      <c r="F772" s="409"/>
      <c r="G772" s="409"/>
      <c r="H772" s="409"/>
      <c r="I772" s="382" t="str">
        <f t="shared" si="172"/>
        <v>kWh</v>
      </c>
      <c r="J772" s="921">
        <f t="shared" si="185"/>
        <v>117.4280729400953</v>
      </c>
      <c r="K772" s="922">
        <f>IF((K646+K660)&gt;0,K744*K660/(K646+K660),0)</f>
        <v>24.31022445593883</v>
      </c>
      <c r="L772" s="923">
        <f>IF((L646+L660)&gt;0,L744*L660/(L646+L660),0)</f>
        <v>1926.2565123558393</v>
      </c>
      <c r="M772" s="923">
        <f>IF((M646+M660)&gt;0,M744*M660/(M646+M660),0)</f>
        <v>12.908754259302075</v>
      </c>
      <c r="N772" s="924">
        <f>IF((N646+N660)&gt;0,N744*N660/(N646+N660),0)</f>
        <v>117.4280729400953</v>
      </c>
      <c r="O772" s="355" t="s">
        <v>1075</v>
      </c>
      <c r="R772" s="374"/>
      <c r="S772" s="374"/>
      <c r="T772" s="374"/>
      <c r="U772" s="374"/>
      <c r="V772" s="374"/>
      <c r="W772" s="374"/>
      <c r="X772" s="374"/>
      <c r="Y772" s="374"/>
      <c r="Z772" s="374"/>
      <c r="AA772" s="374"/>
      <c r="AB772" s="374"/>
      <c r="AC772" s="374"/>
    </row>
    <row r="773" spans="1:29" x14ac:dyDescent="0.2">
      <c r="A773" s="39"/>
      <c r="B773" s="383"/>
      <c r="C773" s="384" t="s">
        <v>1598</v>
      </c>
      <c r="D773" s="358"/>
      <c r="E773" s="410"/>
      <c r="F773" s="410"/>
      <c r="G773" s="410"/>
      <c r="H773" s="410"/>
      <c r="I773" s="385" t="str">
        <f t="shared" si="172"/>
        <v>kWh</v>
      </c>
      <c r="J773" s="376">
        <f>SUM(J774:J785)</f>
        <v>145.59215748960051</v>
      </c>
      <c r="K773" s="377">
        <f>SUM(K774:K785)</f>
        <v>22.680617851327202</v>
      </c>
      <c r="L773" s="378">
        <f>SUM(L774:L785)</f>
        <v>1974.6175924103916</v>
      </c>
      <c r="M773" s="378">
        <f>SUM(M774:M785)</f>
        <v>13.601059653499849</v>
      </c>
      <c r="N773" s="379">
        <f>SUM(N774:N785)</f>
        <v>145.59215748960051</v>
      </c>
      <c r="O773" s="363"/>
      <c r="R773" s="378"/>
      <c r="S773" s="378"/>
      <c r="T773" s="378"/>
      <c r="U773" s="378"/>
      <c r="V773" s="378"/>
      <c r="W773" s="378"/>
      <c r="X773" s="378"/>
      <c r="Y773" s="378"/>
      <c r="Z773" s="378"/>
      <c r="AA773" s="378"/>
      <c r="AB773" s="378"/>
      <c r="AC773" s="378"/>
    </row>
    <row r="774" spans="1:29" outlineLevel="1" x14ac:dyDescent="0.2">
      <c r="A774" s="39"/>
      <c r="B774" s="36"/>
      <c r="C774" s="38" t="s">
        <v>1599</v>
      </c>
      <c r="D774" s="152"/>
      <c r="E774" s="400"/>
      <c r="F774" s="400"/>
      <c r="G774" s="400"/>
      <c r="H774" s="400"/>
      <c r="I774" s="62" t="str">
        <f t="shared" si="172"/>
        <v>kWh</v>
      </c>
      <c r="J774" s="249">
        <f t="shared" ref="J774:J786" si="187">INDEX(K774:N774,,_case_en)</f>
        <v>0</v>
      </c>
      <c r="K774" s="270">
        <f t="shared" ref="K774:N785" si="188">IF((K648+K662)&gt;0,K746*K662/(K648+K662),0)</f>
        <v>0</v>
      </c>
      <c r="L774" s="271">
        <f t="shared" si="188"/>
        <v>0</v>
      </c>
      <c r="M774" s="271">
        <f t="shared" si="188"/>
        <v>0</v>
      </c>
      <c r="N774" s="272">
        <f t="shared" si="188"/>
        <v>0</v>
      </c>
      <c r="O774" s="86"/>
      <c r="P774" s="1356" t="s">
        <v>1498</v>
      </c>
      <c r="R774" s="271"/>
      <c r="S774" s="271"/>
      <c r="T774" s="271"/>
      <c r="U774" s="271"/>
      <c r="V774" s="271"/>
      <c r="W774" s="271"/>
      <c r="X774" s="271"/>
      <c r="Y774" s="271"/>
      <c r="Z774" s="271"/>
      <c r="AA774" s="271"/>
      <c r="AB774" s="271"/>
      <c r="AC774" s="271"/>
    </row>
    <row r="775" spans="1:29" outlineLevel="1" x14ac:dyDescent="0.2">
      <c r="A775" s="39"/>
      <c r="B775" s="36"/>
      <c r="C775" s="38" t="s">
        <v>1600</v>
      </c>
      <c r="D775" s="152"/>
      <c r="E775" s="400"/>
      <c r="F775" s="400"/>
      <c r="G775" s="400"/>
      <c r="H775" s="400"/>
      <c r="I775" s="62" t="str">
        <f t="shared" si="172"/>
        <v>kWh</v>
      </c>
      <c r="J775" s="249">
        <f t="shared" si="187"/>
        <v>0</v>
      </c>
      <c r="K775" s="270">
        <f t="shared" si="188"/>
        <v>0</v>
      </c>
      <c r="L775" s="271">
        <f t="shared" si="188"/>
        <v>0</v>
      </c>
      <c r="M775" s="271">
        <f t="shared" si="188"/>
        <v>0</v>
      </c>
      <c r="N775" s="272">
        <f t="shared" si="188"/>
        <v>0</v>
      </c>
      <c r="O775" s="86"/>
      <c r="P775" s="1356" t="s">
        <v>1499</v>
      </c>
      <c r="R775" s="271"/>
      <c r="S775" s="271"/>
      <c r="T775" s="271"/>
      <c r="U775" s="271"/>
      <c r="V775" s="271"/>
      <c r="W775" s="271"/>
      <c r="X775" s="271"/>
      <c r="Y775" s="271"/>
      <c r="Z775" s="271"/>
      <c r="AA775" s="271"/>
      <c r="AB775" s="271"/>
      <c r="AC775" s="271"/>
    </row>
    <row r="776" spans="1:29" outlineLevel="1" x14ac:dyDescent="0.2">
      <c r="A776" s="39"/>
      <c r="B776" s="36"/>
      <c r="C776" s="38" t="s">
        <v>1601</v>
      </c>
      <c r="D776" s="152"/>
      <c r="E776" s="400"/>
      <c r="F776" s="400"/>
      <c r="G776" s="400"/>
      <c r="H776" s="400"/>
      <c r="I776" s="62" t="str">
        <f t="shared" si="172"/>
        <v>kWh</v>
      </c>
      <c r="J776" s="249">
        <f t="shared" si="187"/>
        <v>11.846292714377816</v>
      </c>
      <c r="K776" s="270">
        <f t="shared" si="188"/>
        <v>1.6095402238377932</v>
      </c>
      <c r="L776" s="271">
        <f t="shared" si="188"/>
        <v>131.00751100751108</v>
      </c>
      <c r="M776" s="271">
        <f t="shared" si="188"/>
        <v>0</v>
      </c>
      <c r="N776" s="272">
        <f t="shared" si="188"/>
        <v>11.846292714377816</v>
      </c>
      <c r="O776" s="86"/>
      <c r="P776" s="1356" t="s">
        <v>1500</v>
      </c>
      <c r="R776" s="271"/>
      <c r="S776" s="271"/>
      <c r="T776" s="271"/>
      <c r="U776" s="271"/>
      <c r="V776" s="271"/>
      <c r="W776" s="271"/>
      <c r="X776" s="271"/>
      <c r="Y776" s="271"/>
      <c r="Z776" s="271"/>
      <c r="AA776" s="271"/>
      <c r="AB776" s="271"/>
      <c r="AC776" s="271"/>
    </row>
    <row r="777" spans="1:29" outlineLevel="1" x14ac:dyDescent="0.2">
      <c r="A777" s="39"/>
      <c r="B777" s="36"/>
      <c r="C777" s="38" t="s">
        <v>1602</v>
      </c>
      <c r="D777" s="152"/>
      <c r="E777" s="400"/>
      <c r="F777" s="400"/>
      <c r="G777" s="400"/>
      <c r="H777" s="400"/>
      <c r="I777" s="62" t="str">
        <f t="shared" si="172"/>
        <v>kWh</v>
      </c>
      <c r="J777" s="249">
        <f t="shared" si="187"/>
        <v>32.438689217758984</v>
      </c>
      <c r="K777" s="270">
        <f t="shared" si="188"/>
        <v>7.1206053020821489</v>
      </c>
      <c r="L777" s="271">
        <f t="shared" si="188"/>
        <v>334.82241772564362</v>
      </c>
      <c r="M777" s="271">
        <f t="shared" si="188"/>
        <v>9.2517694544190423</v>
      </c>
      <c r="N777" s="272">
        <f t="shared" si="188"/>
        <v>32.438689217758984</v>
      </c>
      <c r="O777" s="86"/>
      <c r="R777" s="271"/>
      <c r="S777" s="271"/>
      <c r="T777" s="271"/>
      <c r="U777" s="271"/>
      <c r="V777" s="271"/>
      <c r="W777" s="271"/>
      <c r="X777" s="271"/>
      <c r="Y777" s="271"/>
      <c r="Z777" s="271"/>
      <c r="AA777" s="271"/>
      <c r="AB777" s="271"/>
      <c r="AC777" s="271"/>
    </row>
    <row r="778" spans="1:29" outlineLevel="1" x14ac:dyDescent="0.2">
      <c r="A778" s="39"/>
      <c r="B778" s="36"/>
      <c r="C778" s="38" t="s">
        <v>1603</v>
      </c>
      <c r="D778" s="152"/>
      <c r="E778" s="400"/>
      <c r="F778" s="400"/>
      <c r="G778" s="400"/>
      <c r="H778" s="400"/>
      <c r="I778" s="62" t="str">
        <f t="shared" si="172"/>
        <v>kWh</v>
      </c>
      <c r="J778" s="249">
        <f t="shared" si="187"/>
        <v>23.904608879492603</v>
      </c>
      <c r="K778" s="270">
        <f t="shared" si="188"/>
        <v>0</v>
      </c>
      <c r="L778" s="271">
        <f t="shared" si="188"/>
        <v>248.39942691860617</v>
      </c>
      <c r="M778" s="271">
        <f t="shared" si="188"/>
        <v>0</v>
      </c>
      <c r="N778" s="272">
        <f t="shared" si="188"/>
        <v>23.904608879492603</v>
      </c>
      <c r="O778" s="86"/>
      <c r="R778" s="271"/>
      <c r="S778" s="271"/>
      <c r="T778" s="271"/>
      <c r="U778" s="271"/>
      <c r="V778" s="271"/>
      <c r="W778" s="271"/>
      <c r="X778" s="271"/>
      <c r="Y778" s="271"/>
      <c r="Z778" s="271"/>
      <c r="AA778" s="271"/>
      <c r="AB778" s="271"/>
      <c r="AC778" s="271"/>
    </row>
    <row r="779" spans="1:29" outlineLevel="1" x14ac:dyDescent="0.2">
      <c r="A779" s="39"/>
      <c r="B779" s="36"/>
      <c r="C779" s="38" t="s">
        <v>1604</v>
      </c>
      <c r="D779" s="152"/>
      <c r="E779" s="400"/>
      <c r="F779" s="400"/>
      <c r="G779" s="400"/>
      <c r="H779" s="400"/>
      <c r="I779" s="62" t="str">
        <f t="shared" si="172"/>
        <v>kWh</v>
      </c>
      <c r="J779" s="249">
        <f t="shared" si="187"/>
        <v>8.6861706375615579</v>
      </c>
      <c r="K779" s="270">
        <f t="shared" si="188"/>
        <v>0</v>
      </c>
      <c r="L779" s="271">
        <f t="shared" si="188"/>
        <v>244.96693982793391</v>
      </c>
      <c r="M779" s="271">
        <f t="shared" si="188"/>
        <v>0</v>
      </c>
      <c r="N779" s="272">
        <f t="shared" si="188"/>
        <v>8.6861706375615579</v>
      </c>
      <c r="O779" s="86"/>
      <c r="R779" s="271"/>
      <c r="S779" s="271"/>
      <c r="T779" s="271"/>
      <c r="U779" s="271"/>
      <c r="V779" s="271"/>
      <c r="W779" s="271"/>
      <c r="X779" s="271"/>
      <c r="Y779" s="271"/>
      <c r="Z779" s="271"/>
      <c r="AA779" s="271"/>
      <c r="AB779" s="271"/>
      <c r="AC779" s="271"/>
    </row>
    <row r="780" spans="1:29" outlineLevel="1" x14ac:dyDescent="0.2">
      <c r="A780" s="39"/>
      <c r="B780" s="36"/>
      <c r="C780" s="38" t="s">
        <v>1605</v>
      </c>
      <c r="D780" s="152"/>
      <c r="E780" s="400"/>
      <c r="F780" s="400"/>
      <c r="G780" s="400"/>
      <c r="H780" s="400"/>
      <c r="I780" s="62" t="str">
        <f t="shared" si="172"/>
        <v>kWh</v>
      </c>
      <c r="J780" s="249">
        <f t="shared" si="187"/>
        <v>6.2085927770859284</v>
      </c>
      <c r="K780" s="270">
        <f t="shared" si="188"/>
        <v>0</v>
      </c>
      <c r="L780" s="271">
        <f t="shared" si="188"/>
        <v>245.53204172876303</v>
      </c>
      <c r="M780" s="271">
        <f t="shared" si="188"/>
        <v>0</v>
      </c>
      <c r="N780" s="272">
        <f t="shared" si="188"/>
        <v>6.2085927770859284</v>
      </c>
      <c r="O780" s="86"/>
      <c r="R780" s="271"/>
      <c r="S780" s="271"/>
      <c r="T780" s="271"/>
      <c r="U780" s="271"/>
      <c r="V780" s="271"/>
      <c r="W780" s="271"/>
      <c r="X780" s="271"/>
      <c r="Y780" s="271"/>
      <c r="Z780" s="271"/>
      <c r="AA780" s="271"/>
      <c r="AB780" s="271"/>
      <c r="AC780" s="271"/>
    </row>
    <row r="781" spans="1:29" outlineLevel="1" x14ac:dyDescent="0.2">
      <c r="A781" s="39"/>
      <c r="B781" s="36"/>
      <c r="C781" s="38" t="s">
        <v>1606</v>
      </c>
      <c r="D781" s="152"/>
      <c r="E781" s="400"/>
      <c r="F781" s="400"/>
      <c r="G781" s="400"/>
      <c r="H781" s="400"/>
      <c r="I781" s="62" t="str">
        <f t="shared" si="172"/>
        <v>kWh</v>
      </c>
      <c r="J781" s="249">
        <f t="shared" si="187"/>
        <v>9.0242960579243796</v>
      </c>
      <c r="K781" s="270">
        <f t="shared" si="188"/>
        <v>0</v>
      </c>
      <c r="L781" s="271">
        <f t="shared" si="188"/>
        <v>237.57575757575754</v>
      </c>
      <c r="M781" s="271">
        <f t="shared" si="188"/>
        <v>0</v>
      </c>
      <c r="N781" s="272">
        <f t="shared" si="188"/>
        <v>9.0242960579243796</v>
      </c>
      <c r="O781" s="86"/>
      <c r="R781" s="271"/>
      <c r="S781" s="271"/>
      <c r="T781" s="271"/>
      <c r="U781" s="271"/>
      <c r="V781" s="271"/>
      <c r="W781" s="271"/>
      <c r="X781" s="271"/>
      <c r="Y781" s="271"/>
      <c r="Z781" s="271"/>
      <c r="AA781" s="271"/>
      <c r="AB781" s="271"/>
      <c r="AC781" s="271"/>
    </row>
    <row r="782" spans="1:29" outlineLevel="1" x14ac:dyDescent="0.2">
      <c r="A782" s="39"/>
      <c r="B782" s="36"/>
      <c r="C782" s="38" t="s">
        <v>1607</v>
      </c>
      <c r="D782" s="152"/>
      <c r="E782" s="400"/>
      <c r="F782" s="400"/>
      <c r="G782" s="400"/>
      <c r="H782" s="400"/>
      <c r="I782" s="62" t="str">
        <f t="shared" si="172"/>
        <v>kWh</v>
      </c>
      <c r="J782" s="249">
        <f t="shared" si="187"/>
        <v>26.997641081473411</v>
      </c>
      <c r="K782" s="270">
        <f t="shared" si="188"/>
        <v>8.2295526792339952</v>
      </c>
      <c r="L782" s="271">
        <f t="shared" si="188"/>
        <v>240.66399286987522</v>
      </c>
      <c r="M782" s="271">
        <f t="shared" si="188"/>
        <v>0</v>
      </c>
      <c r="N782" s="272">
        <f t="shared" si="188"/>
        <v>26.997641081473411</v>
      </c>
      <c r="O782" s="86"/>
      <c r="R782" s="271"/>
      <c r="S782" s="271"/>
      <c r="T782" s="271"/>
      <c r="U782" s="271"/>
      <c r="V782" s="271"/>
      <c r="W782" s="271"/>
      <c r="X782" s="271"/>
      <c r="Y782" s="271"/>
      <c r="Z782" s="271"/>
      <c r="AA782" s="271"/>
      <c r="AB782" s="271"/>
      <c r="AC782" s="271"/>
    </row>
    <row r="783" spans="1:29" outlineLevel="1" x14ac:dyDescent="0.2">
      <c r="A783" s="39"/>
      <c r="B783" s="36"/>
      <c r="C783" s="38" t="s">
        <v>1608</v>
      </c>
      <c r="D783" s="152"/>
      <c r="E783" s="400"/>
      <c r="F783" s="400"/>
      <c r="G783" s="400"/>
      <c r="H783" s="400"/>
      <c r="I783" s="62" t="str">
        <f t="shared" si="172"/>
        <v>kWh</v>
      </c>
      <c r="J783" s="249">
        <f t="shared" si="187"/>
        <v>26.485866123925828</v>
      </c>
      <c r="K783" s="270">
        <f t="shared" si="188"/>
        <v>5.7209196461732645</v>
      </c>
      <c r="L783" s="271">
        <f t="shared" si="188"/>
        <v>291.64950475630093</v>
      </c>
      <c r="M783" s="271">
        <f t="shared" si="188"/>
        <v>4.3492901990808077</v>
      </c>
      <c r="N783" s="272">
        <f t="shared" si="188"/>
        <v>26.485866123925828</v>
      </c>
      <c r="O783" s="86"/>
      <c r="R783" s="271"/>
      <c r="S783" s="271"/>
      <c r="T783" s="271"/>
      <c r="U783" s="271"/>
      <c r="V783" s="271"/>
      <c r="W783" s="271"/>
      <c r="X783" s="271"/>
      <c r="Y783" s="271"/>
      <c r="Z783" s="271"/>
      <c r="AA783" s="271"/>
      <c r="AB783" s="271"/>
      <c r="AC783" s="271"/>
    </row>
    <row r="784" spans="1:29" outlineLevel="1" x14ac:dyDescent="0.2">
      <c r="A784" s="39"/>
      <c r="B784" s="36"/>
      <c r="C784" s="38" t="s">
        <v>1609</v>
      </c>
      <c r="D784" s="152"/>
      <c r="E784" s="400"/>
      <c r="F784" s="400"/>
      <c r="G784" s="400"/>
      <c r="H784" s="400"/>
      <c r="I784" s="62" t="str">
        <f t="shared" si="172"/>
        <v>kWh</v>
      </c>
      <c r="J784" s="249">
        <f t="shared" si="187"/>
        <v>0</v>
      </c>
      <c r="K784" s="270">
        <f t="shared" si="188"/>
        <v>0</v>
      </c>
      <c r="L784" s="271">
        <f t="shared" si="188"/>
        <v>0</v>
      </c>
      <c r="M784" s="271">
        <f t="shared" si="188"/>
        <v>0</v>
      </c>
      <c r="N784" s="272">
        <f t="shared" si="188"/>
        <v>0</v>
      </c>
      <c r="O784" s="86"/>
      <c r="R784" s="271"/>
      <c r="S784" s="271"/>
      <c r="T784" s="271"/>
      <c r="U784" s="271"/>
      <c r="V784" s="271"/>
      <c r="W784" s="271"/>
      <c r="X784" s="271"/>
      <c r="Y784" s="271"/>
      <c r="Z784" s="271"/>
      <c r="AA784" s="271"/>
      <c r="AB784" s="271"/>
      <c r="AC784" s="271"/>
    </row>
    <row r="785" spans="1:29" ht="13.5" outlineLevel="1" thickBot="1" x14ac:dyDescent="0.25">
      <c r="A785" s="39"/>
      <c r="B785" s="263"/>
      <c r="C785" s="38" t="s">
        <v>1610</v>
      </c>
      <c r="D785" s="222"/>
      <c r="E785" s="403"/>
      <c r="F785" s="403"/>
      <c r="G785" s="403"/>
      <c r="H785" s="403"/>
      <c r="I785" s="223" t="str">
        <f t="shared" si="172"/>
        <v>kWh</v>
      </c>
      <c r="J785" s="250">
        <f t="shared" si="187"/>
        <v>0</v>
      </c>
      <c r="K785" s="277">
        <f t="shared" si="188"/>
        <v>0</v>
      </c>
      <c r="L785" s="278">
        <f t="shared" si="188"/>
        <v>0</v>
      </c>
      <c r="M785" s="278">
        <f t="shared" si="188"/>
        <v>0</v>
      </c>
      <c r="N785" s="279">
        <f t="shared" si="188"/>
        <v>0</v>
      </c>
      <c r="O785" s="280"/>
      <c r="R785" s="278"/>
      <c r="S785" s="278"/>
      <c r="T785" s="278"/>
      <c r="U785" s="278"/>
      <c r="V785" s="278"/>
      <c r="W785" s="278"/>
      <c r="X785" s="278"/>
      <c r="Y785" s="278"/>
      <c r="Z785" s="278"/>
      <c r="AA785" s="278"/>
      <c r="AB785" s="278"/>
      <c r="AC785" s="278"/>
    </row>
    <row r="786" spans="1:29" x14ac:dyDescent="0.2">
      <c r="A786" s="39"/>
      <c r="B786" s="380" t="str">
        <f>INDEX(Language!$D$255:$M$255,1,_language)</f>
        <v>Temp. Exported electricity</v>
      </c>
      <c r="C786" s="381" t="s">
        <v>1369</v>
      </c>
      <c r="D786" s="275"/>
      <c r="E786" s="409"/>
      <c r="F786" s="409"/>
      <c r="G786" s="409"/>
      <c r="H786" s="409"/>
      <c r="I786" s="382" t="str">
        <f t="shared" si="172"/>
        <v>kWh</v>
      </c>
      <c r="J786" s="921">
        <f t="shared" si="187"/>
        <v>0</v>
      </c>
      <c r="K786" s="922"/>
      <c r="L786" s="923"/>
      <c r="M786" s="923"/>
      <c r="N786" s="924"/>
      <c r="O786" s="355"/>
      <c r="R786" s="374"/>
      <c r="S786" s="374"/>
      <c r="T786" s="374"/>
      <c r="U786" s="374"/>
      <c r="V786" s="374"/>
      <c r="W786" s="374"/>
      <c r="X786" s="374"/>
      <c r="Y786" s="374"/>
      <c r="Z786" s="374"/>
      <c r="AA786" s="374"/>
      <c r="AB786" s="374"/>
      <c r="AC786" s="374"/>
    </row>
    <row r="787" spans="1:29" x14ac:dyDescent="0.2">
      <c r="A787" s="39"/>
      <c r="B787" s="383"/>
      <c r="C787" s="357" t="s">
        <v>1370</v>
      </c>
      <c r="D787" s="358"/>
      <c r="E787" s="410"/>
      <c r="F787" s="410"/>
      <c r="G787" s="410"/>
      <c r="H787" s="410"/>
      <c r="I787" s="385" t="str">
        <f t="shared" si="172"/>
        <v>kWh</v>
      </c>
      <c r="J787" s="376">
        <f>SUM(J788:J799)</f>
        <v>316.26787878787877</v>
      </c>
      <c r="K787" s="377">
        <f>MIN(K731,K745)</f>
        <v>1038.9263406175623</v>
      </c>
      <c r="L787" s="378">
        <f>MIN(L731,L745)</f>
        <v>636.35101010101005</v>
      </c>
      <c r="M787" s="378">
        <f>MIN(M731,M745)</f>
        <v>1021.6667082975656</v>
      </c>
      <c r="N787" s="379">
        <f>MIN(N731,N745)</f>
        <v>316.26787878787877</v>
      </c>
      <c r="O787" s="363"/>
      <c r="P787" s="1356" t="s">
        <v>1615</v>
      </c>
      <c r="R787" s="378"/>
      <c r="S787" s="378"/>
      <c r="T787" s="378"/>
      <c r="U787" s="378"/>
      <c r="V787" s="378"/>
      <c r="W787" s="378"/>
      <c r="X787" s="378"/>
      <c r="Y787" s="378"/>
      <c r="Z787" s="378"/>
      <c r="AA787" s="378"/>
      <c r="AB787" s="378"/>
      <c r="AC787" s="378"/>
    </row>
    <row r="788" spans="1:29" outlineLevel="1" x14ac:dyDescent="0.2">
      <c r="A788" s="39"/>
      <c r="B788" s="36"/>
      <c r="C788" s="38" t="s">
        <v>1371</v>
      </c>
      <c r="D788" s="152"/>
      <c r="E788" s="400"/>
      <c r="F788" s="400"/>
      <c r="G788" s="400"/>
      <c r="H788" s="400"/>
      <c r="I788" s="62" t="str">
        <f t="shared" si="172"/>
        <v>kWh</v>
      </c>
      <c r="J788" s="249">
        <f t="shared" ref="J788:J800" si="189">INDEX(K788:N788,,_case_en)</f>
        <v>0</v>
      </c>
      <c r="K788" s="270">
        <f t="shared" ref="K788:N799" si="190">IF(K$759&lt;&gt;0,+K$787*K746/K$745,0)</f>
        <v>0</v>
      </c>
      <c r="L788" s="271">
        <f t="shared" si="190"/>
        <v>0</v>
      </c>
      <c r="M788" s="271">
        <f t="shared" si="190"/>
        <v>0</v>
      </c>
      <c r="N788" s="272">
        <f t="shared" si="190"/>
        <v>0</v>
      </c>
      <c r="O788" s="86"/>
      <c r="P788" s="1356" t="s">
        <v>1498</v>
      </c>
      <c r="R788" s="271"/>
      <c r="S788" s="271"/>
      <c r="T788" s="271"/>
      <c r="U788" s="271"/>
      <c r="V788" s="271"/>
      <c r="W788" s="271"/>
      <c r="X788" s="271"/>
      <c r="Y788" s="271"/>
      <c r="Z788" s="271"/>
      <c r="AA788" s="271"/>
      <c r="AB788" s="271"/>
      <c r="AC788" s="271"/>
    </row>
    <row r="789" spans="1:29" outlineLevel="1" x14ac:dyDescent="0.2">
      <c r="A789" s="39"/>
      <c r="B789" s="36"/>
      <c r="C789" s="38" t="s">
        <v>1372</v>
      </c>
      <c r="D789" s="152"/>
      <c r="E789" s="400"/>
      <c r="F789" s="400"/>
      <c r="G789" s="400"/>
      <c r="H789" s="400"/>
      <c r="I789" s="62" t="str">
        <f t="shared" si="172"/>
        <v>kWh</v>
      </c>
      <c r="J789" s="249">
        <f t="shared" si="189"/>
        <v>0</v>
      </c>
      <c r="K789" s="270">
        <f t="shared" si="190"/>
        <v>0</v>
      </c>
      <c r="L789" s="271">
        <f t="shared" si="190"/>
        <v>0</v>
      </c>
      <c r="M789" s="271">
        <f t="shared" si="190"/>
        <v>0</v>
      </c>
      <c r="N789" s="272">
        <f t="shared" si="190"/>
        <v>0</v>
      </c>
      <c r="O789" s="86"/>
      <c r="P789" s="1356" t="s">
        <v>1616</v>
      </c>
      <c r="R789" s="271"/>
      <c r="S789" s="271"/>
      <c r="T789" s="271"/>
      <c r="U789" s="271"/>
      <c r="V789" s="271"/>
      <c r="W789" s="271"/>
      <c r="X789" s="271"/>
      <c r="Y789" s="271"/>
      <c r="Z789" s="271"/>
      <c r="AA789" s="271"/>
      <c r="AB789" s="271"/>
      <c r="AC789" s="271"/>
    </row>
    <row r="790" spans="1:29" outlineLevel="1" x14ac:dyDescent="0.2">
      <c r="A790" s="39"/>
      <c r="B790" s="36"/>
      <c r="C790" s="38" t="s">
        <v>1373</v>
      </c>
      <c r="D790" s="152"/>
      <c r="E790" s="400"/>
      <c r="F790" s="400"/>
      <c r="G790" s="400"/>
      <c r="H790" s="400"/>
      <c r="I790" s="62" t="str">
        <f t="shared" si="172"/>
        <v>kWh</v>
      </c>
      <c r="J790" s="249">
        <f t="shared" si="189"/>
        <v>15.035315386185848</v>
      </c>
      <c r="K790" s="270">
        <f t="shared" si="190"/>
        <v>19.015066650274409</v>
      </c>
      <c r="L790" s="271">
        <f t="shared" si="190"/>
        <v>31.908117275784857</v>
      </c>
      <c r="M790" s="271">
        <f t="shared" si="190"/>
        <v>0</v>
      </c>
      <c r="N790" s="272">
        <f t="shared" si="190"/>
        <v>15.035315386185848</v>
      </c>
      <c r="O790" s="86"/>
      <c r="P790" s="1356" t="s">
        <v>1634</v>
      </c>
      <c r="R790" s="271"/>
      <c r="S790" s="271"/>
      <c r="T790" s="271"/>
      <c r="U790" s="271"/>
      <c r="V790" s="271"/>
      <c r="W790" s="271"/>
      <c r="X790" s="271"/>
      <c r="Y790" s="271"/>
      <c r="Z790" s="271"/>
      <c r="AA790" s="271"/>
      <c r="AB790" s="271"/>
      <c r="AC790" s="271"/>
    </row>
    <row r="791" spans="1:29" outlineLevel="1" x14ac:dyDescent="0.2">
      <c r="A791" s="39"/>
      <c r="B791" s="36"/>
      <c r="C791" s="38" t="s">
        <v>1374</v>
      </c>
      <c r="D791" s="152"/>
      <c r="E791" s="400"/>
      <c r="F791" s="400"/>
      <c r="G791" s="400"/>
      <c r="H791" s="400"/>
      <c r="I791" s="62" t="str">
        <f t="shared" si="172"/>
        <v>kWh</v>
      </c>
      <c r="J791" s="249">
        <f t="shared" si="189"/>
        <v>52.734157641254811</v>
      </c>
      <c r="K791" s="270">
        <f t="shared" si="190"/>
        <v>116.40226764174311</v>
      </c>
      <c r="L791" s="271">
        <f t="shared" si="190"/>
        <v>90.74958225595968</v>
      </c>
      <c r="M791" s="271">
        <f t="shared" si="190"/>
        <v>95.971648329571664</v>
      </c>
      <c r="N791" s="272">
        <f t="shared" si="190"/>
        <v>52.734157641254811</v>
      </c>
      <c r="O791" s="86"/>
      <c r="R791" s="271"/>
      <c r="S791" s="271"/>
      <c r="T791" s="271"/>
      <c r="U791" s="271"/>
      <c r="V791" s="271"/>
      <c r="W791" s="271"/>
      <c r="X791" s="271"/>
      <c r="Y791" s="271"/>
      <c r="Z791" s="271"/>
      <c r="AA791" s="271"/>
      <c r="AB791" s="271"/>
      <c r="AC791" s="271"/>
    </row>
    <row r="792" spans="1:29" outlineLevel="1" x14ac:dyDescent="0.2">
      <c r="A792" s="39"/>
      <c r="B792" s="36"/>
      <c r="C792" s="38" t="s">
        <v>1375</v>
      </c>
      <c r="D792" s="152"/>
      <c r="E792" s="400"/>
      <c r="F792" s="400"/>
      <c r="G792" s="400"/>
      <c r="H792" s="400"/>
      <c r="I792" s="62" t="str">
        <f t="shared" si="172"/>
        <v>kWh</v>
      </c>
      <c r="J792" s="249">
        <f t="shared" si="189"/>
        <v>69.394065466385385</v>
      </c>
      <c r="K792" s="270">
        <f t="shared" si="190"/>
        <v>177.34376978094744</v>
      </c>
      <c r="L792" s="271">
        <f t="shared" si="190"/>
        <v>86.949398789651838</v>
      </c>
      <c r="M792" s="271">
        <f t="shared" si="190"/>
        <v>156.73115481169054</v>
      </c>
      <c r="N792" s="272">
        <f t="shared" si="190"/>
        <v>69.394065466385385</v>
      </c>
      <c r="O792" s="86"/>
      <c r="R792" s="271"/>
      <c r="S792" s="271"/>
      <c r="T792" s="271"/>
      <c r="U792" s="271"/>
      <c r="V792" s="271"/>
      <c r="W792" s="271"/>
      <c r="X792" s="271"/>
      <c r="Y792" s="271"/>
      <c r="Z792" s="271"/>
      <c r="AA792" s="271"/>
      <c r="AB792" s="271"/>
      <c r="AC792" s="271"/>
    </row>
    <row r="793" spans="1:29" outlineLevel="1" x14ac:dyDescent="0.2">
      <c r="A793" s="39"/>
      <c r="B793" s="36"/>
      <c r="C793" s="38" t="s">
        <v>1376</v>
      </c>
      <c r="D793" s="152"/>
      <c r="E793" s="400"/>
      <c r="F793" s="400"/>
      <c r="G793" s="400"/>
      <c r="H793" s="400"/>
      <c r="I793" s="62" t="str">
        <f t="shared" si="172"/>
        <v>kWh</v>
      </c>
      <c r="J793" s="249">
        <f t="shared" si="189"/>
        <v>40.051731309467648</v>
      </c>
      <c r="K793" s="270">
        <f t="shared" si="190"/>
        <v>174.77402664213227</v>
      </c>
      <c r="L793" s="271">
        <f t="shared" si="190"/>
        <v>90.796389070673669</v>
      </c>
      <c r="M793" s="271">
        <f t="shared" si="190"/>
        <v>202.78674718630555</v>
      </c>
      <c r="N793" s="272">
        <f t="shared" si="190"/>
        <v>40.051731309467648</v>
      </c>
      <c r="O793" s="86"/>
      <c r="R793" s="271"/>
      <c r="S793" s="271"/>
      <c r="T793" s="271"/>
      <c r="U793" s="271"/>
      <c r="V793" s="271"/>
      <c r="W793" s="271"/>
      <c r="X793" s="271"/>
      <c r="Y793" s="271"/>
      <c r="Z793" s="271"/>
      <c r="AA793" s="271"/>
      <c r="AB793" s="271"/>
      <c r="AC793" s="271"/>
    </row>
    <row r="794" spans="1:29" outlineLevel="1" x14ac:dyDescent="0.2">
      <c r="A794" s="39"/>
      <c r="B794" s="36"/>
      <c r="C794" s="38" t="s">
        <v>1377</v>
      </c>
      <c r="D794" s="152"/>
      <c r="E794" s="400"/>
      <c r="F794" s="400"/>
      <c r="G794" s="400"/>
      <c r="H794" s="400"/>
      <c r="I794" s="62" t="str">
        <f t="shared" si="172"/>
        <v>kWh</v>
      </c>
      <c r="J794" s="249">
        <f t="shared" si="189"/>
        <v>24.478131076488964</v>
      </c>
      <c r="K794" s="270">
        <f t="shared" si="190"/>
        <v>182.32748310675802</v>
      </c>
      <c r="L794" s="271">
        <f t="shared" si="190"/>
        <v>93.535912452613474</v>
      </c>
      <c r="M794" s="271">
        <f t="shared" si="190"/>
        <v>228.13220654062232</v>
      </c>
      <c r="N794" s="272">
        <f t="shared" si="190"/>
        <v>24.478131076488964</v>
      </c>
      <c r="O794" s="86"/>
      <c r="R794" s="271"/>
      <c r="S794" s="271"/>
      <c r="T794" s="271"/>
      <c r="U794" s="271"/>
      <c r="V794" s="271"/>
      <c r="W794" s="271"/>
      <c r="X794" s="271"/>
      <c r="Y794" s="271"/>
      <c r="Z794" s="271"/>
      <c r="AA794" s="271"/>
      <c r="AB794" s="271"/>
      <c r="AC794" s="271"/>
    </row>
    <row r="795" spans="1:29" outlineLevel="1" x14ac:dyDescent="0.2">
      <c r="A795" s="39"/>
      <c r="B795" s="36"/>
      <c r="C795" s="38" t="s">
        <v>1378</v>
      </c>
      <c r="D795" s="152"/>
      <c r="E795" s="400"/>
      <c r="F795" s="400"/>
      <c r="G795" s="400"/>
      <c r="H795" s="400"/>
      <c r="I795" s="62" t="str">
        <f t="shared" si="172"/>
        <v>kWh</v>
      </c>
      <c r="J795" s="249">
        <f t="shared" si="189"/>
        <v>27.537467847878048</v>
      </c>
      <c r="K795" s="270">
        <f t="shared" si="190"/>
        <v>135.32580651982704</v>
      </c>
      <c r="L795" s="271">
        <f t="shared" si="190"/>
        <v>85.608780964447263</v>
      </c>
      <c r="M795" s="271">
        <f t="shared" si="190"/>
        <v>172.13747362149505</v>
      </c>
      <c r="N795" s="272">
        <f t="shared" si="190"/>
        <v>27.537467847878048</v>
      </c>
      <c r="O795" s="86"/>
      <c r="R795" s="271"/>
      <c r="S795" s="271"/>
      <c r="T795" s="271"/>
      <c r="U795" s="271"/>
      <c r="V795" s="271"/>
      <c r="W795" s="271"/>
      <c r="X795" s="271"/>
      <c r="Y795" s="271"/>
      <c r="Z795" s="271"/>
      <c r="AA795" s="271"/>
      <c r="AB795" s="271"/>
      <c r="AC795" s="271"/>
    </row>
    <row r="796" spans="1:29" outlineLevel="1" x14ac:dyDescent="0.2">
      <c r="A796" s="39"/>
      <c r="B796" s="36"/>
      <c r="C796" s="38" t="s">
        <v>1379</v>
      </c>
      <c r="D796" s="152"/>
      <c r="E796" s="400"/>
      <c r="F796" s="400"/>
      <c r="G796" s="400"/>
      <c r="H796" s="400"/>
      <c r="I796" s="62" t="str">
        <f t="shared" si="172"/>
        <v>kWh</v>
      </c>
      <c r="J796" s="249">
        <f t="shared" si="189"/>
        <v>48.700621857845512</v>
      </c>
      <c r="K796" s="270">
        <f t="shared" si="190"/>
        <v>153.18388896700782</v>
      </c>
      <c r="L796" s="271">
        <f t="shared" si="190"/>
        <v>81.761790683425431</v>
      </c>
      <c r="M796" s="271">
        <f t="shared" si="190"/>
        <v>126.69898824556546</v>
      </c>
      <c r="N796" s="272">
        <f t="shared" si="190"/>
        <v>48.700621857845512</v>
      </c>
      <c r="O796" s="86"/>
      <c r="R796" s="271"/>
      <c r="S796" s="271"/>
      <c r="T796" s="271"/>
      <c r="U796" s="271"/>
      <c r="V796" s="271"/>
      <c r="W796" s="271"/>
      <c r="X796" s="271"/>
      <c r="Y796" s="271"/>
      <c r="Z796" s="271"/>
      <c r="AA796" s="271"/>
      <c r="AB796" s="271"/>
      <c r="AC796" s="271"/>
    </row>
    <row r="797" spans="1:29" outlineLevel="1" x14ac:dyDescent="0.2">
      <c r="A797" s="39"/>
      <c r="B797" s="36"/>
      <c r="C797" s="38" t="s">
        <v>1380</v>
      </c>
      <c r="D797" s="152"/>
      <c r="E797" s="400"/>
      <c r="F797" s="400"/>
      <c r="G797" s="400"/>
      <c r="H797" s="400"/>
      <c r="I797" s="62" t="str">
        <f t="shared" si="172"/>
        <v>kWh</v>
      </c>
      <c r="J797" s="249">
        <f t="shared" si="189"/>
        <v>38.336388202372547</v>
      </c>
      <c r="K797" s="270">
        <f t="shared" si="190"/>
        <v>80.554031308872197</v>
      </c>
      <c r="L797" s="271">
        <f t="shared" si="190"/>
        <v>75.041038608453874</v>
      </c>
      <c r="M797" s="271">
        <f t="shared" si="190"/>
        <v>39.208489562314995</v>
      </c>
      <c r="N797" s="272">
        <f t="shared" si="190"/>
        <v>38.336388202372547</v>
      </c>
      <c r="O797" s="86"/>
      <c r="R797" s="271"/>
      <c r="S797" s="271"/>
      <c r="T797" s="271"/>
      <c r="U797" s="271"/>
      <c r="V797" s="271"/>
      <c r="W797" s="271"/>
      <c r="X797" s="271"/>
      <c r="Y797" s="271"/>
      <c r="Z797" s="271"/>
      <c r="AA797" s="271"/>
      <c r="AB797" s="271"/>
      <c r="AC797" s="271"/>
    </row>
    <row r="798" spans="1:29" outlineLevel="1" x14ac:dyDescent="0.2">
      <c r="A798" s="39"/>
      <c r="B798" s="36"/>
      <c r="C798" s="38" t="s">
        <v>1381</v>
      </c>
      <c r="D798" s="152"/>
      <c r="E798" s="400"/>
      <c r="F798" s="400"/>
      <c r="G798" s="400"/>
      <c r="H798" s="400"/>
      <c r="I798" s="62" t="str">
        <f t="shared" si="172"/>
        <v>kWh</v>
      </c>
      <c r="J798" s="249">
        <f t="shared" si="189"/>
        <v>0</v>
      </c>
      <c r="K798" s="270">
        <f t="shared" si="190"/>
        <v>0</v>
      </c>
      <c r="L798" s="271">
        <f t="shared" si="190"/>
        <v>0</v>
      </c>
      <c r="M798" s="271">
        <f t="shared" si="190"/>
        <v>0</v>
      </c>
      <c r="N798" s="272">
        <f t="shared" si="190"/>
        <v>0</v>
      </c>
      <c r="O798" s="86"/>
      <c r="R798" s="271"/>
      <c r="S798" s="271"/>
      <c r="T798" s="271"/>
      <c r="U798" s="271"/>
      <c r="V798" s="271"/>
      <c r="W798" s="271"/>
      <c r="X798" s="271"/>
      <c r="Y798" s="271"/>
      <c r="Z798" s="271"/>
      <c r="AA798" s="271"/>
      <c r="AB798" s="271"/>
      <c r="AC798" s="271"/>
    </row>
    <row r="799" spans="1:29" ht="13.5" outlineLevel="1" thickBot="1" x14ac:dyDescent="0.25">
      <c r="A799" s="39"/>
      <c r="B799" s="36"/>
      <c r="C799" s="38" t="s">
        <v>1382</v>
      </c>
      <c r="D799" s="152"/>
      <c r="E799" s="400"/>
      <c r="F799" s="400"/>
      <c r="G799" s="400"/>
      <c r="H799" s="400"/>
      <c r="I799" s="62" t="str">
        <f t="shared" si="172"/>
        <v>kWh</v>
      </c>
      <c r="J799" s="250">
        <f t="shared" si="189"/>
        <v>0</v>
      </c>
      <c r="K799" s="270">
        <f t="shared" si="190"/>
        <v>0</v>
      </c>
      <c r="L799" s="271">
        <f t="shared" si="190"/>
        <v>0</v>
      </c>
      <c r="M799" s="271">
        <f t="shared" si="190"/>
        <v>0</v>
      </c>
      <c r="N799" s="272">
        <f t="shared" si="190"/>
        <v>0</v>
      </c>
      <c r="O799" s="86"/>
      <c r="R799" s="271"/>
      <c r="S799" s="271"/>
      <c r="T799" s="271"/>
      <c r="U799" s="271"/>
      <c r="V799" s="271"/>
      <c r="W799" s="271"/>
      <c r="X799" s="271"/>
      <c r="Y799" s="271"/>
      <c r="Z799" s="271"/>
      <c r="AA799" s="271"/>
      <c r="AB799" s="271"/>
      <c r="AC799" s="271"/>
    </row>
    <row r="800" spans="1:29" x14ac:dyDescent="0.2">
      <c r="A800" s="39"/>
      <c r="B800" s="380" t="str">
        <f>INDEX(Language!$D$253:$M$253,1,_language)</f>
        <v>Temp. exported electricity by PV</v>
      </c>
      <c r="C800" s="381" t="s">
        <v>1635</v>
      </c>
      <c r="D800" s="275"/>
      <c r="E800" s="409"/>
      <c r="F800" s="409"/>
      <c r="G800" s="409"/>
      <c r="H800" s="409"/>
      <c r="I800" s="382" t="str">
        <f t="shared" ref="I800:I898" si="191">+_En_unit</f>
        <v>kWh</v>
      </c>
      <c r="J800" s="921">
        <f t="shared" si="189"/>
        <v>0</v>
      </c>
      <c r="K800" s="922"/>
      <c r="L800" s="923"/>
      <c r="M800" s="923"/>
      <c r="N800" s="924"/>
      <c r="O800" s="355"/>
      <c r="R800" s="374"/>
      <c r="S800" s="374"/>
      <c r="T800" s="374"/>
      <c r="U800" s="374"/>
      <c r="V800" s="374"/>
      <c r="W800" s="374"/>
      <c r="X800" s="374"/>
      <c r="Y800" s="374"/>
      <c r="Z800" s="374"/>
      <c r="AA800" s="374"/>
      <c r="AB800" s="374"/>
      <c r="AC800" s="374"/>
    </row>
    <row r="801" spans="1:29" x14ac:dyDescent="0.2">
      <c r="A801" s="39"/>
      <c r="B801" s="383"/>
      <c r="C801" s="357" t="s">
        <v>1636</v>
      </c>
      <c r="D801" s="358"/>
      <c r="E801" s="410"/>
      <c r="F801" s="410"/>
      <c r="G801" s="410"/>
      <c r="H801" s="410"/>
      <c r="I801" s="385" t="str">
        <f t="shared" si="191"/>
        <v>kWh</v>
      </c>
      <c r="J801" s="376">
        <f>SUM(J802:J813)</f>
        <v>261.22536721733957</v>
      </c>
      <c r="K801" s="377">
        <f>SUM(K802:K813)</f>
        <v>1028.0214706397319</v>
      </c>
      <c r="L801" s="378">
        <f>SUM(L802:L813)</f>
        <v>291.06306979475988</v>
      </c>
      <c r="M801" s="378">
        <f>SUM(M802:M813)</f>
        <v>1009.9093527595597</v>
      </c>
      <c r="N801" s="379">
        <f>SUM(N802:N813)</f>
        <v>261.22536721733957</v>
      </c>
      <c r="O801" s="363"/>
      <c r="R801" s="378"/>
      <c r="S801" s="378"/>
      <c r="T801" s="378"/>
      <c r="U801" s="378"/>
      <c r="V801" s="378"/>
      <c r="W801" s="378"/>
      <c r="X801" s="378"/>
      <c r="Y801" s="378"/>
      <c r="Z801" s="378"/>
      <c r="AA801" s="378"/>
      <c r="AB801" s="378"/>
      <c r="AC801" s="378"/>
    </row>
    <row r="802" spans="1:29" outlineLevel="1" x14ac:dyDescent="0.2">
      <c r="A802" s="39"/>
      <c r="B802" s="36"/>
      <c r="C802" s="38" t="s">
        <v>1637</v>
      </c>
      <c r="D802" s="152"/>
      <c r="E802" s="400"/>
      <c r="F802" s="400"/>
      <c r="G802" s="400"/>
      <c r="H802" s="400"/>
      <c r="I802" s="62" t="str">
        <f t="shared" si="191"/>
        <v>kWh</v>
      </c>
      <c r="J802" s="249">
        <f t="shared" ref="J802:J814" si="192">INDEX(K802:N802,,_case_en)</f>
        <v>0</v>
      </c>
      <c r="K802" s="270">
        <f t="shared" ref="K802:N813" si="193">+IF(K746&lt;&gt;0,K788*K760/K746,0)</f>
        <v>0</v>
      </c>
      <c r="L802" s="271">
        <f t="shared" si="193"/>
        <v>0</v>
      </c>
      <c r="M802" s="271">
        <f t="shared" si="193"/>
        <v>0</v>
      </c>
      <c r="N802" s="272">
        <f t="shared" si="193"/>
        <v>0</v>
      </c>
      <c r="O802" s="86"/>
      <c r="P802" s="1356" t="s">
        <v>1498</v>
      </c>
      <c r="R802" s="271"/>
      <c r="S802" s="271"/>
      <c r="T802" s="271"/>
      <c r="U802" s="271"/>
      <c r="V802" s="271"/>
      <c r="W802" s="271"/>
      <c r="X802" s="271"/>
      <c r="Y802" s="271"/>
      <c r="Z802" s="271"/>
      <c r="AA802" s="271"/>
      <c r="AB802" s="271"/>
      <c r="AC802" s="271"/>
    </row>
    <row r="803" spans="1:29" outlineLevel="1" x14ac:dyDescent="0.2">
      <c r="A803" s="39"/>
      <c r="B803" s="36"/>
      <c r="C803" s="38" t="s">
        <v>1638</v>
      </c>
      <c r="D803" s="152"/>
      <c r="E803" s="400"/>
      <c r="F803" s="400"/>
      <c r="G803" s="400"/>
      <c r="H803" s="400"/>
      <c r="I803" s="62" t="str">
        <f t="shared" si="191"/>
        <v>kWh</v>
      </c>
      <c r="J803" s="249">
        <f t="shared" si="192"/>
        <v>0</v>
      </c>
      <c r="K803" s="270">
        <f t="shared" si="193"/>
        <v>0</v>
      </c>
      <c r="L803" s="271">
        <f t="shared" si="193"/>
        <v>0</v>
      </c>
      <c r="M803" s="271">
        <f t="shared" si="193"/>
        <v>0</v>
      </c>
      <c r="N803" s="272">
        <f t="shared" si="193"/>
        <v>0</v>
      </c>
      <c r="O803" s="86"/>
      <c r="P803" s="1356" t="s">
        <v>1499</v>
      </c>
      <c r="R803" s="271"/>
      <c r="S803" s="271"/>
      <c r="T803" s="271"/>
      <c r="U803" s="271"/>
      <c r="V803" s="271"/>
      <c r="W803" s="271"/>
      <c r="X803" s="271"/>
      <c r="Y803" s="271"/>
      <c r="Z803" s="271"/>
      <c r="AA803" s="271"/>
      <c r="AB803" s="271"/>
      <c r="AC803" s="271"/>
    </row>
    <row r="804" spans="1:29" outlineLevel="1" x14ac:dyDescent="0.2">
      <c r="A804" s="39"/>
      <c r="B804" s="36"/>
      <c r="C804" s="38" t="s">
        <v>1639</v>
      </c>
      <c r="D804" s="152"/>
      <c r="E804" s="400"/>
      <c r="F804" s="400"/>
      <c r="G804" s="400"/>
      <c r="H804" s="400"/>
      <c r="I804" s="62" t="str">
        <f t="shared" si="191"/>
        <v>kWh</v>
      </c>
      <c r="J804" s="249">
        <f t="shared" si="192"/>
        <v>10.556710803066657</v>
      </c>
      <c r="K804" s="270">
        <f t="shared" si="193"/>
        <v>18.241197658693476</v>
      </c>
      <c r="L804" s="271">
        <f t="shared" si="193"/>
        <v>8.9997253854777792</v>
      </c>
      <c r="M804" s="271">
        <f t="shared" si="193"/>
        <v>0</v>
      </c>
      <c r="N804" s="272">
        <f t="shared" si="193"/>
        <v>10.556710803066657</v>
      </c>
      <c r="O804" s="86"/>
      <c r="P804" s="1356" t="s">
        <v>1500</v>
      </c>
      <c r="R804" s="271"/>
      <c r="S804" s="271"/>
      <c r="T804" s="271"/>
      <c r="U804" s="271"/>
      <c r="V804" s="271"/>
      <c r="W804" s="271"/>
      <c r="X804" s="271"/>
      <c r="Y804" s="271"/>
      <c r="Z804" s="271"/>
      <c r="AA804" s="271"/>
      <c r="AB804" s="271"/>
      <c r="AC804" s="271"/>
    </row>
    <row r="805" spans="1:29" outlineLevel="1" x14ac:dyDescent="0.2">
      <c r="A805" s="39"/>
      <c r="B805" s="36"/>
      <c r="C805" s="38" t="s">
        <v>1640</v>
      </c>
      <c r="D805" s="152"/>
      <c r="E805" s="400"/>
      <c r="F805" s="400"/>
      <c r="G805" s="400"/>
      <c r="H805" s="400"/>
      <c r="I805" s="62" t="str">
        <f t="shared" si="191"/>
        <v>kWh</v>
      </c>
      <c r="J805" s="249">
        <f t="shared" si="192"/>
        <v>40.470400050265326</v>
      </c>
      <c r="K805" s="270">
        <f t="shared" si="193"/>
        <v>112.97867153463301</v>
      </c>
      <c r="L805" s="271">
        <f t="shared" si="193"/>
        <v>32.201464671469559</v>
      </c>
      <c r="M805" s="271">
        <f t="shared" si="193"/>
        <v>87.974010968774039</v>
      </c>
      <c r="N805" s="272">
        <f t="shared" si="193"/>
        <v>40.470400050265326</v>
      </c>
      <c r="O805" s="86"/>
      <c r="R805" s="271"/>
      <c r="S805" s="271"/>
      <c r="T805" s="271"/>
      <c r="U805" s="271"/>
      <c r="V805" s="271"/>
      <c r="W805" s="271"/>
      <c r="X805" s="271"/>
      <c r="Y805" s="271"/>
      <c r="Z805" s="271"/>
      <c r="AA805" s="271"/>
      <c r="AB805" s="271"/>
      <c r="AC805" s="271"/>
    </row>
    <row r="806" spans="1:29" outlineLevel="1" x14ac:dyDescent="0.2">
      <c r="A806" s="39"/>
      <c r="B806" s="36"/>
      <c r="C806" s="38" t="s">
        <v>1641</v>
      </c>
      <c r="D806" s="152"/>
      <c r="E806" s="400"/>
      <c r="F806" s="400"/>
      <c r="G806" s="400"/>
      <c r="H806" s="400"/>
      <c r="I806" s="62" t="str">
        <f t="shared" si="191"/>
        <v>kWh</v>
      </c>
      <c r="J806" s="249">
        <f t="shared" si="192"/>
        <v>60.356698800995666</v>
      </c>
      <c r="K806" s="270">
        <f t="shared" si="193"/>
        <v>177.34376978094744</v>
      </c>
      <c r="L806" s="271">
        <f t="shared" si="193"/>
        <v>43.513481463866803</v>
      </c>
      <c r="M806" s="271">
        <f t="shared" si="193"/>
        <v>156.73115481169054</v>
      </c>
      <c r="N806" s="272">
        <f t="shared" si="193"/>
        <v>60.356698800995666</v>
      </c>
      <c r="O806" s="86"/>
      <c r="R806" s="271"/>
      <c r="S806" s="271"/>
      <c r="T806" s="271"/>
      <c r="U806" s="271"/>
      <c r="V806" s="271"/>
      <c r="W806" s="271"/>
      <c r="X806" s="271"/>
      <c r="Y806" s="271"/>
      <c r="Z806" s="271"/>
      <c r="AA806" s="271"/>
      <c r="AB806" s="271"/>
      <c r="AC806" s="271"/>
    </row>
    <row r="807" spans="1:29" outlineLevel="1" x14ac:dyDescent="0.2">
      <c r="A807" s="39"/>
      <c r="B807" s="36"/>
      <c r="C807" s="38" t="s">
        <v>1642</v>
      </c>
      <c r="D807" s="152"/>
      <c r="E807" s="400"/>
      <c r="F807" s="400"/>
      <c r="G807" s="400"/>
      <c r="H807" s="400"/>
      <c r="I807" s="62" t="str">
        <f t="shared" si="191"/>
        <v>kWh</v>
      </c>
      <c r="J807" s="249">
        <f t="shared" si="192"/>
        <v>36.767841187461521</v>
      </c>
      <c r="K807" s="270">
        <f t="shared" si="193"/>
        <v>174.77402664213227</v>
      </c>
      <c r="L807" s="271">
        <f t="shared" si="193"/>
        <v>47.960687402959053</v>
      </c>
      <c r="M807" s="271">
        <f t="shared" si="193"/>
        <v>202.78674718630555</v>
      </c>
      <c r="N807" s="272">
        <f t="shared" si="193"/>
        <v>36.767841187461521</v>
      </c>
      <c r="O807" s="86"/>
      <c r="R807" s="271"/>
      <c r="S807" s="271"/>
      <c r="T807" s="271"/>
      <c r="U807" s="271"/>
      <c r="V807" s="271"/>
      <c r="W807" s="271"/>
      <c r="X807" s="271"/>
      <c r="Y807" s="271"/>
      <c r="Z807" s="271"/>
      <c r="AA807" s="271"/>
      <c r="AB807" s="271"/>
      <c r="AC807" s="271"/>
    </row>
    <row r="808" spans="1:29" outlineLevel="1" x14ac:dyDescent="0.2">
      <c r="A808" s="39"/>
      <c r="B808" s="36"/>
      <c r="C808" s="38" t="s">
        <v>1643</v>
      </c>
      <c r="D808" s="152"/>
      <c r="E808" s="400"/>
      <c r="F808" s="400"/>
      <c r="G808" s="400"/>
      <c r="H808" s="400"/>
      <c r="I808" s="62" t="str">
        <f t="shared" si="191"/>
        <v>kWh</v>
      </c>
      <c r="J808" s="249">
        <f t="shared" si="192"/>
        <v>22.130913028058515</v>
      </c>
      <c r="K808" s="270">
        <f t="shared" si="193"/>
        <v>182.32748310675802</v>
      </c>
      <c r="L808" s="271">
        <f t="shared" si="193"/>
        <v>50.601395261249905</v>
      </c>
      <c r="M808" s="271">
        <f t="shared" si="193"/>
        <v>228.13220654062232</v>
      </c>
      <c r="N808" s="272">
        <f t="shared" si="193"/>
        <v>22.130913028058515</v>
      </c>
      <c r="O808" s="86"/>
      <c r="R808" s="271"/>
      <c r="S808" s="271"/>
      <c r="T808" s="271"/>
      <c r="U808" s="271"/>
      <c r="V808" s="271"/>
      <c r="W808" s="271"/>
      <c r="X808" s="271"/>
      <c r="Y808" s="271"/>
      <c r="Z808" s="271"/>
      <c r="AA808" s="271"/>
      <c r="AB808" s="271"/>
      <c r="AC808" s="271"/>
    </row>
    <row r="809" spans="1:29" outlineLevel="1" x14ac:dyDescent="0.2">
      <c r="A809" s="39"/>
      <c r="B809" s="36"/>
      <c r="C809" s="38" t="s">
        <v>1644</v>
      </c>
      <c r="D809" s="152"/>
      <c r="E809" s="400"/>
      <c r="F809" s="400"/>
      <c r="G809" s="400"/>
      <c r="H809" s="400"/>
      <c r="I809" s="62" t="str">
        <f t="shared" si="191"/>
        <v>kWh</v>
      </c>
      <c r="J809" s="249">
        <f t="shared" si="192"/>
        <v>24.125746167609972</v>
      </c>
      <c r="K809" s="270">
        <f t="shared" si="193"/>
        <v>135.32580651982704</v>
      </c>
      <c r="L809" s="271">
        <f t="shared" si="193"/>
        <v>44.065525037159169</v>
      </c>
      <c r="M809" s="271">
        <f t="shared" si="193"/>
        <v>172.13747362149505</v>
      </c>
      <c r="N809" s="272">
        <f t="shared" si="193"/>
        <v>24.125746167609972</v>
      </c>
      <c r="O809" s="86"/>
      <c r="R809" s="271"/>
      <c r="S809" s="271"/>
      <c r="T809" s="271"/>
      <c r="U809" s="271"/>
      <c r="V809" s="271"/>
      <c r="W809" s="271"/>
      <c r="X809" s="271"/>
      <c r="Y809" s="271"/>
      <c r="Z809" s="271"/>
      <c r="AA809" s="271"/>
      <c r="AB809" s="271"/>
      <c r="AC809" s="271"/>
    </row>
    <row r="810" spans="1:29" outlineLevel="1" x14ac:dyDescent="0.2">
      <c r="A810" s="39"/>
      <c r="B810" s="36"/>
      <c r="C810" s="38" t="s">
        <v>1645</v>
      </c>
      <c r="D810" s="152"/>
      <c r="E810" s="400"/>
      <c r="F810" s="400"/>
      <c r="G810" s="400"/>
      <c r="H810" s="400"/>
      <c r="I810" s="62" t="str">
        <f t="shared" si="191"/>
        <v>kWh</v>
      </c>
      <c r="J810" s="249">
        <f t="shared" si="192"/>
        <v>38.49390470200963</v>
      </c>
      <c r="K810" s="270">
        <f t="shared" si="193"/>
        <v>149.22710954719582</v>
      </c>
      <c r="L810" s="271">
        <f t="shared" si="193"/>
        <v>39.678516066956455</v>
      </c>
      <c r="M810" s="271">
        <f t="shared" si="193"/>
        <v>126.69898824556546</v>
      </c>
      <c r="N810" s="272">
        <f t="shared" si="193"/>
        <v>38.49390470200963</v>
      </c>
      <c r="O810" s="86"/>
      <c r="R810" s="271"/>
      <c r="S810" s="271"/>
      <c r="T810" s="271"/>
      <c r="U810" s="271"/>
      <c r="V810" s="271"/>
      <c r="W810" s="271"/>
      <c r="X810" s="271"/>
      <c r="Y810" s="271"/>
      <c r="Z810" s="271"/>
      <c r="AA810" s="271"/>
      <c r="AB810" s="271"/>
      <c r="AC810" s="271"/>
    </row>
    <row r="811" spans="1:29" outlineLevel="1" x14ac:dyDescent="0.2">
      <c r="A811" s="39"/>
      <c r="B811" s="36"/>
      <c r="C811" s="38" t="s">
        <v>1646</v>
      </c>
      <c r="D811" s="152"/>
      <c r="E811" s="400"/>
      <c r="F811" s="400"/>
      <c r="G811" s="400"/>
      <c r="H811" s="400"/>
      <c r="I811" s="62" t="str">
        <f t="shared" si="191"/>
        <v>kWh</v>
      </c>
      <c r="J811" s="249">
        <f t="shared" si="192"/>
        <v>28.323152477872259</v>
      </c>
      <c r="K811" s="270">
        <f t="shared" si="193"/>
        <v>77.803405849544859</v>
      </c>
      <c r="L811" s="271">
        <f t="shared" si="193"/>
        <v>24.042274505621144</v>
      </c>
      <c r="M811" s="271">
        <f t="shared" si="193"/>
        <v>35.44877138510671</v>
      </c>
      <c r="N811" s="272">
        <f t="shared" si="193"/>
        <v>28.323152477872259</v>
      </c>
      <c r="O811" s="86"/>
      <c r="R811" s="271"/>
      <c r="S811" s="271"/>
      <c r="T811" s="271"/>
      <c r="U811" s="271"/>
      <c r="V811" s="271"/>
      <c r="W811" s="271"/>
      <c r="X811" s="271"/>
      <c r="Y811" s="271"/>
      <c r="Z811" s="271"/>
      <c r="AA811" s="271"/>
      <c r="AB811" s="271"/>
      <c r="AC811" s="271"/>
    </row>
    <row r="812" spans="1:29" outlineLevel="1" x14ac:dyDescent="0.2">
      <c r="A812" s="39"/>
      <c r="B812" s="36"/>
      <c r="C812" s="38" t="s">
        <v>1647</v>
      </c>
      <c r="D812" s="152"/>
      <c r="E812" s="400"/>
      <c r="F812" s="400"/>
      <c r="G812" s="400"/>
      <c r="H812" s="400"/>
      <c r="I812" s="62" t="str">
        <f t="shared" si="191"/>
        <v>kWh</v>
      </c>
      <c r="J812" s="249">
        <f t="shared" si="192"/>
        <v>0</v>
      </c>
      <c r="K812" s="270">
        <f t="shared" si="193"/>
        <v>0</v>
      </c>
      <c r="L812" s="271">
        <f t="shared" si="193"/>
        <v>0</v>
      </c>
      <c r="M812" s="271">
        <f t="shared" si="193"/>
        <v>0</v>
      </c>
      <c r="N812" s="272">
        <f t="shared" si="193"/>
        <v>0</v>
      </c>
      <c r="O812" s="86"/>
      <c r="R812" s="271"/>
      <c r="S812" s="271"/>
      <c r="T812" s="271"/>
      <c r="U812" s="271"/>
      <c r="V812" s="271"/>
      <c r="W812" s="271"/>
      <c r="X812" s="271"/>
      <c r="Y812" s="271"/>
      <c r="Z812" s="271"/>
      <c r="AA812" s="271"/>
      <c r="AB812" s="271"/>
      <c r="AC812" s="271"/>
    </row>
    <row r="813" spans="1:29" ht="13.5" outlineLevel="1" thickBot="1" x14ac:dyDescent="0.25">
      <c r="A813" s="39"/>
      <c r="B813" s="36"/>
      <c r="C813" s="38" t="s">
        <v>1648</v>
      </c>
      <c r="D813" s="152"/>
      <c r="E813" s="400"/>
      <c r="F813" s="400"/>
      <c r="G813" s="400"/>
      <c r="H813" s="400"/>
      <c r="I813" s="62" t="str">
        <f t="shared" si="191"/>
        <v>kWh</v>
      </c>
      <c r="J813" s="250">
        <f t="shared" si="192"/>
        <v>0</v>
      </c>
      <c r="K813" s="270">
        <f t="shared" si="193"/>
        <v>0</v>
      </c>
      <c r="L813" s="271">
        <f t="shared" si="193"/>
        <v>0</v>
      </c>
      <c r="M813" s="271">
        <f t="shared" si="193"/>
        <v>0</v>
      </c>
      <c r="N813" s="272">
        <f t="shared" si="193"/>
        <v>0</v>
      </c>
      <c r="O813" s="86"/>
      <c r="R813" s="271"/>
      <c r="S813" s="271"/>
      <c r="T813" s="271"/>
      <c r="U813" s="271"/>
      <c r="V813" s="271"/>
      <c r="W813" s="271"/>
      <c r="X813" s="271"/>
      <c r="Y813" s="271"/>
      <c r="Z813" s="271"/>
      <c r="AA813" s="271"/>
      <c r="AB813" s="271"/>
      <c r="AC813" s="271"/>
    </row>
    <row r="814" spans="1:29" x14ac:dyDescent="0.2">
      <c r="A814" s="39"/>
      <c r="B814" s="380" t="str">
        <f>INDEX(Language!$D$254:$M$254,1,_language)</f>
        <v>Temp. exported electricity by CHP</v>
      </c>
      <c r="C814" s="381" t="s">
        <v>1649</v>
      </c>
      <c r="D814" s="275"/>
      <c r="E814" s="409"/>
      <c r="F814" s="409"/>
      <c r="G814" s="409"/>
      <c r="H814" s="409"/>
      <c r="I814" s="382" t="str">
        <f t="shared" si="191"/>
        <v>kWh</v>
      </c>
      <c r="J814" s="921">
        <f t="shared" si="192"/>
        <v>0</v>
      </c>
      <c r="K814" s="922"/>
      <c r="L814" s="923"/>
      <c r="M814" s="923"/>
      <c r="N814" s="924"/>
      <c r="O814" s="355"/>
      <c r="R814" s="374"/>
      <c r="S814" s="374"/>
      <c r="T814" s="374"/>
      <c r="U814" s="374"/>
      <c r="V814" s="374"/>
      <c r="W814" s="374"/>
      <c r="X814" s="374"/>
      <c r="Y814" s="374"/>
      <c r="Z814" s="374"/>
      <c r="AA814" s="374"/>
      <c r="AB814" s="374"/>
      <c r="AC814" s="374"/>
    </row>
    <row r="815" spans="1:29" x14ac:dyDescent="0.2">
      <c r="A815" s="39"/>
      <c r="B815" s="383"/>
      <c r="C815" s="357" t="s">
        <v>1650</v>
      </c>
      <c r="D815" s="358"/>
      <c r="E815" s="410"/>
      <c r="F815" s="410"/>
      <c r="G815" s="410"/>
      <c r="H815" s="410"/>
      <c r="I815" s="385" t="str">
        <f t="shared" si="191"/>
        <v>kWh</v>
      </c>
      <c r="J815" s="376">
        <f>SUM(J816:J827)</f>
        <v>55.042511570539233</v>
      </c>
      <c r="K815" s="377">
        <f>SUM(K816:K827)</f>
        <v>10.904869977830378</v>
      </c>
      <c r="L815" s="378">
        <f>SUM(L816:L827)</f>
        <v>345.28794030625022</v>
      </c>
      <c r="M815" s="378">
        <f>SUM(M816:M827)</f>
        <v>11.757355538005925</v>
      </c>
      <c r="N815" s="379">
        <f>SUM(N816:N827)</f>
        <v>55.042511570539233</v>
      </c>
      <c r="O815" s="363"/>
      <c r="P815" s="1356" t="s">
        <v>1498</v>
      </c>
      <c r="R815" s="378"/>
      <c r="S815" s="378"/>
      <c r="T815" s="378"/>
      <c r="U815" s="378"/>
      <c r="V815" s="378"/>
      <c r="W815" s="378"/>
      <c r="X815" s="378"/>
      <c r="Y815" s="378"/>
      <c r="Z815" s="378"/>
      <c r="AA815" s="378"/>
      <c r="AB815" s="378"/>
      <c r="AC815" s="378"/>
    </row>
    <row r="816" spans="1:29" outlineLevel="1" x14ac:dyDescent="0.2">
      <c r="A816" s="39"/>
      <c r="B816" s="36"/>
      <c r="C816" s="38" t="s">
        <v>1651</v>
      </c>
      <c r="D816" s="152"/>
      <c r="E816" s="400"/>
      <c r="F816" s="400"/>
      <c r="G816" s="400"/>
      <c r="H816" s="400"/>
      <c r="I816" s="62" t="str">
        <f t="shared" si="191"/>
        <v>kWh</v>
      </c>
      <c r="J816" s="249">
        <f t="shared" ref="J816:J828" si="194">INDEX(K816:N816,,_case_en)</f>
        <v>0</v>
      </c>
      <c r="K816" s="270">
        <f t="shared" ref="K816:N827" si="195">+IF(K746&lt;&gt;0,K788*K774/K746,0)</f>
        <v>0</v>
      </c>
      <c r="L816" s="271">
        <f t="shared" si="195"/>
        <v>0</v>
      </c>
      <c r="M816" s="271">
        <f t="shared" si="195"/>
        <v>0</v>
      </c>
      <c r="N816" s="272">
        <f t="shared" si="195"/>
        <v>0</v>
      </c>
      <c r="O816" s="86"/>
      <c r="P816" s="1356" t="s">
        <v>1499</v>
      </c>
      <c r="R816" s="271"/>
      <c r="S816" s="271"/>
      <c r="T816" s="271"/>
      <c r="U816" s="271"/>
      <c r="V816" s="271"/>
      <c r="W816" s="271"/>
      <c r="X816" s="271"/>
      <c r="Y816" s="271"/>
      <c r="Z816" s="271"/>
      <c r="AA816" s="271"/>
      <c r="AB816" s="271"/>
      <c r="AC816" s="271"/>
    </row>
    <row r="817" spans="1:29" outlineLevel="1" x14ac:dyDescent="0.2">
      <c r="A817" s="39"/>
      <c r="B817" s="36"/>
      <c r="C817" s="38" t="s">
        <v>1652</v>
      </c>
      <c r="D817" s="152"/>
      <c r="E817" s="400"/>
      <c r="F817" s="400"/>
      <c r="G817" s="400"/>
      <c r="H817" s="400"/>
      <c r="I817" s="62" t="str">
        <f t="shared" si="191"/>
        <v>kWh</v>
      </c>
      <c r="J817" s="249">
        <f t="shared" si="194"/>
        <v>0</v>
      </c>
      <c r="K817" s="270">
        <f t="shared" si="195"/>
        <v>0</v>
      </c>
      <c r="L817" s="271">
        <f t="shared" si="195"/>
        <v>0</v>
      </c>
      <c r="M817" s="271">
        <f t="shared" si="195"/>
        <v>0</v>
      </c>
      <c r="N817" s="272">
        <f t="shared" si="195"/>
        <v>0</v>
      </c>
      <c r="O817" s="86"/>
      <c r="P817" s="1356" t="s">
        <v>1500</v>
      </c>
      <c r="R817" s="271"/>
      <c r="S817" s="271"/>
      <c r="T817" s="271"/>
      <c r="U817" s="271"/>
      <c r="V817" s="271"/>
      <c r="W817" s="271"/>
      <c r="X817" s="271"/>
      <c r="Y817" s="271"/>
      <c r="Z817" s="271"/>
      <c r="AA817" s="271"/>
      <c r="AB817" s="271"/>
      <c r="AC817" s="271"/>
    </row>
    <row r="818" spans="1:29" outlineLevel="1" x14ac:dyDescent="0.2">
      <c r="A818" s="39"/>
      <c r="B818" s="36"/>
      <c r="C818" s="38" t="s">
        <v>1653</v>
      </c>
      <c r="D818" s="152"/>
      <c r="E818" s="400"/>
      <c r="F818" s="400"/>
      <c r="G818" s="400"/>
      <c r="H818" s="400"/>
      <c r="I818" s="62" t="str">
        <f t="shared" si="191"/>
        <v>kWh</v>
      </c>
      <c r="J818" s="249">
        <f t="shared" si="194"/>
        <v>4.4786045831191892</v>
      </c>
      <c r="K818" s="270">
        <f t="shared" si="195"/>
        <v>0.77386899158093525</v>
      </c>
      <c r="L818" s="271">
        <f t="shared" si="195"/>
        <v>22.90839189030708</v>
      </c>
      <c r="M818" s="271">
        <f t="shared" si="195"/>
        <v>0</v>
      </c>
      <c r="N818" s="272">
        <f t="shared" si="195"/>
        <v>4.4786045831191892</v>
      </c>
      <c r="O818" s="86"/>
      <c r="R818" s="271"/>
      <c r="S818" s="271"/>
      <c r="T818" s="271"/>
      <c r="U818" s="271"/>
      <c r="V818" s="271"/>
      <c r="W818" s="271"/>
      <c r="X818" s="271"/>
      <c r="Y818" s="271"/>
      <c r="Z818" s="271"/>
      <c r="AA818" s="271"/>
      <c r="AB818" s="271"/>
      <c r="AC818" s="271"/>
    </row>
    <row r="819" spans="1:29" outlineLevel="1" x14ac:dyDescent="0.2">
      <c r="A819" s="39"/>
      <c r="B819" s="36"/>
      <c r="C819" s="38" t="s">
        <v>1654</v>
      </c>
      <c r="D819" s="152"/>
      <c r="E819" s="400"/>
      <c r="F819" s="400"/>
      <c r="G819" s="400"/>
      <c r="H819" s="400"/>
      <c r="I819" s="62" t="str">
        <f t="shared" si="191"/>
        <v>kWh</v>
      </c>
      <c r="J819" s="249">
        <f t="shared" si="194"/>
        <v>12.26375759098949</v>
      </c>
      <c r="K819" s="270">
        <f t="shared" si="195"/>
        <v>3.4235961071100904</v>
      </c>
      <c r="L819" s="271">
        <f t="shared" si="195"/>
        <v>58.548117584490122</v>
      </c>
      <c r="M819" s="271">
        <f t="shared" si="195"/>
        <v>7.9976373607976381</v>
      </c>
      <c r="N819" s="272">
        <f t="shared" si="195"/>
        <v>12.26375759098949</v>
      </c>
      <c r="O819" s="86"/>
      <c r="R819" s="271"/>
      <c r="S819" s="271"/>
      <c r="T819" s="271"/>
      <c r="U819" s="271"/>
      <c r="V819" s="271"/>
      <c r="W819" s="271"/>
      <c r="X819" s="271"/>
      <c r="Y819" s="271"/>
      <c r="Z819" s="271"/>
      <c r="AA819" s="271"/>
      <c r="AB819" s="271"/>
      <c r="AC819" s="271"/>
    </row>
    <row r="820" spans="1:29" outlineLevel="1" x14ac:dyDescent="0.2">
      <c r="A820" s="39"/>
      <c r="B820" s="36"/>
      <c r="C820" s="38" t="s">
        <v>1655</v>
      </c>
      <c r="D820" s="152"/>
      <c r="E820" s="400"/>
      <c r="F820" s="400"/>
      <c r="G820" s="400"/>
      <c r="H820" s="400"/>
      <c r="I820" s="62" t="str">
        <f t="shared" si="191"/>
        <v>kWh</v>
      </c>
      <c r="J820" s="249">
        <f t="shared" si="194"/>
        <v>9.037366665389726</v>
      </c>
      <c r="K820" s="270">
        <f t="shared" si="195"/>
        <v>0</v>
      </c>
      <c r="L820" s="271">
        <f t="shared" si="195"/>
        <v>43.435917325785027</v>
      </c>
      <c r="M820" s="271">
        <f t="shared" si="195"/>
        <v>0</v>
      </c>
      <c r="N820" s="272">
        <f t="shared" si="195"/>
        <v>9.037366665389726</v>
      </c>
      <c r="O820" s="86"/>
      <c r="R820" s="271"/>
      <c r="S820" s="271"/>
      <c r="T820" s="271"/>
      <c r="U820" s="271"/>
      <c r="V820" s="271"/>
      <c r="W820" s="271"/>
      <c r="X820" s="271"/>
      <c r="Y820" s="271"/>
      <c r="Z820" s="271"/>
      <c r="AA820" s="271"/>
      <c r="AB820" s="271"/>
      <c r="AC820" s="271"/>
    </row>
    <row r="821" spans="1:29" outlineLevel="1" x14ac:dyDescent="0.2">
      <c r="A821" s="39"/>
      <c r="B821" s="36"/>
      <c r="C821" s="38" t="s">
        <v>1656</v>
      </c>
      <c r="D821" s="152"/>
      <c r="E821" s="400"/>
      <c r="F821" s="400"/>
      <c r="G821" s="400"/>
      <c r="H821" s="400"/>
      <c r="I821" s="62" t="str">
        <f t="shared" si="191"/>
        <v>kWh</v>
      </c>
      <c r="J821" s="249">
        <f t="shared" si="194"/>
        <v>3.2838901220061323</v>
      </c>
      <c r="K821" s="270">
        <f t="shared" si="195"/>
        <v>0</v>
      </c>
      <c r="L821" s="271">
        <f t="shared" si="195"/>
        <v>42.835701667714623</v>
      </c>
      <c r="M821" s="271">
        <f t="shared" si="195"/>
        <v>0</v>
      </c>
      <c r="N821" s="272">
        <f t="shared" si="195"/>
        <v>3.2838901220061323</v>
      </c>
      <c r="O821" s="86"/>
      <c r="R821" s="271"/>
      <c r="S821" s="271"/>
      <c r="T821" s="271"/>
      <c r="U821" s="271"/>
      <c r="V821" s="271"/>
      <c r="W821" s="271"/>
      <c r="X821" s="271"/>
      <c r="Y821" s="271"/>
      <c r="Z821" s="271"/>
      <c r="AA821" s="271"/>
      <c r="AB821" s="271"/>
      <c r="AC821" s="271"/>
    </row>
    <row r="822" spans="1:29" outlineLevel="1" x14ac:dyDescent="0.2">
      <c r="A822" s="39"/>
      <c r="B822" s="36"/>
      <c r="C822" s="38" t="s">
        <v>1657</v>
      </c>
      <c r="D822" s="152"/>
      <c r="E822" s="400"/>
      <c r="F822" s="400"/>
      <c r="G822" s="400"/>
      <c r="H822" s="400"/>
      <c r="I822" s="62" t="str">
        <f t="shared" si="191"/>
        <v>kWh</v>
      </c>
      <c r="J822" s="249">
        <f t="shared" si="194"/>
        <v>2.3472180484304488</v>
      </c>
      <c r="K822" s="270">
        <f t="shared" si="195"/>
        <v>0</v>
      </c>
      <c r="L822" s="271">
        <f t="shared" si="195"/>
        <v>42.934517191363554</v>
      </c>
      <c r="M822" s="271">
        <f t="shared" si="195"/>
        <v>0</v>
      </c>
      <c r="N822" s="272">
        <f t="shared" si="195"/>
        <v>2.3472180484304488</v>
      </c>
      <c r="O822" s="86"/>
      <c r="R822" s="271"/>
      <c r="S822" s="271"/>
      <c r="T822" s="271"/>
      <c r="U822" s="271"/>
      <c r="V822" s="271"/>
      <c r="W822" s="271"/>
      <c r="X822" s="271"/>
      <c r="Y822" s="271"/>
      <c r="Z822" s="271"/>
      <c r="AA822" s="271"/>
      <c r="AB822" s="271"/>
      <c r="AC822" s="271"/>
    </row>
    <row r="823" spans="1:29" outlineLevel="1" x14ac:dyDescent="0.2">
      <c r="A823" s="39"/>
      <c r="B823" s="36"/>
      <c r="C823" s="38" t="s">
        <v>1658</v>
      </c>
      <c r="D823" s="152"/>
      <c r="E823" s="400"/>
      <c r="F823" s="400"/>
      <c r="G823" s="400"/>
      <c r="H823" s="400"/>
      <c r="I823" s="62" t="str">
        <f t="shared" si="191"/>
        <v>kWh</v>
      </c>
      <c r="J823" s="249">
        <f t="shared" si="194"/>
        <v>3.411721680268077</v>
      </c>
      <c r="K823" s="270">
        <f t="shared" si="195"/>
        <v>0</v>
      </c>
      <c r="L823" s="271">
        <f t="shared" si="195"/>
        <v>41.543255927288094</v>
      </c>
      <c r="M823" s="271">
        <f t="shared" si="195"/>
        <v>0</v>
      </c>
      <c r="N823" s="272">
        <f t="shared" si="195"/>
        <v>3.411721680268077</v>
      </c>
      <c r="O823" s="86"/>
      <c r="R823" s="271"/>
      <c r="S823" s="271"/>
      <c r="T823" s="271"/>
      <c r="U823" s="271"/>
      <c r="V823" s="271"/>
      <c r="W823" s="271"/>
      <c r="X823" s="271"/>
      <c r="Y823" s="271"/>
      <c r="Z823" s="271"/>
      <c r="AA823" s="271"/>
      <c r="AB823" s="271"/>
      <c r="AC823" s="271"/>
    </row>
    <row r="824" spans="1:29" outlineLevel="1" x14ac:dyDescent="0.2">
      <c r="A824" s="39"/>
      <c r="B824" s="36"/>
      <c r="C824" s="38" t="s">
        <v>1659</v>
      </c>
      <c r="D824" s="152"/>
      <c r="E824" s="400"/>
      <c r="F824" s="400"/>
      <c r="G824" s="400"/>
      <c r="H824" s="400"/>
      <c r="I824" s="62" t="str">
        <f t="shared" si="191"/>
        <v>kWh</v>
      </c>
      <c r="J824" s="249">
        <f t="shared" si="194"/>
        <v>10.206717155835886</v>
      </c>
      <c r="K824" s="270">
        <f t="shared" si="195"/>
        <v>3.9567794198120101</v>
      </c>
      <c r="L824" s="271">
        <f t="shared" si="195"/>
        <v>42.083274616468969</v>
      </c>
      <c r="M824" s="271">
        <f t="shared" si="195"/>
        <v>0</v>
      </c>
      <c r="N824" s="272">
        <f t="shared" si="195"/>
        <v>10.206717155835886</v>
      </c>
      <c r="O824" s="86"/>
      <c r="R824" s="271"/>
      <c r="S824" s="271"/>
      <c r="T824" s="271"/>
      <c r="U824" s="271"/>
      <c r="V824" s="271"/>
      <c r="W824" s="271"/>
      <c r="X824" s="271"/>
      <c r="Y824" s="271"/>
      <c r="Z824" s="271"/>
      <c r="AA824" s="271"/>
      <c r="AB824" s="271"/>
      <c r="AC824" s="271"/>
    </row>
    <row r="825" spans="1:29" outlineLevel="1" x14ac:dyDescent="0.2">
      <c r="A825" s="39"/>
      <c r="B825" s="36"/>
      <c r="C825" s="38" t="s">
        <v>1660</v>
      </c>
      <c r="D825" s="152"/>
      <c r="E825" s="400"/>
      <c r="F825" s="400"/>
      <c r="G825" s="400"/>
      <c r="H825" s="400"/>
      <c r="I825" s="62" t="str">
        <f t="shared" si="191"/>
        <v>kWh</v>
      </c>
      <c r="J825" s="249">
        <f t="shared" si="194"/>
        <v>10.013235724500293</v>
      </c>
      <c r="K825" s="270">
        <f t="shared" si="195"/>
        <v>2.7506254593273431</v>
      </c>
      <c r="L825" s="271">
        <f t="shared" si="195"/>
        <v>50.99876410283273</v>
      </c>
      <c r="M825" s="271">
        <f t="shared" si="195"/>
        <v>3.759718177208287</v>
      </c>
      <c r="N825" s="272">
        <f t="shared" si="195"/>
        <v>10.013235724500293</v>
      </c>
      <c r="O825" s="86"/>
      <c r="R825" s="271"/>
      <c r="S825" s="271"/>
      <c r="T825" s="271"/>
      <c r="U825" s="271"/>
      <c r="V825" s="271"/>
      <c r="W825" s="271"/>
      <c r="X825" s="271"/>
      <c r="Y825" s="271"/>
      <c r="Z825" s="271"/>
      <c r="AA825" s="271"/>
      <c r="AB825" s="271"/>
      <c r="AC825" s="271"/>
    </row>
    <row r="826" spans="1:29" outlineLevel="1" x14ac:dyDescent="0.2">
      <c r="A826" s="39"/>
      <c r="B826" s="36"/>
      <c r="C826" s="38" t="s">
        <v>1661</v>
      </c>
      <c r="D826" s="152"/>
      <c r="E826" s="400"/>
      <c r="F826" s="400"/>
      <c r="G826" s="400"/>
      <c r="H826" s="400"/>
      <c r="I826" s="62" t="str">
        <f t="shared" si="191"/>
        <v>kWh</v>
      </c>
      <c r="J826" s="249">
        <f t="shared" si="194"/>
        <v>0</v>
      </c>
      <c r="K826" s="270">
        <f t="shared" si="195"/>
        <v>0</v>
      </c>
      <c r="L826" s="271">
        <f t="shared" si="195"/>
        <v>0</v>
      </c>
      <c r="M826" s="271">
        <f t="shared" si="195"/>
        <v>0</v>
      </c>
      <c r="N826" s="272">
        <f t="shared" si="195"/>
        <v>0</v>
      </c>
      <c r="O826" s="86"/>
      <c r="R826" s="271"/>
      <c r="S826" s="271"/>
      <c r="T826" s="271"/>
      <c r="U826" s="271"/>
      <c r="V826" s="271"/>
      <c r="W826" s="271"/>
      <c r="X826" s="271"/>
      <c r="Y826" s="271"/>
      <c r="Z826" s="271"/>
      <c r="AA826" s="271"/>
      <c r="AB826" s="271"/>
      <c r="AC826" s="271"/>
    </row>
    <row r="827" spans="1:29" ht="13.5" outlineLevel="1" thickBot="1" x14ac:dyDescent="0.25">
      <c r="A827" s="39"/>
      <c r="B827" s="36"/>
      <c r="C827" s="38" t="s">
        <v>1662</v>
      </c>
      <c r="D827" s="152"/>
      <c r="E827" s="400"/>
      <c r="F827" s="400"/>
      <c r="G827" s="400"/>
      <c r="H827" s="400"/>
      <c r="I827" s="62" t="str">
        <f t="shared" si="191"/>
        <v>kWh</v>
      </c>
      <c r="J827" s="250">
        <f t="shared" si="194"/>
        <v>0</v>
      </c>
      <c r="K827" s="270">
        <f t="shared" si="195"/>
        <v>0</v>
      </c>
      <c r="L827" s="271">
        <f t="shared" si="195"/>
        <v>0</v>
      </c>
      <c r="M827" s="271">
        <f t="shared" si="195"/>
        <v>0</v>
      </c>
      <c r="N827" s="272">
        <f t="shared" si="195"/>
        <v>0</v>
      </c>
      <c r="O827" s="86"/>
      <c r="R827" s="271"/>
      <c r="S827" s="271"/>
      <c r="T827" s="271"/>
      <c r="U827" s="271"/>
      <c r="V827" s="271"/>
      <c r="W827" s="271"/>
      <c r="X827" s="271"/>
      <c r="Y827" s="271"/>
      <c r="Z827" s="271"/>
      <c r="AA827" s="271"/>
      <c r="AB827" s="271"/>
      <c r="AC827" s="271"/>
    </row>
    <row r="828" spans="1:29" x14ac:dyDescent="0.2">
      <c r="A828" s="39"/>
      <c r="B828" s="380" t="str">
        <f>INDEX(Language!$D$252:$M$252,1,_language)</f>
        <v>Redelivered electricity</v>
      </c>
      <c r="C828" s="381" t="s">
        <v>1619</v>
      </c>
      <c r="D828" s="275"/>
      <c r="E828" s="409"/>
      <c r="F828" s="409"/>
      <c r="G828" s="409"/>
      <c r="H828" s="409"/>
      <c r="I828" s="382" t="str">
        <f t="shared" si="172"/>
        <v>kWh</v>
      </c>
      <c r="J828" s="921">
        <f t="shared" si="194"/>
        <v>0</v>
      </c>
      <c r="K828" s="922">
        <f>MIN(K730,K758)</f>
        <v>0</v>
      </c>
      <c r="L828" s="923">
        <f>MIN(L730,L758)</f>
        <v>0</v>
      </c>
      <c r="M828" s="923">
        <f>MIN(M730,M758)</f>
        <v>0</v>
      </c>
      <c r="N828" s="924">
        <f>MIN(N730,N758)</f>
        <v>0</v>
      </c>
      <c r="O828" s="355"/>
      <c r="R828" s="374"/>
      <c r="S828" s="374"/>
      <c r="T828" s="374"/>
      <c r="U828" s="374"/>
      <c r="V828" s="374"/>
      <c r="W828" s="374"/>
      <c r="X828" s="374"/>
      <c r="Y828" s="374"/>
      <c r="Z828" s="374"/>
      <c r="AA828" s="374"/>
      <c r="AB828" s="374"/>
      <c r="AC828" s="374"/>
    </row>
    <row r="829" spans="1:29" ht="13.5" thickBot="1" x14ac:dyDescent="0.25">
      <c r="A829" s="39"/>
      <c r="B829" s="383"/>
      <c r="C829" s="357" t="s">
        <v>1620</v>
      </c>
      <c r="D829" s="358"/>
      <c r="E829" s="410"/>
      <c r="F829" s="410"/>
      <c r="G829" s="410"/>
      <c r="H829" s="410"/>
      <c r="I829" s="385" t="str">
        <f t="shared" ref="I829" si="196">+_En_unit</f>
        <v>kWh</v>
      </c>
      <c r="J829" s="376">
        <f>SUM(J830:J841)</f>
        <v>316.26787878787877</v>
      </c>
      <c r="K829" s="377">
        <f>MIN(K731,K759)</f>
        <v>1038.9263406175623</v>
      </c>
      <c r="L829" s="378">
        <f>MIN(L731,L759)</f>
        <v>636.35101010101005</v>
      </c>
      <c r="M829" s="378">
        <f>MIN(M731,M759)</f>
        <v>1021.6667082975656</v>
      </c>
      <c r="N829" s="379">
        <f>MIN(N731,N745)</f>
        <v>316.26787878787877</v>
      </c>
      <c r="O829" s="363"/>
      <c r="P829" s="1356" t="s">
        <v>1633</v>
      </c>
      <c r="R829" s="378"/>
      <c r="S829" s="378"/>
      <c r="T829" s="378"/>
      <c r="U829" s="378"/>
      <c r="V829" s="378"/>
      <c r="W829" s="378"/>
      <c r="X829" s="378"/>
      <c r="Y829" s="378"/>
      <c r="Z829" s="378"/>
      <c r="AA829" s="378"/>
      <c r="AB829" s="378"/>
      <c r="AC829" s="378"/>
    </row>
    <row r="830" spans="1:29" ht="13.5" hidden="1" outlineLevel="1" thickBot="1" x14ac:dyDescent="0.25">
      <c r="A830" s="39"/>
      <c r="B830" s="36"/>
      <c r="C830" s="38" t="s">
        <v>1621</v>
      </c>
      <c r="D830" s="152"/>
      <c r="E830" s="400"/>
      <c r="F830" s="400"/>
      <c r="G830" s="400"/>
      <c r="H830" s="400"/>
      <c r="I830" s="62" t="str">
        <f t="shared" si="172"/>
        <v>kWh</v>
      </c>
      <c r="J830" s="249">
        <f t="shared" ref="J830:J842" si="197">INDEX(K830:N830,,_case_en)</f>
        <v>144.4969696969697</v>
      </c>
      <c r="K830" s="270">
        <f t="shared" ref="K830:N841" si="198">IF(K$731&gt;0,K732*K$829/K$731,0)</f>
        <v>412.83500694786488</v>
      </c>
      <c r="L830" s="271">
        <f t="shared" si="198"/>
        <v>264.19191919191917</v>
      </c>
      <c r="M830" s="271">
        <f t="shared" si="198"/>
        <v>352.1728216464312</v>
      </c>
      <c r="N830" s="272">
        <f t="shared" si="198"/>
        <v>144.4969696969697</v>
      </c>
      <c r="O830" s="86"/>
      <c r="R830" s="271"/>
      <c r="S830" s="271"/>
      <c r="T830" s="271"/>
      <c r="U830" s="271"/>
      <c r="V830" s="271"/>
      <c r="W830" s="271"/>
      <c r="X830" s="271"/>
      <c r="Y830" s="271"/>
      <c r="Z830" s="271"/>
      <c r="AA830" s="271"/>
      <c r="AB830" s="271"/>
      <c r="AC830" s="271"/>
    </row>
    <row r="831" spans="1:29" ht="13.5" hidden="1" outlineLevel="1" thickBot="1" x14ac:dyDescent="0.25">
      <c r="A831" s="39"/>
      <c r="B831" s="36"/>
      <c r="C831" s="38" t="s">
        <v>1622</v>
      </c>
      <c r="D831" s="152"/>
      <c r="E831" s="400"/>
      <c r="F831" s="400"/>
      <c r="G831" s="400"/>
      <c r="H831" s="400"/>
      <c r="I831" s="62" t="str">
        <f t="shared" si="172"/>
        <v>kWh</v>
      </c>
      <c r="J831" s="249">
        <f t="shared" si="197"/>
        <v>89.880303030303025</v>
      </c>
      <c r="K831" s="270">
        <f t="shared" si="198"/>
        <v>321.40332146094357</v>
      </c>
      <c r="L831" s="271">
        <f t="shared" si="198"/>
        <v>199.60858585858591</v>
      </c>
      <c r="M831" s="271">
        <f t="shared" si="198"/>
        <v>280.92190864007279</v>
      </c>
      <c r="N831" s="272">
        <f t="shared" si="198"/>
        <v>89.880303030303025</v>
      </c>
      <c r="O831" s="86"/>
      <c r="P831" s="1356" t="s">
        <v>1616</v>
      </c>
      <c r="R831" s="271"/>
      <c r="S831" s="271"/>
      <c r="T831" s="271"/>
      <c r="U831" s="271"/>
      <c r="V831" s="271"/>
      <c r="W831" s="271"/>
      <c r="X831" s="271"/>
      <c r="Y831" s="271"/>
      <c r="Z831" s="271"/>
      <c r="AA831" s="271"/>
      <c r="AB831" s="271"/>
      <c r="AC831" s="271"/>
    </row>
    <row r="832" spans="1:29" ht="13.5" hidden="1" outlineLevel="1" thickBot="1" x14ac:dyDescent="0.25">
      <c r="A832" s="39"/>
      <c r="B832" s="36"/>
      <c r="C832" s="38" t="s">
        <v>1623</v>
      </c>
      <c r="D832" s="152"/>
      <c r="E832" s="400"/>
      <c r="F832" s="400"/>
      <c r="G832" s="400"/>
      <c r="H832" s="400"/>
      <c r="I832" s="62" t="str">
        <f t="shared" si="191"/>
        <v>kWh</v>
      </c>
      <c r="J832" s="249">
        <f t="shared" si="197"/>
        <v>0</v>
      </c>
      <c r="K832" s="270">
        <f t="shared" si="198"/>
        <v>0</v>
      </c>
      <c r="L832" s="271">
        <f t="shared" si="198"/>
        <v>0</v>
      </c>
      <c r="M832" s="271">
        <f t="shared" si="198"/>
        <v>41.964463397299198</v>
      </c>
      <c r="N832" s="272">
        <f t="shared" si="198"/>
        <v>0</v>
      </c>
      <c r="O832" s="86"/>
      <c r="P832" s="1356" t="s">
        <v>1617</v>
      </c>
      <c r="R832" s="271"/>
      <c r="S832" s="271"/>
      <c r="T832" s="271"/>
      <c r="U832" s="271"/>
      <c r="V832" s="271"/>
      <c r="W832" s="271"/>
      <c r="X832" s="271"/>
      <c r="Y832" s="271"/>
      <c r="Z832" s="271"/>
      <c r="AA832" s="271"/>
      <c r="AB832" s="271"/>
      <c r="AC832" s="271"/>
    </row>
    <row r="833" spans="1:29" ht="13.5" hidden="1" outlineLevel="1" thickBot="1" x14ac:dyDescent="0.25">
      <c r="A833" s="39"/>
      <c r="B833" s="36"/>
      <c r="C833" s="38" t="s">
        <v>1624</v>
      </c>
      <c r="D833" s="152"/>
      <c r="E833" s="400"/>
      <c r="F833" s="400"/>
      <c r="G833" s="400"/>
      <c r="H833" s="400"/>
      <c r="I833" s="62" t="str">
        <f t="shared" si="191"/>
        <v>kWh</v>
      </c>
      <c r="J833" s="249">
        <f t="shared" si="197"/>
        <v>0</v>
      </c>
      <c r="K833" s="270">
        <f t="shared" si="198"/>
        <v>0</v>
      </c>
      <c r="L833" s="271">
        <f t="shared" si="198"/>
        <v>0</v>
      </c>
      <c r="M833" s="271">
        <f t="shared" si="198"/>
        <v>0</v>
      </c>
      <c r="N833" s="272">
        <f t="shared" si="198"/>
        <v>0</v>
      </c>
      <c r="O833" s="86"/>
      <c r="R833" s="271"/>
      <c r="S833" s="271"/>
      <c r="T833" s="271"/>
      <c r="U833" s="271"/>
      <c r="V833" s="271"/>
      <c r="W833" s="271"/>
      <c r="X833" s="271"/>
      <c r="Y833" s="271"/>
      <c r="Z833" s="271"/>
      <c r="AA833" s="271"/>
      <c r="AB833" s="271"/>
      <c r="AC833" s="271"/>
    </row>
    <row r="834" spans="1:29" ht="13.5" hidden="1" outlineLevel="1" thickBot="1" x14ac:dyDescent="0.25">
      <c r="A834" s="39"/>
      <c r="B834" s="36"/>
      <c r="C834" s="38" t="s">
        <v>1625</v>
      </c>
      <c r="D834" s="152"/>
      <c r="E834" s="400"/>
      <c r="F834" s="400"/>
      <c r="G834" s="400"/>
      <c r="H834" s="400"/>
      <c r="I834" s="62" t="str">
        <f t="shared" si="191"/>
        <v>kWh</v>
      </c>
      <c r="J834" s="249">
        <f t="shared" si="197"/>
        <v>0</v>
      </c>
      <c r="K834" s="270">
        <f t="shared" si="198"/>
        <v>0</v>
      </c>
      <c r="L834" s="271">
        <f t="shared" si="198"/>
        <v>0</v>
      </c>
      <c r="M834" s="271">
        <f t="shared" si="198"/>
        <v>0</v>
      </c>
      <c r="N834" s="272">
        <f t="shared" si="198"/>
        <v>0</v>
      </c>
      <c r="O834" s="86"/>
      <c r="R834" s="271"/>
      <c r="S834" s="271"/>
      <c r="T834" s="271"/>
      <c r="U834" s="271"/>
      <c r="V834" s="271"/>
      <c r="W834" s="271"/>
      <c r="X834" s="271"/>
      <c r="Y834" s="271"/>
      <c r="Z834" s="271"/>
      <c r="AA834" s="271"/>
      <c r="AB834" s="271"/>
      <c r="AC834" s="271"/>
    </row>
    <row r="835" spans="1:29" ht="13.5" hidden="1" outlineLevel="1" thickBot="1" x14ac:dyDescent="0.25">
      <c r="A835" s="39"/>
      <c r="B835" s="36"/>
      <c r="C835" s="38" t="s">
        <v>1626</v>
      </c>
      <c r="D835" s="152"/>
      <c r="E835" s="400"/>
      <c r="F835" s="400"/>
      <c r="G835" s="400"/>
      <c r="H835" s="400"/>
      <c r="I835" s="62" t="str">
        <f t="shared" si="191"/>
        <v>kWh</v>
      </c>
      <c r="J835" s="249">
        <f t="shared" si="197"/>
        <v>0</v>
      </c>
      <c r="K835" s="270">
        <f t="shared" si="198"/>
        <v>0</v>
      </c>
      <c r="L835" s="271">
        <f t="shared" si="198"/>
        <v>0</v>
      </c>
      <c r="M835" s="271">
        <f t="shared" si="198"/>
        <v>0</v>
      </c>
      <c r="N835" s="272">
        <f t="shared" si="198"/>
        <v>0</v>
      </c>
      <c r="O835" s="86"/>
      <c r="R835" s="271"/>
      <c r="S835" s="271"/>
      <c r="T835" s="271"/>
      <c r="U835" s="271"/>
      <c r="V835" s="271"/>
      <c r="W835" s="271"/>
      <c r="X835" s="271"/>
      <c r="Y835" s="271"/>
      <c r="Z835" s="271"/>
      <c r="AA835" s="271"/>
      <c r="AB835" s="271"/>
      <c r="AC835" s="271"/>
    </row>
    <row r="836" spans="1:29" ht="13.5" hidden="1" outlineLevel="1" thickBot="1" x14ac:dyDescent="0.25">
      <c r="A836" s="39"/>
      <c r="B836" s="36"/>
      <c r="C836" s="38" t="s">
        <v>1627</v>
      </c>
      <c r="D836" s="152"/>
      <c r="E836" s="400"/>
      <c r="F836" s="400"/>
      <c r="G836" s="400"/>
      <c r="H836" s="400"/>
      <c r="I836" s="62" t="str">
        <f t="shared" si="191"/>
        <v>kWh</v>
      </c>
      <c r="J836" s="249">
        <f t="shared" si="197"/>
        <v>0</v>
      </c>
      <c r="K836" s="270">
        <f t="shared" si="198"/>
        <v>0</v>
      </c>
      <c r="L836" s="271">
        <f t="shared" si="198"/>
        <v>0</v>
      </c>
      <c r="M836" s="271">
        <f t="shared" si="198"/>
        <v>0</v>
      </c>
      <c r="N836" s="272">
        <f t="shared" si="198"/>
        <v>0</v>
      </c>
      <c r="O836" s="86"/>
      <c r="R836" s="271"/>
      <c r="S836" s="271"/>
      <c r="T836" s="271"/>
      <c r="U836" s="271"/>
      <c r="V836" s="271"/>
      <c r="W836" s="271"/>
      <c r="X836" s="271"/>
      <c r="Y836" s="271"/>
      <c r="Z836" s="271"/>
      <c r="AA836" s="271"/>
      <c r="AB836" s="271"/>
      <c r="AC836" s="271"/>
    </row>
    <row r="837" spans="1:29" ht="13.5" hidden="1" outlineLevel="1" thickBot="1" x14ac:dyDescent="0.25">
      <c r="A837" s="39"/>
      <c r="B837" s="36"/>
      <c r="C837" s="38" t="s">
        <v>1628</v>
      </c>
      <c r="D837" s="152"/>
      <c r="E837" s="400"/>
      <c r="F837" s="400"/>
      <c r="G837" s="400"/>
      <c r="H837" s="400"/>
      <c r="I837" s="62" t="str">
        <f t="shared" si="191"/>
        <v>kWh</v>
      </c>
      <c r="J837" s="249">
        <f t="shared" si="197"/>
        <v>0</v>
      </c>
      <c r="K837" s="270">
        <f t="shared" si="198"/>
        <v>0</v>
      </c>
      <c r="L837" s="271">
        <f t="shared" si="198"/>
        <v>0</v>
      </c>
      <c r="M837" s="271">
        <f t="shared" si="198"/>
        <v>0</v>
      </c>
      <c r="N837" s="272">
        <f t="shared" si="198"/>
        <v>0</v>
      </c>
      <c r="O837" s="86"/>
      <c r="R837" s="271"/>
      <c r="S837" s="271"/>
      <c r="T837" s="271"/>
      <c r="U837" s="271"/>
      <c r="V837" s="271"/>
      <c r="W837" s="271"/>
      <c r="X837" s="271"/>
      <c r="Y837" s="271"/>
      <c r="Z837" s="271"/>
      <c r="AA837" s="271"/>
      <c r="AB837" s="271"/>
      <c r="AC837" s="271"/>
    </row>
    <row r="838" spans="1:29" ht="13.5" hidden="1" outlineLevel="1" thickBot="1" x14ac:dyDescent="0.25">
      <c r="A838" s="39"/>
      <c r="B838" s="36"/>
      <c r="C838" s="38" t="s">
        <v>1629</v>
      </c>
      <c r="D838" s="152"/>
      <c r="E838" s="400"/>
      <c r="F838" s="400"/>
      <c r="G838" s="400"/>
      <c r="H838" s="400"/>
      <c r="I838" s="62" t="str">
        <f t="shared" si="191"/>
        <v>kWh</v>
      </c>
      <c r="J838" s="249">
        <f t="shared" si="197"/>
        <v>0</v>
      </c>
      <c r="K838" s="270">
        <f t="shared" si="198"/>
        <v>0</v>
      </c>
      <c r="L838" s="271">
        <f t="shared" si="198"/>
        <v>0</v>
      </c>
      <c r="M838" s="271">
        <f t="shared" si="198"/>
        <v>0</v>
      </c>
      <c r="N838" s="272">
        <f t="shared" si="198"/>
        <v>0</v>
      </c>
      <c r="O838" s="86"/>
      <c r="R838" s="271"/>
      <c r="S838" s="271"/>
      <c r="T838" s="271"/>
      <c r="U838" s="271"/>
      <c r="V838" s="271"/>
      <c r="W838" s="271"/>
      <c r="X838" s="271"/>
      <c r="Y838" s="271"/>
      <c r="Z838" s="271"/>
      <c r="AA838" s="271"/>
      <c r="AB838" s="271"/>
      <c r="AC838" s="271"/>
    </row>
    <row r="839" spans="1:29" ht="13.5" hidden="1" outlineLevel="1" thickBot="1" x14ac:dyDescent="0.25">
      <c r="A839" s="39"/>
      <c r="B839" s="36"/>
      <c r="C839" s="38" t="s">
        <v>1630</v>
      </c>
      <c r="D839" s="152"/>
      <c r="E839" s="400"/>
      <c r="F839" s="400"/>
      <c r="G839" s="400"/>
      <c r="H839" s="400"/>
      <c r="I839" s="62" t="str">
        <f t="shared" si="191"/>
        <v>kWh</v>
      </c>
      <c r="J839" s="249">
        <f t="shared" si="197"/>
        <v>0</v>
      </c>
      <c r="K839" s="270">
        <f t="shared" si="198"/>
        <v>0</v>
      </c>
      <c r="L839" s="271">
        <f t="shared" si="198"/>
        <v>0</v>
      </c>
      <c r="M839" s="271">
        <f t="shared" si="198"/>
        <v>0</v>
      </c>
      <c r="N839" s="272">
        <f t="shared" si="198"/>
        <v>0</v>
      </c>
      <c r="O839" s="86"/>
      <c r="R839" s="271"/>
      <c r="S839" s="271"/>
      <c r="T839" s="271"/>
      <c r="U839" s="271"/>
      <c r="V839" s="271"/>
      <c r="W839" s="271"/>
      <c r="X839" s="271"/>
      <c r="Y839" s="271"/>
      <c r="Z839" s="271"/>
      <c r="AA839" s="271"/>
      <c r="AB839" s="271"/>
      <c r="AC839" s="271"/>
    </row>
    <row r="840" spans="1:29" ht="13.5" hidden="1" outlineLevel="1" thickBot="1" x14ac:dyDescent="0.25">
      <c r="A840" s="39"/>
      <c r="B840" s="36"/>
      <c r="C840" s="38" t="s">
        <v>1631</v>
      </c>
      <c r="D840" s="152"/>
      <c r="E840" s="400"/>
      <c r="F840" s="400"/>
      <c r="G840" s="400"/>
      <c r="H840" s="400"/>
      <c r="I840" s="62" t="str">
        <f t="shared" si="191"/>
        <v>kWh</v>
      </c>
      <c r="J840" s="249">
        <f t="shared" si="197"/>
        <v>14.060303030303032</v>
      </c>
      <c r="K840" s="270">
        <f t="shared" si="198"/>
        <v>87.488427641964336</v>
      </c>
      <c r="L840" s="271">
        <f t="shared" si="198"/>
        <v>15.025252525252425</v>
      </c>
      <c r="M840" s="271">
        <f t="shared" si="198"/>
        <v>128.71315698268427</v>
      </c>
      <c r="N840" s="272">
        <f t="shared" si="198"/>
        <v>14.060303030303032</v>
      </c>
      <c r="O840" s="86"/>
      <c r="R840" s="271"/>
      <c r="S840" s="271"/>
      <c r="T840" s="271"/>
      <c r="U840" s="271"/>
      <c r="V840" s="271"/>
      <c r="W840" s="271"/>
      <c r="X840" s="271"/>
      <c r="Y840" s="271"/>
      <c r="Z840" s="271"/>
      <c r="AA840" s="271"/>
      <c r="AB840" s="271"/>
      <c r="AC840" s="271"/>
    </row>
    <row r="841" spans="1:29" ht="13.5" hidden="1" outlineLevel="1" thickBot="1" x14ac:dyDescent="0.25">
      <c r="A841" s="39"/>
      <c r="B841" s="36"/>
      <c r="C841" s="38" t="s">
        <v>1632</v>
      </c>
      <c r="D841" s="152"/>
      <c r="E841" s="400"/>
      <c r="F841" s="400"/>
      <c r="G841" s="400"/>
      <c r="H841" s="400"/>
      <c r="I841" s="62" t="str">
        <f t="shared" si="191"/>
        <v>kWh</v>
      </c>
      <c r="J841" s="249">
        <f t="shared" si="197"/>
        <v>67.830303030303043</v>
      </c>
      <c r="K841" s="270">
        <f t="shared" si="198"/>
        <v>217.1995845667895</v>
      </c>
      <c r="L841" s="271">
        <f t="shared" si="198"/>
        <v>157.52525252525254</v>
      </c>
      <c r="M841" s="271">
        <f t="shared" si="198"/>
        <v>217.89435763107815</v>
      </c>
      <c r="N841" s="272">
        <f t="shared" si="198"/>
        <v>67.830303030303043</v>
      </c>
      <c r="O841" s="86"/>
      <c r="R841" s="271"/>
      <c r="S841" s="271"/>
      <c r="T841" s="271"/>
      <c r="U841" s="271"/>
      <c r="V841" s="271"/>
      <c r="W841" s="271"/>
      <c r="X841" s="271"/>
      <c r="Y841" s="271"/>
      <c r="Z841" s="271"/>
      <c r="AA841" s="271"/>
      <c r="AB841" s="271"/>
      <c r="AC841" s="271"/>
    </row>
    <row r="842" spans="1:29" collapsed="1" x14ac:dyDescent="0.2">
      <c r="A842" s="39"/>
      <c r="B842" s="380" t="str">
        <f>INDEX(Language!$D$259:$M$259,1,_language)</f>
        <v>Redelivered PV electricity</v>
      </c>
      <c r="C842" s="381" t="s">
        <v>1663</v>
      </c>
      <c r="D842" s="275"/>
      <c r="E842" s="409"/>
      <c r="F842" s="409"/>
      <c r="G842" s="409"/>
      <c r="H842" s="409"/>
      <c r="I842" s="382" t="str">
        <f t="shared" si="191"/>
        <v>kWh</v>
      </c>
      <c r="J842" s="921">
        <f t="shared" si="197"/>
        <v>0</v>
      </c>
      <c r="K842" s="922">
        <f>+IF(K744&gt;0,K828*K758/K744,0)</f>
        <v>0</v>
      </c>
      <c r="L842" s="923">
        <f>+IF(L744&gt;0,L828*L758/L744,0)</f>
        <v>0</v>
      </c>
      <c r="M842" s="923">
        <f>+IF(M744&gt;0,M828*M758/M744,0)</f>
        <v>0</v>
      </c>
      <c r="N842" s="924">
        <f>+IF(N744&gt;0,N828*N758/N744,0)</f>
        <v>0</v>
      </c>
      <c r="O842" s="355"/>
      <c r="R842" s="374"/>
      <c r="S842" s="374"/>
      <c r="T842" s="374"/>
      <c r="U842" s="374"/>
      <c r="V842" s="374"/>
      <c r="W842" s="374"/>
      <c r="X842" s="374"/>
      <c r="Y842" s="374"/>
      <c r="Z842" s="374"/>
      <c r="AA842" s="374"/>
      <c r="AB842" s="374"/>
      <c r="AC842" s="374"/>
    </row>
    <row r="843" spans="1:29" ht="13.5" thickBot="1" x14ac:dyDescent="0.25">
      <c r="A843" s="39"/>
      <c r="B843" s="383"/>
      <c r="C843" s="357" t="s">
        <v>1664</v>
      </c>
      <c r="D843" s="358"/>
      <c r="E843" s="410"/>
      <c r="F843" s="410"/>
      <c r="G843" s="410"/>
      <c r="H843" s="410"/>
      <c r="I843" s="385" t="str">
        <f t="shared" si="191"/>
        <v>kWh</v>
      </c>
      <c r="J843" s="376">
        <f>SUM(J844:J855)</f>
        <v>261.22536721733957</v>
      </c>
      <c r="K843" s="377">
        <f>SUM(K844:K855)</f>
        <v>1028.0214706397319</v>
      </c>
      <c r="L843" s="378">
        <f>SUM(L844:L855)</f>
        <v>291.06306979475988</v>
      </c>
      <c r="M843" s="378">
        <f>SUM(M844:M855)</f>
        <v>1009.9093527595596</v>
      </c>
      <c r="N843" s="379">
        <f>SUM(N844:N855)</f>
        <v>261.22536721733957</v>
      </c>
      <c r="O843" s="363"/>
      <c r="R843" s="378"/>
      <c r="S843" s="378"/>
      <c r="T843" s="378"/>
      <c r="U843" s="378"/>
      <c r="V843" s="378"/>
      <c r="W843" s="378"/>
      <c r="X843" s="378"/>
      <c r="Y843" s="378"/>
      <c r="Z843" s="378"/>
      <c r="AA843" s="378"/>
      <c r="AB843" s="378"/>
      <c r="AC843" s="378"/>
    </row>
    <row r="844" spans="1:29" ht="13.5" hidden="1" outlineLevel="1" thickBot="1" x14ac:dyDescent="0.25">
      <c r="A844" s="39"/>
      <c r="B844" s="36"/>
      <c r="C844" s="38" t="s">
        <v>1665</v>
      </c>
      <c r="D844" s="152"/>
      <c r="E844" s="400"/>
      <c r="F844" s="400"/>
      <c r="G844" s="400"/>
      <c r="H844" s="400"/>
      <c r="I844" s="62" t="str">
        <f t="shared" si="191"/>
        <v>kWh</v>
      </c>
      <c r="J844" s="249">
        <f t="shared" ref="J844:J856" si="199">INDEX(K844:N844,,_case_en)</f>
        <v>119.34905977663372</v>
      </c>
      <c r="K844" s="270">
        <f t="shared" ref="K844:N855" si="200">+IF(K$745&gt;0,K830*K$759/K$745,0)</f>
        <v>408.50177185981516</v>
      </c>
      <c r="L844" s="271">
        <f t="shared" si="200"/>
        <v>120.8397720666195</v>
      </c>
      <c r="M844" s="271">
        <f t="shared" si="200"/>
        <v>348.1200116240517</v>
      </c>
      <c r="N844" s="272">
        <f t="shared" si="200"/>
        <v>119.34905977663372</v>
      </c>
      <c r="O844" s="86"/>
      <c r="P844" s="1356" t="s">
        <v>1633</v>
      </c>
      <c r="R844" s="271"/>
      <c r="S844" s="271"/>
      <c r="T844" s="271"/>
      <c r="U844" s="271"/>
      <c r="V844" s="271"/>
      <c r="W844" s="271"/>
      <c r="X844" s="271"/>
      <c r="Y844" s="271"/>
      <c r="Z844" s="271"/>
      <c r="AA844" s="271"/>
      <c r="AB844" s="271"/>
      <c r="AC844" s="271"/>
    </row>
    <row r="845" spans="1:29" ht="13.5" hidden="1" outlineLevel="1" thickBot="1" x14ac:dyDescent="0.25">
      <c r="A845" s="39"/>
      <c r="B845" s="36"/>
      <c r="C845" s="38" t="s">
        <v>1666</v>
      </c>
      <c r="D845" s="152"/>
      <c r="E845" s="400"/>
      <c r="F845" s="400"/>
      <c r="G845" s="400"/>
      <c r="H845" s="400"/>
      <c r="I845" s="62" t="str">
        <f t="shared" si="191"/>
        <v>kWh</v>
      </c>
      <c r="J845" s="249">
        <f t="shared" si="199"/>
        <v>74.237748248990115</v>
      </c>
      <c r="K845" s="270">
        <f t="shared" si="200"/>
        <v>318.02977966693049</v>
      </c>
      <c r="L845" s="271">
        <f t="shared" si="200"/>
        <v>91.299749407435883</v>
      </c>
      <c r="M845" s="271">
        <f t="shared" si="200"/>
        <v>277.68905517477759</v>
      </c>
      <c r="N845" s="272">
        <f t="shared" si="200"/>
        <v>74.237748248990115</v>
      </c>
      <c r="O845" s="86"/>
      <c r="R845" s="271"/>
      <c r="S845" s="271"/>
      <c r="T845" s="271"/>
      <c r="U845" s="271"/>
      <c r="V845" s="271"/>
      <c r="W845" s="271"/>
      <c r="X845" s="271"/>
      <c r="Y845" s="271"/>
      <c r="Z845" s="271"/>
      <c r="AA845" s="271"/>
      <c r="AB845" s="271"/>
      <c r="AC845" s="271"/>
    </row>
    <row r="846" spans="1:29" ht="13.5" hidden="1" outlineLevel="1" thickBot="1" x14ac:dyDescent="0.25">
      <c r="A846" s="39"/>
      <c r="B846" s="36"/>
      <c r="C846" s="38" t="s">
        <v>1667</v>
      </c>
      <c r="D846" s="152"/>
      <c r="E846" s="400"/>
      <c r="F846" s="400"/>
      <c r="G846" s="400"/>
      <c r="H846" s="400"/>
      <c r="I846" s="62" t="str">
        <f t="shared" si="191"/>
        <v>kWh</v>
      </c>
      <c r="J846" s="249">
        <f t="shared" si="199"/>
        <v>0</v>
      </c>
      <c r="K846" s="270">
        <f t="shared" si="200"/>
        <v>0</v>
      </c>
      <c r="L846" s="271">
        <f t="shared" si="200"/>
        <v>0</v>
      </c>
      <c r="M846" s="271">
        <f t="shared" si="200"/>
        <v>41.481535733985368</v>
      </c>
      <c r="N846" s="272">
        <f t="shared" si="200"/>
        <v>0</v>
      </c>
      <c r="O846" s="86"/>
      <c r="P846" s="1356" t="s">
        <v>1499</v>
      </c>
      <c r="R846" s="271"/>
      <c r="S846" s="271"/>
      <c r="T846" s="271"/>
      <c r="U846" s="271"/>
      <c r="V846" s="271"/>
      <c r="W846" s="271"/>
      <c r="X846" s="271"/>
      <c r="Y846" s="271"/>
      <c r="Z846" s="271"/>
      <c r="AA846" s="271"/>
      <c r="AB846" s="271"/>
      <c r="AC846" s="271"/>
    </row>
    <row r="847" spans="1:29" ht="13.5" hidden="1" outlineLevel="1" thickBot="1" x14ac:dyDescent="0.25">
      <c r="A847" s="39"/>
      <c r="B847" s="36"/>
      <c r="C847" s="38" t="s">
        <v>1668</v>
      </c>
      <c r="D847" s="152"/>
      <c r="E847" s="400"/>
      <c r="F847" s="400"/>
      <c r="G847" s="400"/>
      <c r="H847" s="400"/>
      <c r="I847" s="62" t="str">
        <f t="shared" si="191"/>
        <v>kWh</v>
      </c>
      <c r="J847" s="249">
        <f t="shared" si="199"/>
        <v>0</v>
      </c>
      <c r="K847" s="270">
        <f t="shared" si="200"/>
        <v>0</v>
      </c>
      <c r="L847" s="271">
        <f t="shared" si="200"/>
        <v>0</v>
      </c>
      <c r="M847" s="271">
        <f t="shared" si="200"/>
        <v>0</v>
      </c>
      <c r="N847" s="272">
        <f t="shared" si="200"/>
        <v>0</v>
      </c>
      <c r="O847" s="86"/>
      <c r="P847" s="1356" t="s">
        <v>1500</v>
      </c>
      <c r="R847" s="271"/>
      <c r="S847" s="271"/>
      <c r="T847" s="271"/>
      <c r="U847" s="271"/>
      <c r="V847" s="271"/>
      <c r="W847" s="271"/>
      <c r="X847" s="271"/>
      <c r="Y847" s="271"/>
      <c r="Z847" s="271"/>
      <c r="AA847" s="271"/>
      <c r="AB847" s="271"/>
      <c r="AC847" s="271"/>
    </row>
    <row r="848" spans="1:29" ht="13.5" hidden="1" outlineLevel="1" thickBot="1" x14ac:dyDescent="0.25">
      <c r="A848" s="39"/>
      <c r="B848" s="36"/>
      <c r="C848" s="38" t="s">
        <v>1669</v>
      </c>
      <c r="D848" s="152"/>
      <c r="E848" s="400"/>
      <c r="F848" s="400"/>
      <c r="G848" s="400"/>
      <c r="H848" s="400"/>
      <c r="I848" s="62" t="str">
        <f t="shared" si="191"/>
        <v>kWh</v>
      </c>
      <c r="J848" s="249">
        <f t="shared" si="199"/>
        <v>0</v>
      </c>
      <c r="K848" s="270">
        <f t="shared" si="200"/>
        <v>0</v>
      </c>
      <c r="L848" s="271">
        <f t="shared" si="200"/>
        <v>0</v>
      </c>
      <c r="M848" s="271">
        <f t="shared" si="200"/>
        <v>0</v>
      </c>
      <c r="N848" s="272">
        <f t="shared" si="200"/>
        <v>0</v>
      </c>
      <c r="O848" s="86"/>
      <c r="R848" s="271"/>
      <c r="S848" s="271"/>
      <c r="T848" s="271"/>
      <c r="U848" s="271"/>
      <c r="V848" s="271"/>
      <c r="W848" s="271"/>
      <c r="X848" s="271"/>
      <c r="Y848" s="271"/>
      <c r="Z848" s="271"/>
      <c r="AA848" s="271"/>
      <c r="AB848" s="271"/>
      <c r="AC848" s="271"/>
    </row>
    <row r="849" spans="1:29" ht="13.5" hidden="1" outlineLevel="1" thickBot="1" x14ac:dyDescent="0.25">
      <c r="A849" s="39"/>
      <c r="B849" s="36"/>
      <c r="C849" s="38" t="s">
        <v>1670</v>
      </c>
      <c r="D849" s="152"/>
      <c r="E849" s="400"/>
      <c r="F849" s="400"/>
      <c r="G849" s="400"/>
      <c r="H849" s="400"/>
      <c r="I849" s="62" t="str">
        <f t="shared" si="191"/>
        <v>kWh</v>
      </c>
      <c r="J849" s="249">
        <f t="shared" si="199"/>
        <v>0</v>
      </c>
      <c r="K849" s="270">
        <f t="shared" si="200"/>
        <v>0</v>
      </c>
      <c r="L849" s="271">
        <f t="shared" si="200"/>
        <v>0</v>
      </c>
      <c r="M849" s="271">
        <f t="shared" si="200"/>
        <v>0</v>
      </c>
      <c r="N849" s="272">
        <f t="shared" si="200"/>
        <v>0</v>
      </c>
      <c r="O849" s="86"/>
      <c r="R849" s="271"/>
      <c r="S849" s="271"/>
      <c r="T849" s="271"/>
      <c r="U849" s="271"/>
      <c r="V849" s="271"/>
      <c r="W849" s="271"/>
      <c r="X849" s="271"/>
      <c r="Y849" s="271"/>
      <c r="Z849" s="271"/>
      <c r="AA849" s="271"/>
      <c r="AB849" s="271"/>
      <c r="AC849" s="271"/>
    </row>
    <row r="850" spans="1:29" ht="13.5" hidden="1" outlineLevel="1" thickBot="1" x14ac:dyDescent="0.25">
      <c r="A850" s="39"/>
      <c r="B850" s="36"/>
      <c r="C850" s="38" t="s">
        <v>1671</v>
      </c>
      <c r="D850" s="152"/>
      <c r="E850" s="400"/>
      <c r="F850" s="400"/>
      <c r="G850" s="400"/>
      <c r="H850" s="400"/>
      <c r="I850" s="62" t="str">
        <f t="shared" si="191"/>
        <v>kWh</v>
      </c>
      <c r="J850" s="249">
        <f t="shared" si="199"/>
        <v>0</v>
      </c>
      <c r="K850" s="270">
        <f t="shared" si="200"/>
        <v>0</v>
      </c>
      <c r="L850" s="271">
        <f t="shared" si="200"/>
        <v>0</v>
      </c>
      <c r="M850" s="271">
        <f t="shared" si="200"/>
        <v>0</v>
      </c>
      <c r="N850" s="272">
        <f t="shared" si="200"/>
        <v>0</v>
      </c>
      <c r="O850" s="86"/>
      <c r="R850" s="271"/>
      <c r="S850" s="271"/>
      <c r="T850" s="271"/>
      <c r="U850" s="271"/>
      <c r="V850" s="271"/>
      <c r="W850" s="271"/>
      <c r="X850" s="271"/>
      <c r="Y850" s="271"/>
      <c r="Z850" s="271"/>
      <c r="AA850" s="271"/>
      <c r="AB850" s="271"/>
      <c r="AC850" s="271"/>
    </row>
    <row r="851" spans="1:29" ht="13.5" hidden="1" outlineLevel="1" thickBot="1" x14ac:dyDescent="0.25">
      <c r="A851" s="39"/>
      <c r="B851" s="36"/>
      <c r="C851" s="38" t="s">
        <v>1672</v>
      </c>
      <c r="D851" s="152"/>
      <c r="E851" s="400"/>
      <c r="F851" s="400"/>
      <c r="G851" s="400"/>
      <c r="H851" s="400"/>
      <c r="I851" s="62" t="str">
        <f t="shared" si="191"/>
        <v>kWh</v>
      </c>
      <c r="J851" s="249">
        <f t="shared" si="199"/>
        <v>0</v>
      </c>
      <c r="K851" s="270">
        <f t="shared" si="200"/>
        <v>0</v>
      </c>
      <c r="L851" s="271">
        <f t="shared" si="200"/>
        <v>0</v>
      </c>
      <c r="M851" s="271">
        <f t="shared" si="200"/>
        <v>0</v>
      </c>
      <c r="N851" s="272">
        <f t="shared" si="200"/>
        <v>0</v>
      </c>
      <c r="O851" s="86"/>
      <c r="R851" s="271"/>
      <c r="S851" s="271"/>
      <c r="T851" s="271"/>
      <c r="U851" s="271"/>
      <c r="V851" s="271"/>
      <c r="W851" s="271"/>
      <c r="X851" s="271"/>
      <c r="Y851" s="271"/>
      <c r="Z851" s="271"/>
      <c r="AA851" s="271"/>
      <c r="AB851" s="271"/>
      <c r="AC851" s="271"/>
    </row>
    <row r="852" spans="1:29" ht="13.5" hidden="1" outlineLevel="1" thickBot="1" x14ac:dyDescent="0.25">
      <c r="A852" s="39"/>
      <c r="B852" s="36"/>
      <c r="C852" s="38" t="s">
        <v>1673</v>
      </c>
      <c r="D852" s="152"/>
      <c r="E852" s="400"/>
      <c r="F852" s="400"/>
      <c r="G852" s="400"/>
      <c r="H852" s="400"/>
      <c r="I852" s="62" t="str">
        <f t="shared" si="191"/>
        <v>kWh</v>
      </c>
      <c r="J852" s="249">
        <f t="shared" si="199"/>
        <v>0</v>
      </c>
      <c r="K852" s="270">
        <f t="shared" si="200"/>
        <v>0</v>
      </c>
      <c r="L852" s="271">
        <f t="shared" si="200"/>
        <v>0</v>
      </c>
      <c r="M852" s="271">
        <f t="shared" si="200"/>
        <v>0</v>
      </c>
      <c r="N852" s="272">
        <f t="shared" si="200"/>
        <v>0</v>
      </c>
      <c r="O852" s="86"/>
      <c r="R852" s="271"/>
      <c r="S852" s="271"/>
      <c r="T852" s="271"/>
      <c r="U852" s="271"/>
      <c r="V852" s="271"/>
      <c r="W852" s="271"/>
      <c r="X852" s="271"/>
      <c r="Y852" s="271"/>
      <c r="Z852" s="271"/>
      <c r="AA852" s="271"/>
      <c r="AB852" s="271"/>
      <c r="AC852" s="271"/>
    </row>
    <row r="853" spans="1:29" ht="13.5" hidden="1" outlineLevel="1" thickBot="1" x14ac:dyDescent="0.25">
      <c r="A853" s="39"/>
      <c r="B853" s="36"/>
      <c r="C853" s="38" t="s">
        <v>1674</v>
      </c>
      <c r="D853" s="152"/>
      <c r="E853" s="400"/>
      <c r="F853" s="400"/>
      <c r="G853" s="400"/>
      <c r="H853" s="400"/>
      <c r="I853" s="62" t="str">
        <f t="shared" si="191"/>
        <v>kWh</v>
      </c>
      <c r="J853" s="249">
        <f t="shared" si="199"/>
        <v>0</v>
      </c>
      <c r="K853" s="270">
        <f t="shared" si="200"/>
        <v>0</v>
      </c>
      <c r="L853" s="271">
        <f t="shared" si="200"/>
        <v>0</v>
      </c>
      <c r="M853" s="271">
        <f t="shared" si="200"/>
        <v>0</v>
      </c>
      <c r="N853" s="272">
        <f t="shared" si="200"/>
        <v>0</v>
      </c>
      <c r="O853" s="86"/>
      <c r="R853" s="271"/>
      <c r="S853" s="271"/>
      <c r="T853" s="271"/>
      <c r="U853" s="271"/>
      <c r="V853" s="271"/>
      <c r="W853" s="271"/>
      <c r="X853" s="271"/>
      <c r="Y853" s="271"/>
      <c r="Z853" s="271"/>
      <c r="AA853" s="271"/>
      <c r="AB853" s="271"/>
      <c r="AC853" s="271"/>
    </row>
    <row r="854" spans="1:29" ht="13.5" hidden="1" outlineLevel="1" thickBot="1" x14ac:dyDescent="0.25">
      <c r="A854" s="39"/>
      <c r="B854" s="36"/>
      <c r="C854" s="38" t="s">
        <v>1675</v>
      </c>
      <c r="D854" s="152"/>
      <c r="E854" s="400"/>
      <c r="F854" s="400"/>
      <c r="G854" s="400"/>
      <c r="H854" s="400"/>
      <c r="I854" s="62" t="str">
        <f t="shared" si="191"/>
        <v>kWh</v>
      </c>
      <c r="J854" s="249">
        <f t="shared" si="199"/>
        <v>11.613281236003752</v>
      </c>
      <c r="K854" s="270">
        <f t="shared" si="200"/>
        <v>86.570123917531546</v>
      </c>
      <c r="L854" s="271">
        <f t="shared" si="200"/>
        <v>6.8724588395754287</v>
      </c>
      <c r="M854" s="271">
        <f t="shared" si="200"/>
        <v>127.23192407495227</v>
      </c>
      <c r="N854" s="272">
        <f t="shared" si="200"/>
        <v>11.613281236003752</v>
      </c>
      <c r="O854" s="86"/>
      <c r="R854" s="271"/>
      <c r="S854" s="271"/>
      <c r="T854" s="271"/>
      <c r="U854" s="271"/>
      <c r="V854" s="271"/>
      <c r="W854" s="271"/>
      <c r="X854" s="271"/>
      <c r="Y854" s="271"/>
      <c r="Z854" s="271"/>
      <c r="AA854" s="271"/>
      <c r="AB854" s="271"/>
      <c r="AC854" s="271"/>
    </row>
    <row r="855" spans="1:29" ht="13.5" hidden="1" outlineLevel="1" thickBot="1" x14ac:dyDescent="0.25">
      <c r="A855" s="39"/>
      <c r="B855" s="36"/>
      <c r="C855" s="38" t="s">
        <v>1676</v>
      </c>
      <c r="D855" s="152"/>
      <c r="E855" s="400"/>
      <c r="F855" s="400"/>
      <c r="G855" s="400"/>
      <c r="H855" s="400"/>
      <c r="I855" s="62" t="str">
        <f t="shared" si="191"/>
        <v>kWh</v>
      </c>
      <c r="J855" s="249">
        <f t="shared" si="199"/>
        <v>56.025277955711978</v>
      </c>
      <c r="K855" s="270">
        <f t="shared" si="200"/>
        <v>214.91979519545475</v>
      </c>
      <c r="L855" s="271">
        <f t="shared" si="200"/>
        <v>72.051089481129097</v>
      </c>
      <c r="M855" s="271">
        <f t="shared" si="200"/>
        <v>215.3868261517928</v>
      </c>
      <c r="N855" s="272">
        <f t="shared" si="200"/>
        <v>56.025277955711978</v>
      </c>
      <c r="O855" s="86"/>
      <c r="R855" s="271"/>
      <c r="S855" s="271"/>
      <c r="T855" s="271"/>
      <c r="U855" s="271"/>
      <c r="V855" s="271"/>
      <c r="W855" s="271"/>
      <c r="X855" s="271"/>
      <c r="Y855" s="271"/>
      <c r="Z855" s="271"/>
      <c r="AA855" s="271"/>
      <c r="AB855" s="271"/>
      <c r="AC855" s="271"/>
    </row>
    <row r="856" spans="1:29" collapsed="1" x14ac:dyDescent="0.2">
      <c r="A856" s="39"/>
      <c r="B856" s="380" t="str">
        <f>INDEX(Language!$D$260:$M$260,1,_language)</f>
        <v>Redelivered CHP electricity</v>
      </c>
      <c r="C856" s="381" t="s">
        <v>1677</v>
      </c>
      <c r="D856" s="275"/>
      <c r="E856" s="409"/>
      <c r="F856" s="409"/>
      <c r="G856" s="409"/>
      <c r="H856" s="409"/>
      <c r="I856" s="382" t="str">
        <f t="shared" si="191"/>
        <v>kWh</v>
      </c>
      <c r="J856" s="372">
        <f t="shared" si="199"/>
        <v>0</v>
      </c>
      <c r="K856" s="373">
        <f>+IF(K744&gt;0,K828*K772/K744,0)</f>
        <v>0</v>
      </c>
      <c r="L856" s="374">
        <f>+IF(L744&gt;0,L828*L772/L744,0)</f>
        <v>0</v>
      </c>
      <c r="M856" s="374">
        <f>+IF(M744&gt;0,M828*M772/M744,0)</f>
        <v>0</v>
      </c>
      <c r="N856" s="375">
        <f>+IF(N744&gt;0,N828*N772/N744,0)</f>
        <v>0</v>
      </c>
      <c r="O856" s="355"/>
      <c r="R856" s="374"/>
      <c r="S856" s="374"/>
      <c r="T856" s="374"/>
      <c r="U856" s="374"/>
      <c r="V856" s="374"/>
      <c r="W856" s="374"/>
      <c r="X856" s="374"/>
      <c r="Y856" s="374"/>
      <c r="Z856" s="374"/>
      <c r="AA856" s="374"/>
      <c r="AB856" s="374"/>
      <c r="AC856" s="374"/>
    </row>
    <row r="857" spans="1:29" ht="13.5" thickBot="1" x14ac:dyDescent="0.25">
      <c r="A857" s="39"/>
      <c r="B857" s="383"/>
      <c r="C857" s="357" t="s">
        <v>1678</v>
      </c>
      <c r="D857" s="358"/>
      <c r="E857" s="410"/>
      <c r="F857" s="410"/>
      <c r="G857" s="410"/>
      <c r="H857" s="410"/>
      <c r="I857" s="385" t="str">
        <f t="shared" si="191"/>
        <v>kWh</v>
      </c>
      <c r="J857" s="376">
        <f>SUM(J858:J869)</f>
        <v>55.042511570539254</v>
      </c>
      <c r="K857" s="377">
        <f>SUM(K858:K869)</f>
        <v>10.90486997783038</v>
      </c>
      <c r="L857" s="378">
        <f>SUM(L858:L869)</f>
        <v>345.28794030625022</v>
      </c>
      <c r="M857" s="378">
        <f>SUM(M858:M869)</f>
        <v>11.757355538005925</v>
      </c>
      <c r="N857" s="379">
        <f>SUM(N858:N869)</f>
        <v>55.042511570539254</v>
      </c>
      <c r="O857" s="363"/>
      <c r="R857" s="378"/>
      <c r="S857" s="378"/>
      <c r="T857" s="378"/>
      <c r="U857" s="378"/>
      <c r="V857" s="378"/>
      <c r="W857" s="378"/>
      <c r="X857" s="378"/>
      <c r="Y857" s="378"/>
      <c r="Z857" s="378"/>
      <c r="AA857" s="378"/>
      <c r="AB857" s="378"/>
      <c r="AC857" s="378"/>
    </row>
    <row r="858" spans="1:29" ht="13.5" hidden="1" outlineLevel="1" thickBot="1" x14ac:dyDescent="0.25">
      <c r="A858" s="39"/>
      <c r="B858" s="36"/>
      <c r="C858" s="38" t="s">
        <v>1679</v>
      </c>
      <c r="D858" s="152"/>
      <c r="E858" s="400"/>
      <c r="F858" s="400"/>
      <c r="G858" s="400"/>
      <c r="H858" s="400"/>
      <c r="I858" s="62" t="str">
        <f t="shared" si="191"/>
        <v>kWh</v>
      </c>
      <c r="J858" s="249">
        <f t="shared" ref="J858:J870" si="201">INDEX(K858:N858,,_case_en)</f>
        <v>25.14790992033598</v>
      </c>
      <c r="K858" s="270">
        <f t="shared" ref="K858:N869" si="202">+IF(K$745&gt;0,K830*K$773/K$745,0)</f>
        <v>4.3332350880497703</v>
      </c>
      <c r="L858" s="271">
        <f t="shared" si="202"/>
        <v>143.35214712529969</v>
      </c>
      <c r="M858" s="271">
        <f t="shared" si="202"/>
        <v>4.0528100223794938</v>
      </c>
      <c r="N858" s="272">
        <f t="shared" si="202"/>
        <v>25.14790992033598</v>
      </c>
      <c r="O858" s="86"/>
      <c r="P858" s="1356" t="s">
        <v>1633</v>
      </c>
      <c r="R858" s="271"/>
      <c r="S858" s="271"/>
      <c r="T858" s="271"/>
      <c r="U858" s="271"/>
      <c r="V858" s="271"/>
      <c r="W858" s="271"/>
      <c r="X858" s="271"/>
      <c r="Y858" s="271"/>
      <c r="Z858" s="271"/>
      <c r="AA858" s="271"/>
      <c r="AB858" s="271"/>
      <c r="AC858" s="271"/>
    </row>
    <row r="859" spans="1:29" ht="13.5" hidden="1" outlineLevel="1" thickBot="1" x14ac:dyDescent="0.25">
      <c r="A859" s="39"/>
      <c r="B859" s="36"/>
      <c r="C859" s="38" t="s">
        <v>1680</v>
      </c>
      <c r="D859" s="152"/>
      <c r="E859" s="400"/>
      <c r="F859" s="400"/>
      <c r="G859" s="400"/>
      <c r="H859" s="400"/>
      <c r="I859" s="62" t="str">
        <f t="shared" si="191"/>
        <v>kWh</v>
      </c>
      <c r="J859" s="249">
        <f t="shared" si="201"/>
        <v>15.642554781312919</v>
      </c>
      <c r="K859" s="270">
        <f t="shared" si="202"/>
        <v>3.3735417940130747</v>
      </c>
      <c r="L859" s="271">
        <f t="shared" si="202"/>
        <v>108.30883645115004</v>
      </c>
      <c r="M859" s="271">
        <f t="shared" si="202"/>
        <v>3.2328534652952281</v>
      </c>
      <c r="N859" s="272">
        <f t="shared" si="202"/>
        <v>15.642554781312919</v>
      </c>
      <c r="O859" s="86"/>
      <c r="R859" s="271"/>
      <c r="S859" s="271"/>
      <c r="T859" s="271"/>
      <c r="U859" s="271"/>
      <c r="V859" s="271"/>
      <c r="W859" s="271"/>
      <c r="X859" s="271"/>
      <c r="Y859" s="271"/>
      <c r="Z859" s="271"/>
      <c r="AA859" s="271"/>
      <c r="AB859" s="271"/>
      <c r="AC859" s="271"/>
    </row>
    <row r="860" spans="1:29" ht="13.5" hidden="1" outlineLevel="1" thickBot="1" x14ac:dyDescent="0.25">
      <c r="A860" s="39"/>
      <c r="B860" s="36"/>
      <c r="C860" s="38" t="s">
        <v>1681</v>
      </c>
      <c r="D860" s="152"/>
      <c r="E860" s="400"/>
      <c r="F860" s="400"/>
      <c r="G860" s="400"/>
      <c r="H860" s="400"/>
      <c r="I860" s="62" t="str">
        <f t="shared" si="191"/>
        <v>kWh</v>
      </c>
      <c r="J860" s="249">
        <f t="shared" si="201"/>
        <v>0</v>
      </c>
      <c r="K860" s="270">
        <f t="shared" si="202"/>
        <v>0</v>
      </c>
      <c r="L860" s="271">
        <f t="shared" si="202"/>
        <v>0</v>
      </c>
      <c r="M860" s="271">
        <f t="shared" si="202"/>
        <v>0.4829276633138368</v>
      </c>
      <c r="N860" s="272">
        <f t="shared" si="202"/>
        <v>0</v>
      </c>
      <c r="O860" s="86"/>
      <c r="P860" s="1356" t="s">
        <v>1499</v>
      </c>
      <c r="R860" s="271"/>
      <c r="S860" s="271"/>
      <c r="T860" s="271"/>
      <c r="U860" s="271"/>
      <c r="V860" s="271"/>
      <c r="W860" s="271"/>
      <c r="X860" s="271"/>
      <c r="Y860" s="271"/>
      <c r="Z860" s="271"/>
      <c r="AA860" s="271"/>
      <c r="AB860" s="271"/>
      <c r="AC860" s="271"/>
    </row>
    <row r="861" spans="1:29" ht="13.5" hidden="1" outlineLevel="1" thickBot="1" x14ac:dyDescent="0.25">
      <c r="A861" s="39"/>
      <c r="B861" s="36"/>
      <c r="C861" s="38" t="s">
        <v>1682</v>
      </c>
      <c r="D861" s="152"/>
      <c r="E861" s="400"/>
      <c r="F861" s="400"/>
      <c r="G861" s="400"/>
      <c r="H861" s="400"/>
      <c r="I861" s="62" t="str">
        <f t="shared" si="191"/>
        <v>kWh</v>
      </c>
      <c r="J861" s="249">
        <f t="shared" si="201"/>
        <v>0</v>
      </c>
      <c r="K861" s="270">
        <f t="shared" si="202"/>
        <v>0</v>
      </c>
      <c r="L861" s="271">
        <f t="shared" si="202"/>
        <v>0</v>
      </c>
      <c r="M861" s="271">
        <f t="shared" si="202"/>
        <v>0</v>
      </c>
      <c r="N861" s="272">
        <f t="shared" si="202"/>
        <v>0</v>
      </c>
      <c r="O861" s="86"/>
      <c r="P861" s="1356" t="s">
        <v>1500</v>
      </c>
      <c r="R861" s="271"/>
      <c r="S861" s="271"/>
      <c r="T861" s="271"/>
      <c r="U861" s="271"/>
      <c r="V861" s="271"/>
      <c r="W861" s="271"/>
      <c r="X861" s="271"/>
      <c r="Y861" s="271"/>
      <c r="Z861" s="271"/>
      <c r="AA861" s="271"/>
      <c r="AB861" s="271"/>
      <c r="AC861" s="271"/>
    </row>
    <row r="862" spans="1:29" ht="13.5" hidden="1" outlineLevel="1" thickBot="1" x14ac:dyDescent="0.25">
      <c r="A862" s="39"/>
      <c r="B862" s="36"/>
      <c r="C862" s="38" t="s">
        <v>1683</v>
      </c>
      <c r="D862" s="152"/>
      <c r="E862" s="400"/>
      <c r="F862" s="400"/>
      <c r="G862" s="400"/>
      <c r="H862" s="400"/>
      <c r="I862" s="62" t="str">
        <f t="shared" si="191"/>
        <v>kWh</v>
      </c>
      <c r="J862" s="249">
        <f t="shared" si="201"/>
        <v>0</v>
      </c>
      <c r="K862" s="270">
        <f t="shared" si="202"/>
        <v>0</v>
      </c>
      <c r="L862" s="271">
        <f t="shared" si="202"/>
        <v>0</v>
      </c>
      <c r="M862" s="271">
        <f t="shared" si="202"/>
        <v>0</v>
      </c>
      <c r="N862" s="272">
        <f t="shared" si="202"/>
        <v>0</v>
      </c>
      <c r="O862" s="86"/>
      <c r="R862" s="271"/>
      <c r="S862" s="271"/>
      <c r="T862" s="271"/>
      <c r="U862" s="271"/>
      <c r="V862" s="271"/>
      <c r="W862" s="271"/>
      <c r="X862" s="271"/>
      <c r="Y862" s="271"/>
      <c r="Z862" s="271"/>
      <c r="AA862" s="271"/>
      <c r="AB862" s="271"/>
      <c r="AC862" s="271"/>
    </row>
    <row r="863" spans="1:29" ht="13.5" hidden="1" outlineLevel="1" thickBot="1" x14ac:dyDescent="0.25">
      <c r="A863" s="39"/>
      <c r="B863" s="36"/>
      <c r="C863" s="38" t="s">
        <v>1684</v>
      </c>
      <c r="D863" s="152"/>
      <c r="E863" s="400"/>
      <c r="F863" s="400"/>
      <c r="G863" s="400"/>
      <c r="H863" s="400"/>
      <c r="I863" s="62" t="str">
        <f t="shared" si="191"/>
        <v>kWh</v>
      </c>
      <c r="J863" s="249">
        <f t="shared" si="201"/>
        <v>0</v>
      </c>
      <c r="K863" s="270">
        <f t="shared" si="202"/>
        <v>0</v>
      </c>
      <c r="L863" s="271">
        <f t="shared" si="202"/>
        <v>0</v>
      </c>
      <c r="M863" s="271">
        <f t="shared" si="202"/>
        <v>0</v>
      </c>
      <c r="N863" s="272">
        <f t="shared" si="202"/>
        <v>0</v>
      </c>
      <c r="O863" s="86"/>
      <c r="R863" s="271"/>
      <c r="S863" s="271"/>
      <c r="T863" s="271"/>
      <c r="U863" s="271"/>
      <c r="V863" s="271"/>
      <c r="W863" s="271"/>
      <c r="X863" s="271"/>
      <c r="Y863" s="271"/>
      <c r="Z863" s="271"/>
      <c r="AA863" s="271"/>
      <c r="AB863" s="271"/>
      <c r="AC863" s="271"/>
    </row>
    <row r="864" spans="1:29" ht="13.5" hidden="1" outlineLevel="1" thickBot="1" x14ac:dyDescent="0.25">
      <c r="A864" s="39"/>
      <c r="B864" s="36"/>
      <c r="C864" s="38" t="s">
        <v>1685</v>
      </c>
      <c r="D864" s="152"/>
      <c r="E864" s="400"/>
      <c r="F864" s="400"/>
      <c r="G864" s="400"/>
      <c r="H864" s="400"/>
      <c r="I864" s="62" t="str">
        <f t="shared" si="191"/>
        <v>kWh</v>
      </c>
      <c r="J864" s="249">
        <f t="shared" si="201"/>
        <v>0</v>
      </c>
      <c r="K864" s="270">
        <f t="shared" si="202"/>
        <v>0</v>
      </c>
      <c r="L864" s="271">
        <f t="shared" si="202"/>
        <v>0</v>
      </c>
      <c r="M864" s="271">
        <f t="shared" si="202"/>
        <v>0</v>
      </c>
      <c r="N864" s="272">
        <f t="shared" si="202"/>
        <v>0</v>
      </c>
      <c r="O864" s="86"/>
      <c r="R864" s="271"/>
      <c r="S864" s="271"/>
      <c r="T864" s="271"/>
      <c r="U864" s="271"/>
      <c r="V864" s="271"/>
      <c r="W864" s="271"/>
      <c r="X864" s="271"/>
      <c r="Y864" s="271"/>
      <c r="Z864" s="271"/>
      <c r="AA864" s="271"/>
      <c r="AB864" s="271"/>
      <c r="AC864" s="271"/>
    </row>
    <row r="865" spans="1:29" ht="13.5" hidden="1" outlineLevel="1" thickBot="1" x14ac:dyDescent="0.25">
      <c r="A865" s="39"/>
      <c r="B865" s="36"/>
      <c r="C865" s="38" t="s">
        <v>1686</v>
      </c>
      <c r="D865" s="152"/>
      <c r="E865" s="400"/>
      <c r="F865" s="400"/>
      <c r="G865" s="400"/>
      <c r="H865" s="400"/>
      <c r="I865" s="62" t="str">
        <f t="shared" si="191"/>
        <v>kWh</v>
      </c>
      <c r="J865" s="249">
        <f t="shared" si="201"/>
        <v>0</v>
      </c>
      <c r="K865" s="270">
        <f t="shared" si="202"/>
        <v>0</v>
      </c>
      <c r="L865" s="271">
        <f t="shared" si="202"/>
        <v>0</v>
      </c>
      <c r="M865" s="271">
        <f t="shared" si="202"/>
        <v>0</v>
      </c>
      <c r="N865" s="272">
        <f t="shared" si="202"/>
        <v>0</v>
      </c>
      <c r="O865" s="86"/>
      <c r="R865" s="271"/>
      <c r="S865" s="271"/>
      <c r="T865" s="271"/>
      <c r="U865" s="271"/>
      <c r="V865" s="271"/>
      <c r="W865" s="271"/>
      <c r="X865" s="271"/>
      <c r="Y865" s="271"/>
      <c r="Z865" s="271"/>
      <c r="AA865" s="271"/>
      <c r="AB865" s="271"/>
      <c r="AC865" s="271"/>
    </row>
    <row r="866" spans="1:29" ht="13.5" hidden="1" outlineLevel="1" thickBot="1" x14ac:dyDescent="0.25">
      <c r="A866" s="39"/>
      <c r="B866" s="36"/>
      <c r="C866" s="38" t="s">
        <v>1687</v>
      </c>
      <c r="D866" s="152"/>
      <c r="E866" s="400"/>
      <c r="F866" s="400"/>
      <c r="G866" s="400"/>
      <c r="H866" s="400"/>
      <c r="I866" s="62" t="str">
        <f t="shared" si="191"/>
        <v>kWh</v>
      </c>
      <c r="J866" s="249">
        <f t="shared" si="201"/>
        <v>0</v>
      </c>
      <c r="K866" s="270">
        <f t="shared" si="202"/>
        <v>0</v>
      </c>
      <c r="L866" s="271">
        <f t="shared" si="202"/>
        <v>0</v>
      </c>
      <c r="M866" s="271">
        <f t="shared" si="202"/>
        <v>0</v>
      </c>
      <c r="N866" s="272">
        <f t="shared" si="202"/>
        <v>0</v>
      </c>
      <c r="O866" s="86"/>
      <c r="R866" s="271"/>
      <c r="S866" s="271"/>
      <c r="T866" s="271"/>
      <c r="U866" s="271"/>
      <c r="V866" s="271"/>
      <c r="W866" s="271"/>
      <c r="X866" s="271"/>
      <c r="Y866" s="271"/>
      <c r="Z866" s="271"/>
      <c r="AA866" s="271"/>
      <c r="AB866" s="271"/>
      <c r="AC866" s="271"/>
    </row>
    <row r="867" spans="1:29" ht="13.5" hidden="1" outlineLevel="1" thickBot="1" x14ac:dyDescent="0.25">
      <c r="A867" s="39"/>
      <c r="B867" s="36"/>
      <c r="C867" s="38" t="s">
        <v>1688</v>
      </c>
      <c r="D867" s="152"/>
      <c r="E867" s="400"/>
      <c r="F867" s="400"/>
      <c r="G867" s="400"/>
      <c r="H867" s="400"/>
      <c r="I867" s="62" t="str">
        <f t="shared" si="191"/>
        <v>kWh</v>
      </c>
      <c r="J867" s="249">
        <f t="shared" si="201"/>
        <v>0</v>
      </c>
      <c r="K867" s="270">
        <f t="shared" si="202"/>
        <v>0</v>
      </c>
      <c r="L867" s="271">
        <f t="shared" si="202"/>
        <v>0</v>
      </c>
      <c r="M867" s="271">
        <f t="shared" si="202"/>
        <v>0</v>
      </c>
      <c r="N867" s="272">
        <f t="shared" si="202"/>
        <v>0</v>
      </c>
      <c r="O867" s="86"/>
      <c r="R867" s="271"/>
      <c r="S867" s="271"/>
      <c r="T867" s="271"/>
      <c r="U867" s="271"/>
      <c r="V867" s="271"/>
      <c r="W867" s="271"/>
      <c r="X867" s="271"/>
      <c r="Y867" s="271"/>
      <c r="Z867" s="271"/>
      <c r="AA867" s="271"/>
      <c r="AB867" s="271"/>
      <c r="AC867" s="271"/>
    </row>
    <row r="868" spans="1:29" ht="13.5" hidden="1" outlineLevel="1" thickBot="1" x14ac:dyDescent="0.25">
      <c r="A868" s="39"/>
      <c r="B868" s="36"/>
      <c r="C868" s="38" t="s">
        <v>1689</v>
      </c>
      <c r="D868" s="152"/>
      <c r="E868" s="400"/>
      <c r="F868" s="400"/>
      <c r="G868" s="400"/>
      <c r="H868" s="400"/>
      <c r="I868" s="62" t="str">
        <f t="shared" si="191"/>
        <v>kWh</v>
      </c>
      <c r="J868" s="249">
        <f t="shared" si="201"/>
        <v>2.4470217942992809</v>
      </c>
      <c r="K868" s="270">
        <f t="shared" si="202"/>
        <v>0.91830372443279529</v>
      </c>
      <c r="L868" s="271">
        <f t="shared" si="202"/>
        <v>8.1527936856769987</v>
      </c>
      <c r="M868" s="271">
        <f t="shared" si="202"/>
        <v>1.4812329077320046</v>
      </c>
      <c r="N868" s="272">
        <f t="shared" si="202"/>
        <v>2.4470217942992809</v>
      </c>
      <c r="O868" s="86"/>
      <c r="R868" s="271"/>
      <c r="S868" s="271"/>
      <c r="T868" s="271"/>
      <c r="U868" s="271"/>
      <c r="V868" s="271"/>
      <c r="W868" s="271"/>
      <c r="X868" s="271"/>
      <c r="Y868" s="271"/>
      <c r="Z868" s="271"/>
      <c r="AA868" s="271"/>
      <c r="AB868" s="271"/>
      <c r="AC868" s="271"/>
    </row>
    <row r="869" spans="1:29" ht="13.5" hidden="1" outlineLevel="1" thickBot="1" x14ac:dyDescent="0.25">
      <c r="A869" s="39"/>
      <c r="B869" s="36"/>
      <c r="C869" s="38" t="s">
        <v>1690</v>
      </c>
      <c r="D869" s="152"/>
      <c r="E869" s="400"/>
      <c r="F869" s="400"/>
      <c r="G869" s="400"/>
      <c r="H869" s="400"/>
      <c r="I869" s="62" t="str">
        <f t="shared" si="191"/>
        <v>kWh</v>
      </c>
      <c r="J869" s="249">
        <f t="shared" si="201"/>
        <v>11.805025074591072</v>
      </c>
      <c r="K869" s="270">
        <f t="shared" si="202"/>
        <v>2.279789371334739</v>
      </c>
      <c r="L869" s="271">
        <f t="shared" si="202"/>
        <v>85.474163044123472</v>
      </c>
      <c r="M869" s="271">
        <f t="shared" si="202"/>
        <v>2.5075314792853609</v>
      </c>
      <c r="N869" s="272">
        <f t="shared" si="202"/>
        <v>11.805025074591072</v>
      </c>
      <c r="O869" s="86"/>
      <c r="R869" s="271"/>
      <c r="S869" s="271"/>
      <c r="T869" s="271"/>
      <c r="U869" s="271"/>
      <c r="V869" s="271"/>
      <c r="W869" s="271"/>
      <c r="X869" s="271"/>
      <c r="Y869" s="271"/>
      <c r="Z869" s="271"/>
      <c r="AA869" s="271"/>
      <c r="AB869" s="271"/>
      <c r="AC869" s="271"/>
    </row>
    <row r="870" spans="1:29" collapsed="1" x14ac:dyDescent="0.2">
      <c r="A870" s="39"/>
      <c r="B870" s="380" t="str">
        <f>INDEX(Language!$D$256:$M$256,1,_language)</f>
        <v>Grid delivered electricity</v>
      </c>
      <c r="C870" s="381" t="s">
        <v>1692</v>
      </c>
      <c r="D870" s="275"/>
      <c r="E870" s="409"/>
      <c r="F870" s="409"/>
      <c r="G870" s="409"/>
      <c r="H870" s="409"/>
      <c r="I870" s="382" t="str">
        <f t="shared" si="191"/>
        <v>kWh</v>
      </c>
      <c r="J870" s="372">
        <f t="shared" si="201"/>
        <v>0</v>
      </c>
      <c r="K870" s="373">
        <f>+K730-K828</f>
        <v>0</v>
      </c>
      <c r="L870" s="374">
        <f>+L730-L828</f>
        <v>0</v>
      </c>
      <c r="M870" s="374">
        <f>+M730-M828</f>
        <v>0</v>
      </c>
      <c r="N870" s="375">
        <f>+N730-N828</f>
        <v>0</v>
      </c>
      <c r="O870" s="355"/>
      <c r="R870" s="374"/>
      <c r="S870" s="374"/>
      <c r="T870" s="374"/>
      <c r="U870" s="374"/>
      <c r="V870" s="374"/>
      <c r="W870" s="374"/>
      <c r="X870" s="374"/>
      <c r="Y870" s="374"/>
      <c r="Z870" s="374"/>
      <c r="AA870" s="374"/>
      <c r="AB870" s="374"/>
      <c r="AC870" s="374"/>
    </row>
    <row r="871" spans="1:29" ht="13.5" thickBot="1" x14ac:dyDescent="0.25">
      <c r="A871" s="39"/>
      <c r="B871" s="383"/>
      <c r="C871" s="357" t="s">
        <v>1693</v>
      </c>
      <c r="D871" s="358"/>
      <c r="E871" s="410"/>
      <c r="F871" s="410"/>
      <c r="G871" s="410"/>
      <c r="H871" s="410"/>
      <c r="I871" s="385" t="str">
        <f t="shared" si="191"/>
        <v>kWh</v>
      </c>
      <c r="J871" s="376">
        <f>SUM(J872:J883)</f>
        <v>0</v>
      </c>
      <c r="K871" s="377">
        <f>SUM(K872:K883)</f>
        <v>0</v>
      </c>
      <c r="L871" s="378">
        <f>SUM(L872:L883)</f>
        <v>0</v>
      </c>
      <c r="M871" s="378">
        <f>SUM(M872:M883)</f>
        <v>0</v>
      </c>
      <c r="N871" s="379">
        <f>SUM(N872:N883)</f>
        <v>0</v>
      </c>
      <c r="O871" s="363"/>
      <c r="R871" s="378"/>
      <c r="S871" s="378"/>
      <c r="T871" s="378"/>
      <c r="U871" s="378"/>
      <c r="V871" s="378"/>
      <c r="W871" s="378"/>
      <c r="X871" s="378"/>
      <c r="Y871" s="378"/>
      <c r="Z871" s="378"/>
      <c r="AA871" s="378"/>
      <c r="AB871" s="378"/>
      <c r="AC871" s="378"/>
    </row>
    <row r="872" spans="1:29" ht="13.5" hidden="1" outlineLevel="1" thickBot="1" x14ac:dyDescent="0.25">
      <c r="A872" s="39"/>
      <c r="B872" s="36"/>
      <c r="C872" s="38" t="s">
        <v>1694</v>
      </c>
      <c r="D872" s="152"/>
      <c r="E872" s="400"/>
      <c r="F872" s="400"/>
      <c r="G872" s="400"/>
      <c r="H872" s="400"/>
      <c r="I872" s="62" t="str">
        <f t="shared" si="191"/>
        <v>kWh</v>
      </c>
      <c r="J872" s="249">
        <f t="shared" ref="J872:J884" si="203">INDEX(K872:N872,,_case_en)</f>
        <v>0</v>
      </c>
      <c r="K872" s="270">
        <f t="shared" ref="K872:N883" si="204">+K732-K830</f>
        <v>0</v>
      </c>
      <c r="L872" s="271">
        <f t="shared" si="204"/>
        <v>0</v>
      </c>
      <c r="M872" s="271">
        <f t="shared" si="204"/>
        <v>0</v>
      </c>
      <c r="N872" s="272">
        <f t="shared" si="204"/>
        <v>0</v>
      </c>
      <c r="O872" s="86"/>
      <c r="R872" s="271"/>
      <c r="S872" s="271"/>
      <c r="T872" s="271"/>
      <c r="U872" s="271"/>
      <c r="V872" s="271"/>
      <c r="W872" s="271"/>
      <c r="X872" s="271"/>
      <c r="Y872" s="271"/>
      <c r="Z872" s="271"/>
      <c r="AA872" s="271"/>
      <c r="AB872" s="271"/>
      <c r="AC872" s="271"/>
    </row>
    <row r="873" spans="1:29" ht="13.5" hidden="1" outlineLevel="1" thickBot="1" x14ac:dyDescent="0.25">
      <c r="A873" s="39"/>
      <c r="B873" s="36"/>
      <c r="C873" s="38" t="s">
        <v>1695</v>
      </c>
      <c r="D873" s="152"/>
      <c r="E873" s="400"/>
      <c r="F873" s="400"/>
      <c r="G873" s="400"/>
      <c r="H873" s="400"/>
      <c r="I873" s="62" t="str">
        <f t="shared" si="191"/>
        <v>kWh</v>
      </c>
      <c r="J873" s="249">
        <f t="shared" si="203"/>
        <v>0</v>
      </c>
      <c r="K873" s="270">
        <f t="shared" si="204"/>
        <v>0</v>
      </c>
      <c r="L873" s="271">
        <f t="shared" si="204"/>
        <v>0</v>
      </c>
      <c r="M873" s="271">
        <f t="shared" si="204"/>
        <v>0</v>
      </c>
      <c r="N873" s="272">
        <f t="shared" si="204"/>
        <v>0</v>
      </c>
      <c r="O873" s="86"/>
      <c r="R873" s="271"/>
      <c r="S873" s="271"/>
      <c r="T873" s="271"/>
      <c r="U873" s="271"/>
      <c r="V873" s="271"/>
      <c r="W873" s="271"/>
      <c r="X873" s="271"/>
      <c r="Y873" s="271"/>
      <c r="Z873" s="271"/>
      <c r="AA873" s="271"/>
      <c r="AB873" s="271"/>
      <c r="AC873" s="271"/>
    </row>
    <row r="874" spans="1:29" ht="13.5" hidden="1" outlineLevel="1" thickBot="1" x14ac:dyDescent="0.25">
      <c r="A874" s="39"/>
      <c r="B874" s="36"/>
      <c r="C874" s="38" t="s">
        <v>1696</v>
      </c>
      <c r="D874" s="152"/>
      <c r="E874" s="400"/>
      <c r="F874" s="400"/>
      <c r="G874" s="400"/>
      <c r="H874" s="400"/>
      <c r="I874" s="62" t="str">
        <f t="shared" si="191"/>
        <v>kWh</v>
      </c>
      <c r="J874" s="249">
        <f t="shared" si="203"/>
        <v>0</v>
      </c>
      <c r="K874" s="270">
        <f t="shared" si="204"/>
        <v>0</v>
      </c>
      <c r="L874" s="271">
        <f t="shared" si="204"/>
        <v>0</v>
      </c>
      <c r="M874" s="271">
        <f t="shared" si="204"/>
        <v>0</v>
      </c>
      <c r="N874" s="272">
        <f t="shared" si="204"/>
        <v>0</v>
      </c>
      <c r="O874" s="86"/>
      <c r="R874" s="271"/>
      <c r="S874" s="271"/>
      <c r="T874" s="271"/>
      <c r="U874" s="271"/>
      <c r="V874" s="271"/>
      <c r="W874" s="271"/>
      <c r="X874" s="271"/>
      <c r="Y874" s="271"/>
      <c r="Z874" s="271"/>
      <c r="AA874" s="271"/>
      <c r="AB874" s="271"/>
      <c r="AC874" s="271"/>
    </row>
    <row r="875" spans="1:29" ht="13.5" hidden="1" outlineLevel="1" thickBot="1" x14ac:dyDescent="0.25">
      <c r="A875" s="39"/>
      <c r="B875" s="36"/>
      <c r="C875" s="38" t="s">
        <v>1697</v>
      </c>
      <c r="D875" s="152"/>
      <c r="E875" s="400"/>
      <c r="F875" s="400"/>
      <c r="G875" s="400"/>
      <c r="H875" s="400"/>
      <c r="I875" s="62" t="str">
        <f t="shared" si="191"/>
        <v>kWh</v>
      </c>
      <c r="J875" s="249">
        <f t="shared" si="203"/>
        <v>0</v>
      </c>
      <c r="K875" s="270">
        <f t="shared" si="204"/>
        <v>0</v>
      </c>
      <c r="L875" s="271">
        <f t="shared" si="204"/>
        <v>0</v>
      </c>
      <c r="M875" s="271">
        <f t="shared" si="204"/>
        <v>0</v>
      </c>
      <c r="N875" s="272">
        <f t="shared" si="204"/>
        <v>0</v>
      </c>
      <c r="O875" s="86"/>
      <c r="R875" s="271"/>
      <c r="S875" s="271"/>
      <c r="T875" s="271"/>
      <c r="U875" s="271"/>
      <c r="V875" s="271"/>
      <c r="W875" s="271"/>
      <c r="X875" s="271"/>
      <c r="Y875" s="271"/>
      <c r="Z875" s="271"/>
      <c r="AA875" s="271"/>
      <c r="AB875" s="271"/>
      <c r="AC875" s="271"/>
    </row>
    <row r="876" spans="1:29" ht="13.5" hidden="1" outlineLevel="1" thickBot="1" x14ac:dyDescent="0.25">
      <c r="A876" s="39"/>
      <c r="B876" s="36"/>
      <c r="C876" s="38" t="s">
        <v>1698</v>
      </c>
      <c r="D876" s="152"/>
      <c r="E876" s="400"/>
      <c r="F876" s="400"/>
      <c r="G876" s="400"/>
      <c r="H876" s="400"/>
      <c r="I876" s="62" t="str">
        <f t="shared" si="191"/>
        <v>kWh</v>
      </c>
      <c r="J876" s="249">
        <f t="shared" si="203"/>
        <v>0</v>
      </c>
      <c r="K876" s="270">
        <f t="shared" si="204"/>
        <v>0</v>
      </c>
      <c r="L876" s="271">
        <f t="shared" si="204"/>
        <v>0</v>
      </c>
      <c r="M876" s="271">
        <f t="shared" si="204"/>
        <v>0</v>
      </c>
      <c r="N876" s="272">
        <f t="shared" si="204"/>
        <v>0</v>
      </c>
      <c r="O876" s="86"/>
      <c r="R876" s="271"/>
      <c r="S876" s="271"/>
      <c r="T876" s="271"/>
      <c r="U876" s="271"/>
      <c r="V876" s="271"/>
      <c r="W876" s="271"/>
      <c r="X876" s="271"/>
      <c r="Y876" s="271"/>
      <c r="Z876" s="271"/>
      <c r="AA876" s="271"/>
      <c r="AB876" s="271"/>
      <c r="AC876" s="271"/>
    </row>
    <row r="877" spans="1:29" ht="13.5" hidden="1" outlineLevel="1" thickBot="1" x14ac:dyDescent="0.25">
      <c r="A877" s="39"/>
      <c r="B877" s="36"/>
      <c r="C877" s="38" t="s">
        <v>1699</v>
      </c>
      <c r="D877" s="152"/>
      <c r="E877" s="400"/>
      <c r="F877" s="400"/>
      <c r="G877" s="400"/>
      <c r="H877" s="400"/>
      <c r="I877" s="62" t="str">
        <f t="shared" si="191"/>
        <v>kWh</v>
      </c>
      <c r="J877" s="249">
        <f t="shared" si="203"/>
        <v>0</v>
      </c>
      <c r="K877" s="270">
        <f t="shared" si="204"/>
        <v>0</v>
      </c>
      <c r="L877" s="271">
        <f t="shared" si="204"/>
        <v>0</v>
      </c>
      <c r="M877" s="271">
        <f t="shared" si="204"/>
        <v>0</v>
      </c>
      <c r="N877" s="272">
        <f t="shared" si="204"/>
        <v>0</v>
      </c>
      <c r="O877" s="86"/>
      <c r="R877" s="271"/>
      <c r="S877" s="271"/>
      <c r="T877" s="271"/>
      <c r="U877" s="271"/>
      <c r="V877" s="271"/>
      <c r="W877" s="271"/>
      <c r="X877" s="271"/>
      <c r="Y877" s="271"/>
      <c r="Z877" s="271"/>
      <c r="AA877" s="271"/>
      <c r="AB877" s="271"/>
      <c r="AC877" s="271"/>
    </row>
    <row r="878" spans="1:29" ht="13.5" hidden="1" outlineLevel="1" thickBot="1" x14ac:dyDescent="0.25">
      <c r="A878" s="39"/>
      <c r="B878" s="36"/>
      <c r="C878" s="38" t="s">
        <v>1700</v>
      </c>
      <c r="D878" s="152"/>
      <c r="E878" s="400"/>
      <c r="F878" s="400"/>
      <c r="G878" s="400"/>
      <c r="H878" s="400"/>
      <c r="I878" s="62" t="str">
        <f t="shared" si="191"/>
        <v>kWh</v>
      </c>
      <c r="J878" s="249">
        <f t="shared" si="203"/>
        <v>0</v>
      </c>
      <c r="K878" s="270">
        <f t="shared" si="204"/>
        <v>0</v>
      </c>
      <c r="L878" s="271">
        <f t="shared" si="204"/>
        <v>0</v>
      </c>
      <c r="M878" s="271">
        <f t="shared" si="204"/>
        <v>0</v>
      </c>
      <c r="N878" s="272">
        <f t="shared" si="204"/>
        <v>0</v>
      </c>
      <c r="O878" s="86"/>
      <c r="R878" s="271"/>
      <c r="S878" s="271"/>
      <c r="T878" s="271"/>
      <c r="U878" s="271"/>
      <c r="V878" s="271"/>
      <c r="W878" s="271"/>
      <c r="X878" s="271"/>
      <c r="Y878" s="271"/>
      <c r="Z878" s="271"/>
      <c r="AA878" s="271"/>
      <c r="AB878" s="271"/>
      <c r="AC878" s="271"/>
    </row>
    <row r="879" spans="1:29" ht="13.5" hidden="1" outlineLevel="1" thickBot="1" x14ac:dyDescent="0.25">
      <c r="A879" s="39"/>
      <c r="B879" s="36"/>
      <c r="C879" s="38" t="s">
        <v>1701</v>
      </c>
      <c r="D879" s="152"/>
      <c r="E879" s="400"/>
      <c r="F879" s="400"/>
      <c r="G879" s="400"/>
      <c r="H879" s="400"/>
      <c r="I879" s="62" t="str">
        <f t="shared" si="191"/>
        <v>kWh</v>
      </c>
      <c r="J879" s="249">
        <f t="shared" si="203"/>
        <v>0</v>
      </c>
      <c r="K879" s="270">
        <f t="shared" si="204"/>
        <v>0</v>
      </c>
      <c r="L879" s="271">
        <f t="shared" si="204"/>
        <v>0</v>
      </c>
      <c r="M879" s="271">
        <f t="shared" si="204"/>
        <v>0</v>
      </c>
      <c r="N879" s="272">
        <f t="shared" si="204"/>
        <v>0</v>
      </c>
      <c r="O879" s="86"/>
      <c r="R879" s="271"/>
      <c r="S879" s="271"/>
      <c r="T879" s="271"/>
      <c r="U879" s="271"/>
      <c r="V879" s="271"/>
      <c r="W879" s="271"/>
      <c r="X879" s="271"/>
      <c r="Y879" s="271"/>
      <c r="Z879" s="271"/>
      <c r="AA879" s="271"/>
      <c r="AB879" s="271"/>
      <c r="AC879" s="271"/>
    </row>
    <row r="880" spans="1:29" ht="13.5" hidden="1" outlineLevel="1" thickBot="1" x14ac:dyDescent="0.25">
      <c r="A880" s="39"/>
      <c r="B880" s="36"/>
      <c r="C880" s="38" t="s">
        <v>1702</v>
      </c>
      <c r="D880" s="152"/>
      <c r="E880" s="400"/>
      <c r="F880" s="400"/>
      <c r="G880" s="400"/>
      <c r="H880" s="400"/>
      <c r="I880" s="62" t="str">
        <f t="shared" si="191"/>
        <v>kWh</v>
      </c>
      <c r="J880" s="249">
        <f t="shared" si="203"/>
        <v>0</v>
      </c>
      <c r="K880" s="270">
        <f t="shared" si="204"/>
        <v>0</v>
      </c>
      <c r="L880" s="271">
        <f t="shared" si="204"/>
        <v>0</v>
      </c>
      <c r="M880" s="271">
        <f t="shared" si="204"/>
        <v>0</v>
      </c>
      <c r="N880" s="272">
        <f t="shared" si="204"/>
        <v>0</v>
      </c>
      <c r="O880" s="86"/>
      <c r="R880" s="271"/>
      <c r="S880" s="271"/>
      <c r="T880" s="271"/>
      <c r="U880" s="271"/>
      <c r="V880" s="271"/>
      <c r="W880" s="271"/>
      <c r="X880" s="271"/>
      <c r="Y880" s="271"/>
      <c r="Z880" s="271"/>
      <c r="AA880" s="271"/>
      <c r="AB880" s="271"/>
      <c r="AC880" s="271"/>
    </row>
    <row r="881" spans="1:29" ht="13.5" hidden="1" outlineLevel="1" thickBot="1" x14ac:dyDescent="0.25">
      <c r="A881" s="39"/>
      <c r="B881" s="36"/>
      <c r="C881" s="38" t="s">
        <v>1703</v>
      </c>
      <c r="D881" s="152"/>
      <c r="E881" s="400"/>
      <c r="F881" s="400"/>
      <c r="G881" s="400"/>
      <c r="H881" s="400"/>
      <c r="I881" s="62" t="str">
        <f t="shared" si="191"/>
        <v>kWh</v>
      </c>
      <c r="J881" s="249">
        <f t="shared" si="203"/>
        <v>0</v>
      </c>
      <c r="K881" s="270">
        <f t="shared" si="204"/>
        <v>0</v>
      </c>
      <c r="L881" s="271">
        <f t="shared" si="204"/>
        <v>0</v>
      </c>
      <c r="M881" s="271">
        <f t="shared" si="204"/>
        <v>0</v>
      </c>
      <c r="N881" s="272">
        <f t="shared" si="204"/>
        <v>0</v>
      </c>
      <c r="O881" s="86"/>
      <c r="R881" s="271"/>
      <c r="S881" s="271"/>
      <c r="T881" s="271"/>
      <c r="U881" s="271"/>
      <c r="V881" s="271"/>
      <c r="W881" s="271"/>
      <c r="X881" s="271"/>
      <c r="Y881" s="271"/>
      <c r="Z881" s="271"/>
      <c r="AA881" s="271"/>
      <c r="AB881" s="271"/>
      <c r="AC881" s="271"/>
    </row>
    <row r="882" spans="1:29" ht="13.5" hidden="1" outlineLevel="1" thickBot="1" x14ac:dyDescent="0.25">
      <c r="A882" s="39"/>
      <c r="B882" s="36"/>
      <c r="C882" s="38" t="s">
        <v>1704</v>
      </c>
      <c r="D882" s="152"/>
      <c r="E882" s="400"/>
      <c r="F882" s="400"/>
      <c r="G882" s="400"/>
      <c r="H882" s="400"/>
      <c r="I882" s="62" t="str">
        <f t="shared" si="191"/>
        <v>kWh</v>
      </c>
      <c r="J882" s="249">
        <f t="shared" si="203"/>
        <v>0</v>
      </c>
      <c r="K882" s="270">
        <f t="shared" si="204"/>
        <v>0</v>
      </c>
      <c r="L882" s="271">
        <f t="shared" si="204"/>
        <v>0</v>
      </c>
      <c r="M882" s="271">
        <f t="shared" si="204"/>
        <v>0</v>
      </c>
      <c r="N882" s="272">
        <f t="shared" si="204"/>
        <v>0</v>
      </c>
      <c r="O882" s="86"/>
      <c r="R882" s="271"/>
      <c r="S882" s="271"/>
      <c r="T882" s="271"/>
      <c r="U882" s="271"/>
      <c r="V882" s="271"/>
      <c r="W882" s="271"/>
      <c r="X882" s="271"/>
      <c r="Y882" s="271"/>
      <c r="Z882" s="271"/>
      <c r="AA882" s="271"/>
      <c r="AB882" s="271"/>
      <c r="AC882" s="271"/>
    </row>
    <row r="883" spans="1:29" ht="13.5" hidden="1" outlineLevel="1" thickBot="1" x14ac:dyDescent="0.25">
      <c r="A883" s="39"/>
      <c r="B883" s="263"/>
      <c r="C883" s="38" t="s">
        <v>1705</v>
      </c>
      <c r="D883" s="222"/>
      <c r="E883" s="403"/>
      <c r="F883" s="403"/>
      <c r="G883" s="403"/>
      <c r="H883" s="403"/>
      <c r="I883" s="223" t="str">
        <f t="shared" si="191"/>
        <v>kWh</v>
      </c>
      <c r="J883" s="250">
        <f t="shared" si="203"/>
        <v>0</v>
      </c>
      <c r="K883" s="277">
        <f t="shared" si="204"/>
        <v>0</v>
      </c>
      <c r="L883" s="278">
        <f t="shared" si="204"/>
        <v>0</v>
      </c>
      <c r="M883" s="278">
        <f t="shared" si="204"/>
        <v>0</v>
      </c>
      <c r="N883" s="279">
        <f t="shared" si="204"/>
        <v>0</v>
      </c>
      <c r="O883" s="280"/>
      <c r="R883" s="278"/>
      <c r="S883" s="278"/>
      <c r="T883" s="278"/>
      <c r="U883" s="278"/>
      <c r="V883" s="278"/>
      <c r="W883" s="278"/>
      <c r="X883" s="278"/>
      <c r="Y883" s="278"/>
      <c r="Z883" s="278"/>
      <c r="AA883" s="278"/>
      <c r="AB883" s="278"/>
      <c r="AC883" s="278"/>
    </row>
    <row r="884" spans="1:29" collapsed="1" x14ac:dyDescent="0.2">
      <c r="A884" s="39"/>
      <c r="B884" s="380" t="str">
        <f>INDEX(Language!$D$257:$M$257,1,_language)</f>
        <v>Grid exported electricity</v>
      </c>
      <c r="C884" s="381" t="s">
        <v>1706</v>
      </c>
      <c r="D884" s="275"/>
      <c r="E884" s="409"/>
      <c r="F884" s="409"/>
      <c r="G884" s="409"/>
      <c r="H884" s="409"/>
      <c r="I884" s="382" t="str">
        <f t="shared" si="191"/>
        <v>kWh</v>
      </c>
      <c r="J884" s="921">
        <f t="shared" si="203"/>
        <v>520.28774891774901</v>
      </c>
      <c r="K884" s="922">
        <f>+K744-K828</f>
        <v>1077.2468212037893</v>
      </c>
      <c r="L884" s="923">
        <f>+L744-L828</f>
        <v>3002.7853535353534</v>
      </c>
      <c r="M884" s="923">
        <f>+M744-M828</f>
        <v>225.90319953778635</v>
      </c>
      <c r="N884" s="924">
        <f>+N744-N828</f>
        <v>520.28774891774901</v>
      </c>
      <c r="O884" s="355"/>
      <c r="R884" s="374"/>
      <c r="S884" s="374"/>
      <c r="T884" s="374"/>
      <c r="U884" s="374"/>
      <c r="V884" s="374"/>
      <c r="W884" s="374"/>
      <c r="X884" s="374"/>
      <c r="Y884" s="374"/>
      <c r="Z884" s="374"/>
      <c r="AA884" s="374"/>
      <c r="AB884" s="374"/>
      <c r="AC884" s="374"/>
    </row>
    <row r="885" spans="1:29" ht="13.5" thickBot="1" x14ac:dyDescent="0.25">
      <c r="A885" s="39"/>
      <c r="B885" s="383"/>
      <c r="C885" s="384" t="s">
        <v>1062</v>
      </c>
      <c r="D885" s="358"/>
      <c r="E885" s="410"/>
      <c r="F885" s="410"/>
      <c r="G885" s="410"/>
      <c r="H885" s="410"/>
      <c r="I885" s="385" t="str">
        <f t="shared" si="191"/>
        <v>kWh</v>
      </c>
      <c r="J885" s="376">
        <f>SUM(J886:J897)</f>
        <v>520.2877489177489</v>
      </c>
      <c r="K885" s="377">
        <f>SUM(K886:K897)</f>
        <v>1121.8964252777989</v>
      </c>
      <c r="L885" s="378">
        <f>SUM(L886:L897)</f>
        <v>3002.7853535353538</v>
      </c>
      <c r="M885" s="378">
        <f>SUM(M886:M897)</f>
        <v>160.21044091610622</v>
      </c>
      <c r="N885" s="379">
        <f>SUM(N886:N897)</f>
        <v>520.2877489177489</v>
      </c>
      <c r="O885" s="363"/>
      <c r="R885" s="378"/>
      <c r="S885" s="378"/>
      <c r="T885" s="378"/>
      <c r="U885" s="378"/>
      <c r="V885" s="378"/>
      <c r="W885" s="378"/>
      <c r="X885" s="378"/>
      <c r="Y885" s="378"/>
      <c r="Z885" s="378"/>
      <c r="AA885" s="378"/>
      <c r="AB885" s="378"/>
      <c r="AC885" s="378"/>
    </row>
    <row r="886" spans="1:29" ht="13.5" hidden="1" outlineLevel="1" thickBot="1" x14ac:dyDescent="0.25">
      <c r="A886" s="39"/>
      <c r="B886" s="36"/>
      <c r="C886" s="38" t="s">
        <v>1063</v>
      </c>
      <c r="D886" s="152"/>
      <c r="E886" s="400"/>
      <c r="F886" s="400"/>
      <c r="G886" s="400"/>
      <c r="H886" s="400"/>
      <c r="I886" s="62" t="str">
        <f t="shared" si="191"/>
        <v>kWh</v>
      </c>
      <c r="J886" s="249">
        <f t="shared" ref="J886:J898" si="205">INDEX(K886:N886,,_case_en)</f>
        <v>0</v>
      </c>
      <c r="K886" s="270">
        <f t="shared" ref="K886:M897" si="206">+IF(K$745&lt;&gt;0,K746*(1-K$829/K$745),0)</f>
        <v>0</v>
      </c>
      <c r="L886" s="271">
        <f t="shared" si="206"/>
        <v>0</v>
      </c>
      <c r="M886" s="271">
        <f t="shared" si="206"/>
        <v>0</v>
      </c>
      <c r="N886" s="272">
        <f t="shared" ref="N886:N897" si="207">+N746-N788</f>
        <v>0</v>
      </c>
      <c r="O886" s="86"/>
      <c r="R886" s="271"/>
      <c r="S886" s="271"/>
      <c r="T886" s="271"/>
      <c r="U886" s="271"/>
      <c r="V886" s="271"/>
      <c r="W886" s="271"/>
      <c r="X886" s="271"/>
      <c r="Y886" s="271"/>
      <c r="Z886" s="271"/>
      <c r="AA886" s="271"/>
      <c r="AB886" s="271"/>
      <c r="AC886" s="271"/>
    </row>
    <row r="887" spans="1:29" ht="13.5" hidden="1" outlineLevel="1" thickBot="1" x14ac:dyDescent="0.25">
      <c r="A887" s="39"/>
      <c r="B887" s="36"/>
      <c r="C887" s="38" t="s">
        <v>1064</v>
      </c>
      <c r="D887" s="152"/>
      <c r="E887" s="400"/>
      <c r="F887" s="400"/>
      <c r="G887" s="400"/>
      <c r="H887" s="400"/>
      <c r="I887" s="62" t="str">
        <f t="shared" si="191"/>
        <v>kWh</v>
      </c>
      <c r="J887" s="249">
        <f t="shared" si="205"/>
        <v>0</v>
      </c>
      <c r="K887" s="270">
        <f t="shared" si="206"/>
        <v>0</v>
      </c>
      <c r="L887" s="271">
        <f t="shared" si="206"/>
        <v>0</v>
      </c>
      <c r="M887" s="271">
        <f t="shared" si="206"/>
        <v>0</v>
      </c>
      <c r="N887" s="272">
        <f t="shared" si="207"/>
        <v>0</v>
      </c>
      <c r="O887" s="86"/>
      <c r="R887" s="271"/>
      <c r="S887" s="271"/>
      <c r="T887" s="271"/>
      <c r="U887" s="271"/>
      <c r="V887" s="271"/>
      <c r="W887" s="271"/>
      <c r="X887" s="271"/>
      <c r="Y887" s="271"/>
      <c r="Z887" s="271"/>
      <c r="AA887" s="271"/>
      <c r="AB887" s="271"/>
      <c r="AC887" s="271"/>
    </row>
    <row r="888" spans="1:29" ht="13.5" hidden="1" outlineLevel="1" thickBot="1" x14ac:dyDescent="0.25">
      <c r="A888" s="39"/>
      <c r="B888" s="36"/>
      <c r="C888" s="38" t="s">
        <v>1065</v>
      </c>
      <c r="D888" s="152"/>
      <c r="E888" s="400"/>
      <c r="F888" s="400"/>
      <c r="G888" s="400"/>
      <c r="H888" s="400"/>
      <c r="I888" s="62" t="str">
        <f t="shared" si="191"/>
        <v>kWh</v>
      </c>
      <c r="J888" s="249">
        <f t="shared" si="205"/>
        <v>24.734381583511102</v>
      </c>
      <c r="K888" s="270">
        <f t="shared" si="206"/>
        <v>20.53363599259708</v>
      </c>
      <c r="L888" s="271">
        <f t="shared" si="206"/>
        <v>150.56663019896271</v>
      </c>
      <c r="M888" s="271">
        <f t="shared" si="206"/>
        <v>0</v>
      </c>
      <c r="N888" s="272">
        <f t="shared" si="207"/>
        <v>24.734381583511102</v>
      </c>
      <c r="O888" s="86"/>
      <c r="R888" s="271"/>
      <c r="S888" s="271"/>
      <c r="T888" s="271"/>
      <c r="U888" s="271"/>
      <c r="V888" s="271"/>
      <c r="W888" s="271"/>
      <c r="X888" s="271"/>
      <c r="Y888" s="271"/>
      <c r="Z888" s="271"/>
      <c r="AA888" s="271"/>
      <c r="AB888" s="271"/>
      <c r="AC888" s="271"/>
    </row>
    <row r="889" spans="1:29" ht="13.5" hidden="1" outlineLevel="1" thickBot="1" x14ac:dyDescent="0.25">
      <c r="A889" s="39"/>
      <c r="B889" s="36"/>
      <c r="C889" s="38" t="s">
        <v>1066</v>
      </c>
      <c r="D889" s="152"/>
      <c r="E889" s="400"/>
      <c r="F889" s="400"/>
      <c r="G889" s="400"/>
      <c r="H889" s="400"/>
      <c r="I889" s="62" t="str">
        <f t="shared" si="191"/>
        <v>kWh</v>
      </c>
      <c r="J889" s="249">
        <f t="shared" si="205"/>
        <v>86.752205995108838</v>
      </c>
      <c r="K889" s="270">
        <f t="shared" si="206"/>
        <v>125.69831262904998</v>
      </c>
      <c r="L889" s="271">
        <f t="shared" si="206"/>
        <v>428.22516521878788</v>
      </c>
      <c r="M889" s="271">
        <f t="shared" si="206"/>
        <v>15.049585123456845</v>
      </c>
      <c r="N889" s="272">
        <f t="shared" si="207"/>
        <v>86.752205995108838</v>
      </c>
      <c r="O889" s="86"/>
      <c r="R889" s="271"/>
      <c r="S889" s="271"/>
      <c r="T889" s="271"/>
      <c r="U889" s="271"/>
      <c r="V889" s="271"/>
      <c r="W889" s="271"/>
      <c r="X889" s="271"/>
      <c r="Y889" s="271"/>
      <c r="Z889" s="271"/>
      <c r="AA889" s="271"/>
      <c r="AB889" s="271"/>
      <c r="AC889" s="271"/>
    </row>
    <row r="890" spans="1:29" ht="13.5" hidden="1" outlineLevel="1" thickBot="1" x14ac:dyDescent="0.25">
      <c r="A890" s="39"/>
      <c r="B890" s="36"/>
      <c r="C890" s="38" t="s">
        <v>1067</v>
      </c>
      <c r="D890" s="152"/>
      <c r="E890" s="400"/>
      <c r="F890" s="400"/>
      <c r="G890" s="400"/>
      <c r="H890" s="400"/>
      <c r="I890" s="62" t="str">
        <f t="shared" si="191"/>
        <v>kWh</v>
      </c>
      <c r="J890" s="249">
        <f t="shared" si="205"/>
        <v>114.15918128686137</v>
      </c>
      <c r="K890" s="270">
        <f t="shared" si="206"/>
        <v>191.506686840057</v>
      </c>
      <c r="L890" s="271">
        <f t="shared" si="206"/>
        <v>410.29302545277238</v>
      </c>
      <c r="M890" s="271">
        <f t="shared" si="206"/>
        <v>24.577454872257658</v>
      </c>
      <c r="N890" s="272">
        <f t="shared" si="207"/>
        <v>114.15918128686137</v>
      </c>
      <c r="O890" s="86"/>
      <c r="R890" s="271"/>
      <c r="S890" s="271"/>
      <c r="T890" s="271"/>
      <c r="U890" s="271"/>
      <c r="V890" s="271"/>
      <c r="W890" s="271"/>
      <c r="X890" s="271"/>
      <c r="Y890" s="271"/>
      <c r="Z890" s="271"/>
      <c r="AA890" s="271"/>
      <c r="AB890" s="271"/>
      <c r="AC890" s="271"/>
    </row>
    <row r="891" spans="1:29" ht="13.5" hidden="1" outlineLevel="1" thickBot="1" x14ac:dyDescent="0.25">
      <c r="A891" s="39"/>
      <c r="B891" s="36"/>
      <c r="C891" s="38" t="s">
        <v>1068</v>
      </c>
      <c r="D891" s="152"/>
      <c r="E891" s="400"/>
      <c r="F891" s="400"/>
      <c r="G891" s="400"/>
      <c r="H891" s="400"/>
      <c r="I891" s="62" t="str">
        <f t="shared" si="191"/>
        <v>kWh</v>
      </c>
      <c r="J891" s="249">
        <f t="shared" si="205"/>
        <v>65.888528430792064</v>
      </c>
      <c r="K891" s="270">
        <f t="shared" si="206"/>
        <v>188.73172048430445</v>
      </c>
      <c r="L891" s="271">
        <f t="shared" si="206"/>
        <v>428.44603517175057</v>
      </c>
      <c r="M891" s="271">
        <f t="shared" si="206"/>
        <v>31.799562337504025</v>
      </c>
      <c r="N891" s="272">
        <f t="shared" si="207"/>
        <v>65.888528430792064</v>
      </c>
      <c r="O891" s="86"/>
      <c r="R891" s="271"/>
      <c r="S891" s="271"/>
      <c r="T891" s="271"/>
      <c r="U891" s="271"/>
      <c r="V891" s="271"/>
      <c r="W891" s="271"/>
      <c r="X891" s="271"/>
      <c r="Y891" s="271"/>
      <c r="Z891" s="271"/>
      <c r="AA891" s="271"/>
      <c r="AB891" s="271"/>
      <c r="AC891" s="271"/>
    </row>
    <row r="892" spans="1:29" ht="13.5" hidden="1" outlineLevel="1" thickBot="1" x14ac:dyDescent="0.25">
      <c r="A892" s="39"/>
      <c r="B892" s="36"/>
      <c r="C892" s="38" t="s">
        <v>1069</v>
      </c>
      <c r="D892" s="152"/>
      <c r="E892" s="400"/>
      <c r="F892" s="400"/>
      <c r="G892" s="400"/>
      <c r="H892" s="400"/>
      <c r="I892" s="62" t="str">
        <f t="shared" si="191"/>
        <v>kWh</v>
      </c>
      <c r="J892" s="249">
        <f t="shared" si="205"/>
        <v>40.268622170264294</v>
      </c>
      <c r="K892" s="270">
        <f t="shared" si="206"/>
        <v>196.888406357836</v>
      </c>
      <c r="L892" s="271">
        <f t="shared" si="206"/>
        <v>441.37317845647749</v>
      </c>
      <c r="M892" s="271">
        <f t="shared" si="206"/>
        <v>35.774055374614576</v>
      </c>
      <c r="N892" s="272">
        <f t="shared" si="207"/>
        <v>40.268622170264294</v>
      </c>
      <c r="O892" s="86"/>
      <c r="R892" s="271"/>
      <c r="S892" s="271"/>
      <c r="T892" s="271"/>
      <c r="U892" s="271"/>
      <c r="V892" s="271"/>
      <c r="W892" s="271"/>
      <c r="X892" s="271"/>
      <c r="Y892" s="271"/>
      <c r="Z892" s="271"/>
      <c r="AA892" s="271"/>
      <c r="AB892" s="271"/>
      <c r="AC892" s="271"/>
    </row>
    <row r="893" spans="1:29" ht="13.5" hidden="1" outlineLevel="1" thickBot="1" x14ac:dyDescent="0.25">
      <c r="A893" s="39"/>
      <c r="B893" s="36"/>
      <c r="C893" s="38" t="s">
        <v>1070</v>
      </c>
      <c r="D893" s="152"/>
      <c r="E893" s="400"/>
      <c r="F893" s="400"/>
      <c r="G893" s="400"/>
      <c r="H893" s="400"/>
      <c r="I893" s="62" t="str">
        <f t="shared" si="191"/>
        <v>kWh</v>
      </c>
      <c r="J893" s="249">
        <f t="shared" si="205"/>
        <v>45.301493191083011</v>
      </c>
      <c r="K893" s="270">
        <f t="shared" si="206"/>
        <v>146.13311131584433</v>
      </c>
      <c r="L893" s="271">
        <f t="shared" si="206"/>
        <v>403.96697661131032</v>
      </c>
      <c r="M893" s="271">
        <f t="shared" si="206"/>
        <v>26.99336322022155</v>
      </c>
      <c r="N893" s="272">
        <f t="shared" si="207"/>
        <v>45.301493191083011</v>
      </c>
      <c r="O893" s="86"/>
      <c r="R893" s="271"/>
      <c r="S893" s="271"/>
      <c r="T893" s="271"/>
      <c r="U893" s="271"/>
      <c r="V893" s="271"/>
      <c r="W893" s="271"/>
      <c r="X893" s="271"/>
      <c r="Y893" s="271"/>
      <c r="Z893" s="271"/>
      <c r="AA893" s="271"/>
      <c r="AB893" s="271"/>
      <c r="AC893" s="271"/>
    </row>
    <row r="894" spans="1:29" ht="13.5" hidden="1" outlineLevel="1" thickBot="1" x14ac:dyDescent="0.25">
      <c r="A894" s="39"/>
      <c r="B894" s="36"/>
      <c r="C894" s="38" t="s">
        <v>1071</v>
      </c>
      <c r="D894" s="152"/>
      <c r="E894" s="400"/>
      <c r="F894" s="400"/>
      <c r="G894" s="400"/>
      <c r="H894" s="400"/>
      <c r="I894" s="62" t="str">
        <f t="shared" si="191"/>
        <v>kWh</v>
      </c>
      <c r="J894" s="249">
        <f t="shared" si="205"/>
        <v>80.116694159470484</v>
      </c>
      <c r="K894" s="270">
        <f t="shared" si="206"/>
        <v>165.41736475762258</v>
      </c>
      <c r="L894" s="271">
        <f t="shared" si="206"/>
        <v>385.81396689233219</v>
      </c>
      <c r="M894" s="271">
        <f t="shared" si="206"/>
        <v>19.868026045666706</v>
      </c>
      <c r="N894" s="272">
        <f t="shared" si="207"/>
        <v>80.116694159470484</v>
      </c>
      <c r="O894" s="86"/>
      <c r="R894" s="271"/>
      <c r="S894" s="271"/>
      <c r="T894" s="271"/>
      <c r="U894" s="271"/>
      <c r="V894" s="271"/>
      <c r="W894" s="271"/>
      <c r="X894" s="271"/>
      <c r="Y894" s="271"/>
      <c r="Z894" s="271"/>
      <c r="AA894" s="271"/>
      <c r="AB894" s="271"/>
      <c r="AC894" s="271"/>
    </row>
    <row r="895" spans="1:29" ht="13.5" hidden="1" outlineLevel="1" thickBot="1" x14ac:dyDescent="0.25">
      <c r="A895" s="39"/>
      <c r="B895" s="36"/>
      <c r="C895" s="38" t="s">
        <v>1072</v>
      </c>
      <c r="D895" s="152"/>
      <c r="E895" s="400"/>
      <c r="F895" s="400"/>
      <c r="G895" s="400"/>
      <c r="H895" s="400"/>
      <c r="I895" s="62" t="str">
        <f t="shared" si="191"/>
        <v>kWh</v>
      </c>
      <c r="J895" s="249">
        <f t="shared" si="205"/>
        <v>63.066642100657759</v>
      </c>
      <c r="K895" s="270">
        <f t="shared" si="206"/>
        <v>86.987186900487686</v>
      </c>
      <c r="L895" s="271">
        <f t="shared" si="206"/>
        <v>354.1003755329603</v>
      </c>
      <c r="M895" s="271">
        <f t="shared" si="206"/>
        <v>6.1483939423848613</v>
      </c>
      <c r="N895" s="272">
        <f t="shared" si="207"/>
        <v>63.066642100657759</v>
      </c>
      <c r="O895" s="86"/>
      <c r="R895" s="271"/>
      <c r="S895" s="271"/>
      <c r="T895" s="271"/>
      <c r="U895" s="271"/>
      <c r="V895" s="271"/>
      <c r="W895" s="271"/>
      <c r="X895" s="271"/>
      <c r="Y895" s="271"/>
      <c r="Z895" s="271"/>
      <c r="AA895" s="271"/>
      <c r="AB895" s="271"/>
      <c r="AC895" s="271"/>
    </row>
    <row r="896" spans="1:29" ht="13.5" hidden="1" outlineLevel="1" thickBot="1" x14ac:dyDescent="0.25">
      <c r="A896" s="39"/>
      <c r="B896" s="36"/>
      <c r="C896" s="38" t="s">
        <v>1073</v>
      </c>
      <c r="D896" s="152"/>
      <c r="E896" s="400"/>
      <c r="F896" s="400"/>
      <c r="G896" s="400"/>
      <c r="H896" s="400"/>
      <c r="I896" s="62" t="str">
        <f t="shared" si="191"/>
        <v>kWh</v>
      </c>
      <c r="J896" s="249">
        <f t="shared" si="205"/>
        <v>0</v>
      </c>
      <c r="K896" s="270">
        <f t="shared" si="206"/>
        <v>0</v>
      </c>
      <c r="L896" s="271">
        <f t="shared" si="206"/>
        <v>0</v>
      </c>
      <c r="M896" s="271">
        <f t="shared" si="206"/>
        <v>0</v>
      </c>
      <c r="N896" s="272">
        <f t="shared" si="207"/>
        <v>0</v>
      </c>
      <c r="O896" s="86"/>
      <c r="R896" s="271"/>
      <c r="S896" s="271"/>
      <c r="T896" s="271"/>
      <c r="U896" s="271"/>
      <c r="V896" s="271"/>
      <c r="W896" s="271"/>
      <c r="X896" s="271"/>
      <c r="Y896" s="271"/>
      <c r="Z896" s="271"/>
      <c r="AA896" s="271"/>
      <c r="AB896" s="271"/>
      <c r="AC896" s="271"/>
    </row>
    <row r="897" spans="1:29" ht="13.5" hidden="1" outlineLevel="1" thickBot="1" x14ac:dyDescent="0.25">
      <c r="A897" s="39"/>
      <c r="B897" s="263"/>
      <c r="C897" s="264" t="s">
        <v>1074</v>
      </c>
      <c r="D897" s="222"/>
      <c r="E897" s="403"/>
      <c r="F897" s="403"/>
      <c r="G897" s="403"/>
      <c r="H897" s="403"/>
      <c r="I897" s="223" t="str">
        <f t="shared" si="191"/>
        <v>kWh</v>
      </c>
      <c r="J897" s="250">
        <f t="shared" si="205"/>
        <v>0</v>
      </c>
      <c r="K897" s="277">
        <f t="shared" si="206"/>
        <v>0</v>
      </c>
      <c r="L897" s="278">
        <f t="shared" si="206"/>
        <v>0</v>
      </c>
      <c r="M897" s="278">
        <f t="shared" si="206"/>
        <v>0</v>
      </c>
      <c r="N897" s="272">
        <f t="shared" si="207"/>
        <v>0</v>
      </c>
      <c r="O897" s="280"/>
      <c r="R897" s="278"/>
      <c r="S897" s="278"/>
      <c r="T897" s="278"/>
      <c r="U897" s="278"/>
      <c r="V897" s="278"/>
      <c r="W897" s="278"/>
      <c r="X897" s="278"/>
      <c r="Y897" s="278"/>
      <c r="Z897" s="278"/>
      <c r="AA897" s="278"/>
      <c r="AB897" s="278"/>
      <c r="AC897" s="278"/>
    </row>
    <row r="898" spans="1:29" collapsed="1" x14ac:dyDescent="0.2">
      <c r="A898" s="39"/>
      <c r="B898" s="380" t="str">
        <f>INDEX(Language!$D$263:$M$263,1,_language)</f>
        <v>Grid exported PV electricity</v>
      </c>
      <c r="C898" s="381" t="s">
        <v>1080</v>
      </c>
      <c r="D898" s="275"/>
      <c r="E898" s="409"/>
      <c r="F898" s="409"/>
      <c r="G898" s="409"/>
      <c r="H898" s="409"/>
      <c r="I898" s="382" t="str">
        <f t="shared" si="191"/>
        <v>kWh</v>
      </c>
      <c r="J898" s="372">
        <f t="shared" si="205"/>
        <v>402.85967597765369</v>
      </c>
      <c r="K898" s="922">
        <f>+K758-K842</f>
        <v>1052.9365967478504</v>
      </c>
      <c r="L898" s="923">
        <f>+L758-L842</f>
        <v>1076.5288411795138</v>
      </c>
      <c r="M898" s="923">
        <f>+M758-M842</f>
        <v>212.99444527848428</v>
      </c>
      <c r="N898" s="924">
        <f>+N758-N842</f>
        <v>402.85967597765369</v>
      </c>
      <c r="O898" s="355"/>
      <c r="R898" s="374"/>
      <c r="S898" s="374"/>
      <c r="T898" s="374"/>
      <c r="U898" s="374"/>
      <c r="V898" s="374"/>
      <c r="W898" s="374"/>
      <c r="X898" s="374"/>
      <c r="Y898" s="374"/>
      <c r="Z898" s="374"/>
      <c r="AA898" s="374"/>
      <c r="AB898" s="374"/>
      <c r="AC898" s="374"/>
    </row>
    <row r="899" spans="1:29" ht="13.5" thickBot="1" x14ac:dyDescent="0.25">
      <c r="A899" s="39"/>
      <c r="B899" s="383"/>
      <c r="C899" s="384" t="s">
        <v>1081</v>
      </c>
      <c r="D899" s="358"/>
      <c r="E899" s="410"/>
      <c r="F899" s="410"/>
      <c r="G899" s="410"/>
      <c r="H899" s="410"/>
      <c r="I899" s="385" t="str">
        <f t="shared" ref="I899:I925" si="208">+_En_unit</f>
        <v>kWh</v>
      </c>
      <c r="J899" s="376">
        <f>SUM(J900:J911)</f>
        <v>429.73810299868762</v>
      </c>
      <c r="K899" s="377">
        <f>SUM(K900:K911)</f>
        <v>1110.1206774043026</v>
      </c>
      <c r="L899" s="378">
        <f>SUM(L900:L911)</f>
        <v>1373.4557014312124</v>
      </c>
      <c r="M899" s="378">
        <f>SUM(M900:M911)</f>
        <v>158.36673680061244</v>
      </c>
      <c r="N899" s="379">
        <f>SUM(N900:N911)</f>
        <v>429.73810299868762</v>
      </c>
      <c r="O899" s="363"/>
      <c r="R899" s="378"/>
      <c r="S899" s="378"/>
      <c r="T899" s="378"/>
      <c r="U899" s="378"/>
      <c r="V899" s="378"/>
      <c r="W899" s="378"/>
      <c r="X899" s="378"/>
      <c r="Y899" s="378"/>
      <c r="Z899" s="378"/>
      <c r="AA899" s="378"/>
      <c r="AB899" s="378"/>
      <c r="AC899" s="378"/>
    </row>
    <row r="900" spans="1:29" ht="13.5" hidden="1" outlineLevel="1" thickBot="1" x14ac:dyDescent="0.25">
      <c r="A900" s="39"/>
      <c r="B900" s="36"/>
      <c r="C900" s="38" t="s">
        <v>1082</v>
      </c>
      <c r="D900" s="152"/>
      <c r="E900" s="400"/>
      <c r="F900" s="400"/>
      <c r="G900" s="400"/>
      <c r="H900" s="400"/>
      <c r="I900" s="62" t="str">
        <f t="shared" si="208"/>
        <v>kWh</v>
      </c>
      <c r="J900" s="249">
        <f t="shared" ref="J900:J912" si="209">INDEX(K900:N900,,_case_en)</f>
        <v>0</v>
      </c>
      <c r="K900" s="270">
        <f t="shared" ref="K900:M911" si="210">IF(K$759&gt;0,+K760*(1-K$843/K$759),0)</f>
        <v>0</v>
      </c>
      <c r="L900" s="271">
        <f t="shared" si="210"/>
        <v>0</v>
      </c>
      <c r="M900" s="271">
        <f t="shared" si="210"/>
        <v>0</v>
      </c>
      <c r="N900" s="272">
        <f t="shared" ref="N900:N911" si="211">+N760-N802</f>
        <v>0</v>
      </c>
      <c r="O900" s="86"/>
      <c r="R900" s="271"/>
      <c r="S900" s="271"/>
      <c r="T900" s="271"/>
      <c r="U900" s="271"/>
      <c r="V900" s="271"/>
      <c r="W900" s="271"/>
      <c r="X900" s="271"/>
      <c r="Y900" s="271"/>
      <c r="Z900" s="271"/>
      <c r="AA900" s="271"/>
      <c r="AB900" s="271"/>
      <c r="AC900" s="271"/>
    </row>
    <row r="901" spans="1:29" ht="13.5" hidden="1" outlineLevel="1" thickBot="1" x14ac:dyDescent="0.25">
      <c r="A901" s="39"/>
      <c r="B901" s="36"/>
      <c r="C901" s="38" t="s">
        <v>1083</v>
      </c>
      <c r="D901" s="152"/>
      <c r="E901" s="400"/>
      <c r="F901" s="400"/>
      <c r="G901" s="400"/>
      <c r="H901" s="400"/>
      <c r="I901" s="62" t="str">
        <f t="shared" si="208"/>
        <v>kWh</v>
      </c>
      <c r="J901" s="249">
        <f t="shared" si="209"/>
        <v>0</v>
      </c>
      <c r="K901" s="270">
        <f t="shared" si="210"/>
        <v>0</v>
      </c>
      <c r="L901" s="271">
        <f t="shared" si="210"/>
        <v>0</v>
      </c>
      <c r="M901" s="271">
        <f t="shared" si="210"/>
        <v>0</v>
      </c>
      <c r="N901" s="272">
        <f t="shared" si="211"/>
        <v>0</v>
      </c>
      <c r="O901" s="86"/>
      <c r="R901" s="271"/>
      <c r="S901" s="271"/>
      <c r="T901" s="271"/>
      <c r="U901" s="271"/>
      <c r="V901" s="271"/>
      <c r="W901" s="271"/>
      <c r="X901" s="271"/>
      <c r="Y901" s="271"/>
      <c r="Z901" s="271"/>
      <c r="AA901" s="271"/>
      <c r="AB901" s="271"/>
      <c r="AC901" s="271"/>
    </row>
    <row r="902" spans="1:29" ht="13.5" hidden="1" outlineLevel="1" thickBot="1" x14ac:dyDescent="0.25">
      <c r="A902" s="39"/>
      <c r="B902" s="36"/>
      <c r="C902" s="38" t="s">
        <v>1084</v>
      </c>
      <c r="D902" s="152"/>
      <c r="E902" s="400"/>
      <c r="F902" s="400"/>
      <c r="G902" s="400"/>
      <c r="H902" s="400"/>
      <c r="I902" s="62" t="str">
        <f t="shared" si="208"/>
        <v>kWh</v>
      </c>
      <c r="J902" s="249">
        <f t="shared" si="209"/>
        <v>17.366693452252477</v>
      </c>
      <c r="K902" s="270">
        <f t="shared" si="210"/>
        <v>19.697964760340227</v>
      </c>
      <c r="L902" s="271">
        <f t="shared" si="210"/>
        <v>42.467511081758708</v>
      </c>
      <c r="M902" s="271">
        <f t="shared" si="210"/>
        <v>0</v>
      </c>
      <c r="N902" s="272">
        <f t="shared" si="211"/>
        <v>17.366693452252477</v>
      </c>
      <c r="O902" s="86"/>
      <c r="R902" s="271"/>
      <c r="S902" s="271"/>
      <c r="T902" s="271"/>
      <c r="U902" s="271"/>
      <c r="V902" s="271"/>
      <c r="W902" s="271"/>
      <c r="X902" s="271"/>
      <c r="Y902" s="271"/>
      <c r="Z902" s="271"/>
      <c r="AA902" s="271"/>
      <c r="AB902" s="271"/>
      <c r="AC902" s="271"/>
    </row>
    <row r="903" spans="1:29" ht="13.5" hidden="1" outlineLevel="1" thickBot="1" x14ac:dyDescent="0.25">
      <c r="A903" s="39"/>
      <c r="B903" s="36"/>
      <c r="C903" s="38" t="s">
        <v>1085</v>
      </c>
      <c r="D903" s="152"/>
      <c r="E903" s="400"/>
      <c r="F903" s="400"/>
      <c r="G903" s="400"/>
      <c r="H903" s="400"/>
      <c r="I903" s="62" t="str">
        <f t="shared" si="208"/>
        <v>kWh</v>
      </c>
      <c r="J903" s="249">
        <f t="shared" si="209"/>
        <v>66.577274368339346</v>
      </c>
      <c r="K903" s="270">
        <f t="shared" si="210"/>
        <v>122.00130343407794</v>
      </c>
      <c r="L903" s="271">
        <f t="shared" si="210"/>
        <v>151.95086507763438</v>
      </c>
      <c r="M903" s="271">
        <f t="shared" si="210"/>
        <v>13.795453029835453</v>
      </c>
      <c r="N903" s="272">
        <f t="shared" si="211"/>
        <v>66.577274368339346</v>
      </c>
      <c r="O903" s="86"/>
      <c r="R903" s="271"/>
      <c r="S903" s="271"/>
      <c r="T903" s="271"/>
      <c r="U903" s="271"/>
      <c r="V903" s="271"/>
      <c r="W903" s="271"/>
      <c r="X903" s="271"/>
      <c r="Y903" s="271"/>
      <c r="Z903" s="271"/>
      <c r="AA903" s="271"/>
      <c r="AB903" s="271"/>
      <c r="AC903" s="271"/>
    </row>
    <row r="904" spans="1:29" ht="13.5" hidden="1" outlineLevel="1" thickBot="1" x14ac:dyDescent="0.25">
      <c r="A904" s="39"/>
      <c r="B904" s="36"/>
      <c r="C904" s="38" t="s">
        <v>1086</v>
      </c>
      <c r="D904" s="152"/>
      <c r="E904" s="400"/>
      <c r="F904" s="400"/>
      <c r="G904" s="400"/>
      <c r="H904" s="400"/>
      <c r="I904" s="62" t="str">
        <f t="shared" si="208"/>
        <v>kWh</v>
      </c>
      <c r="J904" s="249">
        <f t="shared" si="209"/>
        <v>99.291939072758481</v>
      </c>
      <c r="K904" s="270">
        <f t="shared" si="210"/>
        <v>191.50668684005706</v>
      </c>
      <c r="L904" s="271">
        <f t="shared" si="210"/>
        <v>205.32951585995121</v>
      </c>
      <c r="M904" s="271">
        <f t="shared" si="210"/>
        <v>24.577454872257675</v>
      </c>
      <c r="N904" s="272">
        <f t="shared" si="211"/>
        <v>99.291939072758481</v>
      </c>
      <c r="O904" s="86"/>
      <c r="R904" s="271"/>
      <c r="S904" s="271"/>
      <c r="T904" s="271"/>
      <c r="U904" s="271"/>
      <c r="V904" s="271"/>
      <c r="W904" s="271"/>
      <c r="X904" s="271"/>
      <c r="Y904" s="271"/>
      <c r="Z904" s="271"/>
      <c r="AA904" s="271"/>
      <c r="AB904" s="271"/>
      <c r="AC904" s="271"/>
    </row>
    <row r="905" spans="1:29" ht="13.5" hidden="1" outlineLevel="1" thickBot="1" x14ac:dyDescent="0.25">
      <c r="A905" s="39"/>
      <c r="B905" s="36"/>
      <c r="C905" s="38" t="s">
        <v>1087</v>
      </c>
      <c r="D905" s="152"/>
      <c r="E905" s="400"/>
      <c r="F905" s="400"/>
      <c r="G905" s="400"/>
      <c r="H905" s="400"/>
      <c r="I905" s="62" t="str">
        <f t="shared" si="208"/>
        <v>kWh</v>
      </c>
      <c r="J905" s="249">
        <f t="shared" si="209"/>
        <v>60.486247915236639</v>
      </c>
      <c r="K905" s="270">
        <f t="shared" si="210"/>
        <v>188.73172048430447</v>
      </c>
      <c r="L905" s="271">
        <f t="shared" si="210"/>
        <v>226.31479701153128</v>
      </c>
      <c r="M905" s="271">
        <f t="shared" si="210"/>
        <v>31.799562337504049</v>
      </c>
      <c r="N905" s="272">
        <f t="shared" si="211"/>
        <v>60.486247915236639</v>
      </c>
      <c r="O905" s="86"/>
      <c r="R905" s="271"/>
      <c r="S905" s="271"/>
      <c r="T905" s="271"/>
      <c r="U905" s="271"/>
      <c r="V905" s="271"/>
      <c r="W905" s="271"/>
      <c r="X905" s="271"/>
      <c r="Y905" s="271"/>
      <c r="Z905" s="271"/>
      <c r="AA905" s="271"/>
      <c r="AB905" s="271"/>
      <c r="AC905" s="271"/>
    </row>
    <row r="906" spans="1:29" ht="13.5" hidden="1" outlineLevel="1" thickBot="1" x14ac:dyDescent="0.25">
      <c r="A906" s="39"/>
      <c r="B906" s="36"/>
      <c r="C906" s="38" t="s">
        <v>1088</v>
      </c>
      <c r="D906" s="152"/>
      <c r="E906" s="400"/>
      <c r="F906" s="400"/>
      <c r="G906" s="400"/>
      <c r="H906" s="400"/>
      <c r="I906" s="62" t="str">
        <f t="shared" si="208"/>
        <v>kWh</v>
      </c>
      <c r="J906" s="249">
        <f t="shared" si="209"/>
        <v>36.407247441608817</v>
      </c>
      <c r="K906" s="270">
        <f t="shared" si="210"/>
        <v>196.88840635783603</v>
      </c>
      <c r="L906" s="271">
        <f t="shared" si="210"/>
        <v>238.77565391907797</v>
      </c>
      <c r="M906" s="271">
        <f t="shared" si="210"/>
        <v>35.774055374614612</v>
      </c>
      <c r="N906" s="272">
        <f t="shared" si="211"/>
        <v>36.407247441608817</v>
      </c>
      <c r="O906" s="86"/>
      <c r="R906" s="271"/>
      <c r="S906" s="271"/>
      <c r="T906" s="271"/>
      <c r="U906" s="271"/>
      <c r="V906" s="271"/>
      <c r="W906" s="271"/>
      <c r="X906" s="271"/>
      <c r="Y906" s="271"/>
      <c r="Z906" s="271"/>
      <c r="AA906" s="271"/>
      <c r="AB906" s="271"/>
      <c r="AC906" s="271"/>
    </row>
    <row r="907" spans="1:29" ht="13.5" hidden="1" outlineLevel="1" thickBot="1" x14ac:dyDescent="0.25">
      <c r="A907" s="39"/>
      <c r="B907" s="36"/>
      <c r="C907" s="38" t="s">
        <v>1089</v>
      </c>
      <c r="D907" s="152"/>
      <c r="E907" s="400"/>
      <c r="F907" s="400"/>
      <c r="G907" s="400"/>
      <c r="H907" s="400"/>
      <c r="I907" s="62" t="str">
        <f t="shared" si="208"/>
        <v>kWh</v>
      </c>
      <c r="J907" s="249">
        <f t="shared" si="209"/>
        <v>39.68891881342671</v>
      </c>
      <c r="K907" s="270">
        <f t="shared" si="210"/>
        <v>146.13311131584436</v>
      </c>
      <c r="L907" s="271">
        <f t="shared" si="210"/>
        <v>207.93447496284082</v>
      </c>
      <c r="M907" s="271">
        <f t="shared" si="210"/>
        <v>26.993363220221571</v>
      </c>
      <c r="N907" s="272">
        <f t="shared" si="211"/>
        <v>39.68891881342671</v>
      </c>
      <c r="O907" s="86"/>
      <c r="R907" s="271"/>
      <c r="S907" s="271"/>
      <c r="T907" s="271"/>
      <c r="U907" s="271"/>
      <c r="V907" s="271"/>
      <c r="W907" s="271"/>
      <c r="X907" s="271"/>
      <c r="Y907" s="271"/>
      <c r="Z907" s="271"/>
      <c r="AA907" s="271"/>
      <c r="AB907" s="271"/>
      <c r="AC907" s="271"/>
    </row>
    <row r="908" spans="1:29" ht="13.5" hidden="1" outlineLevel="1" thickBot="1" x14ac:dyDescent="0.25">
      <c r="A908" s="39"/>
      <c r="B908" s="36"/>
      <c r="C908" s="38" t="s">
        <v>1090</v>
      </c>
      <c r="D908" s="152"/>
      <c r="E908" s="400"/>
      <c r="F908" s="400"/>
      <c r="G908" s="400"/>
      <c r="H908" s="400"/>
      <c r="I908" s="62" t="str">
        <f t="shared" si="208"/>
        <v>kWh</v>
      </c>
      <c r="J908" s="249">
        <f t="shared" si="209"/>
        <v>63.325770233832955</v>
      </c>
      <c r="K908" s="270">
        <f t="shared" si="210"/>
        <v>161.14459149820064</v>
      </c>
      <c r="L908" s="271">
        <f t="shared" si="210"/>
        <v>187.23324863892589</v>
      </c>
      <c r="M908" s="271">
        <f t="shared" si="210"/>
        <v>19.868026045666724</v>
      </c>
      <c r="N908" s="272">
        <f t="shared" si="211"/>
        <v>63.325770233832955</v>
      </c>
      <c r="O908" s="86"/>
      <c r="R908" s="271"/>
      <c r="S908" s="271"/>
      <c r="T908" s="271"/>
      <c r="U908" s="271"/>
      <c r="V908" s="271"/>
      <c r="W908" s="271"/>
      <c r="X908" s="271"/>
      <c r="Y908" s="271"/>
      <c r="Z908" s="271"/>
      <c r="AA908" s="271"/>
      <c r="AB908" s="271"/>
      <c r="AC908" s="271"/>
    </row>
    <row r="909" spans="1:29" ht="13.5" hidden="1" outlineLevel="1" thickBot="1" x14ac:dyDescent="0.25">
      <c r="A909" s="39"/>
      <c r="B909" s="36"/>
      <c r="C909" s="38" t="s">
        <v>1091</v>
      </c>
      <c r="D909" s="152"/>
      <c r="E909" s="400"/>
      <c r="F909" s="400"/>
      <c r="G909" s="400"/>
      <c r="H909" s="400"/>
      <c r="I909" s="62" t="str">
        <f t="shared" si="208"/>
        <v>kWh</v>
      </c>
      <c r="J909" s="249">
        <f t="shared" si="209"/>
        <v>46.594011701232233</v>
      </c>
      <c r="K909" s="270">
        <f t="shared" si="210"/>
        <v>84.016892713641795</v>
      </c>
      <c r="L909" s="271">
        <f t="shared" si="210"/>
        <v>113.44963487949212</v>
      </c>
      <c r="M909" s="271">
        <f t="shared" si="210"/>
        <v>5.5588219205123455</v>
      </c>
      <c r="N909" s="272">
        <f t="shared" si="211"/>
        <v>46.594011701232233</v>
      </c>
      <c r="O909" s="86"/>
      <c r="R909" s="271"/>
      <c r="S909" s="271"/>
      <c r="T909" s="271"/>
      <c r="U909" s="271"/>
      <c r="V909" s="271"/>
      <c r="W909" s="271"/>
      <c r="X909" s="271"/>
      <c r="Y909" s="271"/>
      <c r="Z909" s="271"/>
      <c r="AA909" s="271"/>
      <c r="AB909" s="271"/>
      <c r="AC909" s="271"/>
    </row>
    <row r="910" spans="1:29" ht="13.5" hidden="1" outlineLevel="1" thickBot="1" x14ac:dyDescent="0.25">
      <c r="A910" s="39"/>
      <c r="B910" s="36"/>
      <c r="C910" s="38" t="s">
        <v>1092</v>
      </c>
      <c r="D910" s="152"/>
      <c r="E910" s="400"/>
      <c r="F910" s="400"/>
      <c r="G910" s="400"/>
      <c r="H910" s="400"/>
      <c r="I910" s="62" t="str">
        <f t="shared" si="208"/>
        <v>kWh</v>
      </c>
      <c r="J910" s="249">
        <f t="shared" si="209"/>
        <v>0</v>
      </c>
      <c r="K910" s="270">
        <f t="shared" si="210"/>
        <v>0</v>
      </c>
      <c r="L910" s="271">
        <f t="shared" si="210"/>
        <v>0</v>
      </c>
      <c r="M910" s="271">
        <f t="shared" si="210"/>
        <v>0</v>
      </c>
      <c r="N910" s="272">
        <f t="shared" si="211"/>
        <v>0</v>
      </c>
      <c r="O910" s="86"/>
      <c r="R910" s="271"/>
      <c r="S910" s="271"/>
      <c r="T910" s="271"/>
      <c r="U910" s="271"/>
      <c r="V910" s="271"/>
      <c r="W910" s="271"/>
      <c r="X910" s="271"/>
      <c r="Y910" s="271"/>
      <c r="Z910" s="271"/>
      <c r="AA910" s="271"/>
      <c r="AB910" s="271"/>
      <c r="AC910" s="271"/>
    </row>
    <row r="911" spans="1:29" ht="13.5" hidden="1" outlineLevel="1" thickBot="1" x14ac:dyDescent="0.25">
      <c r="A911" s="39"/>
      <c r="B911" s="263"/>
      <c r="C911" s="38" t="s">
        <v>1093</v>
      </c>
      <c r="D911" s="222"/>
      <c r="E911" s="403"/>
      <c r="F911" s="403"/>
      <c r="G911" s="403"/>
      <c r="H911" s="403"/>
      <c r="I911" s="223" t="str">
        <f t="shared" si="208"/>
        <v>kWh</v>
      </c>
      <c r="J911" s="250">
        <f t="shared" si="209"/>
        <v>0</v>
      </c>
      <c r="K911" s="277">
        <f t="shared" si="210"/>
        <v>0</v>
      </c>
      <c r="L911" s="278">
        <f t="shared" si="210"/>
        <v>0</v>
      </c>
      <c r="M911" s="278">
        <f t="shared" si="210"/>
        <v>0</v>
      </c>
      <c r="N911" s="272">
        <f t="shared" si="211"/>
        <v>0</v>
      </c>
      <c r="O911" s="280"/>
      <c r="R911" s="278"/>
      <c r="S911" s="278"/>
      <c r="T911" s="278"/>
      <c r="U911" s="278"/>
      <c r="V911" s="278"/>
      <c r="W911" s="278"/>
      <c r="X911" s="278"/>
      <c r="Y911" s="278"/>
      <c r="Z911" s="278"/>
      <c r="AA911" s="278"/>
      <c r="AB911" s="278"/>
      <c r="AC911" s="278"/>
    </row>
    <row r="912" spans="1:29" collapsed="1" x14ac:dyDescent="0.2">
      <c r="A912" s="39"/>
      <c r="B912" s="380" t="str">
        <f>INDEX(Language!$D$264:$M$264,1,_language)</f>
        <v>Grid exported CHP electricity</v>
      </c>
      <c r="C912" s="381" t="s">
        <v>1094</v>
      </c>
      <c r="D912" s="275"/>
      <c r="E912" s="409"/>
      <c r="F912" s="409"/>
      <c r="G912" s="409"/>
      <c r="H912" s="409"/>
      <c r="I912" s="382" t="str">
        <f t="shared" si="208"/>
        <v>kWh</v>
      </c>
      <c r="J912" s="372">
        <f t="shared" si="209"/>
        <v>117.4280729400953</v>
      </c>
      <c r="K912" s="922">
        <f>+K772-K856</f>
        <v>24.31022445593883</v>
      </c>
      <c r="L912" s="923">
        <f>+L772-L856</f>
        <v>1926.2565123558393</v>
      </c>
      <c r="M912" s="923">
        <f>+M772-M856</f>
        <v>12.908754259302075</v>
      </c>
      <c r="N912" s="924">
        <f>+N772-N856</f>
        <v>117.4280729400953</v>
      </c>
      <c r="O912" s="355"/>
      <c r="R912" s="374"/>
      <c r="S912" s="374"/>
      <c r="T912" s="374"/>
      <c r="U912" s="374"/>
      <c r="V912" s="374"/>
      <c r="W912" s="374"/>
      <c r="X912" s="374"/>
      <c r="Y912" s="374"/>
      <c r="Z912" s="374"/>
      <c r="AA912" s="374"/>
      <c r="AB912" s="374"/>
      <c r="AC912" s="374"/>
    </row>
    <row r="913" spans="1:29" ht="13.5" thickBot="1" x14ac:dyDescent="0.25">
      <c r="A913" s="39"/>
      <c r="B913" s="383"/>
      <c r="C913" s="384" t="s">
        <v>1095</v>
      </c>
      <c r="D913" s="358"/>
      <c r="E913" s="410"/>
      <c r="F913" s="410"/>
      <c r="G913" s="410"/>
      <c r="H913" s="410"/>
      <c r="I913" s="385" t="str">
        <f t="shared" si="208"/>
        <v>kWh</v>
      </c>
      <c r="J913" s="376">
        <f>SUM(J914:J925)</f>
        <v>90.549645919061248</v>
      </c>
      <c r="K913" s="377">
        <f>SUM(K914:K925)</f>
        <v>11.775747873496821</v>
      </c>
      <c r="L913" s="378">
        <f>SUM(L914:L925)</f>
        <v>1629.3296521041411</v>
      </c>
      <c r="M913" s="378">
        <f>SUM(M914:M925)</f>
        <v>1.8437041154939249</v>
      </c>
      <c r="N913" s="379">
        <f>SUM(N914:N925)</f>
        <v>90.549645919061248</v>
      </c>
      <c r="O913" s="363"/>
      <c r="R913" s="378"/>
      <c r="S913" s="378"/>
      <c r="T913" s="378"/>
      <c r="U913" s="378"/>
      <c r="V913" s="378"/>
      <c r="W913" s="378"/>
      <c r="X913" s="378"/>
      <c r="Y913" s="378"/>
      <c r="Z913" s="378"/>
      <c r="AA913" s="378"/>
      <c r="AB913" s="378"/>
      <c r="AC913" s="378"/>
    </row>
    <row r="914" spans="1:29" ht="13.5" hidden="1" outlineLevel="1" thickBot="1" x14ac:dyDescent="0.25">
      <c r="A914" s="39"/>
      <c r="B914" s="36"/>
      <c r="C914" s="38" t="s">
        <v>1096</v>
      </c>
      <c r="D914" s="152"/>
      <c r="E914" s="400"/>
      <c r="F914" s="400"/>
      <c r="G914" s="400"/>
      <c r="H914" s="400"/>
      <c r="I914" s="62" t="str">
        <f t="shared" si="208"/>
        <v>kWh</v>
      </c>
      <c r="J914" s="249">
        <f t="shared" ref="J914:J925" si="212">INDEX(K914:N914,,_case_en)</f>
        <v>0</v>
      </c>
      <c r="K914" s="270">
        <f t="shared" ref="K914:M925" si="213">IF(K$773&gt;0,K774*(1-K$857/K$773),0)</f>
        <v>0</v>
      </c>
      <c r="L914" s="271">
        <f t="shared" si="213"/>
        <v>0</v>
      </c>
      <c r="M914" s="271">
        <f t="shared" si="213"/>
        <v>0</v>
      </c>
      <c r="N914" s="272">
        <f t="shared" ref="N914:N925" si="214">+N774-N816</f>
        <v>0</v>
      </c>
      <c r="O914" s="86"/>
      <c r="R914" s="271"/>
      <c r="S914" s="271"/>
      <c r="T914" s="271"/>
      <c r="U914" s="271"/>
      <c r="V914" s="271"/>
      <c r="W914" s="271"/>
      <c r="X914" s="271"/>
      <c r="Y914" s="271"/>
      <c r="Z914" s="271"/>
      <c r="AA914" s="271"/>
      <c r="AB914" s="271"/>
      <c r="AC914" s="271"/>
    </row>
    <row r="915" spans="1:29" ht="13.5" hidden="1" outlineLevel="1" thickBot="1" x14ac:dyDescent="0.25">
      <c r="A915" s="39"/>
      <c r="B915" s="36"/>
      <c r="C915" s="38" t="s">
        <v>1097</v>
      </c>
      <c r="D915" s="152"/>
      <c r="E915" s="400"/>
      <c r="F915" s="400"/>
      <c r="G915" s="400"/>
      <c r="H915" s="400"/>
      <c r="I915" s="62" t="str">
        <f t="shared" si="208"/>
        <v>kWh</v>
      </c>
      <c r="J915" s="249">
        <f t="shared" si="212"/>
        <v>0</v>
      </c>
      <c r="K915" s="270">
        <f t="shared" si="213"/>
        <v>0</v>
      </c>
      <c r="L915" s="271">
        <f t="shared" si="213"/>
        <v>0</v>
      </c>
      <c r="M915" s="271">
        <f t="shared" si="213"/>
        <v>0</v>
      </c>
      <c r="N915" s="272">
        <f t="shared" si="214"/>
        <v>0</v>
      </c>
      <c r="O915" s="86"/>
      <c r="R915" s="271"/>
      <c r="S915" s="271"/>
      <c r="T915" s="271"/>
      <c r="U915" s="271"/>
      <c r="V915" s="271"/>
      <c r="W915" s="271"/>
      <c r="X915" s="271"/>
      <c r="Y915" s="271"/>
      <c r="Z915" s="271"/>
      <c r="AA915" s="271"/>
      <c r="AB915" s="271"/>
      <c r="AC915" s="271"/>
    </row>
    <row r="916" spans="1:29" ht="13.5" hidden="1" outlineLevel="1" thickBot="1" x14ac:dyDescent="0.25">
      <c r="A916" s="39"/>
      <c r="B916" s="36"/>
      <c r="C916" s="38" t="s">
        <v>1098</v>
      </c>
      <c r="D916" s="152"/>
      <c r="E916" s="400"/>
      <c r="F916" s="400"/>
      <c r="G916" s="400"/>
      <c r="H916" s="400"/>
      <c r="I916" s="62" t="str">
        <f t="shared" si="208"/>
        <v>kWh</v>
      </c>
      <c r="J916" s="249">
        <f t="shared" si="212"/>
        <v>7.3676881312586264</v>
      </c>
      <c r="K916" s="270">
        <f t="shared" si="213"/>
        <v>0.83567123225685791</v>
      </c>
      <c r="L916" s="271">
        <f t="shared" si="213"/>
        <v>108.099119117204</v>
      </c>
      <c r="M916" s="271">
        <f t="shared" si="213"/>
        <v>0</v>
      </c>
      <c r="N916" s="272">
        <f t="shared" si="214"/>
        <v>7.3676881312586264</v>
      </c>
      <c r="O916" s="86"/>
      <c r="R916" s="271"/>
      <c r="S916" s="271"/>
      <c r="T916" s="271"/>
      <c r="U916" s="271"/>
      <c r="V916" s="271"/>
      <c r="W916" s="271"/>
      <c r="X916" s="271"/>
      <c r="Y916" s="271"/>
      <c r="Z916" s="271"/>
      <c r="AA916" s="271"/>
      <c r="AB916" s="271"/>
      <c r="AC916" s="271"/>
    </row>
    <row r="917" spans="1:29" ht="13.5" hidden="1" outlineLevel="1" thickBot="1" x14ac:dyDescent="0.25">
      <c r="A917" s="39"/>
      <c r="B917" s="36"/>
      <c r="C917" s="38" t="s">
        <v>1099</v>
      </c>
      <c r="D917" s="152"/>
      <c r="E917" s="400"/>
      <c r="F917" s="400"/>
      <c r="G917" s="400"/>
      <c r="H917" s="400"/>
      <c r="I917" s="62" t="str">
        <f t="shared" si="208"/>
        <v>kWh</v>
      </c>
      <c r="J917" s="249">
        <f t="shared" si="212"/>
        <v>20.174931626769492</v>
      </c>
      <c r="K917" s="270">
        <f t="shared" si="213"/>
        <v>3.6970091949720576</v>
      </c>
      <c r="L917" s="271">
        <f t="shared" si="213"/>
        <v>276.2743001411535</v>
      </c>
      <c r="M917" s="271">
        <f t="shared" si="213"/>
        <v>1.2541320936214038</v>
      </c>
      <c r="N917" s="272">
        <f t="shared" si="214"/>
        <v>20.174931626769492</v>
      </c>
      <c r="O917" s="86"/>
      <c r="R917" s="271"/>
      <c r="S917" s="271"/>
      <c r="T917" s="271"/>
      <c r="U917" s="271"/>
      <c r="V917" s="271"/>
      <c r="W917" s="271"/>
      <c r="X917" s="271"/>
      <c r="Y917" s="271"/>
      <c r="Z917" s="271"/>
      <c r="AA917" s="271"/>
      <c r="AB917" s="271"/>
      <c r="AC917" s="271"/>
    </row>
    <row r="918" spans="1:29" ht="13.5" hidden="1" outlineLevel="1" thickBot="1" x14ac:dyDescent="0.25">
      <c r="A918" s="39"/>
      <c r="B918" s="36"/>
      <c r="C918" s="38" t="s">
        <v>1100</v>
      </c>
      <c r="D918" s="152"/>
      <c r="E918" s="400"/>
      <c r="F918" s="400"/>
      <c r="G918" s="400"/>
      <c r="H918" s="400"/>
      <c r="I918" s="62" t="str">
        <f t="shared" si="208"/>
        <v>kWh</v>
      </c>
      <c r="J918" s="249">
        <f t="shared" si="212"/>
        <v>14.867242214102877</v>
      </c>
      <c r="K918" s="270">
        <f t="shared" si="213"/>
        <v>0</v>
      </c>
      <c r="L918" s="271">
        <f t="shared" si="213"/>
        <v>204.96350959282114</v>
      </c>
      <c r="M918" s="271">
        <f t="shared" si="213"/>
        <v>0</v>
      </c>
      <c r="N918" s="272">
        <f t="shared" si="214"/>
        <v>14.867242214102877</v>
      </c>
      <c r="O918" s="86"/>
      <c r="R918" s="271"/>
      <c r="S918" s="271"/>
      <c r="T918" s="271"/>
      <c r="U918" s="271"/>
      <c r="V918" s="271"/>
      <c r="W918" s="271"/>
      <c r="X918" s="271"/>
      <c r="Y918" s="271"/>
      <c r="Z918" s="271"/>
      <c r="AA918" s="271"/>
      <c r="AB918" s="271"/>
      <c r="AC918" s="271"/>
    </row>
    <row r="919" spans="1:29" ht="13.5" hidden="1" outlineLevel="1" thickBot="1" x14ac:dyDescent="0.25">
      <c r="A919" s="39"/>
      <c r="B919" s="36"/>
      <c r="C919" s="38" t="s">
        <v>1101</v>
      </c>
      <c r="D919" s="152"/>
      <c r="E919" s="400"/>
      <c r="F919" s="400"/>
      <c r="G919" s="400"/>
      <c r="H919" s="400"/>
      <c r="I919" s="62" t="str">
        <f t="shared" si="208"/>
        <v>kWh</v>
      </c>
      <c r="J919" s="249">
        <f t="shared" si="212"/>
        <v>5.4022805155554252</v>
      </c>
      <c r="K919" s="270">
        <f t="shared" si="213"/>
        <v>0</v>
      </c>
      <c r="L919" s="271">
        <f t="shared" si="213"/>
        <v>202.13123816021928</v>
      </c>
      <c r="M919" s="271">
        <f t="shared" si="213"/>
        <v>0</v>
      </c>
      <c r="N919" s="272">
        <f t="shared" si="214"/>
        <v>5.4022805155554252</v>
      </c>
      <c r="O919" s="86"/>
      <c r="R919" s="271"/>
      <c r="S919" s="271"/>
      <c r="T919" s="271"/>
      <c r="U919" s="271"/>
      <c r="V919" s="271"/>
      <c r="W919" s="271"/>
      <c r="X919" s="271"/>
      <c r="Y919" s="271"/>
      <c r="Z919" s="271"/>
      <c r="AA919" s="271"/>
      <c r="AB919" s="271"/>
      <c r="AC919" s="271"/>
    </row>
    <row r="920" spans="1:29" ht="13.5" hidden="1" outlineLevel="1" thickBot="1" x14ac:dyDescent="0.25">
      <c r="A920" s="39"/>
      <c r="B920" s="36"/>
      <c r="C920" s="38" t="s">
        <v>1102</v>
      </c>
      <c r="D920" s="152"/>
      <c r="E920" s="400"/>
      <c r="F920" s="400"/>
      <c r="G920" s="400"/>
      <c r="H920" s="400"/>
      <c r="I920" s="62" t="str">
        <f t="shared" si="208"/>
        <v>kWh</v>
      </c>
      <c r="J920" s="249">
        <f t="shared" si="212"/>
        <v>3.8613747286554796</v>
      </c>
      <c r="K920" s="270">
        <f t="shared" si="213"/>
        <v>0</v>
      </c>
      <c r="L920" s="271">
        <f t="shared" si="213"/>
        <v>202.59752453739947</v>
      </c>
      <c r="M920" s="271">
        <f t="shared" si="213"/>
        <v>0</v>
      </c>
      <c r="N920" s="272">
        <f t="shared" si="214"/>
        <v>3.8613747286554796</v>
      </c>
      <c r="O920" s="86"/>
      <c r="R920" s="271"/>
      <c r="S920" s="271"/>
      <c r="T920" s="271"/>
      <c r="U920" s="271"/>
      <c r="V920" s="271"/>
      <c r="W920" s="271"/>
      <c r="X920" s="271"/>
      <c r="Y920" s="271"/>
      <c r="Z920" s="271"/>
      <c r="AA920" s="271"/>
      <c r="AB920" s="271"/>
      <c r="AC920" s="271"/>
    </row>
    <row r="921" spans="1:29" ht="13.5" hidden="1" outlineLevel="1" thickBot="1" x14ac:dyDescent="0.25">
      <c r="A921" s="39"/>
      <c r="B921" s="36"/>
      <c r="C921" s="38" t="s">
        <v>1103</v>
      </c>
      <c r="D921" s="152"/>
      <c r="E921" s="400"/>
      <c r="F921" s="400"/>
      <c r="G921" s="400"/>
      <c r="H921" s="400"/>
      <c r="I921" s="62" t="str">
        <f t="shared" si="208"/>
        <v>kWh</v>
      </c>
      <c r="J921" s="249">
        <f t="shared" si="212"/>
        <v>5.6125743776563031</v>
      </c>
      <c r="K921" s="270">
        <f t="shared" si="213"/>
        <v>0</v>
      </c>
      <c r="L921" s="271">
        <f t="shared" si="213"/>
        <v>196.03250164846943</v>
      </c>
      <c r="M921" s="271">
        <f t="shared" si="213"/>
        <v>0</v>
      </c>
      <c r="N921" s="272">
        <f t="shared" si="214"/>
        <v>5.6125743776563031</v>
      </c>
      <c r="O921" s="86"/>
      <c r="R921" s="271"/>
      <c r="S921" s="271"/>
      <c r="T921" s="271"/>
      <c r="U921" s="271"/>
      <c r="V921" s="271"/>
      <c r="W921" s="271"/>
      <c r="X921" s="271"/>
      <c r="Y921" s="271"/>
      <c r="Z921" s="271"/>
      <c r="AA921" s="271"/>
      <c r="AB921" s="271"/>
      <c r="AC921" s="271"/>
    </row>
    <row r="922" spans="1:29" ht="13.5" hidden="1" outlineLevel="1" thickBot="1" x14ac:dyDescent="0.25">
      <c r="A922" s="39"/>
      <c r="B922" s="36"/>
      <c r="C922" s="38" t="s">
        <v>1104</v>
      </c>
      <c r="D922" s="152"/>
      <c r="E922" s="400"/>
      <c r="F922" s="400"/>
      <c r="G922" s="400"/>
      <c r="H922" s="400"/>
      <c r="I922" s="62" t="str">
        <f t="shared" si="208"/>
        <v>kWh</v>
      </c>
      <c r="J922" s="249">
        <f t="shared" si="212"/>
        <v>16.790923925637525</v>
      </c>
      <c r="K922" s="270">
        <f t="shared" si="213"/>
        <v>4.2727732594219852</v>
      </c>
      <c r="L922" s="271">
        <f t="shared" si="213"/>
        <v>198.58071825340625</v>
      </c>
      <c r="M922" s="271">
        <f t="shared" si="213"/>
        <v>0</v>
      </c>
      <c r="N922" s="272">
        <f t="shared" si="214"/>
        <v>16.790923925637525</v>
      </c>
      <c r="O922" s="86"/>
      <c r="R922" s="271"/>
      <c r="S922" s="271"/>
      <c r="T922" s="271"/>
      <c r="U922" s="271"/>
      <c r="V922" s="271"/>
      <c r="W922" s="271"/>
      <c r="X922" s="271"/>
      <c r="Y922" s="271"/>
      <c r="Z922" s="271"/>
      <c r="AA922" s="271"/>
      <c r="AB922" s="271"/>
      <c r="AC922" s="271"/>
    </row>
    <row r="923" spans="1:29" ht="13.5" hidden="1" outlineLevel="1" thickBot="1" x14ac:dyDescent="0.25">
      <c r="A923" s="39"/>
      <c r="B923" s="36"/>
      <c r="C923" s="38" t="s">
        <v>1105</v>
      </c>
      <c r="D923" s="152"/>
      <c r="E923" s="400"/>
      <c r="F923" s="400"/>
      <c r="G923" s="400"/>
      <c r="H923" s="400"/>
      <c r="I923" s="62" t="str">
        <f t="shared" si="208"/>
        <v>kWh</v>
      </c>
      <c r="J923" s="249">
        <f t="shared" si="212"/>
        <v>16.472630399425533</v>
      </c>
      <c r="K923" s="270">
        <f t="shared" si="213"/>
        <v>2.9702941868459209</v>
      </c>
      <c r="L923" s="271">
        <f t="shared" si="213"/>
        <v>240.65074065346818</v>
      </c>
      <c r="M923" s="271">
        <f t="shared" si="213"/>
        <v>0.589572021872521</v>
      </c>
      <c r="N923" s="272">
        <f t="shared" si="214"/>
        <v>16.472630399425533</v>
      </c>
      <c r="O923" s="86"/>
      <c r="R923" s="271"/>
      <c r="S923" s="271"/>
      <c r="T923" s="271"/>
      <c r="U923" s="271"/>
      <c r="V923" s="271"/>
      <c r="W923" s="271"/>
      <c r="X923" s="271"/>
      <c r="Y923" s="271"/>
      <c r="Z923" s="271"/>
      <c r="AA923" s="271"/>
      <c r="AB923" s="271"/>
      <c r="AC923" s="271"/>
    </row>
    <row r="924" spans="1:29" ht="13.5" hidden="1" outlineLevel="1" thickBot="1" x14ac:dyDescent="0.25">
      <c r="A924" s="39"/>
      <c r="B924" s="36"/>
      <c r="C924" s="38" t="s">
        <v>1106</v>
      </c>
      <c r="D924" s="152"/>
      <c r="E924" s="400"/>
      <c r="F924" s="400"/>
      <c r="G924" s="400"/>
      <c r="H924" s="400"/>
      <c r="I924" s="62" t="str">
        <f t="shared" si="208"/>
        <v>kWh</v>
      </c>
      <c r="J924" s="249">
        <f t="shared" si="212"/>
        <v>0</v>
      </c>
      <c r="K924" s="270">
        <f t="shared" si="213"/>
        <v>0</v>
      </c>
      <c r="L924" s="271">
        <f t="shared" si="213"/>
        <v>0</v>
      </c>
      <c r="M924" s="271">
        <f t="shared" si="213"/>
        <v>0</v>
      </c>
      <c r="N924" s="272">
        <f t="shared" si="214"/>
        <v>0</v>
      </c>
      <c r="O924" s="86"/>
      <c r="R924" s="271"/>
      <c r="S924" s="271"/>
      <c r="T924" s="271"/>
      <c r="U924" s="271"/>
      <c r="V924" s="271"/>
      <c r="W924" s="271"/>
      <c r="X924" s="271"/>
      <c r="Y924" s="271"/>
      <c r="Z924" s="271"/>
      <c r="AA924" s="271"/>
      <c r="AB924" s="271"/>
      <c r="AC924" s="271"/>
    </row>
    <row r="925" spans="1:29" ht="13.5" hidden="1" outlineLevel="1" thickBot="1" x14ac:dyDescent="0.25">
      <c r="A925" s="39"/>
      <c r="B925" s="263"/>
      <c r="C925" s="264" t="s">
        <v>1107</v>
      </c>
      <c r="D925" s="222"/>
      <c r="E925" s="403"/>
      <c r="F925" s="403"/>
      <c r="G925" s="403"/>
      <c r="H925" s="403"/>
      <c r="I925" s="223" t="str">
        <f t="shared" si="208"/>
        <v>kWh</v>
      </c>
      <c r="J925" s="250">
        <f t="shared" si="212"/>
        <v>0</v>
      </c>
      <c r="K925" s="277">
        <f t="shared" si="213"/>
        <v>0</v>
      </c>
      <c r="L925" s="278">
        <f t="shared" si="213"/>
        <v>0</v>
      </c>
      <c r="M925" s="278">
        <f t="shared" si="213"/>
        <v>0</v>
      </c>
      <c r="N925" s="272">
        <f t="shared" si="214"/>
        <v>0</v>
      </c>
      <c r="O925" s="280"/>
      <c r="R925" s="278"/>
      <c r="S925" s="278"/>
      <c r="T925" s="278"/>
      <c r="U925" s="278"/>
      <c r="V925" s="278"/>
      <c r="W925" s="278"/>
      <c r="X925" s="278"/>
      <c r="Y925" s="278"/>
      <c r="Z925" s="278"/>
      <c r="AA925" s="278"/>
      <c r="AB925" s="278"/>
      <c r="AC925" s="278"/>
    </row>
    <row r="926" spans="1:29" ht="25.5" customHeight="1" collapsed="1" x14ac:dyDescent="0.2">
      <c r="A926" s="39"/>
      <c r="B926" s="473" t="str">
        <f>INDEX(Language!$D$266:$M$266,1,_language)</f>
        <v>CONVERSION FACTOR SELECTION</v>
      </c>
      <c r="C926" s="474"/>
      <c r="D926" s="475"/>
      <c r="E926" s="475"/>
      <c r="F926" s="475"/>
      <c r="G926" s="475"/>
      <c r="H926" s="475"/>
      <c r="I926" s="476"/>
      <c r="J926" s="476"/>
      <c r="K926" s="476"/>
      <c r="L926" s="476"/>
      <c r="M926" s="476"/>
      <c r="N926" s="476"/>
      <c r="O926" s="477"/>
      <c r="R926" s="476"/>
      <c r="S926" s="476"/>
      <c r="T926" s="476"/>
      <c r="U926" s="476"/>
      <c r="V926" s="476"/>
      <c r="W926" s="476"/>
      <c r="X926" s="476"/>
      <c r="Y926" s="476"/>
      <c r="Z926" s="476"/>
      <c r="AA926" s="476"/>
      <c r="AB926" s="476"/>
      <c r="AC926" s="476"/>
    </row>
    <row r="927" spans="1:29" hidden="1" outlineLevel="1" x14ac:dyDescent="0.2">
      <c r="A927" s="39"/>
      <c r="B927" s="104"/>
      <c r="C927" s="259"/>
      <c r="D927" s="259"/>
      <c r="E927" s="259"/>
      <c r="F927" s="259"/>
      <c r="G927" s="206" t="e">
        <f>+Language!#REF!</f>
        <v>#REF!</v>
      </c>
      <c r="H927" s="206">
        <v>1</v>
      </c>
      <c r="I927" s="207"/>
      <c r="J927" s="368"/>
      <c r="K927" s="369"/>
      <c r="L927" s="370"/>
      <c r="M927" s="370"/>
      <c r="N927" s="207"/>
      <c r="O927" s="478">
        <v>1</v>
      </c>
      <c r="R927" s="370"/>
      <c r="S927" s="370"/>
      <c r="T927" s="370"/>
      <c r="U927" s="370"/>
      <c r="V927" s="370"/>
      <c r="W927" s="370"/>
      <c r="X927" s="370"/>
      <c r="Y927" s="370"/>
      <c r="Z927" s="370"/>
      <c r="AA927" s="370"/>
      <c r="AB927" s="370"/>
      <c r="AC927" s="370"/>
    </row>
    <row r="928" spans="1:29" hidden="1" outlineLevel="1" x14ac:dyDescent="0.2">
      <c r="A928" s="39"/>
      <c r="B928" s="104"/>
      <c r="C928" s="259"/>
      <c r="D928" s="259"/>
      <c r="E928" s="259"/>
      <c r="F928" s="259"/>
      <c r="G928" s="206" t="e">
        <f>+Language!#REF!</f>
        <v>#REF!</v>
      </c>
      <c r="H928" s="206">
        <v>2</v>
      </c>
      <c r="I928" s="207"/>
      <c r="J928" s="368"/>
      <c r="K928" s="369"/>
      <c r="L928" s="370"/>
      <c r="M928" s="370"/>
      <c r="N928" s="207"/>
      <c r="O928" s="478">
        <v>2</v>
      </c>
      <c r="R928" s="370"/>
      <c r="S928" s="370"/>
      <c r="T928" s="370"/>
      <c r="U928" s="370"/>
      <c r="V928" s="370"/>
      <c r="W928" s="370"/>
      <c r="X928" s="370"/>
      <c r="Y928" s="370"/>
      <c r="Z928" s="370"/>
      <c r="AA928" s="370"/>
      <c r="AB928" s="370"/>
      <c r="AC928" s="370"/>
    </row>
    <row r="929" spans="1:29" hidden="1" outlineLevel="1" x14ac:dyDescent="0.2">
      <c r="A929" s="39"/>
      <c r="B929" s="104"/>
      <c r="C929" s="259"/>
      <c r="D929" s="259"/>
      <c r="E929" s="259"/>
      <c r="F929" s="259"/>
      <c r="G929" s="206" t="e">
        <f>+Language!#REF!</f>
        <v>#REF!</v>
      </c>
      <c r="H929" s="206">
        <v>3</v>
      </c>
      <c r="I929" s="207"/>
      <c r="J929" s="368"/>
      <c r="K929" s="369"/>
      <c r="L929" s="370"/>
      <c r="M929" s="370"/>
      <c r="N929" s="207"/>
      <c r="O929" s="478"/>
      <c r="R929" s="370"/>
      <c r="S929" s="370"/>
      <c r="T929" s="370"/>
      <c r="U929" s="370"/>
      <c r="V929" s="370"/>
      <c r="W929" s="370"/>
      <c r="X929" s="370"/>
      <c r="Y929" s="370"/>
      <c r="Z929" s="370"/>
      <c r="AA929" s="370"/>
      <c r="AB929" s="370"/>
      <c r="AC929" s="370"/>
    </row>
    <row r="930" spans="1:29" hidden="1" outlineLevel="1" x14ac:dyDescent="0.2">
      <c r="A930" s="39"/>
      <c r="B930" s="104"/>
      <c r="C930" s="259"/>
      <c r="D930" s="259"/>
      <c r="E930" s="259"/>
      <c r="F930" s="259"/>
      <c r="G930" s="206" t="e">
        <f>+Language!#REF!</f>
        <v>#REF!</v>
      </c>
      <c r="H930" s="206">
        <v>4</v>
      </c>
      <c r="I930" s="207"/>
      <c r="J930" s="368"/>
      <c r="K930" s="369"/>
      <c r="L930" s="370"/>
      <c r="M930" s="370"/>
      <c r="N930" s="207"/>
      <c r="O930" s="478"/>
      <c r="R930" s="370"/>
      <c r="S930" s="370"/>
      <c r="T930" s="370"/>
      <c r="U930" s="370"/>
      <c r="V930" s="370"/>
      <c r="W930" s="370"/>
      <c r="X930" s="370"/>
      <c r="Y930" s="370"/>
      <c r="Z930" s="370"/>
      <c r="AA930" s="370"/>
      <c r="AB930" s="370"/>
      <c r="AC930" s="370"/>
    </row>
    <row r="931" spans="1:29" hidden="1" outlineLevel="1" x14ac:dyDescent="0.2">
      <c r="A931" s="39"/>
      <c r="B931" s="104"/>
      <c r="C931" s="259"/>
      <c r="D931" s="259"/>
      <c r="E931" s="259"/>
      <c r="F931" s="259"/>
      <c r="G931" s="206" t="e">
        <f>+Language!#REF!</f>
        <v>#REF!</v>
      </c>
      <c r="H931" s="206">
        <v>5</v>
      </c>
      <c r="I931" s="207"/>
      <c r="J931" s="368"/>
      <c r="K931" s="369"/>
      <c r="L931" s="370"/>
      <c r="M931" s="370"/>
      <c r="N931" s="207"/>
      <c r="O931" s="478"/>
      <c r="R931" s="370"/>
      <c r="S931" s="370"/>
      <c r="T931" s="370"/>
      <c r="U931" s="370"/>
      <c r="V931" s="370"/>
      <c r="W931" s="370"/>
      <c r="X931" s="370"/>
      <c r="Y931" s="370"/>
      <c r="Z931" s="370"/>
      <c r="AA931" s="370"/>
      <c r="AB931" s="370"/>
      <c r="AC931" s="370"/>
    </row>
    <row r="932" spans="1:29" hidden="1" outlineLevel="1" x14ac:dyDescent="0.2">
      <c r="A932" s="39"/>
      <c r="B932" s="104"/>
      <c r="C932" s="259"/>
      <c r="D932" s="259"/>
      <c r="E932" s="259"/>
      <c r="F932" s="259"/>
      <c r="G932" s="206" t="e">
        <f>+Language!#REF!</f>
        <v>#REF!</v>
      </c>
      <c r="H932" s="206">
        <v>6</v>
      </c>
      <c r="I932" s="207"/>
      <c r="J932" s="368"/>
      <c r="K932" s="369"/>
      <c r="L932" s="370"/>
      <c r="M932" s="370"/>
      <c r="N932" s="207"/>
      <c r="O932" s="478"/>
      <c r="R932" s="370"/>
      <c r="S932" s="370"/>
      <c r="T932" s="370"/>
      <c r="U932" s="370"/>
      <c r="V932" s="370"/>
      <c r="W932" s="370"/>
      <c r="X932" s="370"/>
      <c r="Y932" s="370"/>
      <c r="Z932" s="370"/>
      <c r="AA932" s="370"/>
      <c r="AB932" s="370"/>
      <c r="AC932" s="370"/>
    </row>
    <row r="933" spans="1:29" hidden="1" outlineLevel="1" x14ac:dyDescent="0.2">
      <c r="A933" s="39"/>
      <c r="B933" s="104"/>
      <c r="C933" s="259"/>
      <c r="D933" s="259"/>
      <c r="E933" s="259"/>
      <c r="F933" s="259"/>
      <c r="G933" s="206" t="e">
        <f>+Language!#REF!</f>
        <v>#REF!</v>
      </c>
      <c r="H933" s="206">
        <v>7</v>
      </c>
      <c r="I933" s="207"/>
      <c r="J933" s="368"/>
      <c r="K933" s="369"/>
      <c r="L933" s="370"/>
      <c r="M933" s="370"/>
      <c r="N933" s="207"/>
      <c r="O933" s="478">
        <v>3</v>
      </c>
      <c r="R933" s="370"/>
      <c r="S933" s="370"/>
      <c r="T933" s="370"/>
      <c r="U933" s="370"/>
      <c r="V933" s="370"/>
      <c r="W933" s="370"/>
      <c r="X933" s="370"/>
      <c r="Y933" s="370"/>
      <c r="Z933" s="370"/>
      <c r="AA933" s="370"/>
      <c r="AB933" s="370"/>
      <c r="AC933" s="370"/>
    </row>
    <row r="934" spans="1:29" hidden="1" outlineLevel="1" x14ac:dyDescent="0.2">
      <c r="A934" s="39"/>
      <c r="B934" s="104"/>
      <c r="C934" s="259"/>
      <c r="D934" s="259"/>
      <c r="E934" s="259"/>
      <c r="F934" s="259"/>
      <c r="G934" s="206" t="e">
        <f>+Language!#REF!</f>
        <v>#REF!</v>
      </c>
      <c r="H934" s="206">
        <v>8</v>
      </c>
      <c r="I934" s="207"/>
      <c r="J934" s="368"/>
      <c r="K934" s="369" t="e">
        <f>VLOOKUP(K935,$G$927:$I$934,2)</f>
        <v>#N/A</v>
      </c>
      <c r="L934" s="370" t="e">
        <f>VLOOKUP(L935,$G$927:$I$934,2)</f>
        <v>#N/A</v>
      </c>
      <c r="M934" s="370" t="e">
        <f>VLOOKUP(M935,$G$927:$I$934,2)</f>
        <v>#N/A</v>
      </c>
      <c r="N934" s="207" t="e">
        <f>VLOOKUP(N935,$G$927:$I$934,2)</f>
        <v>#N/A</v>
      </c>
      <c r="O934" s="478">
        <v>4</v>
      </c>
      <c r="R934" s="370"/>
      <c r="S934" s="370"/>
      <c r="T934" s="370"/>
      <c r="U934" s="370"/>
      <c r="V934" s="370"/>
      <c r="W934" s="370"/>
      <c r="X934" s="370"/>
      <c r="Y934" s="370"/>
      <c r="Z934" s="370"/>
      <c r="AA934" s="370"/>
      <c r="AB934" s="370"/>
      <c r="AC934" s="370"/>
    </row>
    <row r="935" spans="1:29" ht="45.75" customHeight="1" collapsed="1" thickBot="1" x14ac:dyDescent="0.25">
      <c r="A935" s="39"/>
      <c r="B935" s="493" t="str">
        <f>INDEX(Language!$D$283:$M$283,1,_language)</f>
        <v>Primary energy factors selection</v>
      </c>
      <c r="C935" s="108"/>
      <c r="D935" s="108"/>
      <c r="E935" s="108"/>
      <c r="F935" s="108"/>
      <c r="G935" s="405"/>
      <c r="H935" s="405"/>
      <c r="I935" s="166"/>
      <c r="J935" s="127" t="str">
        <f>INDEX(K935:N935,,_case_en)</f>
        <v>CEN</v>
      </c>
      <c r="K935" s="494" t="s">
        <v>388</v>
      </c>
      <c r="L935" s="495" t="s">
        <v>388</v>
      </c>
      <c r="M935" s="495" t="s">
        <v>389</v>
      </c>
      <c r="N935" s="166" t="str">
        <f>INDEX(R935:AC935,1,N$16)</f>
        <v>CEN</v>
      </c>
      <c r="O935" s="303" t="s">
        <v>1332</v>
      </c>
      <c r="R935" s="495" t="s">
        <v>389</v>
      </c>
      <c r="S935" s="495" t="s">
        <v>388</v>
      </c>
      <c r="T935" s="495" t="s">
        <v>388</v>
      </c>
      <c r="U935" s="495" t="s">
        <v>388</v>
      </c>
      <c r="V935" s="495" t="s">
        <v>388</v>
      </c>
      <c r="W935" s="495" t="s">
        <v>388</v>
      </c>
      <c r="X935" s="495" t="s">
        <v>388</v>
      </c>
      <c r="Y935" s="495" t="s">
        <v>388</v>
      </c>
      <c r="Z935" s="495" t="s">
        <v>388</v>
      </c>
      <c r="AA935" s="495" t="s">
        <v>388</v>
      </c>
      <c r="AB935" s="495" t="s">
        <v>388</v>
      </c>
      <c r="AC935" s="495" t="s">
        <v>388</v>
      </c>
    </row>
    <row r="936" spans="1:29" ht="74.25" customHeight="1" x14ac:dyDescent="0.2">
      <c r="A936" s="39"/>
      <c r="B936" s="487" t="str">
        <f>INDEX(Language!$D$284:$M$284,1,_language)</f>
        <v>Non renewable</v>
      </c>
      <c r="C936" s="254"/>
      <c r="D936" s="254"/>
      <c r="E936" s="496"/>
      <c r="F936" s="496"/>
      <c r="G936" s="399"/>
      <c r="H936" s="399"/>
      <c r="I936" s="215"/>
      <c r="J936" s="255"/>
      <c r="K936" s="241"/>
      <c r="L936" s="242"/>
      <c r="M936" s="242"/>
      <c r="N936" s="215"/>
      <c r="O936" s="256" t="s">
        <v>1337</v>
      </c>
      <c r="R936" s="242"/>
      <c r="S936" s="242"/>
      <c r="T936" s="242"/>
      <c r="U936" s="242"/>
      <c r="V936" s="242"/>
      <c r="W936" s="242"/>
      <c r="X936" s="242"/>
      <c r="Y936" s="242"/>
      <c r="Z936" s="242"/>
      <c r="AA936" s="242"/>
      <c r="AB936" s="242"/>
      <c r="AC936" s="242"/>
    </row>
    <row r="937" spans="1:29" x14ac:dyDescent="0.2">
      <c r="A937" s="39"/>
      <c r="B937" s="104" t="str">
        <f>+ConvFactors!B32</f>
        <v>gas</v>
      </c>
      <c r="C937" s="37" t="s">
        <v>394</v>
      </c>
      <c r="D937" s="44" t="s">
        <v>36</v>
      </c>
      <c r="E937" s="402"/>
      <c r="F937" s="402"/>
      <c r="G937" s="402"/>
      <c r="H937" s="402"/>
      <c r="I937" s="207"/>
      <c r="J937" s="485" t="e">
        <f t="shared" ref="J937:J965" si="215">INDEX(K937:N937,,_case_en)</f>
        <v>#N/A</v>
      </c>
      <c r="K937" s="479" t="e">
        <f>INDEX(ConvFactors!$I32:$P32,1,Base_calc!K$934)</f>
        <v>#N/A</v>
      </c>
      <c r="L937" s="480" t="e">
        <f>INDEX(ConvFactors!$I32:$P32,1,Base_calc!L$934)</f>
        <v>#N/A</v>
      </c>
      <c r="M937" s="480" t="e">
        <f>INDEX(ConvFactors!$I32:$P32,1,Base_calc!M$934)</f>
        <v>#N/A</v>
      </c>
      <c r="N937" s="481" t="e">
        <f>INDEX(ConvFactors!$I32:$P32,1,Base_calc!N$934)</f>
        <v>#N/A</v>
      </c>
      <c r="O937" s="227"/>
      <c r="R937" s="480"/>
      <c r="S937" s="480"/>
      <c r="T937" s="480"/>
      <c r="U937" s="480"/>
      <c r="V937" s="480"/>
      <c r="W937" s="480"/>
      <c r="X937" s="480"/>
      <c r="Y937" s="480"/>
      <c r="Z937" s="480"/>
      <c r="AA937" s="480"/>
      <c r="AB937" s="480"/>
      <c r="AC937" s="480"/>
    </row>
    <row r="938" spans="1:29" x14ac:dyDescent="0.2">
      <c r="A938" s="39"/>
      <c r="B938" s="104" t="str">
        <f>+ConvFactors!B33</f>
        <v>oil</v>
      </c>
      <c r="C938" s="37" t="s">
        <v>395</v>
      </c>
      <c r="D938" s="44" t="s">
        <v>37</v>
      </c>
      <c r="E938" s="402"/>
      <c r="F938" s="402"/>
      <c r="G938" s="402"/>
      <c r="H938" s="402"/>
      <c r="I938" s="207"/>
      <c r="J938" s="485" t="e">
        <f t="shared" si="215"/>
        <v>#N/A</v>
      </c>
      <c r="K938" s="479" t="e">
        <f>INDEX(ConvFactors!$I33:$P33,1,Base_calc!K$934)</f>
        <v>#N/A</v>
      </c>
      <c r="L938" s="480" t="e">
        <f>INDEX(ConvFactors!$I33:$P33,1,Base_calc!L$934)</f>
        <v>#N/A</v>
      </c>
      <c r="M938" s="480" t="e">
        <f>INDEX(ConvFactors!$I33:$P33,1,Base_calc!M$934)</f>
        <v>#N/A</v>
      </c>
      <c r="N938" s="481" t="e">
        <f>INDEX(ConvFactors!$I33:$P33,1,Base_calc!N$934)</f>
        <v>#N/A</v>
      </c>
      <c r="O938" s="227"/>
      <c r="R938" s="480"/>
      <c r="S938" s="480"/>
      <c r="T938" s="480"/>
      <c r="U938" s="480"/>
      <c r="V938" s="480"/>
      <c r="W938" s="480"/>
      <c r="X938" s="480"/>
      <c r="Y938" s="480"/>
      <c r="Z938" s="480"/>
      <c r="AA938" s="480"/>
      <c r="AB938" s="480"/>
      <c r="AC938" s="480"/>
    </row>
    <row r="939" spans="1:29" x14ac:dyDescent="0.2">
      <c r="A939" s="39"/>
      <c r="B939" s="104" t="str">
        <f>+ConvFactors!B34</f>
        <v>coal</v>
      </c>
      <c r="C939" s="37" t="s">
        <v>396</v>
      </c>
      <c r="D939" s="44" t="s">
        <v>38</v>
      </c>
      <c r="E939" s="402"/>
      <c r="F939" s="402"/>
      <c r="G939" s="402"/>
      <c r="H939" s="402"/>
      <c r="I939" s="207"/>
      <c r="J939" s="485" t="e">
        <f t="shared" si="215"/>
        <v>#N/A</v>
      </c>
      <c r="K939" s="479" t="e">
        <f>INDEX(ConvFactors!$I34:$P34,1,Base_calc!K$934)</f>
        <v>#N/A</v>
      </c>
      <c r="L939" s="480" t="e">
        <f>INDEX(ConvFactors!$I34:$P34,1,Base_calc!L$934)</f>
        <v>#N/A</v>
      </c>
      <c r="M939" s="480" t="e">
        <f>INDEX(ConvFactors!$I34:$P34,1,Base_calc!M$934)</f>
        <v>#N/A</v>
      </c>
      <c r="N939" s="481" t="e">
        <f>INDEX(ConvFactors!$I34:$P34,1,Base_calc!N$934)</f>
        <v>#N/A</v>
      </c>
      <c r="O939" s="227"/>
      <c r="R939" s="480"/>
      <c r="S939" s="480"/>
      <c r="T939" s="480"/>
      <c r="U939" s="480"/>
      <c r="V939" s="480"/>
      <c r="W939" s="480"/>
      <c r="X939" s="480"/>
      <c r="Y939" s="480"/>
      <c r="Z939" s="480"/>
      <c r="AA939" s="480"/>
      <c r="AB939" s="480"/>
      <c r="AC939" s="480"/>
    </row>
    <row r="940" spans="1:29" x14ac:dyDescent="0.2">
      <c r="A940" s="39"/>
      <c r="B940" s="104" t="str">
        <f>+ConvFactors!B35</f>
        <v>wood</v>
      </c>
      <c r="C940" s="37" t="s">
        <v>397</v>
      </c>
      <c r="D940" s="44" t="s">
        <v>39</v>
      </c>
      <c r="E940" s="402"/>
      <c r="F940" s="402"/>
      <c r="G940" s="402"/>
      <c r="H940" s="402"/>
      <c r="I940" s="207"/>
      <c r="J940" s="485" t="e">
        <f t="shared" si="215"/>
        <v>#N/A</v>
      </c>
      <c r="K940" s="479" t="e">
        <f>INDEX(ConvFactors!$I35:$P35,1,Base_calc!K$934)</f>
        <v>#N/A</v>
      </c>
      <c r="L940" s="480" t="e">
        <f>INDEX(ConvFactors!$I35:$P35,1,Base_calc!L$934)</f>
        <v>#N/A</v>
      </c>
      <c r="M940" s="480" t="e">
        <f>INDEX(ConvFactors!$I35:$P35,1,Base_calc!M$934)</f>
        <v>#N/A</v>
      </c>
      <c r="N940" s="481" t="e">
        <f>INDEX(ConvFactors!$I35:$P35,1,Base_calc!N$934)</f>
        <v>#N/A</v>
      </c>
      <c r="O940" s="227"/>
      <c r="R940" s="480"/>
      <c r="S940" s="480"/>
      <c r="T940" s="480"/>
      <c r="U940" s="480"/>
      <c r="V940" s="480"/>
      <c r="W940" s="480"/>
      <c r="X940" s="480"/>
      <c r="Y940" s="480"/>
      <c r="Z940" s="480"/>
      <c r="AA940" s="480"/>
      <c r="AB940" s="480"/>
      <c r="AC940" s="480"/>
    </row>
    <row r="941" spans="1:29" x14ac:dyDescent="0.2">
      <c r="A941" s="39"/>
      <c r="B941" s="104" t="str">
        <f>+ConvFactors!B36</f>
        <v>biomass</v>
      </c>
      <c r="C941" s="37" t="s">
        <v>611</v>
      </c>
      <c r="D941" s="44" t="s">
        <v>610</v>
      </c>
      <c r="E941" s="402"/>
      <c r="F941" s="402"/>
      <c r="G941" s="402"/>
      <c r="H941" s="402"/>
      <c r="I941" s="207"/>
      <c r="J941" s="485" t="e">
        <f t="shared" si="215"/>
        <v>#N/A</v>
      </c>
      <c r="K941" s="479" t="e">
        <f>INDEX(ConvFactors!$I36:$P36,1,Base_calc!K$934)</f>
        <v>#N/A</v>
      </c>
      <c r="L941" s="480" t="e">
        <f>INDEX(ConvFactors!$I36:$P36,1,Base_calc!L$934)</f>
        <v>#N/A</v>
      </c>
      <c r="M941" s="480" t="e">
        <f>INDEX(ConvFactors!$I36:$P36,1,Base_calc!M$934)</f>
        <v>#N/A</v>
      </c>
      <c r="N941" s="481" t="e">
        <f>INDEX(ConvFactors!$I36:$P36,1,Base_calc!N$934)</f>
        <v>#N/A</v>
      </c>
      <c r="O941" s="227"/>
      <c r="R941" s="480"/>
      <c r="S941" s="480"/>
      <c r="T941" s="480"/>
      <c r="U941" s="480"/>
      <c r="V941" s="480"/>
      <c r="W941" s="480"/>
      <c r="X941" s="480"/>
      <c r="Y941" s="480"/>
      <c r="Z941" s="480"/>
      <c r="AA941" s="480"/>
      <c r="AB941" s="480"/>
      <c r="AC941" s="480"/>
    </row>
    <row r="942" spans="1:29" x14ac:dyDescent="0.2">
      <c r="A942" s="39"/>
      <c r="B942" s="104" t="str">
        <f>+ConvFactors!B37</f>
        <v>custom</v>
      </c>
      <c r="C942" s="37" t="s">
        <v>398</v>
      </c>
      <c r="D942" s="44" t="s">
        <v>40</v>
      </c>
      <c r="E942" s="402"/>
      <c r="F942" s="402"/>
      <c r="G942" s="402"/>
      <c r="H942" s="402"/>
      <c r="I942" s="207"/>
      <c r="J942" s="485" t="e">
        <f t="shared" si="215"/>
        <v>#N/A</v>
      </c>
      <c r="K942" s="479" t="e">
        <f>INDEX(ConvFactors!$I37:$P37,1,Base_calc!K$934)</f>
        <v>#N/A</v>
      </c>
      <c r="L942" s="480" t="e">
        <f>INDEX(ConvFactors!$I37:$P37,1,Base_calc!L$934)</f>
        <v>#N/A</v>
      </c>
      <c r="M942" s="480" t="e">
        <f>INDEX(ConvFactors!$I37:$P37,1,Base_calc!M$934)</f>
        <v>#N/A</v>
      </c>
      <c r="N942" s="481" t="e">
        <f>INDEX(ConvFactors!$I37:$P37,1,Base_calc!N$934)</f>
        <v>#N/A</v>
      </c>
      <c r="O942" s="227"/>
      <c r="R942" s="480"/>
      <c r="S942" s="480"/>
      <c r="T942" s="480"/>
      <c r="U942" s="480"/>
      <c r="V942" s="480"/>
      <c r="W942" s="480"/>
      <c r="X942" s="480"/>
      <c r="Y942" s="480"/>
      <c r="Z942" s="480"/>
      <c r="AA942" s="480"/>
      <c r="AB942" s="480"/>
      <c r="AC942" s="480"/>
    </row>
    <row r="943" spans="1:29" x14ac:dyDescent="0.2">
      <c r="A943" s="39"/>
      <c r="B943" s="104" t="str">
        <f>+ConvFactors!B38</f>
        <v>District heating</v>
      </c>
      <c r="C943" s="37" t="s">
        <v>399</v>
      </c>
      <c r="D943" s="44" t="s">
        <v>41</v>
      </c>
      <c r="E943" s="402"/>
      <c r="F943" s="402"/>
      <c r="G943" s="402"/>
      <c r="H943" s="402"/>
      <c r="I943" s="207"/>
      <c r="J943" s="485" t="e">
        <f t="shared" si="215"/>
        <v>#N/A</v>
      </c>
      <c r="K943" s="479" t="e">
        <f>INDEX(ConvFactors!$I38:$P38,1,Base_calc!K$934)</f>
        <v>#N/A</v>
      </c>
      <c r="L943" s="480" t="e">
        <f>INDEX(ConvFactors!$I38:$P38,1,Base_calc!L$934)</f>
        <v>#N/A</v>
      </c>
      <c r="M943" s="480" t="e">
        <f>INDEX(ConvFactors!$I38:$P38,1,Base_calc!M$934)</f>
        <v>#N/A</v>
      </c>
      <c r="N943" s="481" t="e">
        <f>INDEX(ConvFactors!$I38:$P38,1,Base_calc!N$934)</f>
        <v>#N/A</v>
      </c>
      <c r="O943" s="227"/>
      <c r="R943" s="480"/>
      <c r="S943" s="480"/>
      <c r="T943" s="480"/>
      <c r="U943" s="480"/>
      <c r="V943" s="480"/>
      <c r="W943" s="480"/>
      <c r="X943" s="480"/>
      <c r="Y943" s="480"/>
      <c r="Z943" s="480"/>
      <c r="AA943" s="480"/>
      <c r="AB943" s="480"/>
      <c r="AC943" s="480"/>
    </row>
    <row r="944" spans="1:29" x14ac:dyDescent="0.2">
      <c r="A944" s="39"/>
      <c r="B944" s="104" t="str">
        <f>+ConvFactors!B39</f>
        <v>District cooling</v>
      </c>
      <c r="C944" s="37" t="s">
        <v>400</v>
      </c>
      <c r="D944" s="152" t="s">
        <v>42</v>
      </c>
      <c r="E944" s="402"/>
      <c r="F944" s="402"/>
      <c r="G944" s="402"/>
      <c r="H944" s="402"/>
      <c r="I944" s="207"/>
      <c r="J944" s="485" t="e">
        <f t="shared" si="215"/>
        <v>#N/A</v>
      </c>
      <c r="K944" s="479" t="e">
        <f>INDEX(ConvFactors!$I39:$P39,1,Base_calc!K$934)</f>
        <v>#N/A</v>
      </c>
      <c r="L944" s="480" t="e">
        <f>INDEX(ConvFactors!$I39:$P39,1,Base_calc!L$934)</f>
        <v>#N/A</v>
      </c>
      <c r="M944" s="480" t="e">
        <f>INDEX(ConvFactors!$I39:$P39,1,Base_calc!M$934)</f>
        <v>#N/A</v>
      </c>
      <c r="N944" s="481" t="e">
        <f>INDEX(ConvFactors!$I39:$P39,1,Base_calc!N$934)</f>
        <v>#N/A</v>
      </c>
      <c r="O944" s="227"/>
      <c r="R944" s="480"/>
      <c r="S944" s="480"/>
      <c r="T944" s="480"/>
      <c r="U944" s="480"/>
      <c r="V944" s="480"/>
      <c r="W944" s="480"/>
      <c r="X944" s="480"/>
      <c r="Y944" s="480"/>
      <c r="Z944" s="480"/>
      <c r="AA944" s="480"/>
      <c r="AB944" s="480"/>
      <c r="AC944" s="480"/>
    </row>
    <row r="945" spans="1:29" x14ac:dyDescent="0.2">
      <c r="A945" s="39"/>
      <c r="B945" s="104" t="str">
        <f>+ConvFactors!B43</f>
        <v>Environment heat</v>
      </c>
      <c r="C945" s="37" t="s">
        <v>401</v>
      </c>
      <c r="D945" s="152" t="s">
        <v>784</v>
      </c>
      <c r="E945" s="402"/>
      <c r="F945" s="402"/>
      <c r="G945" s="402"/>
      <c r="H945" s="402"/>
      <c r="I945" s="207"/>
      <c r="J945" s="485" t="e">
        <f t="shared" si="215"/>
        <v>#N/A</v>
      </c>
      <c r="K945" s="479" t="e">
        <f>INDEX(ConvFactors!$I43:$P43,1,Base_calc!K$934)</f>
        <v>#N/A</v>
      </c>
      <c r="L945" s="480" t="e">
        <f>INDEX(ConvFactors!$I43:$P43,1,Base_calc!L$934)</f>
        <v>#N/A</v>
      </c>
      <c r="M945" s="480" t="e">
        <f>INDEX(ConvFactors!$I43:$P43,1,Base_calc!M$934)</f>
        <v>#N/A</v>
      </c>
      <c r="N945" s="481" t="e">
        <f>INDEX(ConvFactors!$I43:$P43,1,Base_calc!N$934)</f>
        <v>#N/A</v>
      </c>
      <c r="O945" s="227" t="s">
        <v>1333</v>
      </c>
      <c r="R945" s="480"/>
      <c r="S945" s="480"/>
      <c r="T945" s="480"/>
      <c r="U945" s="480"/>
      <c r="V945" s="480"/>
      <c r="W945" s="480"/>
      <c r="X945" s="480"/>
      <c r="Y945" s="480"/>
      <c r="Z945" s="480"/>
      <c r="AA945" s="480"/>
      <c r="AB945" s="480"/>
      <c r="AC945" s="480"/>
    </row>
    <row r="946" spans="1:29" x14ac:dyDescent="0.2">
      <c r="A946" s="39"/>
      <c r="B946" s="104" t="e">
        <f>+ConvFactors!#REF!</f>
        <v>#REF!</v>
      </c>
      <c r="C946" s="33" t="s">
        <v>1323</v>
      </c>
      <c r="D946" s="152" t="s">
        <v>1324</v>
      </c>
      <c r="E946" s="402"/>
      <c r="F946" s="402"/>
      <c r="G946" s="402"/>
      <c r="H946" s="402"/>
      <c r="I946" s="207"/>
      <c r="J946" s="485" t="e">
        <f t="shared" si="215"/>
        <v>#REF!</v>
      </c>
      <c r="K946" s="479" t="e">
        <f>INDEX(ConvFactors!#REF!,1,Base_calc!K$934)</f>
        <v>#REF!</v>
      </c>
      <c r="L946" s="480" t="e">
        <f>INDEX(ConvFactors!#REF!,1,Base_calc!L$934)</f>
        <v>#REF!</v>
      </c>
      <c r="M946" s="480" t="e">
        <f>INDEX(ConvFactors!#REF!,1,Base_calc!M$934)</f>
        <v>#REF!</v>
      </c>
      <c r="N946" s="481" t="e">
        <f>INDEX(ConvFactors!#REF!,1,Base_calc!N$934)</f>
        <v>#REF!</v>
      </c>
      <c r="O946" s="227" t="s">
        <v>1334</v>
      </c>
      <c r="R946" s="480"/>
      <c r="S946" s="480"/>
      <c r="T946" s="480"/>
      <c r="U946" s="480"/>
      <c r="V946" s="480"/>
      <c r="W946" s="480"/>
      <c r="X946" s="480"/>
      <c r="Y946" s="480"/>
      <c r="Z946" s="480"/>
      <c r="AA946" s="480"/>
      <c r="AB946" s="480"/>
      <c r="AC946" s="480"/>
    </row>
    <row r="947" spans="1:29" x14ac:dyDescent="0.2">
      <c r="A947" s="39"/>
      <c r="B947" s="104" t="e">
        <f>+ConvFactors!#REF!</f>
        <v>#REF!</v>
      </c>
      <c r="C947" s="38" t="s">
        <v>402</v>
      </c>
      <c r="D947" s="152" t="s">
        <v>1138</v>
      </c>
      <c r="E947" s="402"/>
      <c r="F947" s="402"/>
      <c r="G947" s="402"/>
      <c r="H947" s="402"/>
      <c r="I947" s="207"/>
      <c r="J947" s="485" t="e">
        <f t="shared" si="215"/>
        <v>#REF!</v>
      </c>
      <c r="K947" s="479" t="e">
        <f>INDEX(ConvFactors!#REF!,1,Base_calc!K$934)</f>
        <v>#REF!</v>
      </c>
      <c r="L947" s="480" t="e">
        <f>INDEX(ConvFactors!#REF!,1,Base_calc!L$934)</f>
        <v>#REF!</v>
      </c>
      <c r="M947" s="480" t="e">
        <f>INDEX(ConvFactors!#REF!,1,Base_calc!M$934)</f>
        <v>#REF!</v>
      </c>
      <c r="N947" s="481" t="e">
        <f>INDEX(ConvFactors!#REF!,1,Base_calc!N$934)</f>
        <v>#REF!</v>
      </c>
      <c r="O947" s="227"/>
      <c r="R947" s="480"/>
      <c r="S947" s="480"/>
      <c r="T947" s="480"/>
      <c r="U947" s="480"/>
      <c r="V947" s="480"/>
      <c r="W947" s="480"/>
      <c r="X947" s="480"/>
      <c r="Y947" s="480"/>
      <c r="Z947" s="480"/>
      <c r="AA947" s="480"/>
      <c r="AB947" s="480"/>
      <c r="AC947" s="480"/>
    </row>
    <row r="948" spans="1:29" x14ac:dyDescent="0.2">
      <c r="A948" s="39"/>
      <c r="B948" s="104" t="e">
        <f>+ConvFactors!#REF!</f>
        <v>#REF!</v>
      </c>
      <c r="C948" s="38"/>
      <c r="D948" s="152"/>
      <c r="E948" s="402"/>
      <c r="F948" s="402"/>
      <c r="G948" s="402"/>
      <c r="H948" s="402"/>
      <c r="I948" s="207"/>
      <c r="J948" s="485" t="e">
        <f t="shared" si="215"/>
        <v>#REF!</v>
      </c>
      <c r="K948" s="479" t="e">
        <f>INDEX(ConvFactors!#REF!,1,Base_calc!K$934)</f>
        <v>#REF!</v>
      </c>
      <c r="L948" s="480" t="e">
        <f>INDEX(ConvFactors!#REF!,1,Base_calc!L$934)</f>
        <v>#REF!</v>
      </c>
      <c r="M948" s="480" t="e">
        <f>INDEX(ConvFactors!#REF!,1,Base_calc!M$934)</f>
        <v>#REF!</v>
      </c>
      <c r="N948" s="481" t="e">
        <f>INDEX(ConvFactors!#REF!,1,Base_calc!N$934)</f>
        <v>#REF!</v>
      </c>
      <c r="O948" s="227"/>
      <c r="R948" s="480"/>
      <c r="S948" s="480"/>
      <c r="T948" s="480"/>
      <c r="U948" s="480"/>
      <c r="V948" s="480"/>
      <c r="W948" s="480"/>
      <c r="X948" s="480"/>
      <c r="Y948" s="480"/>
      <c r="Z948" s="480"/>
      <c r="AA948" s="480"/>
      <c r="AB948" s="480"/>
      <c r="AC948" s="480"/>
    </row>
    <row r="949" spans="1:29" x14ac:dyDescent="0.2">
      <c r="A949" s="39"/>
      <c r="B949" s="104" t="e">
        <f>+ConvFactors!#REF!</f>
        <v>#REF!</v>
      </c>
      <c r="C949" s="38"/>
      <c r="D949" s="152"/>
      <c r="E949" s="402"/>
      <c r="F949" s="402"/>
      <c r="G949" s="402"/>
      <c r="H949" s="402"/>
      <c r="I949" s="207"/>
      <c r="J949" s="485" t="e">
        <f t="shared" si="215"/>
        <v>#REF!</v>
      </c>
      <c r="K949" s="479" t="e">
        <f>INDEX(ConvFactors!#REF!,1,Base_calc!K$934)</f>
        <v>#REF!</v>
      </c>
      <c r="L949" s="480" t="e">
        <f>INDEX(ConvFactors!#REF!,1,Base_calc!L$934)</f>
        <v>#REF!</v>
      </c>
      <c r="M949" s="480" t="e">
        <f>INDEX(ConvFactors!#REF!,1,Base_calc!M$934)</f>
        <v>#REF!</v>
      </c>
      <c r="N949" s="481" t="e">
        <f>INDEX(ConvFactors!#REF!,1,Base_calc!N$934)</f>
        <v>#REF!</v>
      </c>
      <c r="O949" s="227"/>
      <c r="R949" s="480"/>
      <c r="S949" s="480"/>
      <c r="T949" s="480"/>
      <c r="U949" s="480"/>
      <c r="V949" s="480"/>
      <c r="W949" s="480"/>
      <c r="X949" s="480"/>
      <c r="Y949" s="480"/>
      <c r="Z949" s="480"/>
      <c r="AA949" s="480"/>
      <c r="AB949" s="480"/>
      <c r="AC949" s="480"/>
    </row>
    <row r="950" spans="1:29" x14ac:dyDescent="0.2">
      <c r="A950" s="39"/>
      <c r="B950" s="104" t="e">
        <f>+ConvFactors!#REF!</f>
        <v>#REF!</v>
      </c>
      <c r="C950" s="38"/>
      <c r="D950" s="152"/>
      <c r="E950" s="402"/>
      <c r="F950" s="402"/>
      <c r="G950" s="402"/>
      <c r="H950" s="402"/>
      <c r="I950" s="207"/>
      <c r="J950" s="485" t="e">
        <f t="shared" si="215"/>
        <v>#REF!</v>
      </c>
      <c r="K950" s="479" t="e">
        <f>INDEX(ConvFactors!#REF!,1,Base_calc!K$934)</f>
        <v>#REF!</v>
      </c>
      <c r="L950" s="480" t="e">
        <f>INDEX(ConvFactors!#REF!,1,Base_calc!L$934)</f>
        <v>#REF!</v>
      </c>
      <c r="M950" s="480" t="e">
        <f>INDEX(ConvFactors!#REF!,1,Base_calc!M$934)</f>
        <v>#REF!</v>
      </c>
      <c r="N950" s="481" t="e">
        <f>INDEX(ConvFactors!#REF!,1,Base_calc!N$934)</f>
        <v>#REF!</v>
      </c>
      <c r="O950" s="227"/>
      <c r="R950" s="480"/>
      <c r="S950" s="480"/>
      <c r="T950" s="480"/>
      <c r="U950" s="480"/>
      <c r="V950" s="480"/>
      <c r="W950" s="480"/>
      <c r="X950" s="480"/>
      <c r="Y950" s="480"/>
      <c r="Z950" s="480"/>
      <c r="AA950" s="480"/>
      <c r="AB950" s="480"/>
      <c r="AC950" s="480"/>
    </row>
    <row r="951" spans="1:29" x14ac:dyDescent="0.2">
      <c r="A951" s="39"/>
      <c r="B951" s="104" t="e">
        <f>+ConvFactors!#REF!</f>
        <v>#REF!</v>
      </c>
      <c r="C951" s="38"/>
      <c r="D951" s="152"/>
      <c r="E951" s="402"/>
      <c r="F951" s="402"/>
      <c r="G951" s="402"/>
      <c r="H951" s="402"/>
      <c r="I951" s="207"/>
      <c r="J951" s="485" t="e">
        <f t="shared" si="215"/>
        <v>#REF!</v>
      </c>
      <c r="K951" s="479" t="e">
        <f>INDEX(ConvFactors!#REF!,1,Base_calc!K$934)</f>
        <v>#REF!</v>
      </c>
      <c r="L951" s="480" t="e">
        <f>INDEX(ConvFactors!#REF!,1,Base_calc!L$934)</f>
        <v>#REF!</v>
      </c>
      <c r="M951" s="480" t="e">
        <f>INDEX(ConvFactors!#REF!,1,Base_calc!M$934)</f>
        <v>#REF!</v>
      </c>
      <c r="N951" s="481" t="e">
        <f>INDEX(ConvFactors!#REF!,1,Base_calc!N$934)</f>
        <v>#REF!</v>
      </c>
      <c r="O951" s="227"/>
      <c r="R951" s="480"/>
      <c r="S951" s="480"/>
      <c r="T951" s="480"/>
      <c r="U951" s="480"/>
      <c r="V951" s="480"/>
      <c r="W951" s="480"/>
      <c r="X951" s="480"/>
      <c r="Y951" s="480"/>
      <c r="Z951" s="480"/>
      <c r="AA951" s="480"/>
      <c r="AB951" s="480"/>
      <c r="AC951" s="480"/>
    </row>
    <row r="952" spans="1:29" x14ac:dyDescent="0.2">
      <c r="A952" s="39"/>
      <c r="B952" s="104" t="e">
        <f>+ConvFactors!#REF!</f>
        <v>#REF!</v>
      </c>
      <c r="C952" s="38" t="s">
        <v>406</v>
      </c>
      <c r="D952" s="152" t="s">
        <v>1144</v>
      </c>
      <c r="E952" s="400"/>
      <c r="F952" s="400"/>
      <c r="G952" s="400"/>
      <c r="H952" s="400"/>
      <c r="I952" s="62"/>
      <c r="J952" s="486" t="e">
        <f t="shared" si="215"/>
        <v>#REF!</v>
      </c>
      <c r="K952" s="479" t="e">
        <f>INDEX(ConvFactors!#REF!,1,Base_calc!K$934)</f>
        <v>#REF!</v>
      </c>
      <c r="L952" s="480" t="e">
        <f>INDEX(ConvFactors!#REF!,1,Base_calc!L$934)</f>
        <v>#REF!</v>
      </c>
      <c r="M952" s="480" t="e">
        <f>INDEX(ConvFactors!#REF!,1,Base_calc!M$934)</f>
        <v>#REF!</v>
      </c>
      <c r="N952" s="481" t="e">
        <f>INDEX(ConvFactors!#REF!,1,Base_calc!N$934)</f>
        <v>#REF!</v>
      </c>
      <c r="O952" s="86"/>
      <c r="R952" s="480"/>
      <c r="S952" s="480"/>
      <c r="T952" s="480"/>
      <c r="U952" s="480"/>
      <c r="V952" s="480"/>
      <c r="W952" s="480"/>
      <c r="X952" s="480"/>
      <c r="Y952" s="480"/>
      <c r="Z952" s="480"/>
      <c r="AA952" s="480"/>
      <c r="AB952" s="480"/>
      <c r="AC952" s="480"/>
    </row>
    <row r="953" spans="1:29" ht="25.5" x14ac:dyDescent="0.2">
      <c r="A953" s="39"/>
      <c r="B953" s="104" t="e">
        <f>+ConvFactors!#REF!</f>
        <v>#REF!</v>
      </c>
      <c r="C953" s="38" t="s">
        <v>404</v>
      </c>
      <c r="D953" s="152" t="s">
        <v>1139</v>
      </c>
      <c r="E953" s="402"/>
      <c r="F953" s="402"/>
      <c r="G953" s="402"/>
      <c r="H953" s="402"/>
      <c r="I953" s="207"/>
      <c r="J953" s="485" t="e">
        <f t="shared" si="215"/>
        <v>#REF!</v>
      </c>
      <c r="K953" s="479" t="e">
        <f>INDEX(ConvFactors!#REF!,1,Base_calc!K$934)</f>
        <v>#REF!</v>
      </c>
      <c r="L953" s="480" t="e">
        <f>INDEX(ConvFactors!#REF!,1,Base_calc!L$934)</f>
        <v>#REF!</v>
      </c>
      <c r="M953" s="480" t="e">
        <f>INDEX(ConvFactors!#REF!,1,Base_calc!M$934)</f>
        <v>#REF!</v>
      </c>
      <c r="N953" s="481" t="e">
        <f>INDEX(ConvFactors!#REF!,1,Base_calc!N$934)</f>
        <v>#REF!</v>
      </c>
      <c r="O953" s="227" t="s">
        <v>1335</v>
      </c>
      <c r="R953" s="480"/>
      <c r="S953" s="480"/>
      <c r="T953" s="480"/>
      <c r="U953" s="480"/>
      <c r="V953" s="480"/>
      <c r="W953" s="480"/>
      <c r="X953" s="480"/>
      <c r="Y953" s="480"/>
      <c r="Z953" s="480"/>
      <c r="AA953" s="480"/>
      <c r="AB953" s="480"/>
      <c r="AC953" s="480"/>
    </row>
    <row r="954" spans="1:29" ht="25.5" x14ac:dyDescent="0.2">
      <c r="A954" s="39"/>
      <c r="B954" s="104" t="e">
        <f>+ConvFactors!#REF!</f>
        <v>#REF!</v>
      </c>
      <c r="C954" s="38" t="s">
        <v>403</v>
      </c>
      <c r="D954" s="152" t="s">
        <v>1140</v>
      </c>
      <c r="E954" s="402"/>
      <c r="F954" s="402"/>
      <c r="G954" s="402"/>
      <c r="H954" s="402"/>
      <c r="I954" s="207"/>
      <c r="J954" s="485" t="e">
        <f t="shared" si="215"/>
        <v>#REF!</v>
      </c>
      <c r="K954" s="479" t="e">
        <f>INDEX(ConvFactors!#REF!,1,Base_calc!K$934)</f>
        <v>#REF!</v>
      </c>
      <c r="L954" s="480" t="e">
        <f>INDEX(ConvFactors!#REF!,1,Base_calc!L$934)</f>
        <v>#REF!</v>
      </c>
      <c r="M954" s="480" t="e">
        <f>INDEX(ConvFactors!#REF!,1,Base_calc!M$934)</f>
        <v>#REF!</v>
      </c>
      <c r="N954" s="481" t="e">
        <f>INDEX(ConvFactors!#REF!,1,Base_calc!N$934)</f>
        <v>#REF!</v>
      </c>
      <c r="O954" s="227" t="s">
        <v>1335</v>
      </c>
      <c r="R954" s="480"/>
      <c r="S954" s="480"/>
      <c r="T954" s="480"/>
      <c r="U954" s="480"/>
      <c r="V954" s="480"/>
      <c r="W954" s="480"/>
      <c r="X954" s="480"/>
      <c r="Y954" s="480"/>
      <c r="Z954" s="480"/>
      <c r="AA954" s="480"/>
      <c r="AB954" s="480"/>
      <c r="AC954" s="480"/>
    </row>
    <row r="955" spans="1:29" ht="38.25" x14ac:dyDescent="0.2">
      <c r="A955" s="39"/>
      <c r="B955" s="104" t="e">
        <f>+ConvFactors!#REF!</f>
        <v>#REF!</v>
      </c>
      <c r="C955" s="38" t="s">
        <v>1113</v>
      </c>
      <c r="D955" s="152" t="s">
        <v>1141</v>
      </c>
      <c r="E955" s="402"/>
      <c r="F955" s="402"/>
      <c r="G955" s="402"/>
      <c r="H955" s="402"/>
      <c r="I955" s="207"/>
      <c r="J955" s="485" t="e">
        <f t="shared" si="215"/>
        <v>#REF!</v>
      </c>
      <c r="K955" s="479" t="e">
        <f>INDEX(ConvFactors!#REF!,1,Base_calc!K$934)</f>
        <v>#REF!</v>
      </c>
      <c r="L955" s="480" t="e">
        <f>INDEX(ConvFactors!#REF!,1,Base_calc!L$934)</f>
        <v>#REF!</v>
      </c>
      <c r="M955" s="480" t="e">
        <f>INDEX(ConvFactors!#REF!,1,Base_calc!M$934)</f>
        <v>#REF!</v>
      </c>
      <c r="N955" s="481" t="e">
        <f>INDEX(ConvFactors!#REF!,1,Base_calc!N$934)</f>
        <v>#REF!</v>
      </c>
      <c r="O955" s="227" t="s">
        <v>1336</v>
      </c>
      <c r="R955" s="480"/>
      <c r="S955" s="480"/>
      <c r="T955" s="480"/>
      <c r="U955" s="480"/>
      <c r="V955" s="480"/>
      <c r="W955" s="480"/>
      <c r="X955" s="480"/>
      <c r="Y955" s="480"/>
      <c r="Z955" s="480"/>
      <c r="AA955" s="480"/>
      <c r="AB955" s="480"/>
      <c r="AC955" s="480"/>
    </row>
    <row r="956" spans="1:29" ht="38.25" x14ac:dyDescent="0.2">
      <c r="A956" s="39"/>
      <c r="B956" s="104" t="e">
        <f>+ConvFactors!#REF!</f>
        <v>#REF!</v>
      </c>
      <c r="C956" s="38" t="s">
        <v>1114</v>
      </c>
      <c r="D956" s="152" t="s">
        <v>1142</v>
      </c>
      <c r="E956" s="400"/>
      <c r="F956" s="400"/>
      <c r="G956" s="400"/>
      <c r="H956" s="400"/>
      <c r="I956" s="62"/>
      <c r="J956" s="486" t="e">
        <f t="shared" si="215"/>
        <v>#REF!</v>
      </c>
      <c r="K956" s="479" t="e">
        <f>INDEX(ConvFactors!#REF!,1,Base_calc!K$934)</f>
        <v>#REF!</v>
      </c>
      <c r="L956" s="480" t="e">
        <f>INDEX(ConvFactors!#REF!,1,Base_calc!L$934)</f>
        <v>#REF!</v>
      </c>
      <c r="M956" s="480" t="e">
        <f>INDEX(ConvFactors!#REF!,1,Base_calc!M$934)</f>
        <v>#REF!</v>
      </c>
      <c r="N956" s="481" t="e">
        <f>INDEX(ConvFactors!#REF!,1,Base_calc!N$934)</f>
        <v>#REF!</v>
      </c>
      <c r="O956" s="227" t="s">
        <v>1336</v>
      </c>
      <c r="R956" s="480"/>
      <c r="S956" s="480"/>
      <c r="T956" s="480"/>
      <c r="U956" s="480"/>
      <c r="V956" s="480"/>
      <c r="W956" s="480"/>
      <c r="X956" s="480"/>
      <c r="Y956" s="480"/>
      <c r="Z956" s="480"/>
      <c r="AA956" s="480"/>
      <c r="AB956" s="480"/>
      <c r="AC956" s="480"/>
    </row>
    <row r="957" spans="1:29" x14ac:dyDescent="0.2">
      <c r="A957" s="39"/>
      <c r="B957" s="104" t="e">
        <f>+ConvFactors!#REF!</f>
        <v>#REF!</v>
      </c>
      <c r="C957" s="38"/>
      <c r="D957" s="152"/>
      <c r="E957" s="400"/>
      <c r="F957" s="400"/>
      <c r="G957" s="400"/>
      <c r="H957" s="400"/>
      <c r="I957" s="62"/>
      <c r="J957" s="486" t="e">
        <f t="shared" si="215"/>
        <v>#REF!</v>
      </c>
      <c r="K957" s="479"/>
      <c r="L957" s="480"/>
      <c r="M957" s="480"/>
      <c r="N957" s="481" t="e">
        <f>INDEX(ConvFactors!#REF!,1,Base_calc!N$934)</f>
        <v>#REF!</v>
      </c>
      <c r="O957" s="227"/>
      <c r="R957" s="480"/>
      <c r="S957" s="480"/>
      <c r="T957" s="480"/>
      <c r="U957" s="480"/>
      <c r="V957" s="480"/>
      <c r="W957" s="480"/>
      <c r="X957" s="480"/>
      <c r="Y957" s="480"/>
      <c r="Z957" s="480"/>
      <c r="AA957" s="480"/>
      <c r="AB957" s="480"/>
      <c r="AC957" s="480"/>
    </row>
    <row r="958" spans="1:29" x14ac:dyDescent="0.2">
      <c r="A958" s="39"/>
      <c r="B958" s="104" t="e">
        <f>+ConvFactors!#REF!</f>
        <v>#REF!</v>
      </c>
      <c r="C958" s="38"/>
      <c r="D958" s="152"/>
      <c r="E958" s="400"/>
      <c r="F958" s="400"/>
      <c r="G958" s="400"/>
      <c r="H958" s="400"/>
      <c r="I958" s="62"/>
      <c r="J958" s="486" t="e">
        <f t="shared" si="215"/>
        <v>#REF!</v>
      </c>
      <c r="K958" s="479"/>
      <c r="L958" s="480"/>
      <c r="M958" s="480"/>
      <c r="N958" s="481" t="e">
        <f>INDEX(ConvFactors!#REF!,1,Base_calc!N$934)</f>
        <v>#REF!</v>
      </c>
      <c r="O958" s="227"/>
      <c r="R958" s="480"/>
      <c r="S958" s="480"/>
      <c r="T958" s="480"/>
      <c r="U958" s="480"/>
      <c r="V958" s="480"/>
      <c r="W958" s="480"/>
      <c r="X958" s="480"/>
      <c r="Y958" s="480"/>
      <c r="Z958" s="480"/>
      <c r="AA958" s="480"/>
      <c r="AB958" s="480"/>
      <c r="AC958" s="480"/>
    </row>
    <row r="959" spans="1:29" x14ac:dyDescent="0.2">
      <c r="A959" s="39"/>
      <c r="B959" s="104" t="e">
        <f>+ConvFactors!#REF!</f>
        <v>#REF!</v>
      </c>
      <c r="C959" s="38" t="s">
        <v>407</v>
      </c>
      <c r="D959" s="152" t="s">
        <v>1145</v>
      </c>
      <c r="E959" s="400"/>
      <c r="F959" s="400"/>
      <c r="G959" s="400"/>
      <c r="H959" s="400"/>
      <c r="I959" s="62"/>
      <c r="J959" s="486" t="e">
        <f t="shared" si="215"/>
        <v>#REF!</v>
      </c>
      <c r="K959" s="479" t="e">
        <f>INDEX(ConvFactors!#REF!,1,Base_calc!K$934)</f>
        <v>#REF!</v>
      </c>
      <c r="L959" s="480" t="e">
        <f>INDEX(ConvFactors!#REF!,1,Base_calc!L$934)</f>
        <v>#REF!</v>
      </c>
      <c r="M959" s="480" t="e">
        <f>INDEX(ConvFactors!#REF!,1,Base_calc!M$934)</f>
        <v>#REF!</v>
      </c>
      <c r="N959" s="481" t="e">
        <f>INDEX(ConvFactors!#REF!,1,Base_calc!N$934)</f>
        <v>#REF!</v>
      </c>
      <c r="O959" s="86"/>
      <c r="R959" s="480"/>
      <c r="S959" s="480"/>
      <c r="T959" s="480"/>
      <c r="U959" s="480"/>
      <c r="V959" s="480"/>
      <c r="W959" s="480"/>
      <c r="X959" s="480"/>
      <c r="Y959" s="480"/>
      <c r="Z959" s="480"/>
      <c r="AA959" s="480"/>
      <c r="AB959" s="480"/>
      <c r="AC959" s="480"/>
    </row>
    <row r="960" spans="1:29" x14ac:dyDescent="0.2">
      <c r="A960" s="39"/>
      <c r="B960" s="104" t="e">
        <f>+ConvFactors!#REF!</f>
        <v>#REF!</v>
      </c>
      <c r="C960" s="38" t="s">
        <v>405</v>
      </c>
      <c r="D960" s="152" t="s">
        <v>1143</v>
      </c>
      <c r="E960" s="400"/>
      <c r="F960" s="400"/>
      <c r="G960" s="400"/>
      <c r="H960" s="400"/>
      <c r="I960" s="62"/>
      <c r="J960" s="486" t="e">
        <f t="shared" si="215"/>
        <v>#REF!</v>
      </c>
      <c r="K960" s="479" t="e">
        <f>INDEX(ConvFactors!#REF!,1,Base_calc!K$934)</f>
        <v>#REF!</v>
      </c>
      <c r="L960" s="480" t="e">
        <f>INDEX(ConvFactors!#REF!,1,Base_calc!L$934)</f>
        <v>#REF!</v>
      </c>
      <c r="M960" s="480" t="e">
        <f>INDEX(ConvFactors!#REF!,1,Base_calc!M$934)</f>
        <v>#REF!</v>
      </c>
      <c r="N960" s="481" t="e">
        <f>INDEX(ConvFactors!#REF!,1,Base_calc!N$934)</f>
        <v>#REF!</v>
      </c>
      <c r="O960" s="86"/>
      <c r="R960" s="480"/>
      <c r="S960" s="480"/>
      <c r="T960" s="480"/>
      <c r="U960" s="480"/>
      <c r="V960" s="480"/>
      <c r="W960" s="480"/>
      <c r="X960" s="480"/>
      <c r="Y960" s="480"/>
      <c r="Z960" s="480"/>
      <c r="AA960" s="480"/>
      <c r="AB960" s="480"/>
      <c r="AC960" s="480"/>
    </row>
    <row r="961" spans="1:29" x14ac:dyDescent="0.2">
      <c r="A961" s="39"/>
      <c r="B961" s="104" t="e">
        <f>+ConvFactors!#REF!</f>
        <v>#REF!</v>
      </c>
      <c r="C961" s="38" t="s">
        <v>1162</v>
      </c>
      <c r="D961" s="152" t="s">
        <v>1160</v>
      </c>
      <c r="E961" s="400"/>
      <c r="F961" s="400"/>
      <c r="G961" s="400"/>
      <c r="H961" s="400"/>
      <c r="I961" s="62"/>
      <c r="J961" s="486" t="e">
        <f t="shared" si="215"/>
        <v>#REF!</v>
      </c>
      <c r="K961" s="479" t="e">
        <f>INDEX(ConvFactors!#REF!,1,Base_calc!K$934)</f>
        <v>#REF!</v>
      </c>
      <c r="L961" s="480" t="e">
        <f>INDEX(ConvFactors!#REF!,1,Base_calc!L$934)</f>
        <v>#REF!</v>
      </c>
      <c r="M961" s="480" t="e">
        <f>INDEX(ConvFactors!#REF!,1,Base_calc!M$934)</f>
        <v>#REF!</v>
      </c>
      <c r="N961" s="481" t="e">
        <f>INDEX(ConvFactors!#REF!,1,Base_calc!N$934)</f>
        <v>#REF!</v>
      </c>
      <c r="O961" s="86"/>
      <c r="R961" s="480"/>
      <c r="S961" s="480"/>
      <c r="T961" s="480"/>
      <c r="U961" s="480"/>
      <c r="V961" s="480"/>
      <c r="W961" s="480"/>
      <c r="X961" s="480"/>
      <c r="Y961" s="480"/>
      <c r="Z961" s="480"/>
      <c r="AA961" s="480"/>
      <c r="AB961" s="480"/>
      <c r="AC961" s="480"/>
    </row>
    <row r="962" spans="1:29" x14ac:dyDescent="0.2">
      <c r="A962" s="39"/>
      <c r="B962" s="104" t="e">
        <f>+ConvFactors!#REF!</f>
        <v>#REF!</v>
      </c>
      <c r="C962" s="38" t="s">
        <v>1117</v>
      </c>
      <c r="D962" s="152" t="s">
        <v>1146</v>
      </c>
      <c r="E962" s="400"/>
      <c r="F962" s="400"/>
      <c r="G962" s="400"/>
      <c r="H962" s="400"/>
      <c r="I962" s="62"/>
      <c r="J962" s="486" t="e">
        <f t="shared" si="215"/>
        <v>#REF!</v>
      </c>
      <c r="K962" s="479" t="e">
        <f>INDEX(ConvFactors!#REF!,1,Base_calc!K$934)</f>
        <v>#REF!</v>
      </c>
      <c r="L962" s="480" t="e">
        <f>INDEX(ConvFactors!#REF!,1,Base_calc!L$934)</f>
        <v>#REF!</v>
      </c>
      <c r="M962" s="480" t="e">
        <f>INDEX(ConvFactors!#REF!,1,Base_calc!M$934)</f>
        <v>#REF!</v>
      </c>
      <c r="N962" s="481" t="e">
        <f>INDEX(ConvFactors!#REF!,1,Base_calc!N$934)</f>
        <v>#REF!</v>
      </c>
      <c r="O962" s="86"/>
      <c r="R962" s="480"/>
      <c r="S962" s="480"/>
      <c r="T962" s="480"/>
      <c r="U962" s="480"/>
      <c r="V962" s="480"/>
      <c r="W962" s="480"/>
      <c r="X962" s="480"/>
      <c r="Y962" s="480"/>
      <c r="Z962" s="480"/>
      <c r="AA962" s="480"/>
      <c r="AB962" s="480"/>
      <c r="AC962" s="480"/>
    </row>
    <row r="963" spans="1:29" x14ac:dyDescent="0.2">
      <c r="A963" s="39"/>
      <c r="B963" s="104" t="e">
        <f>+ConvFactors!#REF!</f>
        <v>#REF!</v>
      </c>
      <c r="C963" s="38" t="s">
        <v>1117</v>
      </c>
      <c r="D963" s="152" t="s">
        <v>1146</v>
      </c>
      <c r="E963" s="400"/>
      <c r="F963" s="400"/>
      <c r="G963" s="400"/>
      <c r="H963" s="400"/>
      <c r="I963" s="62"/>
      <c r="J963" s="486" t="e">
        <f t="shared" si="215"/>
        <v>#REF!</v>
      </c>
      <c r="K963" s="479" t="e">
        <f>INDEX(ConvFactors!#REF!,1,Base_calc!K$934)</f>
        <v>#REF!</v>
      </c>
      <c r="L963" s="480" t="e">
        <f>INDEX(ConvFactors!#REF!,1,Base_calc!L$934)</f>
        <v>#REF!</v>
      </c>
      <c r="M963" s="480" t="e">
        <f>INDEX(ConvFactors!#REF!,1,Base_calc!M$934)</f>
        <v>#REF!</v>
      </c>
      <c r="N963" s="481" t="e">
        <f>INDEX(ConvFactors!#REF!,1,Base_calc!N$934)</f>
        <v>#REF!</v>
      </c>
      <c r="O963" s="86"/>
      <c r="R963" s="480"/>
      <c r="S963" s="480"/>
      <c r="T963" s="480"/>
      <c r="U963" s="480"/>
      <c r="V963" s="480"/>
      <c r="W963" s="480"/>
      <c r="X963" s="480"/>
      <c r="Y963" s="480"/>
      <c r="Z963" s="480"/>
      <c r="AA963" s="480"/>
      <c r="AB963" s="480"/>
      <c r="AC963" s="480"/>
    </row>
    <row r="964" spans="1:29" x14ac:dyDescent="0.2">
      <c r="A964" s="39"/>
      <c r="B964" s="104" t="str">
        <f>+ConvFactors!B48</f>
        <v>Last item</v>
      </c>
      <c r="C964" s="38" t="s">
        <v>1117</v>
      </c>
      <c r="D964" s="152" t="s">
        <v>1146</v>
      </c>
      <c r="E964" s="400"/>
      <c r="F964" s="400"/>
      <c r="G964" s="400"/>
      <c r="H964" s="400"/>
      <c r="I964" s="62"/>
      <c r="J964" s="486" t="e">
        <f t="shared" si="215"/>
        <v>#N/A</v>
      </c>
      <c r="K964" s="479" t="e">
        <f>INDEX(ConvFactors!$I48:$P48,1,Base_calc!K$934)</f>
        <v>#N/A</v>
      </c>
      <c r="L964" s="480" t="e">
        <f>INDEX(ConvFactors!$I48:$P48,1,Base_calc!L$934)</f>
        <v>#N/A</v>
      </c>
      <c r="M964" s="480" t="e">
        <f>INDEX(ConvFactors!$I48:$P48,1,Base_calc!M$934)</f>
        <v>#N/A</v>
      </c>
      <c r="N964" s="481" t="e">
        <f>INDEX(ConvFactors!$I48:$P48,1,Base_calc!N$934)</f>
        <v>#N/A</v>
      </c>
      <c r="O964" s="232"/>
      <c r="R964" s="480"/>
      <c r="S964" s="480"/>
      <c r="T964" s="480"/>
      <c r="U964" s="480"/>
      <c r="V964" s="480"/>
      <c r="W964" s="480"/>
      <c r="X964" s="480"/>
      <c r="Y964" s="480"/>
      <c r="Z964" s="480"/>
      <c r="AA964" s="480"/>
      <c r="AB964" s="480"/>
      <c r="AC964" s="480"/>
    </row>
    <row r="965" spans="1:29" ht="13.5" thickBot="1" x14ac:dyDescent="0.25">
      <c r="A965" s="39"/>
      <c r="B965" s="263" t="str">
        <f>INDEX(Language!$D$271:$M$271,1,_language)</f>
        <v>Average electricity non renewable factor</v>
      </c>
      <c r="C965" s="264" t="s">
        <v>1163</v>
      </c>
      <c r="D965" s="222" t="s">
        <v>43</v>
      </c>
      <c r="E965" s="403"/>
      <c r="F965" s="403"/>
      <c r="G965" s="403"/>
      <c r="H965" s="403"/>
      <c r="I965" s="223"/>
      <c r="J965" s="489" t="e">
        <f t="shared" si="215"/>
        <v>#REF!</v>
      </c>
      <c r="K965" s="490" t="e">
        <f>IF(K640=1,K1068,K1064)</f>
        <v>#REF!</v>
      </c>
      <c r="L965" s="491" t="e">
        <f>IF(L640=1,L1068,L1064)</f>
        <v>#REF!</v>
      </c>
      <c r="M965" s="491" t="e">
        <f>IF(M640=1,M1068,M1064)</f>
        <v>#REF!</v>
      </c>
      <c r="N965" s="492" t="e">
        <f>IF(N640=1,N1068,N1064)</f>
        <v>#REF!</v>
      </c>
      <c r="O965" s="280"/>
      <c r="R965" s="480"/>
      <c r="S965" s="480"/>
      <c r="T965" s="480"/>
      <c r="U965" s="480"/>
      <c r="V965" s="480"/>
      <c r="W965" s="480"/>
      <c r="X965" s="480"/>
      <c r="Y965" s="480"/>
      <c r="Z965" s="480"/>
      <c r="AA965" s="480"/>
      <c r="AB965" s="480"/>
      <c r="AC965" s="480"/>
    </row>
    <row r="966" spans="1:29" ht="13.5" thickBot="1" x14ac:dyDescent="0.25">
      <c r="A966" s="39"/>
      <c r="B966" s="961"/>
      <c r="C966" s="962"/>
      <c r="D966" s="963"/>
      <c r="E966" s="964"/>
      <c r="F966" s="964"/>
      <c r="G966" s="964"/>
      <c r="H966" s="964"/>
      <c r="I966" s="965"/>
      <c r="J966" s="966"/>
      <c r="K966" s="967"/>
      <c r="L966" s="968"/>
      <c r="M966" s="968"/>
      <c r="N966" s="969"/>
      <c r="O966" s="970"/>
      <c r="R966" s="959"/>
      <c r="S966" s="959"/>
      <c r="T966" s="959"/>
      <c r="U966" s="959"/>
      <c r="V966" s="959"/>
      <c r="W966" s="959"/>
      <c r="X966" s="959"/>
      <c r="Y966" s="959"/>
      <c r="Z966" s="959"/>
      <c r="AA966" s="959"/>
      <c r="AB966" s="959"/>
      <c r="AC966" s="959"/>
    </row>
    <row r="967" spans="1:29" x14ac:dyDescent="0.2">
      <c r="A967" s="39"/>
      <c r="B967" s="487" t="str">
        <f>+ConvFactors!B50</f>
        <v>Renewable primary energy factor</v>
      </c>
      <c r="C967" s="254" t="s">
        <v>1733</v>
      </c>
      <c r="D967" s="254"/>
      <c r="E967" s="496"/>
      <c r="F967" s="496"/>
      <c r="G967" s="399"/>
      <c r="H967" s="399"/>
      <c r="I967" s="215"/>
      <c r="J967" s="255"/>
      <c r="K967" s="241"/>
      <c r="L967" s="242"/>
      <c r="M967" s="242"/>
      <c r="N967" s="215"/>
      <c r="O967" s="256"/>
      <c r="R967" s="959"/>
      <c r="S967" s="959"/>
      <c r="T967" s="959"/>
      <c r="U967" s="959"/>
      <c r="V967" s="959"/>
      <c r="W967" s="959"/>
      <c r="X967" s="959"/>
      <c r="Y967" s="959"/>
      <c r="Z967" s="959"/>
      <c r="AA967" s="959"/>
      <c r="AB967" s="959"/>
      <c r="AC967" s="959"/>
    </row>
    <row r="968" spans="1:29" x14ac:dyDescent="0.2">
      <c r="A968" s="39"/>
      <c r="B968" s="104" t="str">
        <f>+ConvFactors!B51</f>
        <v>gas</v>
      </c>
      <c r="C968" s="37" t="s">
        <v>1734</v>
      </c>
      <c r="D968" s="186" t="s">
        <v>36</v>
      </c>
      <c r="E968" s="798" t="str">
        <f t="shared" ref="E968:E995" si="216">_En_unit&amp;"/"&amp;_En_unit</f>
        <v>kWh/kWh</v>
      </c>
      <c r="F968" s="402"/>
      <c r="G968" s="402"/>
      <c r="H968" s="402"/>
      <c r="I968" s="207"/>
      <c r="J968" s="486" t="e">
        <f t="shared" ref="J968:J995" si="217">INDEX(K968:N968,,_case_en)</f>
        <v>#N/A</v>
      </c>
      <c r="K968" s="479" t="e">
        <f>INDEX(ConvFactors!$I51:$P51,1,Base_calc!K$934)</f>
        <v>#N/A</v>
      </c>
      <c r="L968" s="480" t="e">
        <f>INDEX(ConvFactors!$I51:$P51,1,Base_calc!L$934)</f>
        <v>#N/A</v>
      </c>
      <c r="M968" s="480" t="e">
        <f>INDEX(ConvFactors!$I51:$P51,1,Base_calc!M$934)</f>
        <v>#N/A</v>
      </c>
      <c r="N968" s="481" t="e">
        <f>INDEX(ConvFactors!$I51:$P51,1,Base_calc!N$934)</f>
        <v>#N/A</v>
      </c>
      <c r="O968" s="227"/>
      <c r="R968" s="959"/>
      <c r="S968" s="959"/>
      <c r="T968" s="959"/>
      <c r="U968" s="959"/>
      <c r="V968" s="959"/>
      <c r="W968" s="959"/>
      <c r="X968" s="959"/>
      <c r="Y968" s="959"/>
      <c r="Z968" s="959"/>
      <c r="AA968" s="959"/>
      <c r="AB968" s="959"/>
      <c r="AC968" s="959"/>
    </row>
    <row r="969" spans="1:29" x14ac:dyDescent="0.2">
      <c r="A969" s="39"/>
      <c r="B969" s="104" t="str">
        <f>+ConvFactors!B52</f>
        <v>oil</v>
      </c>
      <c r="C969" s="37" t="s">
        <v>1735</v>
      </c>
      <c r="D969" s="186" t="s">
        <v>37</v>
      </c>
      <c r="E969" s="798" t="str">
        <f t="shared" si="216"/>
        <v>kWh/kWh</v>
      </c>
      <c r="F969" s="402"/>
      <c r="G969" s="402"/>
      <c r="H969" s="402"/>
      <c r="I969" s="207"/>
      <c r="J969" s="486" t="e">
        <f t="shared" si="217"/>
        <v>#N/A</v>
      </c>
      <c r="K969" s="479" t="e">
        <f>INDEX(ConvFactors!$I52:$P52,1,Base_calc!K$934)</f>
        <v>#N/A</v>
      </c>
      <c r="L969" s="480" t="e">
        <f>INDEX(ConvFactors!$I52:$P52,1,Base_calc!L$934)</f>
        <v>#N/A</v>
      </c>
      <c r="M969" s="480" t="e">
        <f>INDEX(ConvFactors!$I52:$P52,1,Base_calc!M$934)</f>
        <v>#N/A</v>
      </c>
      <c r="N969" s="481" t="e">
        <f>INDEX(ConvFactors!$I52:$P52,1,Base_calc!N$934)</f>
        <v>#N/A</v>
      </c>
      <c r="O969" s="227"/>
      <c r="R969" s="959"/>
      <c r="S969" s="959"/>
      <c r="T969" s="959"/>
      <c r="U969" s="959"/>
      <c r="V969" s="959"/>
      <c r="W969" s="959"/>
      <c r="X969" s="959"/>
      <c r="Y969" s="959"/>
      <c r="Z969" s="959"/>
      <c r="AA969" s="959"/>
      <c r="AB969" s="959"/>
      <c r="AC969" s="959"/>
    </row>
    <row r="970" spans="1:29" x14ac:dyDescent="0.2">
      <c r="A970" s="39"/>
      <c r="B970" s="104" t="str">
        <f>+ConvFactors!B53</f>
        <v>coal</v>
      </c>
      <c r="C970" s="37" t="s">
        <v>1736</v>
      </c>
      <c r="D970" s="186" t="s">
        <v>38</v>
      </c>
      <c r="E970" s="798" t="str">
        <f t="shared" si="216"/>
        <v>kWh/kWh</v>
      </c>
      <c r="F970" s="402"/>
      <c r="G970" s="402"/>
      <c r="H970" s="402"/>
      <c r="I970" s="207"/>
      <c r="J970" s="486" t="e">
        <f t="shared" si="217"/>
        <v>#N/A</v>
      </c>
      <c r="K970" s="479" t="e">
        <f>INDEX(ConvFactors!$I53:$P53,1,Base_calc!K$934)</f>
        <v>#N/A</v>
      </c>
      <c r="L970" s="480" t="e">
        <f>INDEX(ConvFactors!$I53:$P53,1,Base_calc!L$934)</f>
        <v>#N/A</v>
      </c>
      <c r="M970" s="480" t="e">
        <f>INDEX(ConvFactors!$I53:$P53,1,Base_calc!M$934)</f>
        <v>#N/A</v>
      </c>
      <c r="N970" s="481" t="e">
        <f>INDEX(ConvFactors!$I53:$P53,1,Base_calc!N$934)</f>
        <v>#N/A</v>
      </c>
      <c r="O970" s="227"/>
      <c r="R970" s="959"/>
      <c r="S970" s="959"/>
      <c r="T970" s="959"/>
      <c r="U970" s="959"/>
      <c r="V970" s="959"/>
      <c r="W970" s="959"/>
      <c r="X970" s="959"/>
      <c r="Y970" s="959"/>
      <c r="Z970" s="959"/>
      <c r="AA970" s="959"/>
      <c r="AB970" s="959"/>
      <c r="AC970" s="959"/>
    </row>
    <row r="971" spans="1:29" x14ac:dyDescent="0.2">
      <c r="A971" s="39"/>
      <c r="B971" s="104" t="str">
        <f>+ConvFactors!B54</f>
        <v>wood</v>
      </c>
      <c r="C971" s="37" t="s">
        <v>1737</v>
      </c>
      <c r="D971" s="186" t="s">
        <v>39</v>
      </c>
      <c r="E971" s="798" t="str">
        <f t="shared" si="216"/>
        <v>kWh/kWh</v>
      </c>
      <c r="F971" s="402"/>
      <c r="G971" s="402"/>
      <c r="H971" s="402"/>
      <c r="I971" s="207"/>
      <c r="J971" s="486" t="e">
        <f t="shared" si="217"/>
        <v>#N/A</v>
      </c>
      <c r="K971" s="479" t="e">
        <f>INDEX(ConvFactors!$I54:$P54,1,Base_calc!K$934)</f>
        <v>#N/A</v>
      </c>
      <c r="L971" s="480" t="e">
        <f>INDEX(ConvFactors!$I54:$P54,1,Base_calc!L$934)</f>
        <v>#N/A</v>
      </c>
      <c r="M971" s="480" t="e">
        <f>INDEX(ConvFactors!$I54:$P54,1,Base_calc!M$934)</f>
        <v>#N/A</v>
      </c>
      <c r="N971" s="481" t="e">
        <f>INDEX(ConvFactors!$I54:$P54,1,Base_calc!N$934)</f>
        <v>#N/A</v>
      </c>
      <c r="O971" s="227"/>
      <c r="R971" s="959"/>
      <c r="S971" s="959"/>
      <c r="T971" s="959"/>
      <c r="U971" s="959"/>
      <c r="V971" s="959"/>
      <c r="W971" s="959"/>
      <c r="X971" s="959"/>
      <c r="Y971" s="959"/>
      <c r="Z971" s="959"/>
      <c r="AA971" s="959"/>
      <c r="AB971" s="959"/>
      <c r="AC971" s="959"/>
    </row>
    <row r="972" spans="1:29" x14ac:dyDescent="0.2">
      <c r="A972" s="39"/>
      <c r="B972" s="104" t="str">
        <f>+ConvFactors!B55</f>
        <v>biomass</v>
      </c>
      <c r="C972" s="37" t="s">
        <v>1752</v>
      </c>
      <c r="D972" s="186" t="s">
        <v>610</v>
      </c>
      <c r="E972" s="798" t="str">
        <f t="shared" si="216"/>
        <v>kWh/kWh</v>
      </c>
      <c r="F972" s="402"/>
      <c r="G972" s="402"/>
      <c r="H972" s="402"/>
      <c r="I972" s="207"/>
      <c r="J972" s="486" t="e">
        <f t="shared" si="217"/>
        <v>#N/A</v>
      </c>
      <c r="K972" s="479" t="e">
        <f>INDEX(ConvFactors!$I55:$P55,1,Base_calc!K$934)</f>
        <v>#N/A</v>
      </c>
      <c r="L972" s="480" t="e">
        <f>INDEX(ConvFactors!$I55:$P55,1,Base_calc!L$934)</f>
        <v>#N/A</v>
      </c>
      <c r="M972" s="480" t="e">
        <f>INDEX(ConvFactors!$I55:$P55,1,Base_calc!M$934)</f>
        <v>#N/A</v>
      </c>
      <c r="N972" s="481" t="e">
        <f>INDEX(ConvFactors!$I55:$P55,1,Base_calc!N$934)</f>
        <v>#N/A</v>
      </c>
      <c r="O972" s="227"/>
      <c r="R972" s="959"/>
      <c r="S972" s="959"/>
      <c r="T972" s="959"/>
      <c r="U972" s="959"/>
      <c r="V972" s="959"/>
      <c r="W972" s="959"/>
      <c r="X972" s="959"/>
      <c r="Y972" s="959"/>
      <c r="Z972" s="959"/>
      <c r="AA972" s="959"/>
      <c r="AB972" s="959"/>
      <c r="AC972" s="959"/>
    </row>
    <row r="973" spans="1:29" x14ac:dyDescent="0.2">
      <c r="A973" s="39"/>
      <c r="B973" s="104" t="str">
        <f>+ConvFactors!B56</f>
        <v>custom</v>
      </c>
      <c r="C973" s="37" t="s">
        <v>1738</v>
      </c>
      <c r="D973" s="186" t="s">
        <v>40</v>
      </c>
      <c r="E973" s="798" t="str">
        <f t="shared" si="216"/>
        <v>kWh/kWh</v>
      </c>
      <c r="F973" s="402"/>
      <c r="G973" s="402"/>
      <c r="H973" s="402"/>
      <c r="I973" s="207"/>
      <c r="J973" s="486" t="e">
        <f t="shared" si="217"/>
        <v>#N/A</v>
      </c>
      <c r="K973" s="479" t="e">
        <f>INDEX(ConvFactors!$I56:$P56,1,Base_calc!K$934)</f>
        <v>#N/A</v>
      </c>
      <c r="L973" s="480" t="e">
        <f>INDEX(ConvFactors!$I56:$P56,1,Base_calc!L$934)</f>
        <v>#N/A</v>
      </c>
      <c r="M973" s="480" t="e">
        <f>INDEX(ConvFactors!$I56:$P56,1,Base_calc!M$934)</f>
        <v>#N/A</v>
      </c>
      <c r="N973" s="481" t="e">
        <f>INDEX(ConvFactors!$I56:$P56,1,Base_calc!N$934)</f>
        <v>#N/A</v>
      </c>
      <c r="O973" s="227"/>
      <c r="R973" s="959"/>
      <c r="S973" s="959"/>
      <c r="T973" s="959"/>
      <c r="U973" s="959"/>
      <c r="V973" s="959"/>
      <c r="W973" s="959"/>
      <c r="X973" s="959"/>
      <c r="Y973" s="959"/>
      <c r="Z973" s="959"/>
      <c r="AA973" s="959"/>
      <c r="AB973" s="959"/>
      <c r="AC973" s="959"/>
    </row>
    <row r="974" spans="1:29" x14ac:dyDescent="0.2">
      <c r="A974" s="39"/>
      <c r="B974" s="104" t="str">
        <f>+ConvFactors!B57</f>
        <v>District heating</v>
      </c>
      <c r="C974" s="37" t="s">
        <v>1753</v>
      </c>
      <c r="D974" s="186" t="s">
        <v>41</v>
      </c>
      <c r="E974" s="798" t="str">
        <f t="shared" si="216"/>
        <v>kWh/kWh</v>
      </c>
      <c r="F974" s="402"/>
      <c r="G974" s="402"/>
      <c r="H974" s="402"/>
      <c r="I974" s="207"/>
      <c r="J974" s="486" t="e">
        <f t="shared" si="217"/>
        <v>#N/A</v>
      </c>
      <c r="K974" s="479" t="e">
        <f>INDEX(ConvFactors!$I57:$P57,1,Base_calc!K$934)</f>
        <v>#N/A</v>
      </c>
      <c r="L974" s="480" t="e">
        <f>INDEX(ConvFactors!$I57:$P57,1,Base_calc!L$934)</f>
        <v>#N/A</v>
      </c>
      <c r="M974" s="480" t="e">
        <f>INDEX(ConvFactors!$I57:$P57,1,Base_calc!M$934)</f>
        <v>#N/A</v>
      </c>
      <c r="N974" s="481" t="e">
        <f>INDEX(ConvFactors!$I57:$P57,1,Base_calc!N$934)</f>
        <v>#N/A</v>
      </c>
      <c r="O974" s="227"/>
      <c r="R974" s="959"/>
      <c r="S974" s="959"/>
      <c r="T974" s="959"/>
      <c r="U974" s="959"/>
      <c r="V974" s="959"/>
      <c r="W974" s="959"/>
      <c r="X974" s="959"/>
      <c r="Y974" s="959"/>
      <c r="Z974" s="959"/>
      <c r="AA974" s="959"/>
      <c r="AB974" s="959"/>
      <c r="AC974" s="959"/>
    </row>
    <row r="975" spans="1:29" x14ac:dyDescent="0.2">
      <c r="A975" s="39"/>
      <c r="B975" s="104" t="str">
        <f>+ConvFactors!B58</f>
        <v>District cooling</v>
      </c>
      <c r="C975" s="37" t="s">
        <v>1739</v>
      </c>
      <c r="D975" s="186" t="s">
        <v>42</v>
      </c>
      <c r="E975" s="798" t="str">
        <f t="shared" si="216"/>
        <v>kWh/kWh</v>
      </c>
      <c r="F975" s="402"/>
      <c r="G975" s="402"/>
      <c r="H975" s="402"/>
      <c r="I975" s="207"/>
      <c r="J975" s="486" t="e">
        <f t="shared" si="217"/>
        <v>#N/A</v>
      </c>
      <c r="K975" s="479" t="e">
        <f>INDEX(ConvFactors!$I58:$P58,1,Base_calc!K$934)</f>
        <v>#N/A</v>
      </c>
      <c r="L975" s="480" t="e">
        <f>INDEX(ConvFactors!$I58:$P58,1,Base_calc!L$934)</f>
        <v>#N/A</v>
      </c>
      <c r="M975" s="480" t="e">
        <f>INDEX(ConvFactors!$I58:$P58,1,Base_calc!M$934)</f>
        <v>#N/A</v>
      </c>
      <c r="N975" s="481" t="e">
        <f>INDEX(ConvFactors!$I58:$P58,1,Base_calc!N$934)</f>
        <v>#N/A</v>
      </c>
      <c r="O975" s="227"/>
      <c r="R975" s="959"/>
      <c r="S975" s="959"/>
      <c r="T975" s="959"/>
      <c r="U975" s="959"/>
      <c r="V975" s="959"/>
      <c r="W975" s="959"/>
      <c r="X975" s="959"/>
      <c r="Y975" s="959"/>
      <c r="Z975" s="959"/>
      <c r="AA975" s="959"/>
      <c r="AB975" s="959"/>
      <c r="AC975" s="959"/>
    </row>
    <row r="976" spans="1:29" x14ac:dyDescent="0.2">
      <c r="A976" s="39"/>
      <c r="B976" s="104" t="str">
        <f>+ConvFactors!B62</f>
        <v>Environment heat</v>
      </c>
      <c r="C976" s="37" t="s">
        <v>1754</v>
      </c>
      <c r="D976" s="186" t="s">
        <v>784</v>
      </c>
      <c r="E976" s="798" t="str">
        <f t="shared" si="216"/>
        <v>kWh/kWh</v>
      </c>
      <c r="F976" s="402"/>
      <c r="G976" s="402"/>
      <c r="H976" s="402"/>
      <c r="I976" s="207"/>
      <c r="J976" s="486" t="e">
        <f t="shared" si="217"/>
        <v>#N/A</v>
      </c>
      <c r="K976" s="479" t="e">
        <f>INDEX(ConvFactors!$I62:$P62,1,Base_calc!K$934)</f>
        <v>#N/A</v>
      </c>
      <c r="L976" s="480" t="e">
        <f>INDEX(ConvFactors!$I62:$P62,1,Base_calc!L$934)</f>
        <v>#N/A</v>
      </c>
      <c r="M976" s="480" t="e">
        <f>INDEX(ConvFactors!$I62:$P62,1,Base_calc!M$934)</f>
        <v>#N/A</v>
      </c>
      <c r="N976" s="481" t="e">
        <f>INDEX(ConvFactors!$I62:$P62,1,Base_calc!N$934)</f>
        <v>#N/A</v>
      </c>
      <c r="O976" s="227"/>
      <c r="R976" s="959"/>
      <c r="S976" s="959"/>
      <c r="T976" s="959"/>
      <c r="U976" s="959"/>
      <c r="V976" s="959"/>
      <c r="W976" s="959"/>
      <c r="X976" s="959"/>
      <c r="Y976" s="959"/>
      <c r="Z976" s="959"/>
      <c r="AA976" s="959"/>
      <c r="AB976" s="959"/>
      <c r="AC976" s="959"/>
    </row>
    <row r="977" spans="1:29" x14ac:dyDescent="0.2">
      <c r="A977" s="39"/>
      <c r="B977" s="104" t="e">
        <f>+ConvFactors!#REF!</f>
        <v>#REF!</v>
      </c>
      <c r="C977" s="37" t="s">
        <v>1740</v>
      </c>
      <c r="D977" s="186" t="s">
        <v>1324</v>
      </c>
      <c r="E977" s="798" t="str">
        <f t="shared" si="216"/>
        <v>kWh/kWh</v>
      </c>
      <c r="F977" s="402"/>
      <c r="G977" s="402"/>
      <c r="H977" s="402"/>
      <c r="I977" s="207"/>
      <c r="J977" s="486" t="e">
        <f t="shared" si="217"/>
        <v>#REF!</v>
      </c>
      <c r="K977" s="479" t="e">
        <f>INDEX(ConvFactors!#REF!,1,Base_calc!K$934)</f>
        <v>#REF!</v>
      </c>
      <c r="L977" s="480" t="e">
        <f>INDEX(ConvFactors!#REF!,1,Base_calc!L$934)</f>
        <v>#REF!</v>
      </c>
      <c r="M977" s="480" t="e">
        <f>INDEX(ConvFactors!#REF!,1,Base_calc!M$934)</f>
        <v>#REF!</v>
      </c>
      <c r="N977" s="481" t="e">
        <f>INDEX(ConvFactors!#REF!,1,Base_calc!N$934)</f>
        <v>#REF!</v>
      </c>
      <c r="O977" s="227"/>
      <c r="R977" s="959"/>
      <c r="S977" s="959"/>
      <c r="T977" s="959"/>
      <c r="U977" s="959"/>
      <c r="V977" s="959"/>
      <c r="W977" s="959"/>
      <c r="X977" s="959"/>
      <c r="Y977" s="959"/>
      <c r="Z977" s="959"/>
      <c r="AA977" s="959"/>
      <c r="AB977" s="959"/>
      <c r="AC977" s="959"/>
    </row>
    <row r="978" spans="1:29" x14ac:dyDescent="0.2">
      <c r="A978" s="39"/>
      <c r="B978" s="104" t="e">
        <f>+ConvFactors!#REF!</f>
        <v>#REF!</v>
      </c>
      <c r="C978" s="38" t="s">
        <v>1741</v>
      </c>
      <c r="D978" s="186" t="s">
        <v>43</v>
      </c>
      <c r="E978" s="798" t="str">
        <f t="shared" si="216"/>
        <v>kWh/kWh</v>
      </c>
      <c r="F978" s="402"/>
      <c r="G978" s="402"/>
      <c r="H978" s="402"/>
      <c r="I978" s="207"/>
      <c r="J978" s="486" t="e">
        <f t="shared" si="217"/>
        <v>#REF!</v>
      </c>
      <c r="K978" s="479" t="e">
        <f>INDEX(ConvFactors!#REF!,1,Base_calc!K$934)</f>
        <v>#REF!</v>
      </c>
      <c r="L978" s="480" t="e">
        <f>INDEX(ConvFactors!#REF!,1,Base_calc!L$934)</f>
        <v>#REF!</v>
      </c>
      <c r="M978" s="480" t="e">
        <f>INDEX(ConvFactors!#REF!,1,Base_calc!M$934)</f>
        <v>#REF!</v>
      </c>
      <c r="N978" s="481" t="e">
        <f>INDEX(ConvFactors!#REF!,1,Base_calc!N$934)</f>
        <v>#REF!</v>
      </c>
      <c r="O978" s="227"/>
      <c r="R978" s="959"/>
      <c r="S978" s="959"/>
      <c r="T978" s="959"/>
      <c r="U978" s="959"/>
      <c r="V978" s="959"/>
      <c r="W978" s="959"/>
      <c r="X978" s="959"/>
      <c r="Y978" s="959"/>
      <c r="Z978" s="959"/>
      <c r="AA978" s="959"/>
      <c r="AB978" s="959"/>
      <c r="AC978" s="959"/>
    </row>
    <row r="979" spans="1:29" x14ac:dyDescent="0.2">
      <c r="A979" s="39"/>
      <c r="B979" s="104" t="e">
        <f>+ConvFactors!#REF!</f>
        <v>#REF!</v>
      </c>
      <c r="C979" s="38" t="s">
        <v>1742</v>
      </c>
      <c r="D979" s="186" t="s">
        <v>43</v>
      </c>
      <c r="E979" s="798" t="str">
        <f t="shared" si="216"/>
        <v>kWh/kWh</v>
      </c>
      <c r="F979" s="402"/>
      <c r="G979" s="402"/>
      <c r="H979" s="402"/>
      <c r="I979" s="207"/>
      <c r="J979" s="486" t="e">
        <f t="shared" si="217"/>
        <v>#REF!</v>
      </c>
      <c r="K979" s="479" t="e">
        <f>INDEX(ConvFactors!#REF!,1,Base_calc!K$934)</f>
        <v>#REF!</v>
      </c>
      <c r="L979" s="480" t="e">
        <f>INDEX(ConvFactors!#REF!,1,Base_calc!L$934)</f>
        <v>#REF!</v>
      </c>
      <c r="M979" s="480" t="e">
        <f>INDEX(ConvFactors!#REF!,1,Base_calc!M$934)</f>
        <v>#REF!</v>
      </c>
      <c r="N979" s="481" t="e">
        <f>INDEX(ConvFactors!#REF!,1,Base_calc!N$934)</f>
        <v>#REF!</v>
      </c>
      <c r="O979" s="227"/>
      <c r="R979" s="959"/>
      <c r="S979" s="959"/>
      <c r="T979" s="959"/>
      <c r="U979" s="959"/>
      <c r="V979" s="959"/>
      <c r="W979" s="959"/>
      <c r="X979" s="959"/>
      <c r="Y979" s="959"/>
      <c r="Z979" s="959"/>
      <c r="AA979" s="959"/>
      <c r="AB979" s="959"/>
      <c r="AC979" s="959"/>
    </row>
    <row r="980" spans="1:29" x14ac:dyDescent="0.2">
      <c r="A980" s="39"/>
      <c r="B980" s="104" t="e">
        <f>+ConvFactors!#REF!</f>
        <v>#REF!</v>
      </c>
      <c r="C980" s="38" t="s">
        <v>1755</v>
      </c>
      <c r="D980" s="186" t="s">
        <v>43</v>
      </c>
      <c r="E980" s="798" t="str">
        <f t="shared" si="216"/>
        <v>kWh/kWh</v>
      </c>
      <c r="F980" s="402"/>
      <c r="G980" s="402"/>
      <c r="H980" s="402"/>
      <c r="I980" s="207"/>
      <c r="J980" s="486" t="e">
        <f t="shared" si="217"/>
        <v>#REF!</v>
      </c>
      <c r="K980" s="479" t="e">
        <f>INDEX(ConvFactors!#REF!,1,Base_calc!K$934)</f>
        <v>#REF!</v>
      </c>
      <c r="L980" s="480" t="e">
        <f>INDEX(ConvFactors!#REF!,1,Base_calc!L$934)</f>
        <v>#REF!</v>
      </c>
      <c r="M980" s="480" t="e">
        <f>INDEX(ConvFactors!#REF!,1,Base_calc!M$934)</f>
        <v>#REF!</v>
      </c>
      <c r="N980" s="481" t="e">
        <f>INDEX(ConvFactors!#REF!,1,Base_calc!N$934)</f>
        <v>#REF!</v>
      </c>
      <c r="O980" s="227"/>
      <c r="R980" s="959"/>
      <c r="S980" s="959"/>
      <c r="T980" s="959"/>
      <c r="U980" s="959"/>
      <c r="V980" s="959"/>
      <c r="W980" s="959"/>
      <c r="X980" s="959"/>
      <c r="Y980" s="959"/>
      <c r="Z980" s="959"/>
      <c r="AA980" s="959"/>
      <c r="AB980" s="959"/>
      <c r="AC980" s="959"/>
    </row>
    <row r="981" spans="1:29" x14ac:dyDescent="0.2">
      <c r="A981" s="39"/>
      <c r="B981" s="104" t="e">
        <f>+ConvFactors!#REF!</f>
        <v>#REF!</v>
      </c>
      <c r="C981" s="38" t="s">
        <v>1743</v>
      </c>
      <c r="D981" s="186" t="s">
        <v>43</v>
      </c>
      <c r="E981" s="798" t="str">
        <f t="shared" si="216"/>
        <v>kWh/kWh</v>
      </c>
      <c r="F981" s="402"/>
      <c r="G981" s="402"/>
      <c r="H981" s="402"/>
      <c r="I981" s="207"/>
      <c r="J981" s="486" t="e">
        <f t="shared" si="217"/>
        <v>#REF!</v>
      </c>
      <c r="K981" s="479" t="e">
        <f>INDEX(ConvFactors!#REF!,1,Base_calc!K$934)</f>
        <v>#REF!</v>
      </c>
      <c r="L981" s="480" t="e">
        <f>INDEX(ConvFactors!#REF!,1,Base_calc!L$934)</f>
        <v>#REF!</v>
      </c>
      <c r="M981" s="480" t="e">
        <f>INDEX(ConvFactors!#REF!,1,Base_calc!M$934)</f>
        <v>#REF!</v>
      </c>
      <c r="N981" s="481" t="e">
        <f>INDEX(ConvFactors!#REF!,1,Base_calc!N$934)</f>
        <v>#REF!</v>
      </c>
      <c r="O981" s="227"/>
      <c r="R981" s="959"/>
      <c r="S981" s="959"/>
      <c r="T981" s="959"/>
      <c r="U981" s="959"/>
      <c r="V981" s="959"/>
      <c r="W981" s="959"/>
      <c r="X981" s="959"/>
      <c r="Y981" s="959"/>
      <c r="Z981" s="959"/>
      <c r="AA981" s="959"/>
      <c r="AB981" s="959"/>
      <c r="AC981" s="959"/>
    </row>
    <row r="982" spans="1:29" x14ac:dyDescent="0.2">
      <c r="A982" s="39"/>
      <c r="B982" s="104" t="e">
        <f>+ConvFactors!#REF!</f>
        <v>#REF!</v>
      </c>
      <c r="C982" s="38" t="s">
        <v>1756</v>
      </c>
      <c r="D982" s="186" t="s">
        <v>43</v>
      </c>
      <c r="E982" s="798" t="str">
        <f t="shared" si="216"/>
        <v>kWh/kWh</v>
      </c>
      <c r="F982" s="402"/>
      <c r="G982" s="402"/>
      <c r="H982" s="402"/>
      <c r="I982" s="207"/>
      <c r="J982" s="486" t="e">
        <f t="shared" si="217"/>
        <v>#REF!</v>
      </c>
      <c r="K982" s="479" t="e">
        <f>INDEX(ConvFactors!#REF!,1,Base_calc!K$934)</f>
        <v>#REF!</v>
      </c>
      <c r="L982" s="480" t="e">
        <f>INDEX(ConvFactors!#REF!,1,Base_calc!L$934)</f>
        <v>#REF!</v>
      </c>
      <c r="M982" s="480" t="e">
        <f>INDEX(ConvFactors!#REF!,1,Base_calc!M$934)</f>
        <v>#REF!</v>
      </c>
      <c r="N982" s="481" t="e">
        <f>INDEX(ConvFactors!#REF!,1,Base_calc!N$934)</f>
        <v>#REF!</v>
      </c>
      <c r="O982" s="227"/>
      <c r="R982" s="959"/>
      <c r="S982" s="959"/>
      <c r="T982" s="959"/>
      <c r="U982" s="959"/>
      <c r="V982" s="959"/>
      <c r="W982" s="959"/>
      <c r="X982" s="959"/>
      <c r="Y982" s="959"/>
      <c r="Z982" s="959"/>
      <c r="AA982" s="959"/>
      <c r="AB982" s="959"/>
      <c r="AC982" s="959"/>
    </row>
    <row r="983" spans="1:29" x14ac:dyDescent="0.2">
      <c r="A983" s="39"/>
      <c r="B983" s="104" t="e">
        <f>+ConvFactors!#REF!</f>
        <v>#REF!</v>
      </c>
      <c r="C983" s="38" t="s">
        <v>1744</v>
      </c>
      <c r="D983" s="186" t="s">
        <v>43</v>
      </c>
      <c r="E983" s="797" t="str">
        <f t="shared" si="216"/>
        <v>kWh/kWh</v>
      </c>
      <c r="F983" s="400"/>
      <c r="G983" s="400"/>
      <c r="H983" s="400"/>
      <c r="I983" s="62"/>
      <c r="J983" s="486" t="e">
        <f t="shared" si="217"/>
        <v>#REF!</v>
      </c>
      <c r="K983" s="479" t="e">
        <f>INDEX(ConvFactors!#REF!,1,Base_calc!K$934)</f>
        <v>#REF!</v>
      </c>
      <c r="L983" s="480" t="e">
        <f>INDEX(ConvFactors!#REF!,1,Base_calc!L$934)</f>
        <v>#REF!</v>
      </c>
      <c r="M983" s="480" t="e">
        <f>INDEX(ConvFactors!#REF!,1,Base_calc!M$934)</f>
        <v>#REF!</v>
      </c>
      <c r="N983" s="481" t="e">
        <f>INDEX(ConvFactors!#REF!,1,Base_calc!N$934)</f>
        <v>#REF!</v>
      </c>
      <c r="O983" s="86"/>
      <c r="R983" s="959"/>
      <c r="S983" s="959"/>
      <c r="T983" s="959"/>
      <c r="U983" s="959"/>
      <c r="V983" s="959"/>
      <c r="W983" s="959"/>
      <c r="X983" s="959"/>
      <c r="Y983" s="959"/>
      <c r="Z983" s="959"/>
      <c r="AA983" s="959"/>
      <c r="AB983" s="959"/>
      <c r="AC983" s="959"/>
    </row>
    <row r="984" spans="1:29" x14ac:dyDescent="0.2">
      <c r="A984" s="39"/>
      <c r="B984" s="104" t="e">
        <f>+ConvFactors!#REF!</f>
        <v>#REF!</v>
      </c>
      <c r="C984" s="38" t="s">
        <v>1745</v>
      </c>
      <c r="D984" s="971" t="s">
        <v>43</v>
      </c>
      <c r="E984" s="972" t="str">
        <f t="shared" si="216"/>
        <v>kWh/kWh</v>
      </c>
      <c r="F984" s="402"/>
      <c r="G984" s="402"/>
      <c r="H984" s="402"/>
      <c r="I984" s="207"/>
      <c r="J984" s="486" t="e">
        <f t="shared" si="217"/>
        <v>#REF!</v>
      </c>
      <c r="K984" s="479" t="e">
        <f>INDEX(ConvFactors!#REF!,1,Base_calc!K$934)</f>
        <v>#REF!</v>
      </c>
      <c r="L984" s="480" t="e">
        <f>INDEX(ConvFactors!#REF!,1,Base_calc!L$934)</f>
        <v>#REF!</v>
      </c>
      <c r="M984" s="480" t="e">
        <f>INDEX(ConvFactors!#REF!,1,Base_calc!M$934)</f>
        <v>#REF!</v>
      </c>
      <c r="N984" s="481" t="e">
        <f>INDEX(ConvFactors!#REF!,1,Base_calc!N$934)</f>
        <v>#REF!</v>
      </c>
      <c r="O984" s="227"/>
      <c r="R984" s="959"/>
      <c r="S984" s="959"/>
      <c r="T984" s="959"/>
      <c r="U984" s="959"/>
      <c r="V984" s="959"/>
      <c r="W984" s="959"/>
      <c r="X984" s="959"/>
      <c r="Y984" s="959"/>
      <c r="Z984" s="959"/>
      <c r="AA984" s="959"/>
      <c r="AB984" s="959"/>
      <c r="AC984" s="959"/>
    </row>
    <row r="985" spans="1:29" x14ac:dyDescent="0.2">
      <c r="A985" s="39"/>
      <c r="B985" s="104" t="e">
        <f>+ConvFactors!#REF!</f>
        <v>#REF!</v>
      </c>
      <c r="C985" s="38" t="s">
        <v>1746</v>
      </c>
      <c r="D985" s="971" t="s">
        <v>43</v>
      </c>
      <c r="E985" s="972" t="str">
        <f t="shared" si="216"/>
        <v>kWh/kWh</v>
      </c>
      <c r="F985" s="402"/>
      <c r="G985" s="402"/>
      <c r="H985" s="402"/>
      <c r="I985" s="207"/>
      <c r="J985" s="486" t="e">
        <f t="shared" si="217"/>
        <v>#REF!</v>
      </c>
      <c r="K985" s="479" t="e">
        <f>INDEX(ConvFactors!#REF!,1,Base_calc!K$934)</f>
        <v>#REF!</v>
      </c>
      <c r="L985" s="480" t="e">
        <f>INDEX(ConvFactors!#REF!,1,Base_calc!L$934)</f>
        <v>#REF!</v>
      </c>
      <c r="M985" s="480" t="e">
        <f>INDEX(ConvFactors!#REF!,1,Base_calc!M$934)</f>
        <v>#REF!</v>
      </c>
      <c r="N985" s="481" t="e">
        <f>INDEX(ConvFactors!#REF!,1,Base_calc!N$934)</f>
        <v>#REF!</v>
      </c>
      <c r="O985" s="227"/>
      <c r="R985" s="959"/>
      <c r="S985" s="959"/>
      <c r="T985" s="959"/>
      <c r="U985" s="959"/>
      <c r="V985" s="959"/>
      <c r="W985" s="959"/>
      <c r="X985" s="959"/>
      <c r="Y985" s="959"/>
      <c r="Z985" s="959"/>
      <c r="AA985" s="959"/>
      <c r="AB985" s="959"/>
      <c r="AC985" s="959"/>
    </row>
    <row r="986" spans="1:29" x14ac:dyDescent="0.2">
      <c r="A986" s="39"/>
      <c r="B986" s="104" t="e">
        <f>+ConvFactors!#REF!</f>
        <v>#REF!</v>
      </c>
      <c r="C986" s="38" t="s">
        <v>1747</v>
      </c>
      <c r="D986" s="186" t="s">
        <v>43</v>
      </c>
      <c r="E986" s="798" t="str">
        <f t="shared" si="216"/>
        <v>kWh/kWh</v>
      </c>
      <c r="F986" s="402"/>
      <c r="G986" s="402"/>
      <c r="H986" s="402"/>
      <c r="I986" s="207"/>
      <c r="J986" s="486" t="e">
        <f t="shared" si="217"/>
        <v>#REF!</v>
      </c>
      <c r="K986" s="479" t="e">
        <f>INDEX(ConvFactors!#REF!,1,Base_calc!K$934)</f>
        <v>#REF!</v>
      </c>
      <c r="L986" s="480" t="e">
        <f>INDEX(ConvFactors!#REF!,1,Base_calc!L$934)</f>
        <v>#REF!</v>
      </c>
      <c r="M986" s="480" t="e">
        <f>INDEX(ConvFactors!#REF!,1,Base_calc!M$934)</f>
        <v>#REF!</v>
      </c>
      <c r="N986" s="481" t="e">
        <f>INDEX(ConvFactors!#REF!,1,Base_calc!N$934)</f>
        <v>#REF!</v>
      </c>
      <c r="O986" s="227"/>
      <c r="R986" s="959"/>
      <c r="S986" s="959"/>
      <c r="T986" s="959"/>
      <c r="U986" s="959"/>
      <c r="V986" s="959"/>
      <c r="W986" s="959"/>
      <c r="X986" s="959"/>
      <c r="Y986" s="959"/>
      <c r="Z986" s="959"/>
      <c r="AA986" s="959"/>
      <c r="AB986" s="959"/>
      <c r="AC986" s="959"/>
    </row>
    <row r="987" spans="1:29" x14ac:dyDescent="0.2">
      <c r="A987" s="39"/>
      <c r="B987" s="104" t="e">
        <f>+ConvFactors!#REF!</f>
        <v>#REF!</v>
      </c>
      <c r="C987" s="38" t="s">
        <v>1748</v>
      </c>
      <c r="D987" s="186" t="s">
        <v>43</v>
      </c>
      <c r="E987" s="797" t="str">
        <f t="shared" si="216"/>
        <v>kWh/kWh</v>
      </c>
      <c r="F987" s="400"/>
      <c r="G987" s="400"/>
      <c r="H987" s="400"/>
      <c r="I987" s="62"/>
      <c r="J987" s="486" t="e">
        <f t="shared" si="217"/>
        <v>#REF!</v>
      </c>
      <c r="K987" s="479" t="e">
        <f>INDEX(ConvFactors!#REF!,1,Base_calc!K$934)</f>
        <v>#REF!</v>
      </c>
      <c r="L987" s="480" t="e">
        <f>INDEX(ConvFactors!#REF!,1,Base_calc!L$934)</f>
        <v>#REF!</v>
      </c>
      <c r="M987" s="480" t="e">
        <f>INDEX(ConvFactors!#REF!,1,Base_calc!M$934)</f>
        <v>#REF!</v>
      </c>
      <c r="N987" s="481" t="e">
        <f>INDEX(ConvFactors!#REF!,1,Base_calc!N$934)</f>
        <v>#REF!</v>
      </c>
      <c r="O987" s="227"/>
      <c r="R987" s="959"/>
      <c r="S987" s="959"/>
      <c r="T987" s="959"/>
      <c r="U987" s="959"/>
      <c r="V987" s="959"/>
      <c r="W987" s="959"/>
      <c r="X987" s="959"/>
      <c r="Y987" s="959"/>
      <c r="Z987" s="959"/>
      <c r="AA987" s="959"/>
      <c r="AB987" s="959"/>
      <c r="AC987" s="959"/>
    </row>
    <row r="988" spans="1:29" x14ac:dyDescent="0.2">
      <c r="A988" s="39"/>
      <c r="B988" s="104" t="e">
        <f>+ConvFactors!#REF!</f>
        <v>#REF!</v>
      </c>
      <c r="C988" s="38" t="s">
        <v>1749</v>
      </c>
      <c r="D988" s="186" t="s">
        <v>43</v>
      </c>
      <c r="E988" s="797" t="str">
        <f t="shared" si="216"/>
        <v>kWh/kWh</v>
      </c>
      <c r="F988" s="400"/>
      <c r="G988" s="400"/>
      <c r="H988" s="400"/>
      <c r="I988" s="62"/>
      <c r="J988" s="486" t="e">
        <f t="shared" si="217"/>
        <v>#REF!</v>
      </c>
      <c r="K988" s="479" t="e">
        <f>INDEX(ConvFactors!#REF!,1,Base_calc!K$934)</f>
        <v>#REF!</v>
      </c>
      <c r="L988" s="480" t="e">
        <f>INDEX(ConvFactors!#REF!,1,Base_calc!L$934)</f>
        <v>#REF!</v>
      </c>
      <c r="M988" s="480" t="e">
        <f>INDEX(ConvFactors!#REF!,1,Base_calc!M$934)</f>
        <v>#REF!</v>
      </c>
      <c r="N988" s="481" t="e">
        <f>INDEX(ConvFactors!#REF!,1,Base_calc!N$934)</f>
        <v>#REF!</v>
      </c>
      <c r="O988" s="227"/>
      <c r="R988" s="959"/>
      <c r="S988" s="959"/>
      <c r="T988" s="959"/>
      <c r="U988" s="959"/>
      <c r="V988" s="959"/>
      <c r="W988" s="959"/>
      <c r="X988" s="959"/>
      <c r="Y988" s="959"/>
      <c r="Z988" s="959"/>
      <c r="AA988" s="959"/>
      <c r="AB988" s="959"/>
      <c r="AC988" s="959"/>
    </row>
    <row r="989" spans="1:29" x14ac:dyDescent="0.2">
      <c r="A989" s="39"/>
      <c r="B989" s="104" t="e">
        <f>+ConvFactors!#REF!</f>
        <v>#REF!</v>
      </c>
      <c r="C989" s="38" t="s">
        <v>1750</v>
      </c>
      <c r="D989" s="186" t="s">
        <v>43</v>
      </c>
      <c r="E989" s="797" t="str">
        <f t="shared" si="216"/>
        <v>kWh/kWh</v>
      </c>
      <c r="F989" s="400"/>
      <c r="G989" s="400"/>
      <c r="H989" s="400"/>
      <c r="I989" s="62"/>
      <c r="J989" s="486" t="e">
        <f t="shared" si="217"/>
        <v>#REF!</v>
      </c>
      <c r="K989" s="479" t="e">
        <f>INDEX(ConvFactors!#REF!,1,Base_calc!K$934)</f>
        <v>#REF!</v>
      </c>
      <c r="L989" s="480" t="e">
        <f>INDEX(ConvFactors!#REF!,1,Base_calc!L$934)</f>
        <v>#REF!</v>
      </c>
      <c r="M989" s="480" t="e">
        <f>INDEX(ConvFactors!#REF!,1,Base_calc!M$934)</f>
        <v>#REF!</v>
      </c>
      <c r="N989" s="481" t="e">
        <f>INDEX(ConvFactors!#REF!,1,Base_calc!N$934)</f>
        <v>#REF!</v>
      </c>
      <c r="O989" s="227"/>
      <c r="R989" s="959"/>
      <c r="S989" s="959"/>
      <c r="T989" s="959"/>
      <c r="U989" s="959"/>
      <c r="V989" s="959"/>
      <c r="W989" s="959"/>
      <c r="X989" s="959"/>
      <c r="Y989" s="959"/>
      <c r="Z989" s="959"/>
      <c r="AA989" s="959"/>
      <c r="AB989" s="959"/>
      <c r="AC989" s="959"/>
    </row>
    <row r="990" spans="1:29" x14ac:dyDescent="0.2">
      <c r="A990" s="39"/>
      <c r="B990" s="104" t="e">
        <f>+ConvFactors!#REF!</f>
        <v>#REF!</v>
      </c>
      <c r="C990" s="38" t="s">
        <v>1751</v>
      </c>
      <c r="D990" s="186" t="s">
        <v>43</v>
      </c>
      <c r="E990" s="797" t="str">
        <f t="shared" si="216"/>
        <v>kWh/kWh</v>
      </c>
      <c r="F990" s="400"/>
      <c r="G990" s="400"/>
      <c r="H990" s="400"/>
      <c r="I990" s="62"/>
      <c r="J990" s="486" t="e">
        <f t="shared" si="217"/>
        <v>#REF!</v>
      </c>
      <c r="K990" s="479" t="e">
        <f>INDEX(ConvFactors!#REF!,1,Base_calc!K$934)</f>
        <v>#REF!</v>
      </c>
      <c r="L990" s="480" t="e">
        <f>INDEX(ConvFactors!#REF!,1,Base_calc!L$934)</f>
        <v>#REF!</v>
      </c>
      <c r="M990" s="480" t="e">
        <f>INDEX(ConvFactors!#REF!,1,Base_calc!M$934)</f>
        <v>#REF!</v>
      </c>
      <c r="N990" s="481" t="e">
        <f>INDEX(ConvFactors!#REF!,1,Base_calc!N$934)</f>
        <v>#REF!</v>
      </c>
      <c r="O990" s="86"/>
      <c r="R990" s="959"/>
      <c r="S990" s="959"/>
      <c r="T990" s="959"/>
      <c r="U990" s="959"/>
      <c r="V990" s="959"/>
      <c r="W990" s="959"/>
      <c r="X990" s="959"/>
      <c r="Y990" s="959"/>
      <c r="Z990" s="959"/>
      <c r="AA990" s="959"/>
      <c r="AB990" s="959"/>
      <c r="AC990" s="959"/>
    </row>
    <row r="991" spans="1:29" x14ac:dyDescent="0.2">
      <c r="A991" s="39"/>
      <c r="B991" s="104" t="e">
        <f>+ConvFactors!#REF!</f>
        <v>#REF!</v>
      </c>
      <c r="C991" s="38" t="s">
        <v>405</v>
      </c>
      <c r="D991" s="186" t="s">
        <v>44</v>
      </c>
      <c r="E991" s="797" t="str">
        <f t="shared" si="216"/>
        <v>kWh/kWh</v>
      </c>
      <c r="F991" s="400"/>
      <c r="G991" s="400"/>
      <c r="H991" s="400"/>
      <c r="I991" s="62"/>
      <c r="J991" s="486" t="e">
        <f t="shared" si="217"/>
        <v>#REF!</v>
      </c>
      <c r="K991" s="479" t="e">
        <f>INDEX(ConvFactors!#REF!,1,Base_calc!K$934)</f>
        <v>#REF!</v>
      </c>
      <c r="L991" s="480" t="e">
        <f>INDEX(ConvFactors!#REF!,1,Base_calc!L$934)</f>
        <v>#REF!</v>
      </c>
      <c r="M991" s="480" t="e">
        <f>INDEX(ConvFactors!#REF!,1,Base_calc!M$934)</f>
        <v>#REF!</v>
      </c>
      <c r="N991" s="481" t="e">
        <f>INDEX(ConvFactors!#REF!,1,Base_calc!N$934)</f>
        <v>#REF!</v>
      </c>
      <c r="O991" s="86"/>
      <c r="R991" s="959"/>
      <c r="S991" s="959"/>
      <c r="T991" s="959"/>
      <c r="U991" s="959"/>
      <c r="V991" s="959"/>
      <c r="W991" s="959"/>
      <c r="X991" s="959"/>
      <c r="Y991" s="959"/>
      <c r="Z991" s="959"/>
      <c r="AA991" s="959"/>
      <c r="AB991" s="959"/>
      <c r="AC991" s="959"/>
    </row>
    <row r="992" spans="1:29" x14ac:dyDescent="0.2">
      <c r="A992" s="39"/>
      <c r="B992" s="104" t="e">
        <f>+ConvFactors!#REF!</f>
        <v>#REF!</v>
      </c>
      <c r="C992" s="38" t="s">
        <v>1162</v>
      </c>
      <c r="D992" s="186"/>
      <c r="E992" s="797" t="str">
        <f t="shared" si="216"/>
        <v>kWh/kWh</v>
      </c>
      <c r="F992" s="400"/>
      <c r="G992" s="400"/>
      <c r="H992" s="400"/>
      <c r="I992" s="62"/>
      <c r="J992" s="486" t="e">
        <f t="shared" si="217"/>
        <v>#REF!</v>
      </c>
      <c r="K992" s="479" t="e">
        <f>INDEX(ConvFactors!#REF!,1,Base_calc!K$934)</f>
        <v>#REF!</v>
      </c>
      <c r="L992" s="480" t="e">
        <f>INDEX(ConvFactors!#REF!,1,Base_calc!L$934)</f>
        <v>#REF!</v>
      </c>
      <c r="M992" s="480" t="e">
        <f>INDEX(ConvFactors!#REF!,1,Base_calc!M$934)</f>
        <v>#REF!</v>
      </c>
      <c r="N992" s="481" t="e">
        <f>INDEX(ConvFactors!#REF!,1,Base_calc!N$934)</f>
        <v>#REF!</v>
      </c>
      <c r="O992" s="86"/>
      <c r="R992" s="959"/>
      <c r="S992" s="959"/>
      <c r="T992" s="959"/>
      <c r="U992" s="959"/>
      <c r="V992" s="959"/>
      <c r="W992" s="959"/>
      <c r="X992" s="959"/>
      <c r="Y992" s="959"/>
      <c r="Z992" s="959"/>
      <c r="AA992" s="959"/>
      <c r="AB992" s="959"/>
      <c r="AC992" s="959"/>
    </row>
    <row r="993" spans="1:29" x14ac:dyDescent="0.2">
      <c r="A993" s="39"/>
      <c r="B993" s="104" t="e">
        <f>+ConvFactors!#REF!</f>
        <v>#REF!</v>
      </c>
      <c r="C993" s="38" t="s">
        <v>1117</v>
      </c>
      <c r="D993" s="186"/>
      <c r="E993" s="797" t="str">
        <f t="shared" si="216"/>
        <v>kWh/kWh</v>
      </c>
      <c r="F993" s="400"/>
      <c r="G993" s="400"/>
      <c r="H993" s="400"/>
      <c r="I993" s="62"/>
      <c r="J993" s="486" t="e">
        <f t="shared" si="217"/>
        <v>#REF!</v>
      </c>
      <c r="K993" s="479" t="e">
        <f>INDEX(ConvFactors!#REF!,1,Base_calc!K$934)</f>
        <v>#REF!</v>
      </c>
      <c r="L993" s="480" t="e">
        <f>INDEX(ConvFactors!#REF!,1,Base_calc!L$934)</f>
        <v>#REF!</v>
      </c>
      <c r="M993" s="480" t="e">
        <f>INDEX(ConvFactors!#REF!,1,Base_calc!M$934)</f>
        <v>#REF!</v>
      </c>
      <c r="N993" s="481" t="e">
        <f>INDEX(ConvFactors!#REF!,1,Base_calc!N$934)</f>
        <v>#REF!</v>
      </c>
      <c r="O993" s="86"/>
      <c r="R993" s="959"/>
      <c r="S993" s="959"/>
      <c r="T993" s="959"/>
      <c r="U993" s="959"/>
      <c r="V993" s="959"/>
      <c r="W993" s="959"/>
      <c r="X993" s="959"/>
      <c r="Y993" s="959"/>
      <c r="Z993" s="959"/>
      <c r="AA993" s="959"/>
      <c r="AB993" s="959"/>
      <c r="AC993" s="959"/>
    </row>
    <row r="994" spans="1:29" x14ac:dyDescent="0.2">
      <c r="A994" s="39"/>
      <c r="B994" s="104" t="e">
        <f>+ConvFactors!#REF!</f>
        <v>#REF!</v>
      </c>
      <c r="C994" s="38" t="s">
        <v>1117</v>
      </c>
      <c r="D994" s="186"/>
      <c r="E994" s="797" t="str">
        <f t="shared" si="216"/>
        <v>kWh/kWh</v>
      </c>
      <c r="F994" s="400"/>
      <c r="G994" s="400"/>
      <c r="H994" s="400"/>
      <c r="I994" s="62"/>
      <c r="J994" s="486" t="e">
        <f t="shared" si="217"/>
        <v>#REF!</v>
      </c>
      <c r="K994" s="479" t="e">
        <f>INDEX(ConvFactors!#REF!,1,Base_calc!K$934)</f>
        <v>#REF!</v>
      </c>
      <c r="L994" s="480" t="e">
        <f>INDEX(ConvFactors!#REF!,1,Base_calc!L$934)</f>
        <v>#REF!</v>
      </c>
      <c r="M994" s="480" t="e">
        <f>INDEX(ConvFactors!#REF!,1,Base_calc!M$934)</f>
        <v>#REF!</v>
      </c>
      <c r="N994" s="481" t="e">
        <f>INDEX(ConvFactors!#REF!,1,Base_calc!N$934)</f>
        <v>#REF!</v>
      </c>
      <c r="O994" s="86"/>
      <c r="R994" s="959"/>
      <c r="S994" s="959"/>
      <c r="T994" s="959"/>
      <c r="U994" s="959"/>
      <c r="V994" s="959"/>
      <c r="W994" s="959"/>
      <c r="X994" s="959"/>
      <c r="Y994" s="959"/>
      <c r="Z994" s="959"/>
      <c r="AA994" s="959"/>
      <c r="AB994" s="959"/>
      <c r="AC994" s="959"/>
    </row>
    <row r="995" spans="1:29" x14ac:dyDescent="0.2">
      <c r="A995" s="39"/>
      <c r="B995" s="104" t="str">
        <f>+ConvFactors!B67</f>
        <v>Last item</v>
      </c>
      <c r="C995" s="38" t="s">
        <v>1117</v>
      </c>
      <c r="D995" s="186"/>
      <c r="E995" s="797" t="str">
        <f t="shared" si="216"/>
        <v>kWh/kWh</v>
      </c>
      <c r="F995" s="400"/>
      <c r="G995" s="400"/>
      <c r="H995" s="400"/>
      <c r="I995" s="62"/>
      <c r="J995" s="486" t="e">
        <f t="shared" si="217"/>
        <v>#N/A</v>
      </c>
      <c r="K995" s="479" t="e">
        <f>INDEX(ConvFactors!$I67:$P67,1,Base_calc!K$934)</f>
        <v>#N/A</v>
      </c>
      <c r="L995" s="480" t="e">
        <f>INDEX(ConvFactors!$I67:$P67,1,Base_calc!L$934)</f>
        <v>#N/A</v>
      </c>
      <c r="M995" s="480" t="e">
        <f>INDEX(ConvFactors!$I67:$P67,1,Base_calc!M$934)</f>
        <v>#N/A</v>
      </c>
      <c r="N995" s="481" t="e">
        <f>INDEX(ConvFactors!$I67:$P67,1,Base_calc!N$934)</f>
        <v>#N/A</v>
      </c>
      <c r="O995" s="232"/>
      <c r="R995" s="959"/>
      <c r="S995" s="959"/>
      <c r="T995" s="959"/>
      <c r="U995" s="959"/>
      <c r="V995" s="959"/>
      <c r="W995" s="959"/>
      <c r="X995" s="959"/>
      <c r="Y995" s="959"/>
      <c r="Z995" s="959"/>
      <c r="AA995" s="959"/>
      <c r="AB995" s="959"/>
      <c r="AC995" s="959"/>
    </row>
    <row r="996" spans="1:29" ht="13.5" thickBot="1" x14ac:dyDescent="0.25">
      <c r="A996" s="39"/>
      <c r="B996" s="263"/>
      <c r="C996" s="264"/>
      <c r="D996" s="222"/>
      <c r="E996" s="403"/>
      <c r="F996" s="403"/>
      <c r="G996" s="403"/>
      <c r="H996" s="403"/>
      <c r="I996" s="223"/>
      <c r="J996" s="489"/>
      <c r="K996" s="490"/>
      <c r="L996" s="491"/>
      <c r="M996" s="491"/>
      <c r="N996" s="492"/>
      <c r="O996" s="280"/>
      <c r="R996" s="959"/>
      <c r="S996" s="959"/>
      <c r="T996" s="959"/>
      <c r="U996" s="959"/>
      <c r="V996" s="959"/>
      <c r="W996" s="959"/>
      <c r="X996" s="959"/>
      <c r="Y996" s="959"/>
      <c r="Z996" s="959"/>
      <c r="AA996" s="959"/>
      <c r="AB996" s="959"/>
      <c r="AC996" s="959"/>
    </row>
    <row r="997" spans="1:29" ht="13.5" thickBot="1" x14ac:dyDescent="0.25">
      <c r="A997" s="39"/>
      <c r="B997" s="107"/>
      <c r="C997" s="108"/>
      <c r="D997" s="387"/>
      <c r="E997" s="405"/>
      <c r="F997" s="405"/>
      <c r="G997" s="405"/>
      <c r="H997" s="405"/>
      <c r="I997" s="166"/>
      <c r="J997" s="513"/>
      <c r="K997" s="958"/>
      <c r="L997" s="959"/>
      <c r="M997" s="959"/>
      <c r="N997" s="960"/>
      <c r="O997" s="303"/>
      <c r="R997" s="959"/>
      <c r="S997" s="959"/>
      <c r="T997" s="959"/>
      <c r="U997" s="959"/>
      <c r="V997" s="959"/>
      <c r="W997" s="959"/>
      <c r="X997" s="959"/>
      <c r="Y997" s="959"/>
      <c r="Z997" s="959"/>
      <c r="AA997" s="959"/>
      <c r="AB997" s="959"/>
      <c r="AC997" s="959"/>
    </row>
    <row r="998" spans="1:29" ht="32.25" customHeight="1" x14ac:dyDescent="0.2">
      <c r="A998" s="39"/>
      <c r="B998" s="487" t="str">
        <f>INDEX(Language!$D$285:$M$285,1,_language)</f>
        <v>Total</v>
      </c>
      <c r="C998" s="254"/>
      <c r="D998" s="214"/>
      <c r="E998" s="399"/>
      <c r="F998" s="399"/>
      <c r="G998" s="399"/>
      <c r="H998" s="399"/>
      <c r="I998" s="215"/>
      <c r="J998" s="488"/>
      <c r="K998" s="241"/>
      <c r="L998" s="242"/>
      <c r="M998" s="242"/>
      <c r="N998" s="215"/>
      <c r="O998" s="256" t="s">
        <v>1338</v>
      </c>
      <c r="R998" s="242"/>
      <c r="S998" s="242"/>
      <c r="T998" s="242"/>
      <c r="U998" s="242"/>
      <c r="V998" s="242"/>
      <c r="W998" s="242"/>
      <c r="X998" s="242"/>
      <c r="Y998" s="242"/>
      <c r="Z998" s="242"/>
      <c r="AA998" s="242"/>
      <c r="AB998" s="242"/>
      <c r="AC998" s="242"/>
    </row>
    <row r="999" spans="1:29" x14ac:dyDescent="0.2">
      <c r="A999" s="39"/>
      <c r="B999" s="36" t="str">
        <f>+ConvFactors!B70</f>
        <v>gas</v>
      </c>
      <c r="C999" s="37" t="s">
        <v>1118</v>
      </c>
      <c r="D999" s="44" t="s">
        <v>36</v>
      </c>
      <c r="E999" s="400"/>
      <c r="F999" s="400"/>
      <c r="G999" s="400"/>
      <c r="H999" s="400"/>
      <c r="I999" s="62"/>
      <c r="J999" s="486" t="e">
        <f t="shared" ref="J999:J1027" si="218">INDEX(K999:N999,,_case_en)</f>
        <v>#N/A</v>
      </c>
      <c r="K999" s="479" t="e">
        <f>INDEX(ConvFactors!$I70:$P70,1,Base_calc!K$934)</f>
        <v>#N/A</v>
      </c>
      <c r="L999" s="482" t="e">
        <f>INDEX(ConvFactors!$I70:$P70,1,Base_calc!L$934)</f>
        <v>#N/A</v>
      </c>
      <c r="M999" s="482" t="e">
        <f>INDEX(ConvFactors!$I70:$P70,1,Base_calc!M$934)</f>
        <v>#N/A</v>
      </c>
      <c r="N999" s="483" t="e">
        <f>INDEX(ConvFactors!$I70:$P70,1,Base_calc!N$934)</f>
        <v>#N/A</v>
      </c>
      <c r="O999" s="86"/>
      <c r="R999" s="482"/>
      <c r="S999" s="482"/>
      <c r="T999" s="482"/>
      <c r="U999" s="482"/>
      <c r="V999" s="482"/>
      <c r="W999" s="482"/>
      <c r="X999" s="482"/>
      <c r="Y999" s="482"/>
      <c r="Z999" s="482"/>
      <c r="AA999" s="482"/>
      <c r="AB999" s="482"/>
      <c r="AC999" s="482"/>
    </row>
    <row r="1000" spans="1:29" x14ac:dyDescent="0.2">
      <c r="A1000" s="39"/>
      <c r="B1000" s="36" t="str">
        <f>+ConvFactors!B71</f>
        <v>oil</v>
      </c>
      <c r="C1000" s="37" t="s">
        <v>1119</v>
      </c>
      <c r="D1000" s="44" t="s">
        <v>37</v>
      </c>
      <c r="E1000" s="400"/>
      <c r="F1000" s="400"/>
      <c r="G1000" s="400"/>
      <c r="H1000" s="400"/>
      <c r="I1000" s="62"/>
      <c r="J1000" s="486" t="e">
        <f t="shared" si="218"/>
        <v>#N/A</v>
      </c>
      <c r="K1000" s="484" t="e">
        <f>INDEX(ConvFactors!$I71:$P71,1,Base_calc!K$934)</f>
        <v>#N/A</v>
      </c>
      <c r="L1000" s="482" t="e">
        <f>INDEX(ConvFactors!$I71:$P71,1,Base_calc!L$934)</f>
        <v>#N/A</v>
      </c>
      <c r="M1000" s="482" t="e">
        <f>INDEX(ConvFactors!$I71:$P71,1,Base_calc!M$934)</f>
        <v>#N/A</v>
      </c>
      <c r="N1000" s="483" t="e">
        <f>INDEX(ConvFactors!$I71:$P71,1,Base_calc!N$934)</f>
        <v>#N/A</v>
      </c>
      <c r="O1000" s="86"/>
      <c r="R1000" s="482"/>
      <c r="S1000" s="482"/>
      <c r="T1000" s="482"/>
      <c r="U1000" s="482"/>
      <c r="V1000" s="482"/>
      <c r="W1000" s="482"/>
      <c r="X1000" s="482"/>
      <c r="Y1000" s="482"/>
      <c r="Z1000" s="482"/>
      <c r="AA1000" s="482"/>
      <c r="AB1000" s="482"/>
      <c r="AC1000" s="482"/>
    </row>
    <row r="1001" spans="1:29" x14ac:dyDescent="0.2">
      <c r="A1001" s="39"/>
      <c r="B1001" s="36" t="str">
        <f>+ConvFactors!B72</f>
        <v>coal</v>
      </c>
      <c r="C1001" s="37" t="s">
        <v>1120</v>
      </c>
      <c r="D1001" s="44" t="s">
        <v>38</v>
      </c>
      <c r="E1001" s="400"/>
      <c r="F1001" s="400"/>
      <c r="G1001" s="400"/>
      <c r="H1001" s="400"/>
      <c r="I1001" s="62"/>
      <c r="J1001" s="486" t="e">
        <f t="shared" si="218"/>
        <v>#N/A</v>
      </c>
      <c r="K1001" s="484" t="e">
        <f>INDEX(ConvFactors!$I72:$P72,1,Base_calc!K$934)</f>
        <v>#N/A</v>
      </c>
      <c r="L1001" s="482" t="e">
        <f>INDEX(ConvFactors!$I72:$P72,1,Base_calc!L$934)</f>
        <v>#N/A</v>
      </c>
      <c r="M1001" s="482" t="e">
        <f>INDEX(ConvFactors!$I72:$P72,1,Base_calc!M$934)</f>
        <v>#N/A</v>
      </c>
      <c r="N1001" s="483" t="e">
        <f>INDEX(ConvFactors!$I72:$P72,1,Base_calc!N$934)</f>
        <v>#N/A</v>
      </c>
      <c r="O1001" s="86"/>
      <c r="R1001" s="482"/>
      <c r="S1001" s="482"/>
      <c r="T1001" s="482"/>
      <c r="U1001" s="482"/>
      <c r="V1001" s="482"/>
      <c r="W1001" s="482"/>
      <c r="X1001" s="482"/>
      <c r="Y1001" s="482"/>
      <c r="Z1001" s="482"/>
      <c r="AA1001" s="482"/>
      <c r="AB1001" s="482"/>
      <c r="AC1001" s="482"/>
    </row>
    <row r="1002" spans="1:29" x14ac:dyDescent="0.2">
      <c r="A1002" s="39"/>
      <c r="B1002" s="36" t="str">
        <f>+ConvFactors!B73</f>
        <v>wood</v>
      </c>
      <c r="C1002" s="37" t="s">
        <v>1121</v>
      </c>
      <c r="D1002" s="44" t="s">
        <v>39</v>
      </c>
      <c r="E1002" s="400"/>
      <c r="F1002" s="400"/>
      <c r="G1002" s="400"/>
      <c r="H1002" s="400"/>
      <c r="I1002" s="62"/>
      <c r="J1002" s="486" t="e">
        <f t="shared" si="218"/>
        <v>#N/A</v>
      </c>
      <c r="K1002" s="484" t="e">
        <f>INDEX(ConvFactors!$I73:$P73,1,Base_calc!K$934)</f>
        <v>#N/A</v>
      </c>
      <c r="L1002" s="482" t="e">
        <f>INDEX(ConvFactors!$I73:$P73,1,Base_calc!L$934)</f>
        <v>#N/A</v>
      </c>
      <c r="M1002" s="482" t="e">
        <f>INDEX(ConvFactors!$I73:$P73,1,Base_calc!M$934)</f>
        <v>#N/A</v>
      </c>
      <c r="N1002" s="483" t="e">
        <f>INDEX(ConvFactors!$I73:$P73,1,Base_calc!N$934)</f>
        <v>#N/A</v>
      </c>
      <c r="O1002" s="86"/>
      <c r="R1002" s="482"/>
      <c r="S1002" s="482"/>
      <c r="T1002" s="482"/>
      <c r="U1002" s="482"/>
      <c r="V1002" s="482"/>
      <c r="W1002" s="482"/>
      <c r="X1002" s="482"/>
      <c r="Y1002" s="482"/>
      <c r="Z1002" s="482"/>
      <c r="AA1002" s="482"/>
      <c r="AB1002" s="482"/>
      <c r="AC1002" s="482"/>
    </row>
    <row r="1003" spans="1:29" x14ac:dyDescent="0.2">
      <c r="A1003" s="39"/>
      <c r="B1003" s="36" t="str">
        <f>+ConvFactors!B74</f>
        <v>biomass</v>
      </c>
      <c r="C1003" s="37" t="s">
        <v>1122</v>
      </c>
      <c r="D1003" s="44" t="s">
        <v>610</v>
      </c>
      <c r="E1003" s="400"/>
      <c r="F1003" s="400"/>
      <c r="G1003" s="400"/>
      <c r="H1003" s="400"/>
      <c r="I1003" s="62"/>
      <c r="J1003" s="486" t="e">
        <f t="shared" si="218"/>
        <v>#N/A</v>
      </c>
      <c r="K1003" s="484" t="e">
        <f>INDEX(ConvFactors!$I74:$P74,1,Base_calc!K$934)</f>
        <v>#N/A</v>
      </c>
      <c r="L1003" s="482" t="e">
        <f>INDEX(ConvFactors!$I74:$P74,1,Base_calc!L$934)</f>
        <v>#N/A</v>
      </c>
      <c r="M1003" s="482" t="e">
        <f>INDEX(ConvFactors!$I74:$P74,1,Base_calc!M$934)</f>
        <v>#N/A</v>
      </c>
      <c r="N1003" s="483" t="e">
        <f>INDEX(ConvFactors!$I74:$P74,1,Base_calc!N$934)</f>
        <v>#N/A</v>
      </c>
      <c r="O1003" s="86"/>
      <c r="R1003" s="482"/>
      <c r="S1003" s="482"/>
      <c r="T1003" s="482"/>
      <c r="U1003" s="482"/>
      <c r="V1003" s="482"/>
      <c r="W1003" s="482"/>
      <c r="X1003" s="482"/>
      <c r="Y1003" s="482"/>
      <c r="Z1003" s="482"/>
      <c r="AA1003" s="482"/>
      <c r="AB1003" s="482"/>
      <c r="AC1003" s="482"/>
    </row>
    <row r="1004" spans="1:29" x14ac:dyDescent="0.2">
      <c r="A1004" s="39"/>
      <c r="B1004" s="36" t="str">
        <f>+ConvFactors!B75</f>
        <v>custom</v>
      </c>
      <c r="C1004" s="37" t="s">
        <v>1123</v>
      </c>
      <c r="D1004" s="44" t="s">
        <v>40</v>
      </c>
      <c r="E1004" s="400"/>
      <c r="F1004" s="400"/>
      <c r="G1004" s="400"/>
      <c r="H1004" s="400"/>
      <c r="I1004" s="62"/>
      <c r="J1004" s="486" t="e">
        <f t="shared" si="218"/>
        <v>#N/A</v>
      </c>
      <c r="K1004" s="484" t="e">
        <f>INDEX(ConvFactors!$I75:$P75,1,Base_calc!K$934)</f>
        <v>#N/A</v>
      </c>
      <c r="L1004" s="482" t="e">
        <f>INDEX(ConvFactors!$I75:$P75,1,Base_calc!L$934)</f>
        <v>#N/A</v>
      </c>
      <c r="M1004" s="482" t="e">
        <f>INDEX(ConvFactors!$I75:$P75,1,Base_calc!M$934)</f>
        <v>#N/A</v>
      </c>
      <c r="N1004" s="483" t="e">
        <f>INDEX(ConvFactors!$I75:$P75,1,Base_calc!N$934)</f>
        <v>#N/A</v>
      </c>
      <c r="O1004" s="86"/>
      <c r="R1004" s="482"/>
      <c r="S1004" s="482"/>
      <c r="T1004" s="482"/>
      <c r="U1004" s="482"/>
      <c r="V1004" s="482"/>
      <c r="W1004" s="482"/>
      <c r="X1004" s="482"/>
      <c r="Y1004" s="482"/>
      <c r="Z1004" s="482"/>
      <c r="AA1004" s="482"/>
      <c r="AB1004" s="482"/>
      <c r="AC1004" s="482"/>
    </row>
    <row r="1005" spans="1:29" x14ac:dyDescent="0.2">
      <c r="A1005" s="39"/>
      <c r="B1005" s="36" t="str">
        <f>+ConvFactors!B76</f>
        <v>District heating</v>
      </c>
      <c r="C1005" s="37" t="s">
        <v>1124</v>
      </c>
      <c r="D1005" s="44" t="s">
        <v>41</v>
      </c>
      <c r="E1005" s="400"/>
      <c r="F1005" s="400"/>
      <c r="G1005" s="400"/>
      <c r="H1005" s="400"/>
      <c r="I1005" s="62"/>
      <c r="J1005" s="486" t="e">
        <f t="shared" si="218"/>
        <v>#N/A</v>
      </c>
      <c r="K1005" s="484" t="e">
        <f>INDEX(ConvFactors!$I76:$P76,1,Base_calc!K$934)</f>
        <v>#N/A</v>
      </c>
      <c r="L1005" s="482" t="e">
        <f>INDEX(ConvFactors!$I76:$P76,1,Base_calc!L$934)</f>
        <v>#N/A</v>
      </c>
      <c r="M1005" s="482" t="e">
        <f>INDEX(ConvFactors!$I76:$P76,1,Base_calc!M$934)</f>
        <v>#N/A</v>
      </c>
      <c r="N1005" s="483" t="e">
        <f>INDEX(ConvFactors!$I76:$P76,1,Base_calc!N$934)</f>
        <v>#N/A</v>
      </c>
      <c r="O1005" s="86"/>
      <c r="R1005" s="482"/>
      <c r="S1005" s="482"/>
      <c r="T1005" s="482"/>
      <c r="U1005" s="482"/>
      <c r="V1005" s="482"/>
      <c r="W1005" s="482"/>
      <c r="X1005" s="482"/>
      <c r="Y1005" s="482"/>
      <c r="Z1005" s="482"/>
      <c r="AA1005" s="482"/>
      <c r="AB1005" s="482"/>
      <c r="AC1005" s="482"/>
    </row>
    <row r="1006" spans="1:29" x14ac:dyDescent="0.2">
      <c r="A1006" s="39"/>
      <c r="B1006" s="36" t="str">
        <f>+ConvFactors!B77</f>
        <v>District cooling</v>
      </c>
      <c r="C1006" s="37" t="s">
        <v>1125</v>
      </c>
      <c r="D1006" s="152" t="s">
        <v>42</v>
      </c>
      <c r="E1006" s="400"/>
      <c r="F1006" s="400"/>
      <c r="G1006" s="400"/>
      <c r="H1006" s="400"/>
      <c r="I1006" s="62"/>
      <c r="J1006" s="486" t="e">
        <f t="shared" si="218"/>
        <v>#N/A</v>
      </c>
      <c r="K1006" s="484" t="e">
        <f>INDEX(ConvFactors!$I77:$P77,1,Base_calc!K$934)</f>
        <v>#N/A</v>
      </c>
      <c r="L1006" s="482" t="e">
        <f>INDEX(ConvFactors!$I77:$P77,1,Base_calc!L$934)</f>
        <v>#N/A</v>
      </c>
      <c r="M1006" s="482" t="e">
        <f>INDEX(ConvFactors!$I77:$P77,1,Base_calc!M$934)</f>
        <v>#N/A</v>
      </c>
      <c r="N1006" s="483" t="e">
        <f>INDEX(ConvFactors!$I77:$P77,1,Base_calc!N$934)</f>
        <v>#N/A</v>
      </c>
      <c r="O1006" s="86"/>
      <c r="R1006" s="482"/>
      <c r="S1006" s="482"/>
      <c r="T1006" s="482"/>
      <c r="U1006" s="482"/>
      <c r="V1006" s="482"/>
      <c r="W1006" s="482"/>
      <c r="X1006" s="482"/>
      <c r="Y1006" s="482"/>
      <c r="Z1006" s="482"/>
      <c r="AA1006" s="482"/>
      <c r="AB1006" s="482"/>
      <c r="AC1006" s="482"/>
    </row>
    <row r="1007" spans="1:29" x14ac:dyDescent="0.2">
      <c r="A1007" s="39"/>
      <c r="B1007" s="36" t="str">
        <f>+ConvFactors!B81</f>
        <v>Environment heat</v>
      </c>
      <c r="C1007" s="37" t="s">
        <v>1126</v>
      </c>
      <c r="D1007" s="152" t="s">
        <v>784</v>
      </c>
      <c r="E1007" s="400"/>
      <c r="F1007" s="400"/>
      <c r="G1007" s="400"/>
      <c r="H1007" s="400"/>
      <c r="I1007" s="62"/>
      <c r="J1007" s="486" t="e">
        <f t="shared" si="218"/>
        <v>#N/A</v>
      </c>
      <c r="K1007" s="484" t="e">
        <f>INDEX(ConvFactors!$I81:$P81,1,Base_calc!K$934)</f>
        <v>#N/A</v>
      </c>
      <c r="L1007" s="482" t="e">
        <f>INDEX(ConvFactors!$I81:$P81,1,Base_calc!L$934)</f>
        <v>#N/A</v>
      </c>
      <c r="M1007" s="482" t="e">
        <f>INDEX(ConvFactors!$I81:$P81,1,Base_calc!M$934)</f>
        <v>#N/A</v>
      </c>
      <c r="N1007" s="483" t="e">
        <f>INDEX(ConvFactors!$I81:$P81,1,Base_calc!N$934)</f>
        <v>#N/A</v>
      </c>
      <c r="O1007" s="86"/>
      <c r="R1007" s="482"/>
      <c r="S1007" s="482"/>
      <c r="T1007" s="482"/>
      <c r="U1007" s="482"/>
      <c r="V1007" s="482"/>
      <c r="W1007" s="482"/>
      <c r="X1007" s="482"/>
      <c r="Y1007" s="482"/>
      <c r="Z1007" s="482"/>
      <c r="AA1007" s="482"/>
      <c r="AB1007" s="482"/>
      <c r="AC1007" s="482"/>
    </row>
    <row r="1008" spans="1:29" x14ac:dyDescent="0.2">
      <c r="A1008" s="39"/>
      <c r="B1008" s="36" t="e">
        <f>+ConvFactors!#REF!</f>
        <v>#REF!</v>
      </c>
      <c r="C1008" s="33" t="s">
        <v>1326</v>
      </c>
      <c r="D1008" s="152" t="s">
        <v>1324</v>
      </c>
      <c r="E1008" s="400" t="s">
        <v>1325</v>
      </c>
      <c r="F1008" s="400"/>
      <c r="G1008" s="400"/>
      <c r="H1008" s="400"/>
      <c r="I1008" s="62"/>
      <c r="J1008" s="486" t="e">
        <f t="shared" si="218"/>
        <v>#REF!</v>
      </c>
      <c r="K1008" s="484" t="e">
        <f>INDEX(ConvFactors!#REF!,1,Base_calc!K$934)</f>
        <v>#REF!</v>
      </c>
      <c r="L1008" s="482" t="e">
        <f>INDEX(ConvFactors!#REF!,1,Base_calc!L$934)</f>
        <v>#REF!</v>
      </c>
      <c r="M1008" s="482" t="e">
        <f>INDEX(ConvFactors!#REF!,1,Base_calc!M$934)</f>
        <v>#REF!</v>
      </c>
      <c r="N1008" s="483" t="e">
        <f>INDEX(ConvFactors!#REF!,1,Base_calc!N$934)</f>
        <v>#REF!</v>
      </c>
      <c r="O1008" s="86"/>
      <c r="R1008" s="482"/>
      <c r="S1008" s="482"/>
      <c r="T1008" s="482"/>
      <c r="U1008" s="482"/>
      <c r="V1008" s="482"/>
      <c r="W1008" s="482"/>
      <c r="X1008" s="482"/>
      <c r="Y1008" s="482"/>
      <c r="Z1008" s="482"/>
      <c r="AA1008" s="482"/>
      <c r="AB1008" s="482"/>
      <c r="AC1008" s="482"/>
    </row>
    <row r="1009" spans="1:29" x14ac:dyDescent="0.2">
      <c r="A1009" s="39"/>
      <c r="B1009" s="36" t="e">
        <f>+ConvFactors!#REF!</f>
        <v>#REF!</v>
      </c>
      <c r="C1009" s="38" t="s">
        <v>1127</v>
      </c>
      <c r="D1009" s="152" t="s">
        <v>1138</v>
      </c>
      <c r="E1009" s="400"/>
      <c r="F1009" s="400"/>
      <c r="G1009" s="400"/>
      <c r="H1009" s="400"/>
      <c r="I1009" s="62"/>
      <c r="J1009" s="486" t="e">
        <f t="shared" si="218"/>
        <v>#REF!</v>
      </c>
      <c r="K1009" s="484" t="e">
        <f>INDEX(ConvFactors!#REF!,1,Base_calc!K$934)</f>
        <v>#REF!</v>
      </c>
      <c r="L1009" s="482" t="e">
        <f>INDEX(ConvFactors!#REF!,1,Base_calc!L$934)</f>
        <v>#REF!</v>
      </c>
      <c r="M1009" s="482" t="e">
        <f>INDEX(ConvFactors!#REF!,1,Base_calc!M$934)</f>
        <v>#REF!</v>
      </c>
      <c r="N1009" s="483" t="e">
        <f>INDEX(ConvFactors!#REF!,1,Base_calc!N$934)</f>
        <v>#REF!</v>
      </c>
      <c r="O1009" s="86"/>
      <c r="R1009" s="482"/>
      <c r="S1009" s="482"/>
      <c r="T1009" s="482"/>
      <c r="U1009" s="482"/>
      <c r="V1009" s="482"/>
      <c r="W1009" s="482"/>
      <c r="X1009" s="482"/>
      <c r="Y1009" s="482"/>
      <c r="Z1009" s="482"/>
      <c r="AA1009" s="482"/>
      <c r="AB1009" s="482"/>
      <c r="AC1009" s="482"/>
    </row>
    <row r="1010" spans="1:29" x14ac:dyDescent="0.2">
      <c r="A1010" s="39"/>
      <c r="B1010" s="36" t="e">
        <f>+ConvFactors!#REF!</f>
        <v>#REF!</v>
      </c>
      <c r="C1010" s="197" t="s">
        <v>1729</v>
      </c>
      <c r="D1010" s="152"/>
      <c r="E1010" s="400"/>
      <c r="F1010" s="400"/>
      <c r="G1010" s="400"/>
      <c r="H1010" s="400"/>
      <c r="I1010" s="62"/>
      <c r="J1010" s="486" t="e">
        <f t="shared" si="218"/>
        <v>#REF!</v>
      </c>
      <c r="K1010" s="484" t="e">
        <f>INDEX(ConvFactors!#REF!,1,Base_calc!K$934)</f>
        <v>#REF!</v>
      </c>
      <c r="L1010" s="482" t="e">
        <f>INDEX(ConvFactors!#REF!,1,Base_calc!L$934)</f>
        <v>#REF!</v>
      </c>
      <c r="M1010" s="482" t="e">
        <f>INDEX(ConvFactors!#REF!,1,Base_calc!M$934)</f>
        <v>#REF!</v>
      </c>
      <c r="N1010" s="483" t="e">
        <f>INDEX(ConvFactors!#REF!,1,Base_calc!N$934)</f>
        <v>#REF!</v>
      </c>
      <c r="O1010" s="86"/>
      <c r="R1010" s="482"/>
      <c r="S1010" s="482"/>
      <c r="T1010" s="482"/>
      <c r="U1010" s="482"/>
      <c r="V1010" s="482"/>
      <c r="W1010" s="482"/>
      <c r="X1010" s="482"/>
      <c r="Y1010" s="482"/>
      <c r="Z1010" s="482"/>
      <c r="AA1010" s="482"/>
      <c r="AB1010" s="482"/>
      <c r="AC1010" s="482"/>
    </row>
    <row r="1011" spans="1:29" x14ac:dyDescent="0.2">
      <c r="A1011" s="39"/>
      <c r="B1011" s="36" t="e">
        <f>+ConvFactors!#REF!</f>
        <v>#REF!</v>
      </c>
      <c r="C1011" s="197" t="s">
        <v>1730</v>
      </c>
      <c r="D1011" s="152"/>
      <c r="E1011" s="400"/>
      <c r="F1011" s="400"/>
      <c r="G1011" s="400"/>
      <c r="H1011" s="400"/>
      <c r="I1011" s="62"/>
      <c r="J1011" s="486" t="e">
        <f t="shared" si="218"/>
        <v>#REF!</v>
      </c>
      <c r="K1011" s="484" t="e">
        <f>INDEX(ConvFactors!#REF!,1,Base_calc!K$934)</f>
        <v>#REF!</v>
      </c>
      <c r="L1011" s="482" t="e">
        <f>INDEX(ConvFactors!#REF!,1,Base_calc!L$934)</f>
        <v>#REF!</v>
      </c>
      <c r="M1011" s="482" t="e">
        <f>INDEX(ConvFactors!#REF!,1,Base_calc!M$934)</f>
        <v>#REF!</v>
      </c>
      <c r="N1011" s="483" t="e">
        <f>INDEX(ConvFactors!#REF!,1,Base_calc!N$934)</f>
        <v>#REF!</v>
      </c>
      <c r="O1011" s="86"/>
      <c r="R1011" s="482"/>
      <c r="S1011" s="482"/>
      <c r="T1011" s="482"/>
      <c r="U1011" s="482"/>
      <c r="V1011" s="482"/>
      <c r="W1011" s="482"/>
      <c r="X1011" s="482"/>
      <c r="Y1011" s="482"/>
      <c r="Z1011" s="482"/>
      <c r="AA1011" s="482"/>
      <c r="AB1011" s="482"/>
      <c r="AC1011" s="482"/>
    </row>
    <row r="1012" spans="1:29" x14ac:dyDescent="0.2">
      <c r="A1012" s="39"/>
      <c r="B1012" s="36" t="e">
        <f>+ConvFactors!#REF!</f>
        <v>#REF!</v>
      </c>
      <c r="C1012" s="197" t="s">
        <v>1731</v>
      </c>
      <c r="D1012" s="152"/>
      <c r="E1012" s="400"/>
      <c r="F1012" s="400"/>
      <c r="G1012" s="400"/>
      <c r="H1012" s="400"/>
      <c r="I1012" s="62"/>
      <c r="J1012" s="486" t="e">
        <f t="shared" si="218"/>
        <v>#REF!</v>
      </c>
      <c r="K1012" s="484" t="e">
        <f>INDEX(ConvFactors!#REF!,1,Base_calc!K$934)</f>
        <v>#REF!</v>
      </c>
      <c r="L1012" s="482" t="e">
        <f>INDEX(ConvFactors!#REF!,1,Base_calc!L$934)</f>
        <v>#REF!</v>
      </c>
      <c r="M1012" s="482" t="e">
        <f>INDEX(ConvFactors!#REF!,1,Base_calc!M$934)</f>
        <v>#REF!</v>
      </c>
      <c r="N1012" s="483" t="e">
        <f>INDEX(ConvFactors!#REF!,1,Base_calc!N$934)</f>
        <v>#REF!</v>
      </c>
      <c r="O1012" s="86"/>
      <c r="R1012" s="482"/>
      <c r="S1012" s="482"/>
      <c r="T1012" s="482"/>
      <c r="U1012" s="482"/>
      <c r="V1012" s="482"/>
      <c r="W1012" s="482"/>
      <c r="X1012" s="482"/>
      <c r="Y1012" s="482"/>
      <c r="Z1012" s="482"/>
      <c r="AA1012" s="482"/>
      <c r="AB1012" s="482"/>
      <c r="AC1012" s="482"/>
    </row>
    <row r="1013" spans="1:29" x14ac:dyDescent="0.2">
      <c r="A1013" s="39"/>
      <c r="B1013" s="36" t="e">
        <f>+ConvFactors!#REF!</f>
        <v>#REF!</v>
      </c>
      <c r="C1013" s="197" t="s">
        <v>1732</v>
      </c>
      <c r="D1013" s="152"/>
      <c r="E1013" s="400"/>
      <c r="F1013" s="400"/>
      <c r="G1013" s="400"/>
      <c r="H1013" s="400"/>
      <c r="I1013" s="62"/>
      <c r="J1013" s="486" t="e">
        <f t="shared" si="218"/>
        <v>#REF!</v>
      </c>
      <c r="K1013" s="484" t="e">
        <f>INDEX(ConvFactors!#REF!,1,Base_calc!K$934)</f>
        <v>#REF!</v>
      </c>
      <c r="L1013" s="482" t="e">
        <f>INDEX(ConvFactors!#REF!,1,Base_calc!L$934)</f>
        <v>#REF!</v>
      </c>
      <c r="M1013" s="482" t="e">
        <f>INDEX(ConvFactors!#REF!,1,Base_calc!M$934)</f>
        <v>#REF!</v>
      </c>
      <c r="N1013" s="483" t="e">
        <f>INDEX(ConvFactors!#REF!,1,Base_calc!N$934)</f>
        <v>#REF!</v>
      </c>
      <c r="O1013" s="86"/>
      <c r="R1013" s="482"/>
      <c r="S1013" s="482"/>
      <c r="T1013" s="482"/>
      <c r="U1013" s="482"/>
      <c r="V1013" s="482"/>
      <c r="W1013" s="482"/>
      <c r="X1013" s="482"/>
      <c r="Y1013" s="482"/>
      <c r="Z1013" s="482"/>
      <c r="AA1013" s="482"/>
      <c r="AB1013" s="482"/>
      <c r="AC1013" s="482"/>
    </row>
    <row r="1014" spans="1:29" x14ac:dyDescent="0.2">
      <c r="A1014" s="39"/>
      <c r="B1014" s="36" t="e">
        <f>+ConvFactors!#REF!</f>
        <v>#REF!</v>
      </c>
      <c r="C1014" s="38" t="s">
        <v>1133</v>
      </c>
      <c r="D1014" s="152" t="s">
        <v>1144</v>
      </c>
      <c r="E1014" s="400"/>
      <c r="F1014" s="400"/>
      <c r="G1014" s="400"/>
      <c r="H1014" s="400"/>
      <c r="I1014" s="62"/>
      <c r="J1014" s="486" t="e">
        <f t="shared" si="218"/>
        <v>#REF!</v>
      </c>
      <c r="K1014" s="484" t="e">
        <f>INDEX(ConvFactors!#REF!,1,Base_calc!K$934)</f>
        <v>#REF!</v>
      </c>
      <c r="L1014" s="482" t="e">
        <f>INDEX(ConvFactors!#REF!,1,Base_calc!L$934)</f>
        <v>#REF!</v>
      </c>
      <c r="M1014" s="482" t="e">
        <f>INDEX(ConvFactors!#REF!,1,Base_calc!M$934)</f>
        <v>#REF!</v>
      </c>
      <c r="N1014" s="483" t="e">
        <f>INDEX(ConvFactors!#REF!,1,Base_calc!N$934)</f>
        <v>#REF!</v>
      </c>
      <c r="O1014" s="86"/>
      <c r="R1014" s="482"/>
      <c r="S1014" s="482"/>
      <c r="T1014" s="482"/>
      <c r="U1014" s="482"/>
      <c r="V1014" s="482"/>
      <c r="W1014" s="482"/>
      <c r="X1014" s="482"/>
      <c r="Y1014" s="482"/>
      <c r="Z1014" s="482"/>
      <c r="AA1014" s="482"/>
      <c r="AB1014" s="482"/>
      <c r="AC1014" s="482"/>
    </row>
    <row r="1015" spans="1:29" x14ac:dyDescent="0.2">
      <c r="A1015" s="39"/>
      <c r="B1015" s="36" t="e">
        <f>+ConvFactors!#REF!</f>
        <v>#REF!</v>
      </c>
      <c r="C1015" s="38" t="s">
        <v>1128</v>
      </c>
      <c r="D1015" s="152" t="s">
        <v>1139</v>
      </c>
      <c r="E1015" s="400"/>
      <c r="F1015" s="400"/>
      <c r="G1015" s="400"/>
      <c r="H1015" s="400"/>
      <c r="I1015" s="62"/>
      <c r="J1015" s="486" t="e">
        <f t="shared" si="218"/>
        <v>#REF!</v>
      </c>
      <c r="K1015" s="484" t="e">
        <f>INDEX(ConvFactors!#REF!,1,Base_calc!K$934)</f>
        <v>#REF!</v>
      </c>
      <c r="L1015" s="482" t="e">
        <f>INDEX(ConvFactors!#REF!,1,Base_calc!L$934)</f>
        <v>#REF!</v>
      </c>
      <c r="M1015" s="482" t="e">
        <f>INDEX(ConvFactors!#REF!,1,Base_calc!M$934)</f>
        <v>#REF!</v>
      </c>
      <c r="N1015" s="483" t="e">
        <f>INDEX(ConvFactors!#REF!,1,Base_calc!N$934)</f>
        <v>#REF!</v>
      </c>
      <c r="O1015" s="86"/>
      <c r="R1015" s="482"/>
      <c r="S1015" s="482"/>
      <c r="T1015" s="482"/>
      <c r="U1015" s="482"/>
      <c r="V1015" s="482"/>
      <c r="W1015" s="482"/>
      <c r="X1015" s="482"/>
      <c r="Y1015" s="482"/>
      <c r="Z1015" s="482"/>
      <c r="AA1015" s="482"/>
      <c r="AB1015" s="482"/>
      <c r="AC1015" s="482"/>
    </row>
    <row r="1016" spans="1:29" x14ac:dyDescent="0.2">
      <c r="A1016" s="39"/>
      <c r="B1016" s="36" t="e">
        <f>+ConvFactors!#REF!</f>
        <v>#REF!</v>
      </c>
      <c r="C1016" s="38" t="s">
        <v>1129</v>
      </c>
      <c r="D1016" s="152" t="s">
        <v>1140</v>
      </c>
      <c r="E1016" s="400"/>
      <c r="F1016" s="400"/>
      <c r="G1016" s="400"/>
      <c r="H1016" s="400"/>
      <c r="I1016" s="62"/>
      <c r="J1016" s="486" t="e">
        <f t="shared" si="218"/>
        <v>#REF!</v>
      </c>
      <c r="K1016" s="484" t="e">
        <f>INDEX(ConvFactors!#REF!,1,Base_calc!K$934)</f>
        <v>#REF!</v>
      </c>
      <c r="L1016" s="482" t="e">
        <f>INDEX(ConvFactors!#REF!,1,Base_calc!L$934)</f>
        <v>#REF!</v>
      </c>
      <c r="M1016" s="482" t="e">
        <f>INDEX(ConvFactors!#REF!,1,Base_calc!M$934)</f>
        <v>#REF!</v>
      </c>
      <c r="N1016" s="483" t="e">
        <f>INDEX(ConvFactors!#REF!,1,Base_calc!N$934)</f>
        <v>#REF!</v>
      </c>
      <c r="O1016" s="86"/>
      <c r="R1016" s="482"/>
      <c r="S1016" s="482"/>
      <c r="T1016" s="482"/>
      <c r="U1016" s="482"/>
      <c r="V1016" s="482"/>
      <c r="W1016" s="482"/>
      <c r="X1016" s="482"/>
      <c r="Y1016" s="482"/>
      <c r="Z1016" s="482"/>
      <c r="AA1016" s="482"/>
      <c r="AB1016" s="482"/>
      <c r="AC1016" s="482"/>
    </row>
    <row r="1017" spans="1:29" x14ac:dyDescent="0.2">
      <c r="A1017" s="39"/>
      <c r="B1017" s="36" t="e">
        <f>+ConvFactors!#REF!</f>
        <v>#REF!</v>
      </c>
      <c r="C1017" s="38" t="s">
        <v>1130</v>
      </c>
      <c r="D1017" s="152" t="s">
        <v>1141</v>
      </c>
      <c r="E1017" s="400"/>
      <c r="F1017" s="400"/>
      <c r="G1017" s="400"/>
      <c r="H1017" s="400"/>
      <c r="I1017" s="62"/>
      <c r="J1017" s="486" t="e">
        <f t="shared" si="218"/>
        <v>#REF!</v>
      </c>
      <c r="K1017" s="484" t="e">
        <f>INDEX(ConvFactors!#REF!,1,Base_calc!K$934)</f>
        <v>#REF!</v>
      </c>
      <c r="L1017" s="482" t="e">
        <f>INDEX(ConvFactors!#REF!,1,Base_calc!L$934)</f>
        <v>#REF!</v>
      </c>
      <c r="M1017" s="482" t="e">
        <f>INDEX(ConvFactors!#REF!,1,Base_calc!M$934)</f>
        <v>#REF!</v>
      </c>
      <c r="N1017" s="483" t="e">
        <f>INDEX(ConvFactors!#REF!,1,Base_calc!N$934)</f>
        <v>#REF!</v>
      </c>
      <c r="O1017" s="86"/>
      <c r="R1017" s="482"/>
      <c r="S1017" s="482"/>
      <c r="T1017" s="482"/>
      <c r="U1017" s="482"/>
      <c r="V1017" s="482"/>
      <c r="W1017" s="482"/>
      <c r="X1017" s="482"/>
      <c r="Y1017" s="482"/>
      <c r="Z1017" s="482"/>
      <c r="AA1017" s="482"/>
      <c r="AB1017" s="482"/>
      <c r="AC1017" s="482"/>
    </row>
    <row r="1018" spans="1:29" x14ac:dyDescent="0.2">
      <c r="A1018" s="39"/>
      <c r="B1018" s="36" t="e">
        <f>+ConvFactors!#REF!</f>
        <v>#REF!</v>
      </c>
      <c r="C1018" s="38" t="s">
        <v>1131</v>
      </c>
      <c r="D1018" s="152" t="s">
        <v>1142</v>
      </c>
      <c r="E1018" s="400"/>
      <c r="F1018" s="400"/>
      <c r="G1018" s="400"/>
      <c r="H1018" s="400"/>
      <c r="I1018" s="62"/>
      <c r="J1018" s="486" t="e">
        <f t="shared" si="218"/>
        <v>#REF!</v>
      </c>
      <c r="K1018" s="484" t="e">
        <f>INDEX(ConvFactors!#REF!,1,Base_calc!K$934)</f>
        <v>#REF!</v>
      </c>
      <c r="L1018" s="482" t="e">
        <f>INDEX(ConvFactors!#REF!,1,Base_calc!L$934)</f>
        <v>#REF!</v>
      </c>
      <c r="M1018" s="482" t="e">
        <f>INDEX(ConvFactors!#REF!,1,Base_calc!M$934)</f>
        <v>#REF!</v>
      </c>
      <c r="N1018" s="483" t="e">
        <f>INDEX(ConvFactors!#REF!,1,Base_calc!N$934)</f>
        <v>#REF!</v>
      </c>
      <c r="O1018" s="86"/>
      <c r="R1018" s="482"/>
      <c r="S1018" s="482"/>
      <c r="T1018" s="482"/>
      <c r="U1018" s="482"/>
      <c r="V1018" s="482"/>
      <c r="W1018" s="482"/>
      <c r="X1018" s="482"/>
      <c r="Y1018" s="482"/>
      <c r="Z1018" s="482"/>
      <c r="AA1018" s="482"/>
      <c r="AB1018" s="482"/>
      <c r="AC1018" s="482"/>
    </row>
    <row r="1019" spans="1:29" x14ac:dyDescent="0.2">
      <c r="A1019" s="39"/>
      <c r="B1019" s="36" t="e">
        <f>+ConvFactors!#REF!</f>
        <v>#REF!</v>
      </c>
      <c r="C1019" s="259" t="s">
        <v>1727</v>
      </c>
      <c r="D1019" s="152"/>
      <c r="E1019" s="400"/>
      <c r="F1019" s="400"/>
      <c r="G1019" s="400"/>
      <c r="H1019" s="400"/>
      <c r="I1019" s="62"/>
      <c r="J1019" s="486" t="e">
        <f t="shared" si="218"/>
        <v>#REF!</v>
      </c>
      <c r="K1019" s="484" t="e">
        <f>INDEX(ConvFactors!#REF!,1,Base_calc!K$934)</f>
        <v>#REF!</v>
      </c>
      <c r="L1019" s="482" t="e">
        <f>INDEX(ConvFactors!#REF!,1,Base_calc!L$934)</f>
        <v>#REF!</v>
      </c>
      <c r="M1019" s="482" t="e">
        <f>INDEX(ConvFactors!#REF!,1,Base_calc!M$934)</f>
        <v>#REF!</v>
      </c>
      <c r="N1019" s="483" t="e">
        <f>INDEX(ConvFactors!#REF!,1,Base_calc!N$934)</f>
        <v>#REF!</v>
      </c>
      <c r="O1019" s="86"/>
      <c r="R1019" s="482"/>
      <c r="S1019" s="482"/>
      <c r="T1019" s="482"/>
      <c r="U1019" s="482"/>
      <c r="V1019" s="482"/>
      <c r="W1019" s="482"/>
      <c r="X1019" s="482"/>
      <c r="Y1019" s="482"/>
      <c r="Z1019" s="482"/>
      <c r="AA1019" s="482"/>
      <c r="AB1019" s="482"/>
      <c r="AC1019" s="482"/>
    </row>
    <row r="1020" spans="1:29" x14ac:dyDescent="0.2">
      <c r="A1020" s="39"/>
      <c r="B1020" s="36" t="e">
        <f>+ConvFactors!#REF!</f>
        <v>#REF!</v>
      </c>
      <c r="C1020" s="38" t="s">
        <v>1728</v>
      </c>
      <c r="D1020" s="152"/>
      <c r="E1020" s="400"/>
      <c r="F1020" s="400"/>
      <c r="G1020" s="400"/>
      <c r="H1020" s="400"/>
      <c r="I1020" s="62"/>
      <c r="J1020" s="486" t="e">
        <f t="shared" si="218"/>
        <v>#REF!</v>
      </c>
      <c r="K1020" s="484" t="e">
        <f>INDEX(ConvFactors!#REF!,1,Base_calc!K$934)</f>
        <v>#REF!</v>
      </c>
      <c r="L1020" s="482" t="e">
        <f>INDEX(ConvFactors!#REF!,1,Base_calc!L$934)</f>
        <v>#REF!</v>
      </c>
      <c r="M1020" s="482" t="e">
        <f>INDEX(ConvFactors!#REF!,1,Base_calc!M$934)</f>
        <v>#REF!</v>
      </c>
      <c r="N1020" s="483" t="e">
        <f>INDEX(ConvFactors!#REF!,1,Base_calc!N$934)</f>
        <v>#REF!</v>
      </c>
      <c r="O1020" s="86"/>
      <c r="R1020" s="482"/>
      <c r="S1020" s="482"/>
      <c r="T1020" s="482"/>
      <c r="U1020" s="482"/>
      <c r="V1020" s="482"/>
      <c r="W1020" s="482"/>
      <c r="X1020" s="482"/>
      <c r="Y1020" s="482"/>
      <c r="Z1020" s="482"/>
      <c r="AA1020" s="482"/>
      <c r="AB1020" s="482"/>
      <c r="AC1020" s="482"/>
    </row>
    <row r="1021" spans="1:29" x14ac:dyDescent="0.2">
      <c r="A1021" s="39"/>
      <c r="B1021" s="36" t="e">
        <f t="shared" ref="B1021:B1026" si="219">+B959</f>
        <v>#REF!</v>
      </c>
      <c r="C1021" s="38" t="s">
        <v>1134</v>
      </c>
      <c r="D1021" s="152" t="s">
        <v>1145</v>
      </c>
      <c r="E1021" s="400"/>
      <c r="F1021" s="400"/>
      <c r="G1021" s="400"/>
      <c r="H1021" s="400"/>
      <c r="I1021" s="62"/>
      <c r="J1021" s="486" t="e">
        <f t="shared" si="218"/>
        <v>#REF!</v>
      </c>
      <c r="K1021" s="484" t="e">
        <f>INDEX(ConvFactors!#REF!,1,Base_calc!K$934)</f>
        <v>#REF!</v>
      </c>
      <c r="L1021" s="482" t="e">
        <f>INDEX(ConvFactors!#REF!,1,Base_calc!L$934)</f>
        <v>#REF!</v>
      </c>
      <c r="M1021" s="482" t="e">
        <f>INDEX(ConvFactors!#REF!,1,Base_calc!M$934)</f>
        <v>#REF!</v>
      </c>
      <c r="N1021" s="483" t="e">
        <f>INDEX(ConvFactors!#REF!,1,Base_calc!N$934)</f>
        <v>#REF!</v>
      </c>
      <c r="O1021" s="86"/>
      <c r="R1021" s="482"/>
      <c r="S1021" s="482"/>
      <c r="T1021" s="482"/>
      <c r="U1021" s="482"/>
      <c r="V1021" s="482"/>
      <c r="W1021" s="482"/>
      <c r="X1021" s="482"/>
      <c r="Y1021" s="482"/>
      <c r="Z1021" s="482"/>
      <c r="AA1021" s="482"/>
      <c r="AB1021" s="482"/>
      <c r="AC1021" s="482"/>
    </row>
    <row r="1022" spans="1:29" x14ac:dyDescent="0.2">
      <c r="A1022" s="39"/>
      <c r="B1022" s="36" t="e">
        <f t="shared" si="219"/>
        <v>#REF!</v>
      </c>
      <c r="C1022" s="38" t="s">
        <v>1132</v>
      </c>
      <c r="D1022" s="152" t="s">
        <v>1143</v>
      </c>
      <c r="E1022" s="400"/>
      <c r="F1022" s="400"/>
      <c r="G1022" s="400"/>
      <c r="H1022" s="400"/>
      <c r="I1022" s="62"/>
      <c r="J1022" s="486" t="e">
        <f t="shared" si="218"/>
        <v>#REF!</v>
      </c>
      <c r="K1022" s="484" t="e">
        <f>INDEX(ConvFactors!#REF!,1,Base_calc!K$934)</f>
        <v>#REF!</v>
      </c>
      <c r="L1022" s="482" t="e">
        <f>INDEX(ConvFactors!#REF!,1,Base_calc!L$934)</f>
        <v>#REF!</v>
      </c>
      <c r="M1022" s="482" t="e">
        <f>INDEX(ConvFactors!#REF!,1,Base_calc!M$934)</f>
        <v>#REF!</v>
      </c>
      <c r="N1022" s="483" t="e">
        <f>INDEX(ConvFactors!#REF!,1,Base_calc!N$934)</f>
        <v>#REF!</v>
      </c>
      <c r="O1022" s="86"/>
      <c r="R1022" s="482"/>
      <c r="S1022" s="482"/>
      <c r="T1022" s="482"/>
      <c r="U1022" s="482"/>
      <c r="V1022" s="482"/>
      <c r="W1022" s="482"/>
      <c r="X1022" s="482"/>
      <c r="Y1022" s="482"/>
      <c r="Z1022" s="482"/>
      <c r="AA1022" s="482"/>
      <c r="AB1022" s="482"/>
      <c r="AC1022" s="482"/>
    </row>
    <row r="1023" spans="1:29" x14ac:dyDescent="0.2">
      <c r="A1023" s="39"/>
      <c r="B1023" s="36" t="e">
        <f t="shared" si="219"/>
        <v>#REF!</v>
      </c>
      <c r="C1023" s="38" t="s">
        <v>1161</v>
      </c>
      <c r="D1023" s="152" t="s">
        <v>1160</v>
      </c>
      <c r="E1023" s="400"/>
      <c r="F1023" s="400"/>
      <c r="G1023" s="400"/>
      <c r="H1023" s="400"/>
      <c r="I1023" s="62"/>
      <c r="J1023" s="486" t="e">
        <f t="shared" si="218"/>
        <v>#REF!</v>
      </c>
      <c r="K1023" s="484" t="e">
        <f>INDEX(ConvFactors!#REF!,1,Base_calc!K$934)</f>
        <v>#REF!</v>
      </c>
      <c r="L1023" s="482" t="e">
        <f>INDEX(ConvFactors!#REF!,1,Base_calc!L$934)</f>
        <v>#REF!</v>
      </c>
      <c r="M1023" s="482" t="e">
        <f>INDEX(ConvFactors!#REF!,1,Base_calc!M$934)</f>
        <v>#REF!</v>
      </c>
      <c r="N1023" s="483" t="e">
        <f>INDEX(ConvFactors!#REF!,1,Base_calc!N$934)</f>
        <v>#REF!</v>
      </c>
      <c r="O1023" s="86"/>
      <c r="R1023" s="482"/>
      <c r="S1023" s="482"/>
      <c r="T1023" s="482"/>
      <c r="U1023" s="482"/>
      <c r="V1023" s="482"/>
      <c r="W1023" s="482"/>
      <c r="X1023" s="482"/>
      <c r="Y1023" s="482"/>
      <c r="Z1023" s="482"/>
      <c r="AA1023" s="482"/>
      <c r="AB1023" s="482"/>
      <c r="AC1023" s="482"/>
    </row>
    <row r="1024" spans="1:29" x14ac:dyDescent="0.2">
      <c r="A1024" s="39"/>
      <c r="B1024" s="36" t="e">
        <f t="shared" si="219"/>
        <v>#REF!</v>
      </c>
      <c r="C1024" s="38" t="s">
        <v>1135</v>
      </c>
      <c r="D1024" s="152" t="s">
        <v>1146</v>
      </c>
      <c r="E1024" s="400"/>
      <c r="F1024" s="400"/>
      <c r="G1024" s="400"/>
      <c r="H1024" s="400"/>
      <c r="I1024" s="62"/>
      <c r="J1024" s="486" t="e">
        <f t="shared" si="218"/>
        <v>#REF!</v>
      </c>
      <c r="K1024" s="484" t="e">
        <f>INDEX(ConvFactors!#REF!,1,Base_calc!K$934)</f>
        <v>#REF!</v>
      </c>
      <c r="L1024" s="482" t="e">
        <f>INDEX(ConvFactors!#REF!,1,Base_calc!L$934)</f>
        <v>#REF!</v>
      </c>
      <c r="M1024" s="482" t="e">
        <f>INDEX(ConvFactors!#REF!,1,Base_calc!M$934)</f>
        <v>#REF!</v>
      </c>
      <c r="N1024" s="483" t="e">
        <f>INDEX(ConvFactors!#REF!,1,Base_calc!N$934)</f>
        <v>#REF!</v>
      </c>
      <c r="O1024" s="86"/>
      <c r="R1024" s="482"/>
      <c r="S1024" s="482"/>
      <c r="T1024" s="482"/>
      <c r="U1024" s="482"/>
      <c r="V1024" s="482"/>
      <c r="W1024" s="482"/>
      <c r="X1024" s="482"/>
      <c r="Y1024" s="482"/>
      <c r="Z1024" s="482"/>
      <c r="AA1024" s="482"/>
      <c r="AB1024" s="482"/>
      <c r="AC1024" s="482"/>
    </row>
    <row r="1025" spans="1:29" x14ac:dyDescent="0.2">
      <c r="A1025" s="39"/>
      <c r="B1025" s="36" t="e">
        <f t="shared" si="219"/>
        <v>#REF!</v>
      </c>
      <c r="C1025" s="38" t="s">
        <v>1135</v>
      </c>
      <c r="D1025" s="152" t="s">
        <v>1146</v>
      </c>
      <c r="E1025" s="400"/>
      <c r="F1025" s="400"/>
      <c r="G1025" s="400"/>
      <c r="H1025" s="400"/>
      <c r="I1025" s="62"/>
      <c r="J1025" s="486" t="e">
        <f t="shared" si="218"/>
        <v>#REF!</v>
      </c>
      <c r="K1025" s="484" t="e">
        <f>INDEX(ConvFactors!#REF!,1,Base_calc!K$934)</f>
        <v>#REF!</v>
      </c>
      <c r="L1025" s="482" t="e">
        <f>INDEX(ConvFactors!#REF!,1,Base_calc!L$934)</f>
        <v>#REF!</v>
      </c>
      <c r="M1025" s="482" t="e">
        <f>INDEX(ConvFactors!#REF!,1,Base_calc!M$934)</f>
        <v>#REF!</v>
      </c>
      <c r="N1025" s="483" t="e">
        <f>INDEX(ConvFactors!#REF!,1,Base_calc!N$934)</f>
        <v>#REF!</v>
      </c>
      <c r="O1025" s="86"/>
      <c r="R1025" s="482"/>
      <c r="S1025" s="482"/>
      <c r="T1025" s="482"/>
      <c r="U1025" s="482"/>
      <c r="V1025" s="482"/>
      <c r="W1025" s="482"/>
      <c r="X1025" s="482"/>
      <c r="Y1025" s="482"/>
      <c r="Z1025" s="482"/>
      <c r="AA1025" s="482"/>
      <c r="AB1025" s="482"/>
      <c r="AC1025" s="482"/>
    </row>
    <row r="1026" spans="1:29" x14ac:dyDescent="0.2">
      <c r="A1026" s="39"/>
      <c r="B1026" s="36" t="str">
        <f t="shared" si="219"/>
        <v>Last item</v>
      </c>
      <c r="C1026" s="38" t="s">
        <v>1135</v>
      </c>
      <c r="D1026" s="152" t="s">
        <v>1146</v>
      </c>
      <c r="E1026" s="400"/>
      <c r="F1026" s="400"/>
      <c r="G1026" s="400"/>
      <c r="H1026" s="400"/>
      <c r="I1026" s="62"/>
      <c r="J1026" s="486" t="e">
        <f t="shared" si="218"/>
        <v>#N/A</v>
      </c>
      <c r="K1026" s="484" t="e">
        <f>INDEX(ConvFactors!$I86:$P86,1,Base_calc!K$934)</f>
        <v>#N/A</v>
      </c>
      <c r="L1026" s="482" t="e">
        <f>INDEX(ConvFactors!$I86:$P86,1,Base_calc!L$934)</f>
        <v>#N/A</v>
      </c>
      <c r="M1026" s="482" t="e">
        <f>INDEX(ConvFactors!$I86:$P86,1,Base_calc!M$934)</f>
        <v>#N/A</v>
      </c>
      <c r="N1026" s="483" t="e">
        <f>INDEX(ConvFactors!$I86:$P86,1,Base_calc!N$934)</f>
        <v>#N/A</v>
      </c>
      <c r="O1026" s="232"/>
      <c r="R1026" s="482"/>
      <c r="S1026" s="482"/>
      <c r="T1026" s="482"/>
      <c r="U1026" s="482"/>
      <c r="V1026" s="482"/>
      <c r="W1026" s="482"/>
      <c r="X1026" s="482"/>
      <c r="Y1026" s="482"/>
      <c r="Z1026" s="482"/>
      <c r="AA1026" s="482"/>
      <c r="AB1026" s="482"/>
      <c r="AC1026" s="482"/>
    </row>
    <row r="1027" spans="1:29" x14ac:dyDescent="0.2">
      <c r="A1027" s="39"/>
      <c r="B1027" s="258" t="str">
        <f>INDEX(Language!$D$272:$M$272,1,_language)</f>
        <v>Average electricity total factor</v>
      </c>
      <c r="C1027" s="38" t="s">
        <v>1164</v>
      </c>
      <c r="D1027" s="229" t="s">
        <v>43</v>
      </c>
      <c r="E1027" s="401"/>
      <c r="F1027" s="401"/>
      <c r="G1027" s="401"/>
      <c r="H1027" s="401"/>
      <c r="I1027" s="168"/>
      <c r="J1027" s="486" t="e">
        <f t="shared" si="218"/>
        <v>#REF!</v>
      </c>
      <c r="K1027" s="514" t="e">
        <f>IF(K640=1,K1069,K1065)</f>
        <v>#REF!</v>
      </c>
      <c r="L1027" s="515" t="e">
        <f>IF(L640=1,L1069,L1065)</f>
        <v>#REF!</v>
      </c>
      <c r="M1027" s="515" t="e">
        <f>IF(M640=1,M1069,M1065)</f>
        <v>#REF!</v>
      </c>
      <c r="N1027" s="516" t="e">
        <f>IF(N640=1,N1069,N1065)</f>
        <v>#REF!</v>
      </c>
      <c r="O1027" s="232"/>
      <c r="R1027" s="515"/>
      <c r="S1027" s="515"/>
      <c r="T1027" s="515"/>
      <c r="U1027" s="515"/>
      <c r="V1027" s="515"/>
      <c r="W1027" s="515"/>
      <c r="X1027" s="515"/>
      <c r="Y1027" s="515"/>
      <c r="Z1027" s="515"/>
      <c r="AA1027" s="515"/>
      <c r="AB1027" s="515"/>
      <c r="AC1027" s="515"/>
    </row>
    <row r="1028" spans="1:29" ht="13.5" thickBot="1" x14ac:dyDescent="0.25">
      <c r="A1028" s="39"/>
      <c r="B1028" s="263"/>
      <c r="C1028" s="264"/>
      <c r="D1028" s="222"/>
      <c r="E1028" s="403"/>
      <c r="F1028" s="403"/>
      <c r="G1028" s="403"/>
      <c r="H1028" s="403"/>
      <c r="I1028" s="223"/>
      <c r="J1028" s="489"/>
      <c r="K1028" s="490"/>
      <c r="L1028" s="491"/>
      <c r="M1028" s="491"/>
      <c r="N1028" s="492"/>
      <c r="O1028" s="280"/>
      <c r="R1028" s="491"/>
      <c r="S1028" s="491"/>
      <c r="T1028" s="491"/>
      <c r="U1028" s="491"/>
      <c r="V1028" s="491"/>
      <c r="W1028" s="491"/>
      <c r="X1028" s="491"/>
      <c r="Y1028" s="491"/>
      <c r="Z1028" s="491"/>
      <c r="AA1028" s="491"/>
      <c r="AB1028" s="491"/>
      <c r="AC1028" s="491"/>
    </row>
    <row r="1029" spans="1:29" ht="22.5" customHeight="1" thickBot="1" x14ac:dyDescent="0.25">
      <c r="A1029" s="39"/>
      <c r="B1029" s="526" t="str">
        <f>INDEX(Language!$D$287:$M$287,1,_language)</f>
        <v xml:space="preserve">PRIMARY ENERGY CALCULATION, PER ENERGY CARRIER </v>
      </c>
      <c r="C1029" s="527"/>
      <c r="D1029" s="528"/>
      <c r="E1029" s="528"/>
      <c r="F1029" s="528"/>
      <c r="G1029" s="528"/>
      <c r="H1029" s="528"/>
      <c r="I1029" s="529"/>
      <c r="J1029" s="529"/>
      <c r="K1029" s="529"/>
      <c r="L1029" s="529"/>
      <c r="M1029" s="529"/>
      <c r="N1029" s="529"/>
      <c r="O1029" s="530"/>
      <c r="R1029" s="529"/>
      <c r="S1029" s="529"/>
      <c r="T1029" s="529"/>
      <c r="U1029" s="529"/>
      <c r="V1029" s="529"/>
      <c r="W1029" s="529"/>
      <c r="X1029" s="529"/>
      <c r="Y1029" s="529"/>
      <c r="Z1029" s="529"/>
      <c r="AA1029" s="529"/>
      <c r="AB1029" s="529"/>
      <c r="AC1029" s="529"/>
    </row>
    <row r="1030" spans="1:29" ht="17.25" customHeight="1" thickBot="1" x14ac:dyDescent="0.25">
      <c r="A1030" s="39"/>
      <c r="B1030" s="976" t="s">
        <v>1759</v>
      </c>
      <c r="C1030" s="977"/>
      <c r="D1030" s="978"/>
      <c r="E1030" s="978"/>
      <c r="F1030" s="978"/>
      <c r="G1030" s="978"/>
      <c r="H1030" s="978"/>
      <c r="I1030" s="255"/>
      <c r="J1030" s="255"/>
      <c r="K1030" s="255"/>
      <c r="L1030" s="255"/>
      <c r="M1030" s="255"/>
      <c r="N1030" s="255"/>
      <c r="O1030" s="979"/>
      <c r="R1030" s="529"/>
      <c r="S1030" s="529"/>
      <c r="T1030" s="529"/>
      <c r="U1030" s="529"/>
      <c r="V1030" s="529"/>
      <c r="W1030" s="529"/>
      <c r="X1030" s="529"/>
      <c r="Y1030" s="529"/>
      <c r="Z1030" s="529"/>
      <c r="AA1030" s="529"/>
      <c r="AB1030" s="529"/>
      <c r="AC1030" s="529"/>
    </row>
    <row r="1031" spans="1:29" x14ac:dyDescent="0.2">
      <c r="A1031" s="39"/>
      <c r="B1031" s="493" t="str">
        <f>INDEX(Language!$D$249:$M$249,1,_language)</f>
        <v>Not used delivered electric energy</v>
      </c>
      <c r="C1031" s="591" t="s">
        <v>1061</v>
      </c>
      <c r="D1031" s="206"/>
      <c r="E1031" s="402"/>
      <c r="F1031" s="402"/>
      <c r="G1031" s="402"/>
      <c r="H1031" s="402"/>
      <c r="I1031" s="207" t="str">
        <f>+_En_unit</f>
        <v>kWh</v>
      </c>
      <c r="J1031" s="580">
        <f t="shared" ref="J1031:J1069" si="220">INDEX(K1031:N1031,,_case_en)</f>
        <v>316.26787878787877</v>
      </c>
      <c r="K1031" s="208">
        <f>+K731</f>
        <v>1038.9263406175623</v>
      </c>
      <c r="L1031" s="209">
        <f>+L731</f>
        <v>636.35101010101005</v>
      </c>
      <c r="M1031" s="209">
        <f>+M731</f>
        <v>1021.6667082975656</v>
      </c>
      <c r="N1031" s="210">
        <f>+N731</f>
        <v>316.26787878787877</v>
      </c>
      <c r="O1031" s="227"/>
      <c r="R1031" s="217"/>
      <c r="S1031" s="217"/>
      <c r="T1031" s="217"/>
      <c r="U1031" s="217"/>
      <c r="V1031" s="217"/>
      <c r="W1031" s="217"/>
      <c r="X1031" s="217"/>
      <c r="Y1031" s="217"/>
      <c r="Z1031" s="217"/>
      <c r="AA1031" s="217"/>
      <c r="AB1031" s="217"/>
      <c r="AC1031" s="217"/>
    </row>
    <row r="1032" spans="1:29" outlineLevel="1" x14ac:dyDescent="0.2">
      <c r="A1032" s="39"/>
      <c r="B1032" s="36" t="str">
        <f>INDEX(Language!$D$315:$M$315,1,_language)</f>
        <v>Energy carrier</v>
      </c>
      <c r="C1032" s="38"/>
      <c r="D1032" s="152"/>
      <c r="E1032" s="400"/>
      <c r="F1032" s="400"/>
      <c r="G1032" s="400"/>
      <c r="H1032" s="400"/>
      <c r="I1032" s="62"/>
      <c r="J1032" s="257" t="str">
        <f t="shared" si="220"/>
        <v>el_del</v>
      </c>
      <c r="K1032" s="504" t="s">
        <v>1138</v>
      </c>
      <c r="L1032" s="505" t="s">
        <v>1138</v>
      </c>
      <c r="M1032" s="505" t="s">
        <v>1138</v>
      </c>
      <c r="N1032" s="506" t="s">
        <v>1138</v>
      </c>
      <c r="O1032" s="86"/>
      <c r="R1032" s="505"/>
      <c r="S1032" s="505"/>
      <c r="T1032" s="505"/>
      <c r="U1032" s="505"/>
      <c r="V1032" s="505"/>
      <c r="W1032" s="505"/>
      <c r="X1032" s="505"/>
      <c r="Y1032" s="505"/>
      <c r="Z1032" s="505"/>
      <c r="AA1032" s="505"/>
      <c r="AB1032" s="505"/>
      <c r="AC1032" s="505"/>
    </row>
    <row r="1033" spans="1:29" outlineLevel="1" x14ac:dyDescent="0.2">
      <c r="A1033" s="39"/>
      <c r="B1033" s="36" t="str">
        <f>INDEX(Language!$D$316:$M$316,1,_language)</f>
        <v>Non renewable factor</v>
      </c>
      <c r="C1033" s="38" t="s">
        <v>393</v>
      </c>
      <c r="D1033" s="152"/>
      <c r="E1033" s="400"/>
      <c r="F1033" s="400"/>
      <c r="G1033" s="400"/>
      <c r="H1033" s="400"/>
      <c r="I1033" s="62"/>
      <c r="J1033" s="486" t="e">
        <f t="shared" si="220"/>
        <v>#REF!</v>
      </c>
      <c r="K1033" s="497" t="e">
        <f>INDEX(K$937:K$965,MATCH(K1032,$D$937:$D$965,0))</f>
        <v>#REF!</v>
      </c>
      <c r="L1033" s="498" t="e">
        <f>INDEX(L$937:L$965,MATCH(L1032,$D$937:$D$965,0))</f>
        <v>#REF!</v>
      </c>
      <c r="M1033" s="498" t="e">
        <f>INDEX(M$937:M$965,MATCH(M1032,$D$937:$D$965,0))</f>
        <v>#REF!</v>
      </c>
      <c r="N1033" s="499" t="e">
        <f>INDEX(N$937:N$965,MATCH(N1032,$D$937:$D$965,0))</f>
        <v>#REF!</v>
      </c>
      <c r="O1033" s="86"/>
      <c r="R1033" s="498"/>
      <c r="S1033" s="498"/>
      <c r="T1033" s="498"/>
      <c r="U1033" s="498"/>
      <c r="V1033" s="498"/>
      <c r="W1033" s="498"/>
      <c r="X1033" s="498"/>
      <c r="Y1033" s="498"/>
      <c r="Z1033" s="498"/>
      <c r="AA1033" s="498"/>
      <c r="AB1033" s="498"/>
      <c r="AC1033" s="498"/>
    </row>
    <row r="1034" spans="1:29" outlineLevel="1" x14ac:dyDescent="0.2">
      <c r="A1034" s="39"/>
      <c r="B1034" s="715" t="str">
        <f>INDEX(Language!$D$319:$M$319,1,_language)</f>
        <v>Non renewable primary energy</v>
      </c>
      <c r="C1034" s="716" t="s">
        <v>1339</v>
      </c>
      <c r="D1034" s="717"/>
      <c r="E1034" s="718"/>
      <c r="F1034" s="718"/>
      <c r="G1034" s="718"/>
      <c r="H1034" s="718"/>
      <c r="I1034" s="719" t="str">
        <f>+_En_unit</f>
        <v>kWh</v>
      </c>
      <c r="J1034" s="720" t="e">
        <f t="shared" si="220"/>
        <v>#REF!</v>
      </c>
      <c r="K1034" s="721" t="e">
        <f>+K1031*K1033</f>
        <v>#REF!</v>
      </c>
      <c r="L1034" s="722" t="e">
        <f>+L1031*L1033</f>
        <v>#REF!</v>
      </c>
      <c r="M1034" s="722" t="e">
        <f>+M1031*M1033</f>
        <v>#REF!</v>
      </c>
      <c r="N1034" s="723" t="e">
        <f>+N1031*N1033</f>
        <v>#REF!</v>
      </c>
      <c r="O1034" s="86"/>
      <c r="R1034" s="271"/>
      <c r="S1034" s="271"/>
      <c r="T1034" s="271"/>
      <c r="U1034" s="271"/>
      <c r="V1034" s="271"/>
      <c r="W1034" s="271"/>
      <c r="X1034" s="271"/>
      <c r="Y1034" s="271"/>
      <c r="Z1034" s="271"/>
      <c r="AA1034" s="271"/>
      <c r="AB1034" s="271"/>
      <c r="AC1034" s="271"/>
    </row>
    <row r="1035" spans="1:29" outlineLevel="1" x14ac:dyDescent="0.2">
      <c r="A1035" s="39"/>
      <c r="B1035" s="36" t="str">
        <f>INDEX(Language!$D$317:$M$317,1,_language)</f>
        <v>Total factor</v>
      </c>
      <c r="C1035" s="38" t="s">
        <v>408</v>
      </c>
      <c r="D1035" s="152"/>
      <c r="E1035" s="400"/>
      <c r="F1035" s="400"/>
      <c r="G1035" s="400"/>
      <c r="H1035" s="400"/>
      <c r="I1035" s="62"/>
      <c r="J1035" s="486" t="e">
        <f t="shared" si="220"/>
        <v>#REF!</v>
      </c>
      <c r="K1035" s="497" t="e">
        <f>INDEX(K$999:K$1028,MATCH(K1032,$D$999:$D$1028,0))</f>
        <v>#REF!</v>
      </c>
      <c r="L1035" s="498" t="e">
        <f>INDEX(L$999:L$1028,MATCH(L1032,$D$999:$D$1028,0))</f>
        <v>#REF!</v>
      </c>
      <c r="M1035" s="498" t="e">
        <f>INDEX(M$999:M$1028,MATCH(M1032,$D$999:$D$1028,0))</f>
        <v>#REF!</v>
      </c>
      <c r="N1035" s="499" t="e">
        <f>INDEX(N$999:N$1028,MATCH(N1032,$D$999:$D$1028,0))</f>
        <v>#REF!</v>
      </c>
      <c r="O1035" s="86"/>
      <c r="R1035" s="498"/>
      <c r="S1035" s="498"/>
      <c r="T1035" s="498"/>
      <c r="U1035" s="498"/>
      <c r="V1035" s="498"/>
      <c r="W1035" s="498"/>
      <c r="X1035" s="498"/>
      <c r="Y1035" s="498"/>
      <c r="Z1035" s="498"/>
      <c r="AA1035" s="498"/>
      <c r="AB1035" s="498"/>
      <c r="AC1035" s="498"/>
    </row>
    <row r="1036" spans="1:29" outlineLevel="1" x14ac:dyDescent="0.2">
      <c r="A1036" s="39"/>
      <c r="B1036" s="733" t="str">
        <f>INDEX(Language!$D$320:$M$320,1,_language)</f>
        <v>Total primary energy</v>
      </c>
      <c r="C1036" s="734" t="s">
        <v>1342</v>
      </c>
      <c r="D1036" s="735"/>
      <c r="E1036" s="736"/>
      <c r="F1036" s="736"/>
      <c r="G1036" s="736"/>
      <c r="H1036" s="736"/>
      <c r="I1036" s="737" t="str">
        <f>+_En_unit</f>
        <v>kWh</v>
      </c>
      <c r="J1036" s="738" t="e">
        <f t="shared" si="220"/>
        <v>#REF!</v>
      </c>
      <c r="K1036" s="739" t="e">
        <f>+K1035*K1031</f>
        <v>#REF!</v>
      </c>
      <c r="L1036" s="740" t="e">
        <f>+L1035*L1031</f>
        <v>#REF!</v>
      </c>
      <c r="M1036" s="740" t="e">
        <f>+M1035*M1031</f>
        <v>#REF!</v>
      </c>
      <c r="N1036" s="741" t="e">
        <f>+N1035*N1031</f>
        <v>#REF!</v>
      </c>
      <c r="O1036" s="232"/>
      <c r="R1036" s="287"/>
      <c r="S1036" s="287"/>
      <c r="T1036" s="287"/>
      <c r="U1036" s="287"/>
      <c r="V1036" s="287"/>
      <c r="W1036" s="287"/>
      <c r="X1036" s="287"/>
      <c r="Y1036" s="287"/>
      <c r="Z1036" s="287"/>
      <c r="AA1036" s="287"/>
      <c r="AB1036" s="287"/>
      <c r="AC1036" s="287"/>
    </row>
    <row r="1037" spans="1:29" x14ac:dyDescent="0.2">
      <c r="A1037" s="39"/>
      <c r="B1037" s="383" t="str">
        <f>INDEX(Language!$D$253:$M$253,1,_language)</f>
        <v>Temp. exported electricity by PV</v>
      </c>
      <c r="C1037" s="259" t="s">
        <v>1165</v>
      </c>
      <c r="D1037" s="358"/>
      <c r="E1037" s="410"/>
      <c r="F1037" s="410"/>
      <c r="G1037" s="410"/>
      <c r="H1037" s="410"/>
      <c r="I1037" s="359" t="str">
        <f>+_En_unit</f>
        <v>kWh</v>
      </c>
      <c r="J1037" s="508">
        <f t="shared" si="220"/>
        <v>261.22536721733957</v>
      </c>
      <c r="K1037" s="360">
        <f>+K843</f>
        <v>1028.0214706397319</v>
      </c>
      <c r="L1037" s="361">
        <f>+L843</f>
        <v>291.06306979475988</v>
      </c>
      <c r="M1037" s="361">
        <f>+M843</f>
        <v>1009.9093527595596</v>
      </c>
      <c r="N1037" s="362">
        <f>+N843</f>
        <v>261.22536721733957</v>
      </c>
      <c r="O1037" s="363"/>
      <c r="R1037" s="361"/>
      <c r="S1037" s="361"/>
      <c r="T1037" s="361"/>
      <c r="U1037" s="361"/>
      <c r="V1037" s="361"/>
      <c r="W1037" s="361"/>
      <c r="X1037" s="361"/>
      <c r="Y1037" s="361"/>
      <c r="Z1037" s="361"/>
      <c r="AA1037" s="361"/>
      <c r="AB1037" s="361"/>
      <c r="AC1037" s="361"/>
    </row>
    <row r="1038" spans="1:29" outlineLevel="1" x14ac:dyDescent="0.2">
      <c r="A1038" s="39"/>
      <c r="B1038" s="36" t="str">
        <f>INDEX(Language!$D$315:$M$315,1,_language)</f>
        <v>Energy carrier</v>
      </c>
      <c r="C1038" s="38"/>
      <c r="D1038" s="152"/>
      <c r="E1038" s="400"/>
      <c r="F1038" s="400"/>
      <c r="G1038" s="400"/>
      <c r="H1038" s="400"/>
      <c r="I1038" s="62"/>
      <c r="J1038" s="509" t="str">
        <f t="shared" si="220"/>
        <v>el_rdel_PV</v>
      </c>
      <c r="K1038" s="504" t="s">
        <v>1141</v>
      </c>
      <c r="L1038" s="505" t="s">
        <v>1141</v>
      </c>
      <c r="M1038" s="505" t="s">
        <v>1141</v>
      </c>
      <c r="N1038" s="506" t="s">
        <v>1141</v>
      </c>
      <c r="O1038" s="86"/>
      <c r="R1038" s="505"/>
      <c r="S1038" s="505"/>
      <c r="T1038" s="505"/>
      <c r="U1038" s="505"/>
      <c r="V1038" s="505"/>
      <c r="W1038" s="505"/>
      <c r="X1038" s="505"/>
      <c r="Y1038" s="505"/>
      <c r="Z1038" s="505"/>
      <c r="AA1038" s="505"/>
      <c r="AB1038" s="505"/>
      <c r="AC1038" s="505"/>
    </row>
    <row r="1039" spans="1:29" outlineLevel="1" x14ac:dyDescent="0.2">
      <c r="A1039" s="39"/>
      <c r="B1039" s="36" t="str">
        <f>INDEX(Language!$D$316:$M$316,1,_language)</f>
        <v>Non renewable factor</v>
      </c>
      <c r="C1039" s="38" t="s">
        <v>1166</v>
      </c>
      <c r="D1039" s="152"/>
      <c r="E1039" s="400"/>
      <c r="F1039" s="400"/>
      <c r="G1039" s="400"/>
      <c r="H1039" s="400"/>
      <c r="I1039" s="62"/>
      <c r="J1039" s="486" t="e">
        <f t="shared" si="220"/>
        <v>#REF!</v>
      </c>
      <c r="K1039" s="497" t="e">
        <f>INDEX(K$937:K$965,MATCH(K1038,$D$937:$D$965,0))</f>
        <v>#REF!</v>
      </c>
      <c r="L1039" s="498" t="e">
        <f>INDEX(L$937:L$965,MATCH(L1038,$D$937:$D$965,0))</f>
        <v>#REF!</v>
      </c>
      <c r="M1039" s="498" t="e">
        <f>INDEX(M$937:M$965,MATCH(M1038,$D$937:$D$965,0))</f>
        <v>#REF!</v>
      </c>
      <c r="N1039" s="499" t="e">
        <f>INDEX(N$937:N$965,MATCH(N1038,$D$937:$D$965,0))</f>
        <v>#REF!</v>
      </c>
      <c r="O1039" s="86"/>
      <c r="R1039" s="498"/>
      <c r="S1039" s="498"/>
      <c r="T1039" s="498"/>
      <c r="U1039" s="498"/>
      <c r="V1039" s="498"/>
      <c r="W1039" s="498"/>
      <c r="X1039" s="498"/>
      <c r="Y1039" s="498"/>
      <c r="Z1039" s="498"/>
      <c r="AA1039" s="498"/>
      <c r="AB1039" s="498"/>
      <c r="AC1039" s="498"/>
    </row>
    <row r="1040" spans="1:29" outlineLevel="1" x14ac:dyDescent="0.2">
      <c r="A1040" s="39"/>
      <c r="B1040" s="715" t="str">
        <f>INDEX(Language!$D$319:$M$319,1,_language)</f>
        <v>Non renewable primary energy</v>
      </c>
      <c r="C1040" s="716" t="s">
        <v>1340</v>
      </c>
      <c r="D1040" s="717"/>
      <c r="E1040" s="718"/>
      <c r="F1040" s="718"/>
      <c r="G1040" s="718"/>
      <c r="H1040" s="718"/>
      <c r="I1040" s="719" t="str">
        <f>+_En_unit</f>
        <v>kWh</v>
      </c>
      <c r="J1040" s="720" t="e">
        <f t="shared" si="220"/>
        <v>#REF!</v>
      </c>
      <c r="K1040" s="721" t="e">
        <f>+K1037*K1039</f>
        <v>#REF!</v>
      </c>
      <c r="L1040" s="722" t="e">
        <f>+L1037*L1039</f>
        <v>#REF!</v>
      </c>
      <c r="M1040" s="722" t="e">
        <f>+M1037*M1039</f>
        <v>#REF!</v>
      </c>
      <c r="N1040" s="723" t="e">
        <f>+N1037*N1039</f>
        <v>#REF!</v>
      </c>
      <c r="O1040" s="86"/>
      <c r="R1040" s="271"/>
      <c r="S1040" s="271"/>
      <c r="T1040" s="271"/>
      <c r="U1040" s="271"/>
      <c r="V1040" s="271"/>
      <c r="W1040" s="271"/>
      <c r="X1040" s="271"/>
      <c r="Y1040" s="271"/>
      <c r="Z1040" s="271"/>
      <c r="AA1040" s="271"/>
      <c r="AB1040" s="271"/>
      <c r="AC1040" s="271"/>
    </row>
    <row r="1041" spans="1:29" outlineLevel="1" x14ac:dyDescent="0.2">
      <c r="A1041" s="39"/>
      <c r="B1041" s="36" t="str">
        <f>INDEX(Language!$D$317:$M$317,1,_language)</f>
        <v>Total factor</v>
      </c>
      <c r="C1041" s="38" t="s">
        <v>1167</v>
      </c>
      <c r="D1041" s="152"/>
      <c r="E1041" s="400"/>
      <c r="F1041" s="400"/>
      <c r="G1041" s="400"/>
      <c r="H1041" s="400"/>
      <c r="I1041" s="62"/>
      <c r="J1041" s="486" t="e">
        <f t="shared" si="220"/>
        <v>#REF!</v>
      </c>
      <c r="K1041" s="497" t="e">
        <f>INDEX(K$999:K$1028,MATCH(K1038,$D$999:$D$1028,0))</f>
        <v>#REF!</v>
      </c>
      <c r="L1041" s="498" t="e">
        <f>INDEX(L$999:L$1028,MATCH(L1038,$D$999:$D$1028,0))</f>
        <v>#REF!</v>
      </c>
      <c r="M1041" s="498" t="e">
        <f>INDEX(M$999:M$1028,MATCH(M1038,$D$999:$D$1028,0))</f>
        <v>#REF!</v>
      </c>
      <c r="N1041" s="499" t="e">
        <f>INDEX(N$999:N$1028,MATCH(N1038,$D$999:$D$1028,0))</f>
        <v>#REF!</v>
      </c>
      <c r="O1041" s="86"/>
      <c r="R1041" s="498"/>
      <c r="S1041" s="498"/>
      <c r="T1041" s="498"/>
      <c r="U1041" s="498"/>
      <c r="V1041" s="498"/>
      <c r="W1041" s="498"/>
      <c r="X1041" s="498"/>
      <c r="Y1041" s="498"/>
      <c r="Z1041" s="498"/>
      <c r="AA1041" s="498"/>
      <c r="AB1041" s="498"/>
      <c r="AC1041" s="498"/>
    </row>
    <row r="1042" spans="1:29" outlineLevel="1" x14ac:dyDescent="0.2">
      <c r="A1042" s="39"/>
      <c r="B1042" s="742" t="str">
        <f>INDEX(Language!$D$320:$M$320,1,_language)</f>
        <v>Total primary energy</v>
      </c>
      <c r="C1042" s="734" t="s">
        <v>1343</v>
      </c>
      <c r="D1042" s="743"/>
      <c r="E1042" s="744"/>
      <c r="F1042" s="744"/>
      <c r="G1042" s="744"/>
      <c r="H1042" s="744"/>
      <c r="I1042" s="745" t="str">
        <f>+_En_unit</f>
        <v>kWh</v>
      </c>
      <c r="J1042" s="746" t="e">
        <f t="shared" si="220"/>
        <v>#REF!</v>
      </c>
      <c r="K1042" s="747" t="e">
        <f>+K1041*K1037</f>
        <v>#REF!</v>
      </c>
      <c r="L1042" s="748" t="e">
        <f>+L1041*L1037</f>
        <v>#REF!</v>
      </c>
      <c r="M1042" s="748" t="e">
        <f>+M1041*M1037</f>
        <v>#REF!</v>
      </c>
      <c r="N1042" s="749" t="e">
        <f>+N1041*N1037</f>
        <v>#REF!</v>
      </c>
      <c r="O1042" s="503"/>
      <c r="R1042" s="502"/>
      <c r="S1042" s="502"/>
      <c r="T1042" s="502"/>
      <c r="U1042" s="502"/>
      <c r="V1042" s="502"/>
      <c r="W1042" s="502"/>
      <c r="X1042" s="502"/>
      <c r="Y1042" s="502"/>
      <c r="Z1042" s="502"/>
      <c r="AA1042" s="502"/>
      <c r="AB1042" s="502"/>
      <c r="AC1042" s="502"/>
    </row>
    <row r="1043" spans="1:29" x14ac:dyDescent="0.2">
      <c r="A1043" s="39"/>
      <c r="B1043" s="383" t="str">
        <f>INDEX(Language!$D$254:$M$254,1,_language)</f>
        <v>Temp. exported electricity by CHP</v>
      </c>
      <c r="C1043" s="259" t="s">
        <v>1168</v>
      </c>
      <c r="D1043" s="358"/>
      <c r="E1043" s="410"/>
      <c r="F1043" s="410"/>
      <c r="G1043" s="410"/>
      <c r="H1043" s="410"/>
      <c r="I1043" s="359" t="str">
        <f>+_En_unit</f>
        <v>kWh</v>
      </c>
      <c r="J1043" s="508">
        <f t="shared" si="220"/>
        <v>55.042511570539254</v>
      </c>
      <c r="K1043" s="360">
        <f>+K857</f>
        <v>10.90486997783038</v>
      </c>
      <c r="L1043" s="361">
        <f>+L857</f>
        <v>345.28794030625022</v>
      </c>
      <c r="M1043" s="361">
        <f>+M857</f>
        <v>11.757355538005925</v>
      </c>
      <c r="N1043" s="362">
        <f>+N857</f>
        <v>55.042511570539254</v>
      </c>
      <c r="O1043" s="363"/>
      <c r="R1043" s="361"/>
      <c r="S1043" s="361"/>
      <c r="T1043" s="361"/>
      <c r="U1043" s="361"/>
      <c r="V1043" s="361"/>
      <c r="W1043" s="361"/>
      <c r="X1043" s="361"/>
      <c r="Y1043" s="361"/>
      <c r="Z1043" s="361"/>
      <c r="AA1043" s="361"/>
      <c r="AB1043" s="361"/>
      <c r="AC1043" s="361"/>
    </row>
    <row r="1044" spans="1:29" outlineLevel="1" x14ac:dyDescent="0.2">
      <c r="A1044" s="39"/>
      <c r="B1044" s="36" t="str">
        <f>INDEX(Language!$D$315:$M$315,1,_language)</f>
        <v>Energy carrier</v>
      </c>
      <c r="C1044" s="38"/>
      <c r="D1044" s="152"/>
      <c r="E1044" s="400"/>
      <c r="F1044" s="400"/>
      <c r="G1044" s="400"/>
      <c r="H1044" s="400"/>
      <c r="I1044" s="62"/>
      <c r="J1044" s="509" t="str">
        <f t="shared" si="220"/>
        <v>el_rdel_CHP</v>
      </c>
      <c r="K1044" s="504" t="s">
        <v>1142</v>
      </c>
      <c r="L1044" s="505" t="s">
        <v>1142</v>
      </c>
      <c r="M1044" s="505" t="s">
        <v>1142</v>
      </c>
      <c r="N1044" s="506" t="s">
        <v>1142</v>
      </c>
      <c r="O1044" s="86"/>
      <c r="R1044" s="505"/>
      <c r="S1044" s="505"/>
      <c r="T1044" s="505"/>
      <c r="U1044" s="505"/>
      <c r="V1044" s="505"/>
      <c r="W1044" s="505"/>
      <c r="X1044" s="505"/>
      <c r="Y1044" s="505"/>
      <c r="Z1044" s="505"/>
      <c r="AA1044" s="505"/>
      <c r="AB1044" s="505"/>
      <c r="AC1044" s="505"/>
    </row>
    <row r="1045" spans="1:29" outlineLevel="1" x14ac:dyDescent="0.2">
      <c r="A1045" s="39"/>
      <c r="B1045" s="36" t="str">
        <f>INDEX(Language!$D$316:$M$316,1,_language)</f>
        <v>Non renewable factor</v>
      </c>
      <c r="C1045" s="38" t="s">
        <v>1169</v>
      </c>
      <c r="D1045" s="152"/>
      <c r="E1045" s="400"/>
      <c r="F1045" s="400"/>
      <c r="G1045" s="400"/>
      <c r="H1045" s="400"/>
      <c r="I1045" s="62"/>
      <c r="J1045" s="486" t="e">
        <f t="shared" si="220"/>
        <v>#REF!</v>
      </c>
      <c r="K1045" s="497" t="e">
        <f>INDEX(K$937:K$965,MATCH(K1044,$D$937:$D$965,0))</f>
        <v>#REF!</v>
      </c>
      <c r="L1045" s="498" t="e">
        <f>INDEX(L$937:L$965,MATCH(L1044,$D$937:$D$965,0))</f>
        <v>#REF!</v>
      </c>
      <c r="M1045" s="498" t="e">
        <f>INDEX(M$937:M$965,MATCH(M1044,$D$937:$D$965,0))</f>
        <v>#REF!</v>
      </c>
      <c r="N1045" s="499" t="e">
        <f>INDEX(N$937:N$965,MATCH(N1044,$D$937:$D$965,0))</f>
        <v>#REF!</v>
      </c>
      <c r="O1045" s="86"/>
      <c r="R1045" s="498"/>
      <c r="S1045" s="498"/>
      <c r="T1045" s="498"/>
      <c r="U1045" s="498"/>
      <c r="V1045" s="498"/>
      <c r="W1045" s="498"/>
      <c r="X1045" s="498"/>
      <c r="Y1045" s="498"/>
      <c r="Z1045" s="498"/>
      <c r="AA1045" s="498"/>
      <c r="AB1045" s="498"/>
      <c r="AC1045" s="498"/>
    </row>
    <row r="1046" spans="1:29" outlineLevel="1" x14ac:dyDescent="0.2">
      <c r="A1046" s="39"/>
      <c r="B1046" s="715" t="str">
        <f>INDEX(Language!$D$319:$M$319,1,_language)</f>
        <v>Non renewable primary energy</v>
      </c>
      <c r="C1046" s="716" t="s">
        <v>1341</v>
      </c>
      <c r="D1046" s="717"/>
      <c r="E1046" s="718"/>
      <c r="F1046" s="718"/>
      <c r="G1046" s="718"/>
      <c r="H1046" s="718"/>
      <c r="I1046" s="719" t="str">
        <f>+_En_unit</f>
        <v>kWh</v>
      </c>
      <c r="J1046" s="720" t="e">
        <f t="shared" si="220"/>
        <v>#REF!</v>
      </c>
      <c r="K1046" s="721" t="e">
        <f>+K1043*K1045</f>
        <v>#REF!</v>
      </c>
      <c r="L1046" s="722" t="e">
        <f>+L1043*L1045</f>
        <v>#REF!</v>
      </c>
      <c r="M1046" s="722" t="e">
        <f>+M1043*M1045</f>
        <v>#REF!</v>
      </c>
      <c r="N1046" s="723" t="e">
        <f>+N1043*N1045</f>
        <v>#REF!</v>
      </c>
      <c r="O1046" s="86"/>
      <c r="R1046" s="271"/>
      <c r="S1046" s="271"/>
      <c r="T1046" s="271"/>
      <c r="U1046" s="271"/>
      <c r="V1046" s="271"/>
      <c r="W1046" s="271"/>
      <c r="X1046" s="271"/>
      <c r="Y1046" s="271"/>
      <c r="Z1046" s="271"/>
      <c r="AA1046" s="271"/>
      <c r="AB1046" s="271"/>
      <c r="AC1046" s="271"/>
    </row>
    <row r="1047" spans="1:29" outlineLevel="1" x14ac:dyDescent="0.2">
      <c r="A1047" s="39"/>
      <c r="B1047" s="36" t="str">
        <f>INDEX(Language!$D$317:$M$317,1,_language)</f>
        <v>Total factor</v>
      </c>
      <c r="C1047" s="38" t="s">
        <v>1170</v>
      </c>
      <c r="D1047" s="152"/>
      <c r="E1047" s="400"/>
      <c r="F1047" s="400"/>
      <c r="G1047" s="400"/>
      <c r="H1047" s="400"/>
      <c r="I1047" s="62"/>
      <c r="J1047" s="486" t="e">
        <f t="shared" si="220"/>
        <v>#REF!</v>
      </c>
      <c r="K1047" s="497" t="e">
        <f>INDEX(K$999:K$1028,MATCH(K1044,$D$999:$D$1028,0))</f>
        <v>#REF!</v>
      </c>
      <c r="L1047" s="498" t="e">
        <f>INDEX(L$999:L$1028,MATCH(L1044,$D$999:$D$1028,0))</f>
        <v>#REF!</v>
      </c>
      <c r="M1047" s="498" t="e">
        <f>INDEX(M$999:M$1028,MATCH(M1044,$D$999:$D$1028,0))</f>
        <v>#REF!</v>
      </c>
      <c r="N1047" s="499" t="e">
        <f>INDEX(N$999:N$1028,MATCH(N1044,$D$999:$D$1028,0))</f>
        <v>#REF!</v>
      </c>
      <c r="O1047" s="86"/>
      <c r="R1047" s="498"/>
      <c r="S1047" s="498"/>
      <c r="T1047" s="498"/>
      <c r="U1047" s="498"/>
      <c r="V1047" s="498"/>
      <c r="W1047" s="498"/>
      <c r="X1047" s="498"/>
      <c r="Y1047" s="498"/>
      <c r="Z1047" s="498"/>
      <c r="AA1047" s="498"/>
      <c r="AB1047" s="498"/>
      <c r="AC1047" s="498"/>
    </row>
    <row r="1048" spans="1:29" outlineLevel="1" x14ac:dyDescent="0.2">
      <c r="A1048" s="39"/>
      <c r="B1048" s="742" t="str">
        <f>INDEX(Language!$D$320:$M$320,1,_language)</f>
        <v>Total primary energy</v>
      </c>
      <c r="C1048" s="734" t="s">
        <v>1344</v>
      </c>
      <c r="D1048" s="743"/>
      <c r="E1048" s="744"/>
      <c r="F1048" s="744"/>
      <c r="G1048" s="744"/>
      <c r="H1048" s="744"/>
      <c r="I1048" s="745" t="str">
        <f>+_En_unit</f>
        <v>kWh</v>
      </c>
      <c r="J1048" s="746" t="e">
        <f t="shared" si="220"/>
        <v>#REF!</v>
      </c>
      <c r="K1048" s="747" t="e">
        <f>+K1047*K1043</f>
        <v>#REF!</v>
      </c>
      <c r="L1048" s="748" t="e">
        <f>+L1047*L1043</f>
        <v>#REF!</v>
      </c>
      <c r="M1048" s="748" t="e">
        <f>+M1047*M1043</f>
        <v>#REF!</v>
      </c>
      <c r="N1048" s="749" t="e">
        <f>+N1047*N1043</f>
        <v>#REF!</v>
      </c>
      <c r="O1048" s="503"/>
      <c r="R1048" s="502"/>
      <c r="S1048" s="502"/>
      <c r="T1048" s="502"/>
      <c r="U1048" s="502"/>
      <c r="V1048" s="502"/>
      <c r="W1048" s="502"/>
      <c r="X1048" s="502"/>
      <c r="Y1048" s="502"/>
      <c r="Z1048" s="502"/>
      <c r="AA1048" s="502"/>
      <c r="AB1048" s="502"/>
      <c r="AC1048" s="502"/>
    </row>
    <row r="1049" spans="1:29" x14ac:dyDescent="0.2">
      <c r="A1049" s="39"/>
      <c r="B1049" s="383" t="str">
        <f>INDEX(Language!$D$263:$M$263,1,_language)</f>
        <v>Grid exported PV electricity</v>
      </c>
      <c r="C1049" s="357"/>
      <c r="D1049" s="358"/>
      <c r="E1049" s="410"/>
      <c r="F1049" s="410"/>
      <c r="G1049" s="410"/>
      <c r="H1049" s="410"/>
      <c r="I1049" s="359" t="str">
        <f>+_En_unit</f>
        <v>kWh</v>
      </c>
      <c r="J1049" s="508">
        <f t="shared" si="220"/>
        <v>429.73810299868762</v>
      </c>
      <c r="K1049" s="360">
        <f>+K899</f>
        <v>1110.1206774043026</v>
      </c>
      <c r="L1049" s="361">
        <f>+L899</f>
        <v>1373.4557014312124</v>
      </c>
      <c r="M1049" s="361">
        <f>+M899</f>
        <v>158.36673680061244</v>
      </c>
      <c r="N1049" s="362">
        <f>+N899</f>
        <v>429.73810299868762</v>
      </c>
      <c r="O1049" s="363"/>
      <c r="R1049" s="361"/>
      <c r="S1049" s="361"/>
      <c r="T1049" s="361"/>
      <c r="U1049" s="361"/>
      <c r="V1049" s="361"/>
      <c r="W1049" s="361"/>
      <c r="X1049" s="361"/>
      <c r="Y1049" s="361"/>
      <c r="Z1049" s="361"/>
      <c r="AA1049" s="361"/>
      <c r="AB1049" s="361"/>
      <c r="AC1049" s="361"/>
    </row>
    <row r="1050" spans="1:29" outlineLevel="1" x14ac:dyDescent="0.2">
      <c r="A1050" s="39"/>
      <c r="B1050" s="36" t="str">
        <f>INDEX(Language!$D$315:$M$315,1,_language)</f>
        <v>Energy carrier</v>
      </c>
      <c r="C1050" s="38"/>
      <c r="D1050" s="152"/>
      <c r="E1050" s="400"/>
      <c r="F1050" s="400"/>
      <c r="G1050" s="400"/>
      <c r="H1050" s="400"/>
      <c r="I1050" s="62"/>
      <c r="J1050" s="509" t="str">
        <f t="shared" si="220"/>
        <v>el_exp_PV</v>
      </c>
      <c r="K1050" s="504" t="s">
        <v>1139</v>
      </c>
      <c r="L1050" s="505" t="s">
        <v>1139</v>
      </c>
      <c r="M1050" s="505" t="s">
        <v>1139</v>
      </c>
      <c r="N1050" s="506" t="s">
        <v>1139</v>
      </c>
      <c r="O1050" s="86"/>
      <c r="R1050" s="505"/>
      <c r="S1050" s="505"/>
      <c r="T1050" s="505"/>
      <c r="U1050" s="505"/>
      <c r="V1050" s="505"/>
      <c r="W1050" s="505"/>
      <c r="X1050" s="505"/>
      <c r="Y1050" s="505"/>
      <c r="Z1050" s="505"/>
      <c r="AA1050" s="505"/>
      <c r="AB1050" s="505"/>
      <c r="AC1050" s="505"/>
    </row>
    <row r="1051" spans="1:29" outlineLevel="1" x14ac:dyDescent="0.2">
      <c r="A1051" s="39"/>
      <c r="B1051" s="36" t="str">
        <f>INDEX(Language!$D$316:$M$316,1,_language)</f>
        <v>Non renewable factor</v>
      </c>
      <c r="C1051" s="38"/>
      <c r="D1051" s="152"/>
      <c r="E1051" s="400"/>
      <c r="F1051" s="400"/>
      <c r="G1051" s="400"/>
      <c r="H1051" s="400"/>
      <c r="I1051" s="62"/>
      <c r="J1051" s="486" t="e">
        <f t="shared" si="220"/>
        <v>#REF!</v>
      </c>
      <c r="K1051" s="497" t="e">
        <f>INDEX(K$937:K$965,MATCH(K1050,$D$937:$D$965,0))</f>
        <v>#REF!</v>
      </c>
      <c r="L1051" s="498" t="e">
        <f>INDEX(L$937:L$965,MATCH(L1050,$D$937:$D$965,0))</f>
        <v>#REF!</v>
      </c>
      <c r="M1051" s="498" t="e">
        <f>INDEX(M$937:M$965,MATCH(M1050,$D$937:$D$965,0))</f>
        <v>#REF!</v>
      </c>
      <c r="N1051" s="499" t="e">
        <f>INDEX(N$937:N$965,MATCH(N1050,$D$937:$D$965,0))</f>
        <v>#REF!</v>
      </c>
      <c r="O1051" s="86"/>
      <c r="R1051" s="498"/>
      <c r="S1051" s="498"/>
      <c r="T1051" s="498"/>
      <c r="U1051" s="498"/>
      <c r="V1051" s="498"/>
      <c r="W1051" s="498"/>
      <c r="X1051" s="498"/>
      <c r="Y1051" s="498"/>
      <c r="Z1051" s="498"/>
      <c r="AA1051" s="498"/>
      <c r="AB1051" s="498"/>
      <c r="AC1051" s="498"/>
    </row>
    <row r="1052" spans="1:29" outlineLevel="1" x14ac:dyDescent="0.2">
      <c r="A1052" s="39"/>
      <c r="B1052" s="715" t="str">
        <f>INDEX(Language!$D$319:$M$319,1,_language)</f>
        <v>Non renewable primary energy</v>
      </c>
      <c r="C1052" s="716"/>
      <c r="D1052" s="717"/>
      <c r="E1052" s="718"/>
      <c r="F1052" s="718"/>
      <c r="G1052" s="718"/>
      <c r="H1052" s="718"/>
      <c r="I1052" s="719" t="str">
        <f>+_En_unit</f>
        <v>kWh</v>
      </c>
      <c r="J1052" s="720" t="e">
        <f t="shared" si="220"/>
        <v>#REF!</v>
      </c>
      <c r="K1052" s="721" t="e">
        <f>+K1049*K1051</f>
        <v>#REF!</v>
      </c>
      <c r="L1052" s="722" t="e">
        <f>+L1049*L1051</f>
        <v>#REF!</v>
      </c>
      <c r="M1052" s="722" t="e">
        <f>+M1049*M1051</f>
        <v>#REF!</v>
      </c>
      <c r="N1052" s="723" t="e">
        <f>+N1049*N1051</f>
        <v>#REF!</v>
      </c>
      <c r="O1052" s="86"/>
      <c r="R1052" s="271"/>
      <c r="S1052" s="271"/>
      <c r="T1052" s="271"/>
      <c r="U1052" s="271"/>
      <c r="V1052" s="271"/>
      <c r="W1052" s="271"/>
      <c r="X1052" s="271"/>
      <c r="Y1052" s="271"/>
      <c r="Z1052" s="271"/>
      <c r="AA1052" s="271"/>
      <c r="AB1052" s="271"/>
      <c r="AC1052" s="271"/>
    </row>
    <row r="1053" spans="1:29" outlineLevel="1" x14ac:dyDescent="0.2">
      <c r="A1053" s="39"/>
      <c r="B1053" s="36" t="str">
        <f>INDEX(Language!$D$317:$M$317,1,_language)</f>
        <v>Total factor</v>
      </c>
      <c r="C1053" s="38"/>
      <c r="D1053" s="152"/>
      <c r="E1053" s="400"/>
      <c r="F1053" s="400"/>
      <c r="G1053" s="400"/>
      <c r="H1053" s="400"/>
      <c r="I1053" s="62"/>
      <c r="J1053" s="486" t="e">
        <f t="shared" si="220"/>
        <v>#REF!</v>
      </c>
      <c r="K1053" s="497" t="e">
        <f>INDEX(K$999:K$1028,MATCH(K1050,$D$999:$D$1028,0))</f>
        <v>#REF!</v>
      </c>
      <c r="L1053" s="498" t="e">
        <f>INDEX(L$999:L$1028,MATCH(L1050,$D$999:$D$1028,0))</f>
        <v>#REF!</v>
      </c>
      <c r="M1053" s="498" t="e">
        <f>INDEX(M$999:M$1028,MATCH(M1050,$D$999:$D$1028,0))</f>
        <v>#REF!</v>
      </c>
      <c r="N1053" s="499" t="e">
        <f>INDEX(N$999:N$1028,MATCH(N1050,$D$999:$D$1028,0))</f>
        <v>#REF!</v>
      </c>
      <c r="O1053" s="86"/>
      <c r="R1053" s="498"/>
      <c r="S1053" s="498"/>
      <c r="T1053" s="498"/>
      <c r="U1053" s="498"/>
      <c r="V1053" s="498"/>
      <c r="W1053" s="498"/>
      <c r="X1053" s="498"/>
      <c r="Y1053" s="498"/>
      <c r="Z1053" s="498"/>
      <c r="AA1053" s="498"/>
      <c r="AB1053" s="498"/>
      <c r="AC1053" s="498"/>
    </row>
    <row r="1054" spans="1:29" outlineLevel="1" x14ac:dyDescent="0.2">
      <c r="A1054" s="39"/>
      <c r="B1054" s="742" t="str">
        <f>INDEX(Language!$D$320:$M$320,1,_language)</f>
        <v>Total primary energy</v>
      </c>
      <c r="C1054" s="734"/>
      <c r="D1054" s="743"/>
      <c r="E1054" s="744"/>
      <c r="F1054" s="744"/>
      <c r="G1054" s="744"/>
      <c r="H1054" s="744"/>
      <c r="I1054" s="745" t="str">
        <f>+_En_unit</f>
        <v>kWh</v>
      </c>
      <c r="J1054" s="746" t="e">
        <f t="shared" si="220"/>
        <v>#REF!</v>
      </c>
      <c r="K1054" s="747" t="e">
        <f>+K1053*K1049</f>
        <v>#REF!</v>
      </c>
      <c r="L1054" s="748" t="e">
        <f>+L1053*L1049</f>
        <v>#REF!</v>
      </c>
      <c r="M1054" s="748" t="e">
        <f>+M1053*M1049</f>
        <v>#REF!</v>
      </c>
      <c r="N1054" s="749" t="e">
        <f>+N1053*N1049</f>
        <v>#REF!</v>
      </c>
      <c r="O1054" s="503"/>
      <c r="R1054" s="502"/>
      <c r="S1054" s="502"/>
      <c r="T1054" s="502"/>
      <c r="U1054" s="502"/>
      <c r="V1054" s="502"/>
      <c r="W1054" s="502"/>
      <c r="X1054" s="502"/>
      <c r="Y1054" s="502"/>
      <c r="Z1054" s="502"/>
      <c r="AA1054" s="502"/>
      <c r="AB1054" s="502"/>
      <c r="AC1054" s="502"/>
    </row>
    <row r="1055" spans="1:29" x14ac:dyDescent="0.2">
      <c r="A1055" s="39"/>
      <c r="B1055" s="383" t="str">
        <f>INDEX(Language!$D$264:$M$264,1,_language)</f>
        <v>Grid exported CHP electricity</v>
      </c>
      <c r="C1055" s="357"/>
      <c r="D1055" s="358"/>
      <c r="E1055" s="410"/>
      <c r="F1055" s="410"/>
      <c r="G1055" s="410"/>
      <c r="H1055" s="410"/>
      <c r="I1055" s="359" t="str">
        <f>+_En_unit</f>
        <v>kWh</v>
      </c>
      <c r="J1055" s="508">
        <f t="shared" si="220"/>
        <v>90.549645919061248</v>
      </c>
      <c r="K1055" s="360">
        <f>+K913</f>
        <v>11.775747873496821</v>
      </c>
      <c r="L1055" s="361">
        <f>+L913</f>
        <v>1629.3296521041411</v>
      </c>
      <c r="M1055" s="361">
        <f>+M913</f>
        <v>1.8437041154939249</v>
      </c>
      <c r="N1055" s="362">
        <f>+N913</f>
        <v>90.549645919061248</v>
      </c>
      <c r="O1055" s="363"/>
      <c r="R1055" s="361"/>
      <c r="S1055" s="361"/>
      <c r="T1055" s="361"/>
      <c r="U1055" s="361"/>
      <c r="V1055" s="361"/>
      <c r="W1055" s="361"/>
      <c r="X1055" s="361"/>
      <c r="Y1055" s="361"/>
      <c r="Z1055" s="361"/>
      <c r="AA1055" s="361"/>
      <c r="AB1055" s="361"/>
      <c r="AC1055" s="361"/>
    </row>
    <row r="1056" spans="1:29" outlineLevel="1" x14ac:dyDescent="0.2">
      <c r="A1056" s="39"/>
      <c r="B1056" s="36" t="str">
        <f>INDEX(Language!$D$315:$M$315,1,_language)</f>
        <v>Energy carrier</v>
      </c>
      <c r="C1056" s="38"/>
      <c r="D1056" s="152"/>
      <c r="E1056" s="400"/>
      <c r="F1056" s="400"/>
      <c r="G1056" s="400"/>
      <c r="H1056" s="400"/>
      <c r="I1056" s="62"/>
      <c r="J1056" s="509" t="str">
        <f t="shared" si="220"/>
        <v>el_exp_CHP</v>
      </c>
      <c r="K1056" s="504" t="s">
        <v>1140</v>
      </c>
      <c r="L1056" s="505" t="s">
        <v>1140</v>
      </c>
      <c r="M1056" s="505" t="s">
        <v>1140</v>
      </c>
      <c r="N1056" s="506" t="s">
        <v>1140</v>
      </c>
      <c r="O1056" s="86"/>
      <c r="R1056" s="505"/>
      <c r="S1056" s="505"/>
      <c r="T1056" s="505"/>
      <c r="U1056" s="505"/>
      <c r="V1056" s="505"/>
      <c r="W1056" s="505"/>
      <c r="X1056" s="505"/>
      <c r="Y1056" s="505"/>
      <c r="Z1056" s="505"/>
      <c r="AA1056" s="505"/>
      <c r="AB1056" s="505"/>
      <c r="AC1056" s="505"/>
    </row>
    <row r="1057" spans="1:29" outlineLevel="1" x14ac:dyDescent="0.2">
      <c r="A1057" s="39"/>
      <c r="B1057" s="36" t="str">
        <f>INDEX(Language!$D$316:$M$316,1,_language)</f>
        <v>Non renewable factor</v>
      </c>
      <c r="C1057" s="38"/>
      <c r="D1057" s="152"/>
      <c r="E1057" s="400"/>
      <c r="F1057" s="400"/>
      <c r="G1057" s="400"/>
      <c r="H1057" s="400"/>
      <c r="I1057" s="62"/>
      <c r="J1057" s="486" t="e">
        <f t="shared" si="220"/>
        <v>#REF!</v>
      </c>
      <c r="K1057" s="497" t="e">
        <f>INDEX(K$937:K$965,MATCH(K1056,$D$937:$D$965,0))</f>
        <v>#REF!</v>
      </c>
      <c r="L1057" s="498" t="e">
        <f>INDEX(L$937:L$965,MATCH(L1056,$D$937:$D$965,0))</f>
        <v>#REF!</v>
      </c>
      <c r="M1057" s="498" t="e">
        <f>INDEX(M$937:M$965,MATCH(M1056,$D$937:$D$965,0))</f>
        <v>#REF!</v>
      </c>
      <c r="N1057" s="499" t="e">
        <f>INDEX(N$937:N$965,MATCH(N1056,$D$937:$D$965,0))</f>
        <v>#REF!</v>
      </c>
      <c r="O1057" s="86"/>
      <c r="R1057" s="498"/>
      <c r="S1057" s="498"/>
      <c r="T1057" s="498"/>
      <c r="U1057" s="498"/>
      <c r="V1057" s="498"/>
      <c r="W1057" s="498"/>
      <c r="X1057" s="498"/>
      <c r="Y1057" s="498"/>
      <c r="Z1057" s="498"/>
      <c r="AA1057" s="498"/>
      <c r="AB1057" s="498"/>
      <c r="AC1057" s="498"/>
    </row>
    <row r="1058" spans="1:29" outlineLevel="1" x14ac:dyDescent="0.2">
      <c r="A1058" s="39"/>
      <c r="B1058" s="715" t="str">
        <f>INDEX(Language!$D$319:$M$319,1,_language)</f>
        <v>Non renewable primary energy</v>
      </c>
      <c r="C1058" s="716"/>
      <c r="D1058" s="717"/>
      <c r="E1058" s="718"/>
      <c r="F1058" s="718"/>
      <c r="G1058" s="718"/>
      <c r="H1058" s="718"/>
      <c r="I1058" s="719" t="str">
        <f>+_En_unit</f>
        <v>kWh</v>
      </c>
      <c r="J1058" s="720" t="e">
        <f t="shared" si="220"/>
        <v>#REF!</v>
      </c>
      <c r="K1058" s="721" t="e">
        <f>+K1055*K1057</f>
        <v>#REF!</v>
      </c>
      <c r="L1058" s="722" t="e">
        <f>+L1055*L1057</f>
        <v>#REF!</v>
      </c>
      <c r="M1058" s="722" t="e">
        <f>+M1055*M1057</f>
        <v>#REF!</v>
      </c>
      <c r="N1058" s="723" t="e">
        <f>+N1055*N1057</f>
        <v>#REF!</v>
      </c>
      <c r="O1058" s="86"/>
      <c r="R1058" s="271"/>
      <c r="S1058" s="271"/>
      <c r="T1058" s="271"/>
      <c r="U1058" s="271"/>
      <c r="V1058" s="271"/>
      <c r="W1058" s="271"/>
      <c r="X1058" s="271"/>
      <c r="Y1058" s="271"/>
      <c r="Z1058" s="271"/>
      <c r="AA1058" s="271"/>
      <c r="AB1058" s="271"/>
      <c r="AC1058" s="271"/>
    </row>
    <row r="1059" spans="1:29" outlineLevel="1" x14ac:dyDescent="0.2">
      <c r="A1059" s="39"/>
      <c r="B1059" s="36" t="str">
        <f>INDEX(Language!$D$317:$M$317,1,_language)</f>
        <v>Total factor</v>
      </c>
      <c r="C1059" s="38"/>
      <c r="D1059" s="152"/>
      <c r="E1059" s="400"/>
      <c r="F1059" s="400"/>
      <c r="G1059" s="400"/>
      <c r="H1059" s="400"/>
      <c r="I1059" s="62"/>
      <c r="J1059" s="486" t="e">
        <f t="shared" si="220"/>
        <v>#REF!</v>
      </c>
      <c r="K1059" s="497" t="e">
        <f>INDEX(K$999:K$1028,MATCH(K1056,$D$999:$D$1028,0))</f>
        <v>#REF!</v>
      </c>
      <c r="L1059" s="498" t="e">
        <f>INDEX(L$999:L$1028,MATCH(L1056,$D$999:$D$1028,0))</f>
        <v>#REF!</v>
      </c>
      <c r="M1059" s="498" t="e">
        <f>INDEX(M$999:M$1028,MATCH(M1056,$D$999:$D$1028,0))</f>
        <v>#REF!</v>
      </c>
      <c r="N1059" s="499" t="e">
        <f>INDEX(N$999:N$1028,MATCH(N1056,$D$999:$D$1028,0))</f>
        <v>#REF!</v>
      </c>
      <c r="O1059" s="86"/>
      <c r="R1059" s="498"/>
      <c r="S1059" s="498"/>
      <c r="T1059" s="498"/>
      <c r="U1059" s="498"/>
      <c r="V1059" s="498"/>
      <c r="W1059" s="498"/>
      <c r="X1059" s="498"/>
      <c r="Y1059" s="498"/>
      <c r="Z1059" s="498"/>
      <c r="AA1059" s="498"/>
      <c r="AB1059" s="498"/>
      <c r="AC1059" s="498"/>
    </row>
    <row r="1060" spans="1:29" outlineLevel="1" x14ac:dyDescent="0.2">
      <c r="A1060" s="39"/>
      <c r="B1060" s="733" t="str">
        <f>INDEX(Language!$D$320:$M$320,1,_language)</f>
        <v>Total primary energy</v>
      </c>
      <c r="C1060" s="750"/>
      <c r="D1060" s="735"/>
      <c r="E1060" s="736"/>
      <c r="F1060" s="736"/>
      <c r="G1060" s="736"/>
      <c r="H1060" s="736"/>
      <c r="I1060" s="737" t="str">
        <f>+_En_unit</f>
        <v>kWh</v>
      </c>
      <c r="J1060" s="738" t="e">
        <f t="shared" si="220"/>
        <v>#REF!</v>
      </c>
      <c r="K1060" s="739" t="e">
        <f>+K1059*K1055</f>
        <v>#REF!</v>
      </c>
      <c r="L1060" s="740" t="e">
        <f>+L1059*L1055</f>
        <v>#REF!</v>
      </c>
      <c r="M1060" s="740" t="e">
        <f>+M1059*M1055</f>
        <v>#REF!</v>
      </c>
      <c r="N1060" s="741" t="e">
        <f>+N1059*N1055</f>
        <v>#REF!</v>
      </c>
      <c r="O1060" s="232"/>
      <c r="R1060" s="287"/>
      <c r="S1060" s="287"/>
      <c r="T1060" s="287"/>
      <c r="U1060" s="287"/>
      <c r="V1060" s="287"/>
      <c r="W1060" s="287"/>
      <c r="X1060" s="287"/>
      <c r="Y1060" s="287"/>
      <c r="Z1060" s="287"/>
      <c r="AA1060" s="287"/>
      <c r="AB1060" s="287"/>
      <c r="AC1060" s="287"/>
    </row>
    <row r="1061" spans="1:29" x14ac:dyDescent="0.2">
      <c r="A1061" s="39"/>
      <c r="B1061" s="545" t="str">
        <f>INDEX(Language!$D$242:$M$242,1,_language)</f>
        <v>Total EPBD uses</v>
      </c>
      <c r="C1061" s="546"/>
      <c r="D1061" s="547"/>
      <c r="E1061" s="548"/>
      <c r="F1061" s="548"/>
      <c r="G1061" s="548"/>
      <c r="H1061" s="548"/>
      <c r="I1061" s="549" t="str">
        <f>+_En_unit</f>
        <v>kWh</v>
      </c>
      <c r="J1061" s="550">
        <f t="shared" si="220"/>
        <v>2327.4395238095235</v>
      </c>
      <c r="K1061" s="551">
        <f>+K612</f>
        <v>7455.5231884057976</v>
      </c>
      <c r="L1061" s="552">
        <f>+L612</f>
        <v>7247.9722222222226</v>
      </c>
      <c r="M1061" s="552">
        <f>+M612</f>
        <v>5062.4555555555562</v>
      </c>
      <c r="N1061" s="553">
        <f>+N612</f>
        <v>2327.4395238095235</v>
      </c>
      <c r="O1061" s="554"/>
      <c r="R1061" s="552"/>
      <c r="S1061" s="552"/>
      <c r="T1061" s="552"/>
      <c r="U1061" s="552"/>
      <c r="V1061" s="552"/>
      <c r="W1061" s="552"/>
      <c r="X1061" s="552"/>
      <c r="Y1061" s="552"/>
      <c r="Z1061" s="552"/>
      <c r="AA1061" s="552"/>
      <c r="AB1061" s="552"/>
      <c r="AC1061" s="552"/>
    </row>
    <row r="1062" spans="1:29" x14ac:dyDescent="0.2">
      <c r="A1062" s="39"/>
      <c r="B1062" s="724" t="str">
        <f>INDEX(Language!$D$319:$M$319,1,_language)</f>
        <v>Non renewable primary energy</v>
      </c>
      <c r="C1062" s="725"/>
      <c r="D1062" s="726"/>
      <c r="E1062" s="727"/>
      <c r="F1062" s="727"/>
      <c r="G1062" s="727"/>
      <c r="H1062" s="727"/>
      <c r="I1062" s="728" t="str">
        <f>+_En_unit</f>
        <v>kWh</v>
      </c>
      <c r="J1062" s="729" t="e">
        <f t="shared" si="220"/>
        <v>#REF!</v>
      </c>
      <c r="K1062" s="730" t="e">
        <f>+K1034-K1040-K1046-K1052-K1058</f>
        <v>#REF!</v>
      </c>
      <c r="L1062" s="731" t="e">
        <f>+L1034-L1040-L1046-L1052-L1058</f>
        <v>#REF!</v>
      </c>
      <c r="M1062" s="731" t="e">
        <f>+M1034-M1040-M1046-M1052-M1058</f>
        <v>#REF!</v>
      </c>
      <c r="N1062" s="732" t="e">
        <f>+N1034-N1040-N1046-N1052-N1058</f>
        <v>#REF!</v>
      </c>
      <c r="O1062" s="227"/>
      <c r="R1062" s="523"/>
      <c r="S1062" s="523"/>
      <c r="T1062" s="523"/>
      <c r="U1062" s="523"/>
      <c r="V1062" s="523"/>
      <c r="W1062" s="523"/>
      <c r="X1062" s="523"/>
      <c r="Y1062" s="523"/>
      <c r="Z1062" s="523"/>
      <c r="AA1062" s="523"/>
      <c r="AB1062" s="523"/>
      <c r="AC1062" s="523"/>
    </row>
    <row r="1063" spans="1:29" x14ac:dyDescent="0.2">
      <c r="A1063" s="39"/>
      <c r="B1063" s="751" t="str">
        <f>INDEX(Language!$D$320:$M$320,1,_language)</f>
        <v>Total primary energy</v>
      </c>
      <c r="C1063" s="752"/>
      <c r="D1063" s="753"/>
      <c r="E1063" s="754"/>
      <c r="F1063" s="754"/>
      <c r="G1063" s="754"/>
      <c r="H1063" s="754"/>
      <c r="I1063" s="755" t="str">
        <f>+_En_unit</f>
        <v>kWh</v>
      </c>
      <c r="J1063" s="756" t="e">
        <f t="shared" si="220"/>
        <v>#REF!</v>
      </c>
      <c r="K1063" s="757" t="e">
        <f>+K1036-K1042-K1048-K1054-K1060</f>
        <v>#REF!</v>
      </c>
      <c r="L1063" s="758" t="e">
        <f>+L1036-L1042-L1048-L1054-L1060</f>
        <v>#REF!</v>
      </c>
      <c r="M1063" s="758" t="e">
        <f>+M1036-M1042-M1048-M1054-M1060</f>
        <v>#REF!</v>
      </c>
      <c r="N1063" s="759" t="e">
        <f>+N1036-N1042-N1048-N1054-N1060</f>
        <v>#REF!</v>
      </c>
      <c r="O1063" s="227"/>
      <c r="R1063" s="523"/>
      <c r="S1063" s="523"/>
      <c r="T1063" s="523"/>
      <c r="U1063" s="523"/>
      <c r="V1063" s="523"/>
      <c r="W1063" s="523"/>
      <c r="X1063" s="523"/>
      <c r="Y1063" s="523"/>
      <c r="Z1063" s="523"/>
      <c r="AA1063" s="523"/>
      <c r="AB1063" s="523"/>
      <c r="AC1063" s="523"/>
    </row>
    <row r="1064" spans="1:29" ht="25.5" x14ac:dyDescent="0.2">
      <c r="A1064" s="39"/>
      <c r="B1064" s="501" t="str">
        <f>INDEX(Language!$D$271:$M$271,1,_language)</f>
        <v>Average electricity non renewable factor</v>
      </c>
      <c r="C1064" s="259"/>
      <c r="D1064" s="206"/>
      <c r="E1064" s="402"/>
      <c r="F1064" s="402"/>
      <c r="G1064" s="402"/>
      <c r="H1064" s="402"/>
      <c r="I1064" s="207"/>
      <c r="J1064" s="485" t="e">
        <f t="shared" si="220"/>
        <v>#REF!</v>
      </c>
      <c r="K1064" s="510" t="e">
        <f>+K1062/K1061</f>
        <v>#REF!</v>
      </c>
      <c r="L1064" s="511" t="e">
        <f>+L1062/L1061</f>
        <v>#REF!</v>
      </c>
      <c r="M1064" s="511" t="e">
        <f>+M1062/M1061</f>
        <v>#REF!</v>
      </c>
      <c r="N1064" s="512" t="e">
        <f>+N1062/N1061</f>
        <v>#REF!</v>
      </c>
      <c r="O1064" s="227" t="s">
        <v>1172</v>
      </c>
      <c r="R1064" s="511"/>
      <c r="S1064" s="511"/>
      <c r="T1064" s="511"/>
      <c r="U1064" s="511"/>
      <c r="V1064" s="511"/>
      <c r="W1064" s="511"/>
      <c r="X1064" s="511"/>
      <c r="Y1064" s="511"/>
      <c r="Z1064" s="511"/>
      <c r="AA1064" s="511"/>
      <c r="AB1064" s="511"/>
      <c r="AC1064" s="511"/>
    </row>
    <row r="1065" spans="1:29" ht="13.5" thickBot="1" x14ac:dyDescent="0.25">
      <c r="A1065" s="39"/>
      <c r="B1065" s="263" t="str">
        <f>INDEX(Language!$D$272:$M$272,1,_language)</f>
        <v>Average electricity total factor</v>
      </c>
      <c r="C1065" s="531"/>
      <c r="D1065" s="532"/>
      <c r="E1065" s="533"/>
      <c r="F1065" s="533"/>
      <c r="G1065" s="533"/>
      <c r="H1065" s="533"/>
      <c r="I1065" s="292"/>
      <c r="J1065" s="534" t="e">
        <f t="shared" si="220"/>
        <v>#REF!</v>
      </c>
      <c r="K1065" s="535" t="e">
        <f>+K1063/K1061</f>
        <v>#REF!</v>
      </c>
      <c r="L1065" s="536" t="e">
        <f>+L1063/L1061</f>
        <v>#REF!</v>
      </c>
      <c r="M1065" s="536" t="e">
        <f>+M1063/M1061</f>
        <v>#REF!</v>
      </c>
      <c r="N1065" s="537" t="e">
        <f>+N1063/N1061</f>
        <v>#REF!</v>
      </c>
      <c r="O1065" s="293"/>
      <c r="R1065" s="536"/>
      <c r="S1065" s="536"/>
      <c r="T1065" s="536"/>
      <c r="U1065" s="536"/>
      <c r="V1065" s="536"/>
      <c r="W1065" s="536"/>
      <c r="X1065" s="536"/>
      <c r="Y1065" s="536"/>
      <c r="Z1065" s="536"/>
      <c r="AA1065" s="536"/>
      <c r="AB1065" s="536"/>
      <c r="AC1065" s="536"/>
    </row>
    <row r="1066" spans="1:29" x14ac:dyDescent="0.2">
      <c r="A1066" s="39"/>
      <c r="B1066" s="32" t="str">
        <f>INDEX(Language!$D$331:$M$331,1,_language)</f>
        <v>Non renewable primary energy excluding cogen</v>
      </c>
      <c r="C1066" s="517"/>
      <c r="D1066" s="518"/>
      <c r="E1066" s="519"/>
      <c r="F1066" s="519"/>
      <c r="G1066" s="519"/>
      <c r="H1066" s="519"/>
      <c r="I1066" s="520" t="str">
        <f>+_En_unit</f>
        <v>kWh</v>
      </c>
      <c r="J1066" s="521" t="e">
        <f t="shared" si="220"/>
        <v>#REF!</v>
      </c>
      <c r="K1066" s="522" t="e">
        <f t="shared" ref="K1066:N1067" si="221">+K1062+K1138</f>
        <v>#REF!</v>
      </c>
      <c r="L1066" s="523" t="e">
        <f t="shared" si="221"/>
        <v>#REF!</v>
      </c>
      <c r="M1066" s="523" t="e">
        <f t="shared" si="221"/>
        <v>#REF!</v>
      </c>
      <c r="N1066" s="524" t="e">
        <f t="shared" si="221"/>
        <v>#REF!</v>
      </c>
      <c r="O1066" s="227"/>
      <c r="R1066" s="523"/>
      <c r="S1066" s="523"/>
      <c r="T1066" s="523"/>
      <c r="U1066" s="523"/>
      <c r="V1066" s="523"/>
      <c r="W1066" s="523"/>
      <c r="X1066" s="523"/>
      <c r="Y1066" s="523"/>
      <c r="Z1066" s="523"/>
      <c r="AA1066" s="523"/>
      <c r="AB1066" s="523"/>
      <c r="AC1066" s="523"/>
    </row>
    <row r="1067" spans="1:29" x14ac:dyDescent="0.2">
      <c r="A1067" s="39"/>
      <c r="B1067" s="525" t="str">
        <f>INDEX(Language!$D$332:$M$332,1,_language)</f>
        <v>Total primary energy excluding cogen</v>
      </c>
      <c r="C1067" s="517"/>
      <c r="D1067" s="518"/>
      <c r="E1067" s="519"/>
      <c r="F1067" s="519"/>
      <c r="G1067" s="519"/>
      <c r="H1067" s="519"/>
      <c r="I1067" s="520" t="str">
        <f>+_En_unit</f>
        <v>kWh</v>
      </c>
      <c r="J1067" s="521" t="e">
        <f t="shared" si="220"/>
        <v>#REF!</v>
      </c>
      <c r="K1067" s="522" t="e">
        <f t="shared" si="221"/>
        <v>#REF!</v>
      </c>
      <c r="L1067" s="523" t="e">
        <f t="shared" si="221"/>
        <v>#REF!</v>
      </c>
      <c r="M1067" s="523" t="e">
        <f t="shared" si="221"/>
        <v>#REF!</v>
      </c>
      <c r="N1067" s="524" t="e">
        <f t="shared" si="221"/>
        <v>#REF!</v>
      </c>
      <c r="O1067" s="227"/>
      <c r="R1067" s="523"/>
      <c r="S1067" s="523"/>
      <c r="T1067" s="523"/>
      <c r="U1067" s="523"/>
      <c r="V1067" s="523"/>
      <c r="W1067" s="523"/>
      <c r="X1067" s="523"/>
      <c r="Y1067" s="523"/>
      <c r="Z1067" s="523"/>
      <c r="AA1067" s="523"/>
      <c r="AB1067" s="523"/>
      <c r="AC1067" s="523"/>
    </row>
    <row r="1068" spans="1:29" ht="25.5" x14ac:dyDescent="0.2">
      <c r="A1068" s="39"/>
      <c r="B1068" s="501" t="str">
        <f>INDEX(Language!$D$333:$M$333,1,_language)</f>
        <v>Average electricity non renewable factor excluding cogen</v>
      </c>
      <c r="C1068" s="259"/>
      <c r="D1068" s="206"/>
      <c r="E1068" s="402"/>
      <c r="F1068" s="402"/>
      <c r="G1068" s="402"/>
      <c r="H1068" s="402"/>
      <c r="I1068" s="207"/>
      <c r="J1068" s="485" t="e">
        <f t="shared" si="220"/>
        <v>#REF!</v>
      </c>
      <c r="K1068" s="510" t="e">
        <f>+K1066/K1061</f>
        <v>#REF!</v>
      </c>
      <c r="L1068" s="511" t="e">
        <f>+L1066/L1061</f>
        <v>#REF!</v>
      </c>
      <c r="M1068" s="511" t="e">
        <f>+M1066/M1061</f>
        <v>#REF!</v>
      </c>
      <c r="N1068" s="512" t="e">
        <f>+N1066/N1061</f>
        <v>#REF!</v>
      </c>
      <c r="O1068" s="227" t="s">
        <v>1172</v>
      </c>
      <c r="R1068" s="511"/>
      <c r="S1068" s="511"/>
      <c r="T1068" s="511"/>
      <c r="U1068" s="511"/>
      <c r="V1068" s="511"/>
      <c r="W1068" s="511"/>
      <c r="X1068" s="511"/>
      <c r="Y1068" s="511"/>
      <c r="Z1068" s="511"/>
      <c r="AA1068" s="511"/>
      <c r="AB1068" s="511"/>
      <c r="AC1068" s="511"/>
    </row>
    <row r="1069" spans="1:29" ht="13.5" thickBot="1" x14ac:dyDescent="0.25">
      <c r="A1069" s="39"/>
      <c r="B1069" s="263" t="str">
        <f>INDEX(Language!$D$334:$M$334,1,_language)</f>
        <v>Average electricity total factor excluding cogen</v>
      </c>
      <c r="C1069" s="531"/>
      <c r="D1069" s="532"/>
      <c r="E1069" s="533"/>
      <c r="F1069" s="533"/>
      <c r="G1069" s="533"/>
      <c r="H1069" s="533"/>
      <c r="I1069" s="292"/>
      <c r="J1069" s="534" t="e">
        <f t="shared" si="220"/>
        <v>#REF!</v>
      </c>
      <c r="K1069" s="535" t="e">
        <f>+K1067/K1061</f>
        <v>#REF!</v>
      </c>
      <c r="L1069" s="536" t="e">
        <f>+L1067/L1061</f>
        <v>#REF!</v>
      </c>
      <c r="M1069" s="536" t="e">
        <f>+M1067/M1061</f>
        <v>#REF!</v>
      </c>
      <c r="N1069" s="537" t="e">
        <f>+N1067/N1061</f>
        <v>#REF!</v>
      </c>
      <c r="O1069" s="293"/>
      <c r="R1069" s="536"/>
      <c r="S1069" s="536"/>
      <c r="T1069" s="536"/>
      <c r="U1069" s="536"/>
      <c r="V1069" s="536"/>
      <c r="W1069" s="536"/>
      <c r="X1069" s="536"/>
      <c r="Y1069" s="536"/>
      <c r="Z1069" s="536"/>
      <c r="AA1069" s="536"/>
      <c r="AB1069" s="536"/>
      <c r="AC1069" s="536"/>
    </row>
    <row r="1070" spans="1:29" ht="20.25" customHeight="1" x14ac:dyDescent="0.2">
      <c r="A1070" s="39"/>
      <c r="B1070" s="562" t="str">
        <f>INDEX(Language!D293:M293,1,_language)</f>
        <v>Delivered energy carriers other than electricity</v>
      </c>
      <c r="C1070" s="563"/>
      <c r="D1070" s="564"/>
      <c r="E1070" s="565"/>
      <c r="F1070" s="565"/>
      <c r="G1070" s="565"/>
      <c r="H1070" s="565"/>
      <c r="I1070" s="566"/>
      <c r="J1070" s="567"/>
      <c r="K1070" s="568"/>
      <c r="L1070" s="569"/>
      <c r="M1070" s="569"/>
      <c r="N1070" s="569"/>
      <c r="O1070" s="570"/>
      <c r="R1070" s="569"/>
      <c r="S1070" s="569"/>
      <c r="T1070" s="569"/>
      <c r="U1070" s="569"/>
      <c r="V1070" s="569"/>
      <c r="W1070" s="569"/>
      <c r="X1070" s="569"/>
      <c r="Y1070" s="569"/>
      <c r="Z1070" s="569"/>
      <c r="AA1070" s="569"/>
      <c r="AB1070" s="569"/>
      <c r="AC1070" s="569"/>
    </row>
    <row r="1071" spans="1:29" x14ac:dyDescent="0.2">
      <c r="A1071" s="39"/>
      <c r="B1071" s="36" t="str">
        <f>INDEX(Language!D294:M294,1,_language)</f>
        <v>Delivered gas</v>
      </c>
      <c r="C1071" s="38" t="s">
        <v>1199</v>
      </c>
      <c r="D1071" s="400" t="s">
        <v>36</v>
      </c>
      <c r="E1071" s="400" t="str">
        <f t="shared" ref="E1071:E1080" si="222">D1071&amp;"_y"</f>
        <v>gas_y</v>
      </c>
      <c r="F1071" s="400"/>
      <c r="G1071" s="400"/>
      <c r="H1071" s="400"/>
      <c r="I1071" s="168" t="str">
        <f t="shared" ref="I1071:I1080" si="223">+_En_unit</f>
        <v>kWh</v>
      </c>
      <c r="J1071" s="500">
        <f t="shared" ref="J1071:J1080" si="224">INDEX(K1071:N1071,,_case_en)</f>
        <v>13801.919191919191</v>
      </c>
      <c r="K1071" s="270">
        <f t="shared" ref="K1071:K1080" si="225">SUMIF(E$174:E$577,$E1071,K$174:K$577)</f>
        <v>8700.823451910408</v>
      </c>
      <c r="L1071" s="271">
        <f t="shared" ref="L1071:L1080" si="226">SUMIF(F$174:F$577,$E1071,L$174:L$577)</f>
        <v>19961.21212121212</v>
      </c>
      <c r="M1071" s="271">
        <f t="shared" ref="M1071:M1080" si="227">SUMIF(G$174:G$577,$E1071,M$174:M$577)</f>
        <v>8418.2828282828286</v>
      </c>
      <c r="N1071" s="272">
        <f t="shared" ref="N1071:N1080" si="228">SUMIF(H$174:H$577,$E1071,N$174:N$577)</f>
        <v>13801.919191919191</v>
      </c>
      <c r="O1071" s="86"/>
      <c r="R1071" s="271"/>
      <c r="S1071" s="271"/>
      <c r="T1071" s="271"/>
      <c r="U1071" s="271"/>
      <c r="V1071" s="271"/>
      <c r="W1071" s="271"/>
      <c r="X1071" s="271"/>
      <c r="Y1071" s="271"/>
      <c r="Z1071" s="271"/>
      <c r="AA1071" s="271"/>
      <c r="AB1071" s="271"/>
      <c r="AC1071" s="271"/>
    </row>
    <row r="1072" spans="1:29" x14ac:dyDescent="0.2">
      <c r="A1072" s="39"/>
      <c r="B1072" s="36" t="str">
        <f>INDEX(Language!D295:M295,1,_language)</f>
        <v>Delivered oil</v>
      </c>
      <c r="C1072" s="38" t="s">
        <v>1200</v>
      </c>
      <c r="D1072" s="400" t="s">
        <v>37</v>
      </c>
      <c r="E1072" s="400" t="str">
        <f t="shared" si="222"/>
        <v>oil_y</v>
      </c>
      <c r="F1072" s="400"/>
      <c r="G1072" s="400"/>
      <c r="H1072" s="400"/>
      <c r="I1072" s="168" t="str">
        <f t="shared" si="223"/>
        <v>kWh</v>
      </c>
      <c r="J1072" s="500">
        <f t="shared" si="224"/>
        <v>0</v>
      </c>
      <c r="K1072" s="270">
        <f t="shared" si="225"/>
        <v>0</v>
      </c>
      <c r="L1072" s="271">
        <f t="shared" si="226"/>
        <v>972.22222222222172</v>
      </c>
      <c r="M1072" s="271">
        <f t="shared" si="227"/>
        <v>0</v>
      </c>
      <c r="N1072" s="272">
        <f t="shared" si="228"/>
        <v>0</v>
      </c>
      <c r="O1072" s="86"/>
      <c r="R1072" s="271"/>
      <c r="S1072" s="271"/>
      <c r="T1072" s="271"/>
      <c r="U1072" s="271"/>
      <c r="V1072" s="271"/>
      <c r="W1072" s="271"/>
      <c r="X1072" s="271"/>
      <c r="Y1072" s="271"/>
      <c r="Z1072" s="271"/>
      <c r="AA1072" s="271"/>
      <c r="AB1072" s="271"/>
      <c r="AC1072" s="271"/>
    </row>
    <row r="1073" spans="1:29" x14ac:dyDescent="0.2">
      <c r="A1073" s="39"/>
      <c r="B1073" s="36" t="str">
        <f>INDEX(Language!D296:M296,1,_language)</f>
        <v>Delivered coal</v>
      </c>
      <c r="C1073" s="38" t="s">
        <v>1201</v>
      </c>
      <c r="D1073" s="400" t="s">
        <v>38</v>
      </c>
      <c r="E1073" s="400" t="str">
        <f t="shared" si="222"/>
        <v>coal_y</v>
      </c>
      <c r="F1073" s="400"/>
      <c r="G1073" s="400"/>
      <c r="H1073" s="400"/>
      <c r="I1073" s="168" t="str">
        <f t="shared" si="223"/>
        <v>kWh</v>
      </c>
      <c r="J1073" s="500">
        <f t="shared" si="224"/>
        <v>0</v>
      </c>
      <c r="K1073" s="270">
        <f t="shared" si="225"/>
        <v>0</v>
      </c>
      <c r="L1073" s="271">
        <f t="shared" si="226"/>
        <v>0</v>
      </c>
      <c r="M1073" s="271">
        <f t="shared" si="227"/>
        <v>4118.5185185185182</v>
      </c>
      <c r="N1073" s="272">
        <f t="shared" si="228"/>
        <v>0</v>
      </c>
      <c r="O1073" s="86"/>
      <c r="R1073" s="271"/>
      <c r="S1073" s="271"/>
      <c r="T1073" s="271"/>
      <c r="U1073" s="271"/>
      <c r="V1073" s="271"/>
      <c r="W1073" s="271"/>
      <c r="X1073" s="271"/>
      <c r="Y1073" s="271"/>
      <c r="Z1073" s="271"/>
      <c r="AA1073" s="271"/>
      <c r="AB1073" s="271"/>
      <c r="AC1073" s="271"/>
    </row>
    <row r="1074" spans="1:29" x14ac:dyDescent="0.2">
      <c r="A1074" s="39"/>
      <c r="B1074" s="36" t="str">
        <f>INDEX(Language!D297:M297,1,_language)</f>
        <v>Delivered wood</v>
      </c>
      <c r="C1074" s="38" t="s">
        <v>1202</v>
      </c>
      <c r="D1074" s="400" t="s">
        <v>39</v>
      </c>
      <c r="E1074" s="400" t="str">
        <f t="shared" si="222"/>
        <v>wood_y</v>
      </c>
      <c r="F1074" s="400"/>
      <c r="G1074" s="400"/>
      <c r="H1074" s="400"/>
      <c r="I1074" s="168" t="str">
        <f t="shared" si="223"/>
        <v>kWh</v>
      </c>
      <c r="J1074" s="500">
        <f t="shared" si="224"/>
        <v>0</v>
      </c>
      <c r="K1074" s="270">
        <f t="shared" si="225"/>
        <v>0</v>
      </c>
      <c r="L1074" s="271">
        <f t="shared" si="226"/>
        <v>0</v>
      </c>
      <c r="M1074" s="271">
        <f t="shared" si="227"/>
        <v>0</v>
      </c>
      <c r="N1074" s="272">
        <f t="shared" si="228"/>
        <v>0</v>
      </c>
      <c r="O1074" s="86"/>
      <c r="R1074" s="271"/>
      <c r="S1074" s="271"/>
      <c r="T1074" s="271"/>
      <c r="U1074" s="271"/>
      <c r="V1074" s="271"/>
      <c r="W1074" s="271"/>
      <c r="X1074" s="271"/>
      <c r="Y1074" s="271"/>
      <c r="Z1074" s="271"/>
      <c r="AA1074" s="271"/>
      <c r="AB1074" s="271"/>
      <c r="AC1074" s="271"/>
    </row>
    <row r="1075" spans="1:29" x14ac:dyDescent="0.2">
      <c r="A1075" s="39"/>
      <c r="B1075" s="36" t="str">
        <f>INDEX(Language!D298:M298,1,_language)</f>
        <v>Delivered biomass</v>
      </c>
      <c r="C1075" s="38" t="s">
        <v>1203</v>
      </c>
      <c r="D1075" s="400" t="s">
        <v>610</v>
      </c>
      <c r="E1075" s="400" t="str">
        <f t="shared" si="222"/>
        <v>biomass_y</v>
      </c>
      <c r="F1075" s="400"/>
      <c r="G1075" s="400"/>
      <c r="H1075" s="400"/>
      <c r="I1075" s="168" t="str">
        <f t="shared" si="223"/>
        <v>kWh</v>
      </c>
      <c r="J1075" s="500">
        <f t="shared" si="224"/>
        <v>0</v>
      </c>
      <c r="K1075" s="270">
        <f t="shared" si="225"/>
        <v>0</v>
      </c>
      <c r="L1075" s="271">
        <f t="shared" si="226"/>
        <v>0</v>
      </c>
      <c r="M1075" s="271">
        <f t="shared" si="227"/>
        <v>0</v>
      </c>
      <c r="N1075" s="272">
        <f t="shared" si="228"/>
        <v>0</v>
      </c>
      <c r="O1075" s="86"/>
      <c r="R1075" s="271"/>
      <c r="S1075" s="271"/>
      <c r="T1075" s="271"/>
      <c r="U1075" s="271"/>
      <c r="V1075" s="271"/>
      <c r="W1075" s="271"/>
      <c r="X1075" s="271"/>
      <c r="Y1075" s="271"/>
      <c r="Z1075" s="271"/>
      <c r="AA1075" s="271"/>
      <c r="AB1075" s="271"/>
      <c r="AC1075" s="271"/>
    </row>
    <row r="1076" spans="1:29" x14ac:dyDescent="0.2">
      <c r="A1076" s="39"/>
      <c r="B1076" s="36" t="str">
        <f>INDEX(Language!D299:M299,1,_language)</f>
        <v>Delivered custom</v>
      </c>
      <c r="C1076" s="38" t="s">
        <v>1204</v>
      </c>
      <c r="D1076" s="400" t="s">
        <v>40</v>
      </c>
      <c r="E1076" s="400" t="str">
        <f t="shared" si="222"/>
        <v>custom_y</v>
      </c>
      <c r="F1076" s="400"/>
      <c r="G1076" s="400"/>
      <c r="H1076" s="400"/>
      <c r="I1076" s="168" t="str">
        <f t="shared" si="223"/>
        <v>kWh</v>
      </c>
      <c r="J1076" s="500">
        <f t="shared" si="224"/>
        <v>0</v>
      </c>
      <c r="K1076" s="270">
        <f t="shared" si="225"/>
        <v>0</v>
      </c>
      <c r="L1076" s="271">
        <f t="shared" si="226"/>
        <v>0</v>
      </c>
      <c r="M1076" s="271">
        <f t="shared" si="227"/>
        <v>0</v>
      </c>
      <c r="N1076" s="272">
        <f t="shared" si="228"/>
        <v>0</v>
      </c>
      <c r="O1076" s="86"/>
      <c r="R1076" s="271"/>
      <c r="S1076" s="271"/>
      <c r="T1076" s="271"/>
      <c r="U1076" s="271"/>
      <c r="V1076" s="271"/>
      <c r="W1076" s="271"/>
      <c r="X1076" s="271"/>
      <c r="Y1076" s="271"/>
      <c r="Z1076" s="271"/>
      <c r="AA1076" s="271"/>
      <c r="AB1076" s="271"/>
      <c r="AC1076" s="271"/>
    </row>
    <row r="1077" spans="1:29" x14ac:dyDescent="0.2">
      <c r="A1077" s="39"/>
      <c r="B1077" s="36" t="str">
        <f>INDEX(Language!D300:M300,1,_language)</f>
        <v>Delivered district heating</v>
      </c>
      <c r="C1077" s="38" t="s">
        <v>1205</v>
      </c>
      <c r="D1077" s="400" t="s">
        <v>41</v>
      </c>
      <c r="E1077" s="400" t="str">
        <f t="shared" si="222"/>
        <v>DH_y</v>
      </c>
      <c r="F1077" s="400"/>
      <c r="G1077" s="400"/>
      <c r="H1077" s="400"/>
      <c r="I1077" s="168" t="str">
        <f t="shared" si="223"/>
        <v>kWh</v>
      </c>
      <c r="J1077" s="500">
        <f t="shared" si="224"/>
        <v>0</v>
      </c>
      <c r="K1077" s="270">
        <f t="shared" si="225"/>
        <v>0</v>
      </c>
      <c r="L1077" s="271">
        <f t="shared" si="226"/>
        <v>0</v>
      </c>
      <c r="M1077" s="271">
        <f t="shared" si="227"/>
        <v>0</v>
      </c>
      <c r="N1077" s="272">
        <f t="shared" si="228"/>
        <v>0</v>
      </c>
      <c r="O1077" s="86"/>
      <c r="R1077" s="271"/>
      <c r="S1077" s="271"/>
      <c r="T1077" s="271"/>
      <c r="U1077" s="271"/>
      <c r="V1077" s="271"/>
      <c r="W1077" s="271"/>
      <c r="X1077" s="271"/>
      <c r="Y1077" s="271"/>
      <c r="Z1077" s="271"/>
      <c r="AA1077" s="271"/>
      <c r="AB1077" s="271"/>
      <c r="AC1077" s="271"/>
    </row>
    <row r="1078" spans="1:29" x14ac:dyDescent="0.2">
      <c r="A1078" s="39"/>
      <c r="B1078" s="36" t="str">
        <f>INDEX(Language!D301:M301,1,_language)</f>
        <v>Delivered district cooling</v>
      </c>
      <c r="C1078" s="38" t="s">
        <v>1206</v>
      </c>
      <c r="D1078" s="400" t="s">
        <v>42</v>
      </c>
      <c r="E1078" s="400" t="str">
        <f t="shared" si="222"/>
        <v>DC_y</v>
      </c>
      <c r="F1078" s="400"/>
      <c r="G1078" s="400"/>
      <c r="H1078" s="400"/>
      <c r="I1078" s="168" t="str">
        <f t="shared" si="223"/>
        <v>kWh</v>
      </c>
      <c r="J1078" s="500">
        <f t="shared" si="224"/>
        <v>0</v>
      </c>
      <c r="K1078" s="270">
        <f t="shared" si="225"/>
        <v>0</v>
      </c>
      <c r="L1078" s="271">
        <f t="shared" si="226"/>
        <v>0</v>
      </c>
      <c r="M1078" s="271">
        <f t="shared" si="227"/>
        <v>0</v>
      </c>
      <c r="N1078" s="272">
        <f t="shared" si="228"/>
        <v>0</v>
      </c>
      <c r="O1078" s="86"/>
      <c r="R1078" s="271"/>
      <c r="S1078" s="271"/>
      <c r="T1078" s="271"/>
      <c r="U1078" s="271"/>
      <c r="V1078" s="271"/>
      <c r="W1078" s="271"/>
      <c r="X1078" s="271"/>
      <c r="Y1078" s="271"/>
      <c r="Z1078" s="271"/>
      <c r="AA1078" s="271"/>
      <c r="AB1078" s="271"/>
      <c r="AC1078" s="271"/>
    </row>
    <row r="1079" spans="1:29" x14ac:dyDescent="0.2">
      <c r="A1079" s="39"/>
      <c r="B1079" s="36" t="str">
        <f>INDEX(Language!D302:M302,1,_language)</f>
        <v>Delivered environment heat</v>
      </c>
      <c r="C1079" s="38" t="s">
        <v>1207</v>
      </c>
      <c r="D1079" s="400" t="s">
        <v>784</v>
      </c>
      <c r="E1079" s="400" t="str">
        <f t="shared" si="222"/>
        <v>env_y</v>
      </c>
      <c r="F1079" s="400"/>
      <c r="G1079" s="400"/>
      <c r="H1079" s="400"/>
      <c r="I1079" s="168" t="str">
        <f t="shared" si="223"/>
        <v>kWh</v>
      </c>
      <c r="J1079" s="500">
        <f t="shared" si="224"/>
        <v>239.99999999999994</v>
      </c>
      <c r="K1079" s="270">
        <f t="shared" si="225"/>
        <v>6483.3333333333339</v>
      </c>
      <c r="L1079" s="271">
        <f t="shared" si="226"/>
        <v>4944.4444444444443</v>
      </c>
      <c r="M1079" s="271">
        <f t="shared" si="227"/>
        <v>2986.1111111111109</v>
      </c>
      <c r="N1079" s="272">
        <f t="shared" si="228"/>
        <v>239.99999999999994</v>
      </c>
      <c r="O1079" s="86"/>
      <c r="R1079" s="271"/>
      <c r="S1079" s="271"/>
      <c r="T1079" s="271"/>
      <c r="U1079" s="271"/>
      <c r="V1079" s="271"/>
      <c r="W1079" s="271"/>
      <c r="X1079" s="271"/>
      <c r="Y1079" s="271"/>
      <c r="Z1079" s="271"/>
      <c r="AA1079" s="271"/>
      <c r="AB1079" s="271"/>
      <c r="AC1079" s="271"/>
    </row>
    <row r="1080" spans="1:29" x14ac:dyDescent="0.2">
      <c r="A1080" s="39"/>
      <c r="B1080" s="36" t="str">
        <f>INDEX(Language!D303:M303,1,_language)</f>
        <v>Delivered solar radiation</v>
      </c>
      <c r="C1080" s="38" t="s">
        <v>1158</v>
      </c>
      <c r="D1080" s="400" t="s">
        <v>1160</v>
      </c>
      <c r="E1080" s="400" t="str">
        <f t="shared" si="222"/>
        <v>sol_y</v>
      </c>
      <c r="F1080" s="400"/>
      <c r="G1080" s="400"/>
      <c r="H1080" s="400"/>
      <c r="I1080" s="168" t="str">
        <f t="shared" si="223"/>
        <v>kWh</v>
      </c>
      <c r="J1080" s="500">
        <f t="shared" si="224"/>
        <v>3247.3529411764703</v>
      </c>
      <c r="K1080" s="270">
        <f t="shared" si="225"/>
        <v>15903.431372549019</v>
      </c>
      <c r="L1080" s="271">
        <f t="shared" si="226"/>
        <v>3675</v>
      </c>
      <c r="M1080" s="271">
        <f t="shared" si="227"/>
        <v>13538.235294117647</v>
      </c>
      <c r="N1080" s="272">
        <f t="shared" si="228"/>
        <v>3247.3529411764703</v>
      </c>
      <c r="O1080" s="86"/>
      <c r="R1080" s="271"/>
      <c r="S1080" s="271"/>
      <c r="T1080" s="271"/>
      <c r="U1080" s="271"/>
      <c r="V1080" s="271"/>
      <c r="W1080" s="271"/>
      <c r="X1080" s="271"/>
      <c r="Y1080" s="271"/>
      <c r="Z1080" s="271"/>
      <c r="AA1080" s="271"/>
      <c r="AB1080" s="271"/>
      <c r="AC1080" s="271"/>
    </row>
    <row r="1081" spans="1:29" ht="13.5" thickBot="1" x14ac:dyDescent="0.25">
      <c r="A1081" s="39"/>
      <c r="B1081" s="36"/>
      <c r="C1081" s="38"/>
      <c r="D1081" s="152"/>
      <c r="E1081" s="400"/>
      <c r="F1081" s="400"/>
      <c r="G1081" s="400"/>
      <c r="H1081" s="400"/>
      <c r="I1081" s="62"/>
      <c r="J1081" s="486"/>
      <c r="K1081" s="497"/>
      <c r="L1081" s="498"/>
      <c r="M1081" s="498"/>
      <c r="N1081" s="499"/>
      <c r="O1081" s="86"/>
      <c r="R1081" s="498"/>
      <c r="S1081" s="498"/>
      <c r="T1081" s="498"/>
      <c r="U1081" s="498"/>
      <c r="V1081" s="498"/>
      <c r="W1081" s="498"/>
      <c r="X1081" s="498"/>
      <c r="Y1081" s="498"/>
      <c r="Z1081" s="498"/>
      <c r="AA1081" s="498"/>
      <c r="AB1081" s="498"/>
      <c r="AC1081" s="498"/>
    </row>
    <row r="1082" spans="1:29" ht="20.25" customHeight="1" x14ac:dyDescent="0.2">
      <c r="A1082" s="39"/>
      <c r="B1082" s="572" t="str">
        <f>INDEX(Language!D305:M305,1,_language)</f>
        <v>Non renewable primary energy</v>
      </c>
      <c r="C1082" s="563"/>
      <c r="D1082" s="564"/>
      <c r="E1082" s="565"/>
      <c r="F1082" s="565"/>
      <c r="G1082" s="565"/>
      <c r="H1082" s="565"/>
      <c r="I1082" s="566"/>
      <c r="J1082" s="567"/>
      <c r="K1082" s="568"/>
      <c r="L1082" s="569"/>
      <c r="M1082" s="569"/>
      <c r="N1082" s="569"/>
      <c r="O1082" s="570"/>
      <c r="R1082" s="569"/>
      <c r="S1082" s="569"/>
      <c r="T1082" s="569"/>
      <c r="U1082" s="569"/>
      <c r="V1082" s="569"/>
      <c r="W1082" s="569"/>
      <c r="X1082" s="569"/>
      <c r="Y1082" s="569"/>
      <c r="Z1082" s="569"/>
      <c r="AA1082" s="569"/>
      <c r="AB1082" s="569"/>
      <c r="AC1082" s="569"/>
    </row>
    <row r="1083" spans="1:29" x14ac:dyDescent="0.2">
      <c r="A1083" s="39"/>
      <c r="B1083" s="36" t="str">
        <f t="shared" ref="B1083:B1091" si="229">+B999</f>
        <v>gas</v>
      </c>
      <c r="C1083" s="38" t="s">
        <v>1210</v>
      </c>
      <c r="D1083" s="152"/>
      <c r="E1083" s="400"/>
      <c r="F1083" s="400"/>
      <c r="G1083" s="400"/>
      <c r="H1083" s="400"/>
      <c r="I1083" s="62" t="str">
        <f t="shared" ref="I1083:I1094" si="230">+_En_unit</f>
        <v>kWh</v>
      </c>
      <c r="J1083" s="500" t="e">
        <f t="shared" ref="J1083:J1094" si="231">INDEX(K1083:N1083,,_case_en)</f>
        <v>#N/A</v>
      </c>
      <c r="K1083" s="270" t="e">
        <f t="shared" ref="K1083:N1091" si="232">+K1071*K937</f>
        <v>#N/A</v>
      </c>
      <c r="L1083" s="271" t="e">
        <f t="shared" si="232"/>
        <v>#N/A</v>
      </c>
      <c r="M1083" s="271" t="e">
        <f t="shared" si="232"/>
        <v>#N/A</v>
      </c>
      <c r="N1083" s="272" t="e">
        <f t="shared" si="232"/>
        <v>#N/A</v>
      </c>
      <c r="O1083" s="86"/>
      <c r="R1083" s="271"/>
      <c r="S1083" s="271"/>
      <c r="T1083" s="271"/>
      <c r="U1083" s="271"/>
      <c r="V1083" s="271"/>
      <c r="W1083" s="271"/>
      <c r="X1083" s="271"/>
      <c r="Y1083" s="271"/>
      <c r="Z1083" s="271"/>
      <c r="AA1083" s="271"/>
      <c r="AB1083" s="271"/>
      <c r="AC1083" s="271"/>
    </row>
    <row r="1084" spans="1:29" x14ac:dyDescent="0.2">
      <c r="A1084" s="39"/>
      <c r="B1084" s="36" t="str">
        <f t="shared" si="229"/>
        <v>oil</v>
      </c>
      <c r="C1084" s="38" t="s">
        <v>1211</v>
      </c>
      <c r="D1084" s="152"/>
      <c r="E1084" s="400"/>
      <c r="F1084" s="400"/>
      <c r="G1084" s="400"/>
      <c r="H1084" s="400"/>
      <c r="I1084" s="62" t="str">
        <f t="shared" si="230"/>
        <v>kWh</v>
      </c>
      <c r="J1084" s="500" t="e">
        <f t="shared" si="231"/>
        <v>#N/A</v>
      </c>
      <c r="K1084" s="270" t="e">
        <f t="shared" si="232"/>
        <v>#N/A</v>
      </c>
      <c r="L1084" s="271" t="e">
        <f t="shared" si="232"/>
        <v>#N/A</v>
      </c>
      <c r="M1084" s="271" t="e">
        <f t="shared" si="232"/>
        <v>#N/A</v>
      </c>
      <c r="N1084" s="272" t="e">
        <f t="shared" si="232"/>
        <v>#N/A</v>
      </c>
      <c r="O1084" s="86"/>
      <c r="R1084" s="271"/>
      <c r="S1084" s="271"/>
      <c r="T1084" s="271"/>
      <c r="U1084" s="271"/>
      <c r="V1084" s="271"/>
      <c r="W1084" s="271"/>
      <c r="X1084" s="271"/>
      <c r="Y1084" s="271"/>
      <c r="Z1084" s="271"/>
      <c r="AA1084" s="271"/>
      <c r="AB1084" s="271"/>
      <c r="AC1084" s="271"/>
    </row>
    <row r="1085" spans="1:29" x14ac:dyDescent="0.2">
      <c r="A1085" s="39"/>
      <c r="B1085" s="36" t="str">
        <f t="shared" si="229"/>
        <v>coal</v>
      </c>
      <c r="C1085" s="38" t="s">
        <v>1212</v>
      </c>
      <c r="D1085" s="152"/>
      <c r="E1085" s="400"/>
      <c r="F1085" s="400"/>
      <c r="G1085" s="400"/>
      <c r="H1085" s="400"/>
      <c r="I1085" s="62" t="str">
        <f t="shared" si="230"/>
        <v>kWh</v>
      </c>
      <c r="J1085" s="500" t="e">
        <f t="shared" si="231"/>
        <v>#N/A</v>
      </c>
      <c r="K1085" s="270" t="e">
        <f t="shared" si="232"/>
        <v>#N/A</v>
      </c>
      <c r="L1085" s="271" t="e">
        <f t="shared" si="232"/>
        <v>#N/A</v>
      </c>
      <c r="M1085" s="271" t="e">
        <f t="shared" si="232"/>
        <v>#N/A</v>
      </c>
      <c r="N1085" s="272" t="e">
        <f t="shared" si="232"/>
        <v>#N/A</v>
      </c>
      <c r="O1085" s="86"/>
      <c r="R1085" s="271"/>
      <c r="S1085" s="271"/>
      <c r="T1085" s="271"/>
      <c r="U1085" s="271"/>
      <c r="V1085" s="271"/>
      <c r="W1085" s="271"/>
      <c r="X1085" s="271"/>
      <c r="Y1085" s="271"/>
      <c r="Z1085" s="271"/>
      <c r="AA1085" s="271"/>
      <c r="AB1085" s="271"/>
      <c r="AC1085" s="271"/>
    </row>
    <row r="1086" spans="1:29" x14ac:dyDescent="0.2">
      <c r="A1086" s="39"/>
      <c r="B1086" s="36" t="str">
        <f t="shared" si="229"/>
        <v>wood</v>
      </c>
      <c r="C1086" s="38" t="s">
        <v>1213</v>
      </c>
      <c r="D1086" s="152"/>
      <c r="E1086" s="400"/>
      <c r="F1086" s="400"/>
      <c r="G1086" s="400"/>
      <c r="H1086" s="400"/>
      <c r="I1086" s="62" t="str">
        <f t="shared" si="230"/>
        <v>kWh</v>
      </c>
      <c r="J1086" s="500" t="e">
        <f t="shared" si="231"/>
        <v>#N/A</v>
      </c>
      <c r="K1086" s="270" t="e">
        <f t="shared" si="232"/>
        <v>#N/A</v>
      </c>
      <c r="L1086" s="271" t="e">
        <f t="shared" si="232"/>
        <v>#N/A</v>
      </c>
      <c r="M1086" s="271" t="e">
        <f t="shared" si="232"/>
        <v>#N/A</v>
      </c>
      <c r="N1086" s="272" t="e">
        <f t="shared" si="232"/>
        <v>#N/A</v>
      </c>
      <c r="O1086" s="86"/>
      <c r="R1086" s="271"/>
      <c r="S1086" s="271"/>
      <c r="T1086" s="271"/>
      <c r="U1086" s="271"/>
      <c r="V1086" s="271"/>
      <c r="W1086" s="271"/>
      <c r="X1086" s="271"/>
      <c r="Y1086" s="271"/>
      <c r="Z1086" s="271"/>
      <c r="AA1086" s="271"/>
      <c r="AB1086" s="271"/>
      <c r="AC1086" s="271"/>
    </row>
    <row r="1087" spans="1:29" x14ac:dyDescent="0.2">
      <c r="A1087" s="39"/>
      <c r="B1087" s="36" t="str">
        <f t="shared" si="229"/>
        <v>biomass</v>
      </c>
      <c r="C1087" s="38" t="s">
        <v>1214</v>
      </c>
      <c r="D1087" s="152"/>
      <c r="E1087" s="400"/>
      <c r="F1087" s="400"/>
      <c r="G1087" s="400"/>
      <c r="H1087" s="400"/>
      <c r="I1087" s="62" t="str">
        <f t="shared" si="230"/>
        <v>kWh</v>
      </c>
      <c r="J1087" s="500" t="e">
        <f t="shared" si="231"/>
        <v>#N/A</v>
      </c>
      <c r="K1087" s="270" t="e">
        <f t="shared" si="232"/>
        <v>#N/A</v>
      </c>
      <c r="L1087" s="271" t="e">
        <f t="shared" si="232"/>
        <v>#N/A</v>
      </c>
      <c r="M1087" s="271" t="e">
        <f t="shared" si="232"/>
        <v>#N/A</v>
      </c>
      <c r="N1087" s="272" t="e">
        <f t="shared" si="232"/>
        <v>#N/A</v>
      </c>
      <c r="O1087" s="86"/>
      <c r="R1087" s="271"/>
      <c r="S1087" s="271"/>
      <c r="T1087" s="271"/>
      <c r="U1087" s="271"/>
      <c r="V1087" s="271"/>
      <c r="W1087" s="271"/>
      <c r="X1087" s="271"/>
      <c r="Y1087" s="271"/>
      <c r="Z1087" s="271"/>
      <c r="AA1087" s="271"/>
      <c r="AB1087" s="271"/>
      <c r="AC1087" s="271"/>
    </row>
    <row r="1088" spans="1:29" x14ac:dyDescent="0.2">
      <c r="A1088" s="39"/>
      <c r="B1088" s="36" t="str">
        <f t="shared" si="229"/>
        <v>custom</v>
      </c>
      <c r="C1088" s="38" t="s">
        <v>1215</v>
      </c>
      <c r="D1088" s="152"/>
      <c r="E1088" s="400"/>
      <c r="F1088" s="400"/>
      <c r="G1088" s="400"/>
      <c r="H1088" s="400"/>
      <c r="I1088" s="62" t="str">
        <f t="shared" si="230"/>
        <v>kWh</v>
      </c>
      <c r="J1088" s="500" t="e">
        <f t="shared" si="231"/>
        <v>#N/A</v>
      </c>
      <c r="K1088" s="270" t="e">
        <f t="shared" si="232"/>
        <v>#N/A</v>
      </c>
      <c r="L1088" s="271" t="e">
        <f t="shared" si="232"/>
        <v>#N/A</v>
      </c>
      <c r="M1088" s="271" t="e">
        <f t="shared" si="232"/>
        <v>#N/A</v>
      </c>
      <c r="N1088" s="272" t="e">
        <f t="shared" si="232"/>
        <v>#N/A</v>
      </c>
      <c r="O1088" s="86"/>
      <c r="R1088" s="271"/>
      <c r="S1088" s="271"/>
      <c r="T1088" s="271"/>
      <c r="U1088" s="271"/>
      <c r="V1088" s="271"/>
      <c r="W1088" s="271"/>
      <c r="X1088" s="271"/>
      <c r="Y1088" s="271"/>
      <c r="Z1088" s="271"/>
      <c r="AA1088" s="271"/>
      <c r="AB1088" s="271"/>
      <c r="AC1088" s="271"/>
    </row>
    <row r="1089" spans="1:29" x14ac:dyDescent="0.2">
      <c r="A1089" s="39"/>
      <c r="B1089" s="36" t="str">
        <f t="shared" si="229"/>
        <v>District heating</v>
      </c>
      <c r="C1089" s="38" t="s">
        <v>1216</v>
      </c>
      <c r="D1089" s="152"/>
      <c r="E1089" s="400"/>
      <c r="F1089" s="400"/>
      <c r="G1089" s="400"/>
      <c r="H1089" s="400"/>
      <c r="I1089" s="62" t="str">
        <f t="shared" si="230"/>
        <v>kWh</v>
      </c>
      <c r="J1089" s="500" t="e">
        <f t="shared" si="231"/>
        <v>#N/A</v>
      </c>
      <c r="K1089" s="270" t="e">
        <f t="shared" si="232"/>
        <v>#N/A</v>
      </c>
      <c r="L1089" s="271" t="e">
        <f t="shared" si="232"/>
        <v>#N/A</v>
      </c>
      <c r="M1089" s="271" t="e">
        <f t="shared" si="232"/>
        <v>#N/A</v>
      </c>
      <c r="N1089" s="272" t="e">
        <f t="shared" si="232"/>
        <v>#N/A</v>
      </c>
      <c r="O1089" s="86"/>
      <c r="R1089" s="271"/>
      <c r="S1089" s="271"/>
      <c r="T1089" s="271"/>
      <c r="U1089" s="271"/>
      <c r="V1089" s="271"/>
      <c r="W1089" s="271"/>
      <c r="X1089" s="271"/>
      <c r="Y1089" s="271"/>
      <c r="Z1089" s="271"/>
      <c r="AA1089" s="271"/>
      <c r="AB1089" s="271"/>
      <c r="AC1089" s="271"/>
    </row>
    <row r="1090" spans="1:29" x14ac:dyDescent="0.2">
      <c r="A1090" s="39"/>
      <c r="B1090" s="36" t="str">
        <f t="shared" si="229"/>
        <v>District cooling</v>
      </c>
      <c r="C1090" s="38" t="s">
        <v>1217</v>
      </c>
      <c r="D1090" s="152"/>
      <c r="E1090" s="400"/>
      <c r="F1090" s="400"/>
      <c r="G1090" s="400"/>
      <c r="H1090" s="400"/>
      <c r="I1090" s="62" t="str">
        <f t="shared" si="230"/>
        <v>kWh</v>
      </c>
      <c r="J1090" s="500" t="e">
        <f t="shared" si="231"/>
        <v>#N/A</v>
      </c>
      <c r="K1090" s="270" t="e">
        <f t="shared" si="232"/>
        <v>#N/A</v>
      </c>
      <c r="L1090" s="271" t="e">
        <f t="shared" si="232"/>
        <v>#N/A</v>
      </c>
      <c r="M1090" s="271" t="e">
        <f t="shared" si="232"/>
        <v>#N/A</v>
      </c>
      <c r="N1090" s="272" t="e">
        <f t="shared" si="232"/>
        <v>#N/A</v>
      </c>
      <c r="O1090" s="86"/>
      <c r="R1090" s="271"/>
      <c r="S1090" s="271"/>
      <c r="T1090" s="271"/>
      <c r="U1090" s="271"/>
      <c r="V1090" s="271"/>
      <c r="W1090" s="271"/>
      <c r="X1090" s="271"/>
      <c r="Y1090" s="271"/>
      <c r="Z1090" s="271"/>
      <c r="AA1090" s="271"/>
      <c r="AB1090" s="271"/>
      <c r="AC1090" s="271"/>
    </row>
    <row r="1091" spans="1:29" x14ac:dyDescent="0.2">
      <c r="A1091" s="39"/>
      <c r="B1091" s="36" t="str">
        <f t="shared" si="229"/>
        <v>Environment heat</v>
      </c>
      <c r="C1091" s="38" t="s">
        <v>1218</v>
      </c>
      <c r="D1091" s="152"/>
      <c r="E1091" s="400"/>
      <c r="F1091" s="400"/>
      <c r="G1091" s="400"/>
      <c r="H1091" s="400"/>
      <c r="I1091" s="62" t="str">
        <f t="shared" si="230"/>
        <v>kWh</v>
      </c>
      <c r="J1091" s="500" t="e">
        <f t="shared" si="231"/>
        <v>#N/A</v>
      </c>
      <c r="K1091" s="270" t="e">
        <f t="shared" si="232"/>
        <v>#N/A</v>
      </c>
      <c r="L1091" s="271" t="e">
        <f t="shared" si="232"/>
        <v>#N/A</v>
      </c>
      <c r="M1091" s="271" t="e">
        <f t="shared" si="232"/>
        <v>#N/A</v>
      </c>
      <c r="N1091" s="272" t="e">
        <f t="shared" si="232"/>
        <v>#N/A</v>
      </c>
      <c r="O1091" s="86"/>
      <c r="R1091" s="271"/>
      <c r="S1091" s="271"/>
      <c r="T1091" s="271"/>
      <c r="U1091" s="271"/>
      <c r="V1091" s="271"/>
      <c r="W1091" s="271"/>
      <c r="X1091" s="271"/>
      <c r="Y1091" s="271"/>
      <c r="Z1091" s="271"/>
      <c r="AA1091" s="271"/>
      <c r="AB1091" s="271"/>
      <c r="AC1091" s="271"/>
    </row>
    <row r="1092" spans="1:29" x14ac:dyDescent="0.2">
      <c r="A1092" s="39"/>
      <c r="B1092" s="36" t="e">
        <f>+B1023</f>
        <v>#REF!</v>
      </c>
      <c r="C1092" s="38" t="s">
        <v>1219</v>
      </c>
      <c r="D1092" s="152"/>
      <c r="E1092" s="400"/>
      <c r="F1092" s="400"/>
      <c r="G1092" s="400"/>
      <c r="H1092" s="400"/>
      <c r="I1092" s="62" t="str">
        <f t="shared" si="230"/>
        <v>kWh</v>
      </c>
      <c r="J1092" s="500" t="e">
        <f t="shared" si="231"/>
        <v>#REF!</v>
      </c>
      <c r="K1092" s="270" t="e">
        <f>+K1080*K961</f>
        <v>#REF!</v>
      </c>
      <c r="L1092" s="271" t="e">
        <f>+L1080*L961</f>
        <v>#REF!</v>
      </c>
      <c r="M1092" s="271" t="e">
        <f>+M1080*M961</f>
        <v>#REF!</v>
      </c>
      <c r="N1092" s="272" t="e">
        <f>+N1080*N961</f>
        <v>#REF!</v>
      </c>
      <c r="O1092" s="86"/>
      <c r="R1092" s="271"/>
      <c r="S1092" s="271"/>
      <c r="T1092" s="271"/>
      <c r="U1092" s="271"/>
      <c r="V1092" s="271"/>
      <c r="W1092" s="271"/>
      <c r="X1092" s="271"/>
      <c r="Y1092" s="271"/>
      <c r="Z1092" s="271"/>
      <c r="AA1092" s="271"/>
      <c r="AB1092" s="271"/>
      <c r="AC1092" s="271"/>
    </row>
    <row r="1093" spans="1:29" x14ac:dyDescent="0.2">
      <c r="A1093" s="39"/>
      <c r="B1093" s="258" t="str">
        <f>INDEX(Language!$D$306:$M$306,1,_language)</f>
        <v>Electricity</v>
      </c>
      <c r="C1093" s="38" t="s">
        <v>1220</v>
      </c>
      <c r="D1093" s="229"/>
      <c r="E1093" s="401"/>
      <c r="F1093" s="401"/>
      <c r="G1093" s="401"/>
      <c r="H1093" s="401"/>
      <c r="I1093" s="168" t="str">
        <f t="shared" si="230"/>
        <v>kWh</v>
      </c>
      <c r="J1093" s="507" t="e">
        <f t="shared" si="231"/>
        <v>#REF!</v>
      </c>
      <c r="K1093" s="286" t="e">
        <f>+K1062</f>
        <v>#REF!</v>
      </c>
      <c r="L1093" s="287" t="e">
        <f>+L1062</f>
        <v>#REF!</v>
      </c>
      <c r="M1093" s="287" t="e">
        <f>+M1062</f>
        <v>#REF!</v>
      </c>
      <c r="N1093" s="288" t="e">
        <f>+N1062</f>
        <v>#REF!</v>
      </c>
      <c r="O1093" s="232"/>
      <c r="R1093" s="287"/>
      <c r="S1093" s="287"/>
      <c r="T1093" s="287"/>
      <c r="U1093" s="287"/>
      <c r="V1093" s="287"/>
      <c r="W1093" s="287"/>
      <c r="X1093" s="287"/>
      <c r="Y1093" s="287"/>
      <c r="Z1093" s="287"/>
      <c r="AA1093" s="287"/>
      <c r="AB1093" s="287"/>
      <c r="AC1093" s="287"/>
    </row>
    <row r="1094" spans="1:29" ht="17.25" customHeight="1" thickBot="1" x14ac:dyDescent="0.25">
      <c r="A1094" s="39"/>
      <c r="B1094" s="571" t="str">
        <f>INDEX(Language!D307:M307,1,_language)</f>
        <v>Total non renewable primary energy</v>
      </c>
      <c r="C1094" s="394" t="s">
        <v>1236</v>
      </c>
      <c r="D1094" s="573"/>
      <c r="E1094" s="574"/>
      <c r="F1094" s="574"/>
      <c r="G1094" s="574"/>
      <c r="H1094" s="574"/>
      <c r="I1094" s="575" t="str">
        <f t="shared" si="230"/>
        <v>kWh</v>
      </c>
      <c r="J1094" s="576" t="e">
        <f t="shared" si="231"/>
        <v>#N/A</v>
      </c>
      <c r="K1094" s="577" t="e">
        <f>SUM(K1083:K1093)</f>
        <v>#N/A</v>
      </c>
      <c r="L1094" s="578" t="e">
        <f>SUM(L1083:L1093)</f>
        <v>#N/A</v>
      </c>
      <c r="M1094" s="578" t="e">
        <f>SUM(M1083:M1093)</f>
        <v>#N/A</v>
      </c>
      <c r="N1094" s="579" t="e">
        <f>SUM(N1083:N1093)</f>
        <v>#N/A</v>
      </c>
      <c r="O1094" s="280"/>
      <c r="R1094" s="578"/>
      <c r="S1094" s="578"/>
      <c r="T1094" s="578"/>
      <c r="U1094" s="578"/>
      <c r="V1094" s="578"/>
      <c r="W1094" s="578"/>
      <c r="X1094" s="578"/>
      <c r="Y1094" s="578"/>
      <c r="Z1094" s="578"/>
      <c r="AA1094" s="578"/>
      <c r="AB1094" s="578"/>
      <c r="AC1094" s="578"/>
    </row>
    <row r="1095" spans="1:29" ht="17.25" customHeight="1" x14ac:dyDescent="0.2">
      <c r="A1095" s="39"/>
      <c r="B1095" s="572" t="str">
        <f>INDEX(Language!D309:M309,1,_language)</f>
        <v>Total primary energy</v>
      </c>
      <c r="C1095" s="563"/>
      <c r="D1095" s="564"/>
      <c r="E1095" s="565"/>
      <c r="F1095" s="565"/>
      <c r="G1095" s="565"/>
      <c r="H1095" s="565"/>
      <c r="I1095" s="566"/>
      <c r="J1095" s="567"/>
      <c r="K1095" s="568"/>
      <c r="L1095" s="569"/>
      <c r="M1095" s="569"/>
      <c r="N1095" s="569"/>
      <c r="O1095" s="570"/>
      <c r="R1095" s="569"/>
      <c r="S1095" s="569"/>
      <c r="T1095" s="569"/>
      <c r="U1095" s="569"/>
      <c r="V1095" s="569"/>
      <c r="W1095" s="569"/>
      <c r="X1095" s="569"/>
      <c r="Y1095" s="569"/>
      <c r="Z1095" s="569"/>
      <c r="AA1095" s="569"/>
      <c r="AB1095" s="569"/>
      <c r="AC1095" s="569"/>
    </row>
    <row r="1096" spans="1:29" x14ac:dyDescent="0.2">
      <c r="A1096" s="39"/>
      <c r="B1096" s="36" t="str">
        <f t="shared" ref="B1096:B1106" si="233">+B1083</f>
        <v>gas</v>
      </c>
      <c r="C1096" s="38" t="s">
        <v>1222</v>
      </c>
      <c r="D1096" s="152"/>
      <c r="E1096" s="400"/>
      <c r="F1096" s="400"/>
      <c r="G1096" s="400"/>
      <c r="H1096" s="400"/>
      <c r="I1096" s="62" t="str">
        <f t="shared" ref="I1096:I1107" si="234">+_En_unit</f>
        <v>kWh</v>
      </c>
      <c r="J1096" s="500" t="e">
        <f t="shared" ref="J1096:J1107" si="235">INDEX(K1096:N1096,,_case_en)</f>
        <v>#N/A</v>
      </c>
      <c r="K1096" s="270" t="e">
        <f t="shared" ref="K1096:N1104" si="236">+K1071*K999</f>
        <v>#N/A</v>
      </c>
      <c r="L1096" s="271" t="e">
        <f t="shared" si="236"/>
        <v>#N/A</v>
      </c>
      <c r="M1096" s="271" t="e">
        <f t="shared" si="236"/>
        <v>#N/A</v>
      </c>
      <c r="N1096" s="272" t="e">
        <f t="shared" si="236"/>
        <v>#N/A</v>
      </c>
      <c r="O1096" s="86"/>
      <c r="R1096" s="271"/>
      <c r="S1096" s="271"/>
      <c r="T1096" s="271"/>
      <c r="U1096" s="271"/>
      <c r="V1096" s="271"/>
      <c r="W1096" s="271"/>
      <c r="X1096" s="271"/>
      <c r="Y1096" s="271"/>
      <c r="Z1096" s="271"/>
      <c r="AA1096" s="271"/>
      <c r="AB1096" s="271"/>
      <c r="AC1096" s="271"/>
    </row>
    <row r="1097" spans="1:29" x14ac:dyDescent="0.2">
      <c r="A1097" s="39"/>
      <c r="B1097" s="36" t="str">
        <f t="shared" si="233"/>
        <v>oil</v>
      </c>
      <c r="C1097" s="38" t="s">
        <v>1223</v>
      </c>
      <c r="D1097" s="152"/>
      <c r="E1097" s="400"/>
      <c r="F1097" s="400"/>
      <c r="G1097" s="400"/>
      <c r="H1097" s="400"/>
      <c r="I1097" s="62" t="str">
        <f t="shared" si="234"/>
        <v>kWh</v>
      </c>
      <c r="J1097" s="500" t="e">
        <f t="shared" si="235"/>
        <v>#N/A</v>
      </c>
      <c r="K1097" s="270" t="e">
        <f t="shared" si="236"/>
        <v>#N/A</v>
      </c>
      <c r="L1097" s="271" t="e">
        <f t="shared" si="236"/>
        <v>#N/A</v>
      </c>
      <c r="M1097" s="271" t="e">
        <f t="shared" si="236"/>
        <v>#N/A</v>
      </c>
      <c r="N1097" s="272" t="e">
        <f t="shared" si="236"/>
        <v>#N/A</v>
      </c>
      <c r="O1097" s="86"/>
      <c r="R1097" s="271"/>
      <c r="S1097" s="271"/>
      <c r="T1097" s="271"/>
      <c r="U1097" s="271"/>
      <c r="V1097" s="271"/>
      <c r="W1097" s="271"/>
      <c r="X1097" s="271"/>
      <c r="Y1097" s="271"/>
      <c r="Z1097" s="271"/>
      <c r="AA1097" s="271"/>
      <c r="AB1097" s="271"/>
      <c r="AC1097" s="271"/>
    </row>
    <row r="1098" spans="1:29" x14ac:dyDescent="0.2">
      <c r="A1098" s="39"/>
      <c r="B1098" s="36" t="str">
        <f t="shared" si="233"/>
        <v>coal</v>
      </c>
      <c r="C1098" s="38" t="s">
        <v>1224</v>
      </c>
      <c r="D1098" s="152"/>
      <c r="E1098" s="400"/>
      <c r="F1098" s="400"/>
      <c r="G1098" s="400"/>
      <c r="H1098" s="400"/>
      <c r="I1098" s="62" t="str">
        <f t="shared" si="234"/>
        <v>kWh</v>
      </c>
      <c r="J1098" s="500" t="e">
        <f t="shared" si="235"/>
        <v>#N/A</v>
      </c>
      <c r="K1098" s="270" t="e">
        <f t="shared" si="236"/>
        <v>#N/A</v>
      </c>
      <c r="L1098" s="271" t="e">
        <f t="shared" si="236"/>
        <v>#N/A</v>
      </c>
      <c r="M1098" s="271" t="e">
        <f t="shared" si="236"/>
        <v>#N/A</v>
      </c>
      <c r="N1098" s="272" t="e">
        <f t="shared" si="236"/>
        <v>#N/A</v>
      </c>
      <c r="O1098" s="86"/>
      <c r="R1098" s="271"/>
      <c r="S1098" s="271"/>
      <c r="T1098" s="271"/>
      <c r="U1098" s="271"/>
      <c r="V1098" s="271"/>
      <c r="W1098" s="271"/>
      <c r="X1098" s="271"/>
      <c r="Y1098" s="271"/>
      <c r="Z1098" s="271"/>
      <c r="AA1098" s="271"/>
      <c r="AB1098" s="271"/>
      <c r="AC1098" s="271"/>
    </row>
    <row r="1099" spans="1:29" x14ac:dyDescent="0.2">
      <c r="A1099" s="39"/>
      <c r="B1099" s="36" t="str">
        <f t="shared" si="233"/>
        <v>wood</v>
      </c>
      <c r="C1099" s="38" t="s">
        <v>1225</v>
      </c>
      <c r="D1099" s="152"/>
      <c r="E1099" s="400"/>
      <c r="F1099" s="400"/>
      <c r="G1099" s="400"/>
      <c r="H1099" s="400"/>
      <c r="I1099" s="62" t="str">
        <f t="shared" si="234"/>
        <v>kWh</v>
      </c>
      <c r="J1099" s="500" t="e">
        <f t="shared" si="235"/>
        <v>#N/A</v>
      </c>
      <c r="K1099" s="270" t="e">
        <f t="shared" si="236"/>
        <v>#N/A</v>
      </c>
      <c r="L1099" s="271" t="e">
        <f t="shared" si="236"/>
        <v>#N/A</v>
      </c>
      <c r="M1099" s="271" t="e">
        <f t="shared" si="236"/>
        <v>#N/A</v>
      </c>
      <c r="N1099" s="272" t="e">
        <f t="shared" si="236"/>
        <v>#N/A</v>
      </c>
      <c r="O1099" s="86"/>
      <c r="R1099" s="271"/>
      <c r="S1099" s="271"/>
      <c r="T1099" s="271"/>
      <c r="U1099" s="271"/>
      <c r="V1099" s="271"/>
      <c r="W1099" s="271"/>
      <c r="X1099" s="271"/>
      <c r="Y1099" s="271"/>
      <c r="Z1099" s="271"/>
      <c r="AA1099" s="271"/>
      <c r="AB1099" s="271"/>
      <c r="AC1099" s="271"/>
    </row>
    <row r="1100" spans="1:29" x14ac:dyDescent="0.2">
      <c r="A1100" s="39"/>
      <c r="B1100" s="36" t="str">
        <f t="shared" si="233"/>
        <v>biomass</v>
      </c>
      <c r="C1100" s="38" t="s">
        <v>1226</v>
      </c>
      <c r="D1100" s="152"/>
      <c r="E1100" s="400"/>
      <c r="F1100" s="400"/>
      <c r="G1100" s="400"/>
      <c r="H1100" s="400"/>
      <c r="I1100" s="62" t="str">
        <f t="shared" si="234"/>
        <v>kWh</v>
      </c>
      <c r="J1100" s="500" t="e">
        <f t="shared" si="235"/>
        <v>#N/A</v>
      </c>
      <c r="K1100" s="270" t="e">
        <f t="shared" si="236"/>
        <v>#N/A</v>
      </c>
      <c r="L1100" s="271" t="e">
        <f t="shared" si="236"/>
        <v>#N/A</v>
      </c>
      <c r="M1100" s="271" t="e">
        <f t="shared" si="236"/>
        <v>#N/A</v>
      </c>
      <c r="N1100" s="272" t="e">
        <f t="shared" si="236"/>
        <v>#N/A</v>
      </c>
      <c r="O1100" s="86"/>
      <c r="R1100" s="271"/>
      <c r="S1100" s="271"/>
      <c r="T1100" s="271"/>
      <c r="U1100" s="271"/>
      <c r="V1100" s="271"/>
      <c r="W1100" s="271"/>
      <c r="X1100" s="271"/>
      <c r="Y1100" s="271"/>
      <c r="Z1100" s="271"/>
      <c r="AA1100" s="271"/>
      <c r="AB1100" s="271"/>
      <c r="AC1100" s="271"/>
    </row>
    <row r="1101" spans="1:29" x14ac:dyDescent="0.2">
      <c r="A1101" s="39"/>
      <c r="B1101" s="36" t="str">
        <f t="shared" si="233"/>
        <v>custom</v>
      </c>
      <c r="C1101" s="38" t="s">
        <v>1227</v>
      </c>
      <c r="D1101" s="152"/>
      <c r="E1101" s="400"/>
      <c r="F1101" s="400"/>
      <c r="G1101" s="400"/>
      <c r="H1101" s="400"/>
      <c r="I1101" s="62" t="str">
        <f t="shared" si="234"/>
        <v>kWh</v>
      </c>
      <c r="J1101" s="500" t="e">
        <f t="shared" si="235"/>
        <v>#N/A</v>
      </c>
      <c r="K1101" s="270" t="e">
        <f t="shared" si="236"/>
        <v>#N/A</v>
      </c>
      <c r="L1101" s="271" t="e">
        <f t="shared" si="236"/>
        <v>#N/A</v>
      </c>
      <c r="M1101" s="271" t="e">
        <f t="shared" si="236"/>
        <v>#N/A</v>
      </c>
      <c r="N1101" s="272" t="e">
        <f t="shared" si="236"/>
        <v>#N/A</v>
      </c>
      <c r="O1101" s="86"/>
      <c r="R1101" s="271"/>
      <c r="S1101" s="271"/>
      <c r="T1101" s="271"/>
      <c r="U1101" s="271"/>
      <c r="V1101" s="271"/>
      <c r="W1101" s="271"/>
      <c r="X1101" s="271"/>
      <c r="Y1101" s="271"/>
      <c r="Z1101" s="271"/>
      <c r="AA1101" s="271"/>
      <c r="AB1101" s="271"/>
      <c r="AC1101" s="271"/>
    </row>
    <row r="1102" spans="1:29" x14ac:dyDescent="0.2">
      <c r="A1102" s="39"/>
      <c r="B1102" s="36" t="str">
        <f t="shared" si="233"/>
        <v>District heating</v>
      </c>
      <c r="C1102" s="38" t="s">
        <v>1228</v>
      </c>
      <c r="D1102" s="152"/>
      <c r="E1102" s="400"/>
      <c r="F1102" s="400"/>
      <c r="G1102" s="400"/>
      <c r="H1102" s="400"/>
      <c r="I1102" s="62" t="str">
        <f t="shared" si="234"/>
        <v>kWh</v>
      </c>
      <c r="J1102" s="500" t="e">
        <f t="shared" si="235"/>
        <v>#N/A</v>
      </c>
      <c r="K1102" s="270" t="e">
        <f t="shared" si="236"/>
        <v>#N/A</v>
      </c>
      <c r="L1102" s="271" t="e">
        <f t="shared" si="236"/>
        <v>#N/A</v>
      </c>
      <c r="M1102" s="271" t="e">
        <f t="shared" si="236"/>
        <v>#N/A</v>
      </c>
      <c r="N1102" s="272" t="e">
        <f t="shared" si="236"/>
        <v>#N/A</v>
      </c>
      <c r="O1102" s="86"/>
      <c r="R1102" s="271"/>
      <c r="S1102" s="271"/>
      <c r="T1102" s="271"/>
      <c r="U1102" s="271"/>
      <c r="V1102" s="271"/>
      <c r="W1102" s="271"/>
      <c r="X1102" s="271"/>
      <c r="Y1102" s="271"/>
      <c r="Z1102" s="271"/>
      <c r="AA1102" s="271"/>
      <c r="AB1102" s="271"/>
      <c r="AC1102" s="271"/>
    </row>
    <row r="1103" spans="1:29" x14ac:dyDescent="0.2">
      <c r="A1103" s="39"/>
      <c r="B1103" s="36" t="str">
        <f t="shared" si="233"/>
        <v>District cooling</v>
      </c>
      <c r="C1103" s="38" t="s">
        <v>1229</v>
      </c>
      <c r="D1103" s="152"/>
      <c r="E1103" s="400"/>
      <c r="F1103" s="400"/>
      <c r="G1103" s="400"/>
      <c r="H1103" s="400"/>
      <c r="I1103" s="62" t="str">
        <f t="shared" si="234"/>
        <v>kWh</v>
      </c>
      <c r="J1103" s="500" t="e">
        <f t="shared" si="235"/>
        <v>#N/A</v>
      </c>
      <c r="K1103" s="270" t="e">
        <f t="shared" si="236"/>
        <v>#N/A</v>
      </c>
      <c r="L1103" s="271" t="e">
        <f t="shared" si="236"/>
        <v>#N/A</v>
      </c>
      <c r="M1103" s="271" t="e">
        <f t="shared" si="236"/>
        <v>#N/A</v>
      </c>
      <c r="N1103" s="272" t="e">
        <f t="shared" si="236"/>
        <v>#N/A</v>
      </c>
      <c r="O1103" s="86"/>
      <c r="R1103" s="271"/>
      <c r="S1103" s="271"/>
      <c r="T1103" s="271"/>
      <c r="U1103" s="271"/>
      <c r="V1103" s="271"/>
      <c r="W1103" s="271"/>
      <c r="X1103" s="271"/>
      <c r="Y1103" s="271"/>
      <c r="Z1103" s="271"/>
      <c r="AA1103" s="271"/>
      <c r="AB1103" s="271"/>
      <c r="AC1103" s="271"/>
    </row>
    <row r="1104" spans="1:29" x14ac:dyDescent="0.2">
      <c r="A1104" s="39"/>
      <c r="B1104" s="36" t="str">
        <f t="shared" si="233"/>
        <v>Environment heat</v>
      </c>
      <c r="C1104" s="38" t="s">
        <v>1230</v>
      </c>
      <c r="D1104" s="152"/>
      <c r="E1104" s="400"/>
      <c r="F1104" s="400"/>
      <c r="G1104" s="400"/>
      <c r="H1104" s="400"/>
      <c r="I1104" s="62" t="str">
        <f t="shared" si="234"/>
        <v>kWh</v>
      </c>
      <c r="J1104" s="500" t="e">
        <f t="shared" si="235"/>
        <v>#N/A</v>
      </c>
      <c r="K1104" s="270" t="e">
        <f t="shared" si="236"/>
        <v>#N/A</v>
      </c>
      <c r="L1104" s="271" t="e">
        <f t="shared" si="236"/>
        <v>#N/A</v>
      </c>
      <c r="M1104" s="271" t="e">
        <f t="shared" si="236"/>
        <v>#N/A</v>
      </c>
      <c r="N1104" s="272" t="e">
        <f t="shared" si="236"/>
        <v>#N/A</v>
      </c>
      <c r="O1104" s="86"/>
      <c r="R1104" s="271"/>
      <c r="S1104" s="271"/>
      <c r="T1104" s="271"/>
      <c r="U1104" s="271"/>
      <c r="V1104" s="271"/>
      <c r="W1104" s="271"/>
      <c r="X1104" s="271"/>
      <c r="Y1104" s="271"/>
      <c r="Z1104" s="271"/>
      <c r="AA1104" s="271"/>
      <c r="AB1104" s="271"/>
      <c r="AC1104" s="271"/>
    </row>
    <row r="1105" spans="1:29" x14ac:dyDescent="0.2">
      <c r="A1105" s="39"/>
      <c r="B1105" s="36" t="e">
        <f t="shared" si="233"/>
        <v>#REF!</v>
      </c>
      <c r="C1105" s="38" t="s">
        <v>1231</v>
      </c>
      <c r="D1105" s="152"/>
      <c r="E1105" s="400"/>
      <c r="F1105" s="400"/>
      <c r="G1105" s="400"/>
      <c r="H1105" s="400"/>
      <c r="I1105" s="62" t="str">
        <f t="shared" si="234"/>
        <v>kWh</v>
      </c>
      <c r="J1105" s="500" t="e">
        <f t="shared" si="235"/>
        <v>#REF!</v>
      </c>
      <c r="K1105" s="270" t="e">
        <f>+K1080*K1023</f>
        <v>#REF!</v>
      </c>
      <c r="L1105" s="271" t="e">
        <f>+L1080*L1023</f>
        <v>#REF!</v>
      </c>
      <c r="M1105" s="271" t="e">
        <f>+M1080*M1023</f>
        <v>#REF!</v>
      </c>
      <c r="N1105" s="272" t="e">
        <f>+N1080*N1023</f>
        <v>#REF!</v>
      </c>
      <c r="O1105" s="86"/>
      <c r="R1105" s="271"/>
      <c r="S1105" s="271"/>
      <c r="T1105" s="271"/>
      <c r="U1105" s="271"/>
      <c r="V1105" s="271"/>
      <c r="W1105" s="271"/>
      <c r="X1105" s="271"/>
      <c r="Y1105" s="271"/>
      <c r="Z1105" s="271"/>
      <c r="AA1105" s="271"/>
      <c r="AB1105" s="271"/>
      <c r="AC1105" s="271"/>
    </row>
    <row r="1106" spans="1:29" x14ac:dyDescent="0.2">
      <c r="A1106" s="39"/>
      <c r="B1106" s="36" t="str">
        <f t="shared" si="233"/>
        <v>Electricity</v>
      </c>
      <c r="C1106" s="38" t="s">
        <v>1232</v>
      </c>
      <c r="D1106" s="229"/>
      <c r="E1106" s="401"/>
      <c r="F1106" s="401"/>
      <c r="G1106" s="401"/>
      <c r="H1106" s="401"/>
      <c r="I1106" s="168" t="str">
        <f t="shared" si="234"/>
        <v>kWh</v>
      </c>
      <c r="J1106" s="507" t="e">
        <f t="shared" si="235"/>
        <v>#REF!</v>
      </c>
      <c r="K1106" s="286" t="e">
        <f>+K1063</f>
        <v>#REF!</v>
      </c>
      <c r="L1106" s="287" t="e">
        <f>+L1063</f>
        <v>#REF!</v>
      </c>
      <c r="M1106" s="287" t="e">
        <f>+M1063</f>
        <v>#REF!</v>
      </c>
      <c r="N1106" s="288" t="e">
        <f>+N1063</f>
        <v>#REF!</v>
      </c>
      <c r="O1106" s="232"/>
      <c r="R1106" s="287"/>
      <c r="S1106" s="287"/>
      <c r="T1106" s="287"/>
      <c r="U1106" s="287"/>
      <c r="V1106" s="287"/>
      <c r="W1106" s="287"/>
      <c r="X1106" s="287"/>
      <c r="Y1106" s="287"/>
      <c r="Z1106" s="287"/>
      <c r="AA1106" s="287"/>
      <c r="AB1106" s="287"/>
      <c r="AC1106" s="287"/>
    </row>
    <row r="1107" spans="1:29" ht="17.25" customHeight="1" thickBot="1" x14ac:dyDescent="0.25">
      <c r="A1107" s="39"/>
      <c r="B1107" s="571" t="str">
        <f>INDEX(Language!D310:M310,1,_language)</f>
        <v>Total total primary energy</v>
      </c>
      <c r="C1107" s="394" t="s">
        <v>1237</v>
      </c>
      <c r="D1107" s="573"/>
      <c r="E1107" s="574"/>
      <c r="F1107" s="574"/>
      <c r="G1107" s="574"/>
      <c r="H1107" s="574"/>
      <c r="I1107" s="575" t="str">
        <f t="shared" si="234"/>
        <v>kWh</v>
      </c>
      <c r="J1107" s="576" t="e">
        <f t="shared" si="235"/>
        <v>#N/A</v>
      </c>
      <c r="K1107" s="577" t="e">
        <f>SUM(K1096:K1106)</f>
        <v>#N/A</v>
      </c>
      <c r="L1107" s="578" t="e">
        <f>SUM(L1096:L1106)</f>
        <v>#N/A</v>
      </c>
      <c r="M1107" s="578" t="e">
        <f>SUM(M1096:M1106)</f>
        <v>#N/A</v>
      </c>
      <c r="N1107" s="579" t="e">
        <f>SUM(N1096:N1106)</f>
        <v>#N/A</v>
      </c>
      <c r="O1107" s="280"/>
      <c r="R1107" s="578"/>
      <c r="S1107" s="578"/>
      <c r="T1107" s="578"/>
      <c r="U1107" s="578"/>
      <c r="V1107" s="578"/>
      <c r="W1107" s="578"/>
      <c r="X1107" s="578"/>
      <c r="Y1107" s="578"/>
      <c r="Z1107" s="578"/>
      <c r="AA1107" s="578"/>
      <c r="AB1107" s="578"/>
      <c r="AC1107" s="578"/>
    </row>
    <row r="1108" spans="1:29" ht="20.25" customHeight="1" x14ac:dyDescent="0.2">
      <c r="A1108" s="39"/>
      <c r="B1108" s="572" t="str">
        <f>INDEX(Language!D311:M311,1,_language)</f>
        <v>Renewable primary energy</v>
      </c>
      <c r="C1108" s="563"/>
      <c r="D1108" s="564"/>
      <c r="E1108" s="565"/>
      <c r="F1108" s="565"/>
      <c r="G1108" s="565"/>
      <c r="H1108" s="565"/>
      <c r="I1108" s="566"/>
      <c r="J1108" s="567"/>
      <c r="K1108" s="568"/>
      <c r="L1108" s="569"/>
      <c r="M1108" s="569"/>
      <c r="N1108" s="569"/>
      <c r="O1108" s="570"/>
      <c r="R1108" s="569"/>
      <c r="S1108" s="569"/>
      <c r="T1108" s="569"/>
      <c r="U1108" s="569"/>
      <c r="V1108" s="569"/>
      <c r="W1108" s="569"/>
      <c r="X1108" s="569"/>
      <c r="Y1108" s="569"/>
      <c r="Z1108" s="569"/>
      <c r="AA1108" s="569"/>
      <c r="AB1108" s="569"/>
      <c r="AC1108" s="569"/>
    </row>
    <row r="1109" spans="1:29" x14ac:dyDescent="0.2">
      <c r="A1109" s="39"/>
      <c r="B1109" s="36" t="str">
        <f t="shared" ref="B1109:B1119" si="237">+B1096</f>
        <v>gas</v>
      </c>
      <c r="C1109" s="38" t="s">
        <v>1222</v>
      </c>
      <c r="D1109" s="152"/>
      <c r="E1109" s="400"/>
      <c r="F1109" s="400"/>
      <c r="G1109" s="400"/>
      <c r="H1109" s="400"/>
      <c r="I1109" s="62" t="str">
        <f t="shared" ref="I1109:I1120" si="238">+_En_unit</f>
        <v>kWh</v>
      </c>
      <c r="J1109" s="500" t="e">
        <f t="shared" ref="J1109:J1120" si="239">INDEX(K1109:N1109,,_case_en)</f>
        <v>#N/A</v>
      </c>
      <c r="K1109" s="270" t="e">
        <f t="shared" ref="K1109:N1119" si="240">+K1096-K1083</f>
        <v>#N/A</v>
      </c>
      <c r="L1109" s="271" t="e">
        <f t="shared" si="240"/>
        <v>#N/A</v>
      </c>
      <c r="M1109" s="271" t="e">
        <f t="shared" si="240"/>
        <v>#N/A</v>
      </c>
      <c r="N1109" s="272" t="e">
        <f t="shared" si="240"/>
        <v>#N/A</v>
      </c>
      <c r="O1109" s="86"/>
      <c r="R1109" s="271"/>
      <c r="S1109" s="271"/>
      <c r="T1109" s="271"/>
      <c r="U1109" s="271"/>
      <c r="V1109" s="271"/>
      <c r="W1109" s="271"/>
      <c r="X1109" s="271"/>
      <c r="Y1109" s="271"/>
      <c r="Z1109" s="271"/>
      <c r="AA1109" s="271"/>
      <c r="AB1109" s="271"/>
      <c r="AC1109" s="271"/>
    </row>
    <row r="1110" spans="1:29" x14ac:dyDescent="0.2">
      <c r="A1110" s="39"/>
      <c r="B1110" s="36" t="str">
        <f t="shared" si="237"/>
        <v>oil</v>
      </c>
      <c r="C1110" s="38" t="s">
        <v>1223</v>
      </c>
      <c r="D1110" s="152"/>
      <c r="E1110" s="400"/>
      <c r="F1110" s="400"/>
      <c r="G1110" s="400"/>
      <c r="H1110" s="400"/>
      <c r="I1110" s="62" t="str">
        <f t="shared" si="238"/>
        <v>kWh</v>
      </c>
      <c r="J1110" s="500" t="e">
        <f t="shared" si="239"/>
        <v>#N/A</v>
      </c>
      <c r="K1110" s="270" t="e">
        <f t="shared" si="240"/>
        <v>#N/A</v>
      </c>
      <c r="L1110" s="271" t="e">
        <f t="shared" si="240"/>
        <v>#N/A</v>
      </c>
      <c r="M1110" s="271" t="e">
        <f t="shared" si="240"/>
        <v>#N/A</v>
      </c>
      <c r="N1110" s="272" t="e">
        <f t="shared" si="240"/>
        <v>#N/A</v>
      </c>
      <c r="O1110" s="86"/>
      <c r="R1110" s="271"/>
      <c r="S1110" s="271"/>
      <c r="T1110" s="271"/>
      <c r="U1110" s="271"/>
      <c r="V1110" s="271"/>
      <c r="W1110" s="271"/>
      <c r="X1110" s="271"/>
      <c r="Y1110" s="271"/>
      <c r="Z1110" s="271"/>
      <c r="AA1110" s="271"/>
      <c r="AB1110" s="271"/>
      <c r="AC1110" s="271"/>
    </row>
    <row r="1111" spans="1:29" x14ac:dyDescent="0.2">
      <c r="A1111" s="39"/>
      <c r="B1111" s="36" t="str">
        <f t="shared" si="237"/>
        <v>coal</v>
      </c>
      <c r="C1111" s="38" t="s">
        <v>1224</v>
      </c>
      <c r="D1111" s="152"/>
      <c r="E1111" s="400"/>
      <c r="F1111" s="400"/>
      <c r="G1111" s="400"/>
      <c r="H1111" s="400"/>
      <c r="I1111" s="62" t="str">
        <f t="shared" si="238"/>
        <v>kWh</v>
      </c>
      <c r="J1111" s="500" t="e">
        <f t="shared" si="239"/>
        <v>#N/A</v>
      </c>
      <c r="K1111" s="270" t="e">
        <f t="shared" si="240"/>
        <v>#N/A</v>
      </c>
      <c r="L1111" s="271" t="e">
        <f t="shared" si="240"/>
        <v>#N/A</v>
      </c>
      <c r="M1111" s="271" t="e">
        <f t="shared" si="240"/>
        <v>#N/A</v>
      </c>
      <c r="N1111" s="272" t="e">
        <f t="shared" si="240"/>
        <v>#N/A</v>
      </c>
      <c r="O1111" s="86"/>
      <c r="R1111" s="271"/>
      <c r="S1111" s="271"/>
      <c r="T1111" s="271"/>
      <c r="U1111" s="271"/>
      <c r="V1111" s="271"/>
      <c r="W1111" s="271"/>
      <c r="X1111" s="271"/>
      <c r="Y1111" s="271"/>
      <c r="Z1111" s="271"/>
      <c r="AA1111" s="271"/>
      <c r="AB1111" s="271"/>
      <c r="AC1111" s="271"/>
    </row>
    <row r="1112" spans="1:29" x14ac:dyDescent="0.2">
      <c r="A1112" s="39"/>
      <c r="B1112" s="36" t="str">
        <f t="shared" si="237"/>
        <v>wood</v>
      </c>
      <c r="C1112" s="38" t="s">
        <v>1225</v>
      </c>
      <c r="D1112" s="152"/>
      <c r="E1112" s="400"/>
      <c r="F1112" s="400"/>
      <c r="G1112" s="400"/>
      <c r="H1112" s="400"/>
      <c r="I1112" s="62" t="str">
        <f t="shared" si="238"/>
        <v>kWh</v>
      </c>
      <c r="J1112" s="500" t="e">
        <f t="shared" si="239"/>
        <v>#N/A</v>
      </c>
      <c r="K1112" s="270" t="e">
        <f t="shared" si="240"/>
        <v>#N/A</v>
      </c>
      <c r="L1112" s="271" t="e">
        <f t="shared" si="240"/>
        <v>#N/A</v>
      </c>
      <c r="M1112" s="271" t="e">
        <f t="shared" si="240"/>
        <v>#N/A</v>
      </c>
      <c r="N1112" s="272" t="e">
        <f t="shared" si="240"/>
        <v>#N/A</v>
      </c>
      <c r="O1112" s="86"/>
      <c r="R1112" s="271"/>
      <c r="S1112" s="271"/>
      <c r="T1112" s="271"/>
      <c r="U1112" s="271"/>
      <c r="V1112" s="271"/>
      <c r="W1112" s="271"/>
      <c r="X1112" s="271"/>
      <c r="Y1112" s="271"/>
      <c r="Z1112" s="271"/>
      <c r="AA1112" s="271"/>
      <c r="AB1112" s="271"/>
      <c r="AC1112" s="271"/>
    </row>
    <row r="1113" spans="1:29" x14ac:dyDescent="0.2">
      <c r="A1113" s="39"/>
      <c r="B1113" s="36" t="str">
        <f t="shared" si="237"/>
        <v>biomass</v>
      </c>
      <c r="C1113" s="38" t="s">
        <v>1226</v>
      </c>
      <c r="D1113" s="152"/>
      <c r="E1113" s="400"/>
      <c r="F1113" s="400"/>
      <c r="G1113" s="400"/>
      <c r="H1113" s="400"/>
      <c r="I1113" s="62" t="str">
        <f t="shared" si="238"/>
        <v>kWh</v>
      </c>
      <c r="J1113" s="500" t="e">
        <f t="shared" si="239"/>
        <v>#N/A</v>
      </c>
      <c r="K1113" s="270" t="e">
        <f t="shared" si="240"/>
        <v>#N/A</v>
      </c>
      <c r="L1113" s="271" t="e">
        <f t="shared" si="240"/>
        <v>#N/A</v>
      </c>
      <c r="M1113" s="271" t="e">
        <f t="shared" si="240"/>
        <v>#N/A</v>
      </c>
      <c r="N1113" s="272" t="e">
        <f t="shared" si="240"/>
        <v>#N/A</v>
      </c>
      <c r="O1113" s="86"/>
      <c r="R1113" s="271"/>
      <c r="S1113" s="271"/>
      <c r="T1113" s="271"/>
      <c r="U1113" s="271"/>
      <c r="V1113" s="271"/>
      <c r="W1113" s="271"/>
      <c r="X1113" s="271"/>
      <c r="Y1113" s="271"/>
      <c r="Z1113" s="271"/>
      <c r="AA1113" s="271"/>
      <c r="AB1113" s="271"/>
      <c r="AC1113" s="271"/>
    </row>
    <row r="1114" spans="1:29" x14ac:dyDescent="0.2">
      <c r="A1114" s="39"/>
      <c r="B1114" s="36" t="str">
        <f t="shared" si="237"/>
        <v>custom</v>
      </c>
      <c r="C1114" s="38" t="s">
        <v>1227</v>
      </c>
      <c r="D1114" s="152"/>
      <c r="E1114" s="400"/>
      <c r="F1114" s="400"/>
      <c r="G1114" s="400"/>
      <c r="H1114" s="400"/>
      <c r="I1114" s="62" t="str">
        <f t="shared" si="238"/>
        <v>kWh</v>
      </c>
      <c r="J1114" s="500" t="e">
        <f t="shared" si="239"/>
        <v>#N/A</v>
      </c>
      <c r="K1114" s="270" t="e">
        <f t="shared" si="240"/>
        <v>#N/A</v>
      </c>
      <c r="L1114" s="271" t="e">
        <f t="shared" si="240"/>
        <v>#N/A</v>
      </c>
      <c r="M1114" s="271" t="e">
        <f t="shared" si="240"/>
        <v>#N/A</v>
      </c>
      <c r="N1114" s="272" t="e">
        <f t="shared" si="240"/>
        <v>#N/A</v>
      </c>
      <c r="O1114" s="86"/>
      <c r="R1114" s="271"/>
      <c r="S1114" s="271"/>
      <c r="T1114" s="271"/>
      <c r="U1114" s="271"/>
      <c r="V1114" s="271"/>
      <c r="W1114" s="271"/>
      <c r="X1114" s="271"/>
      <c r="Y1114" s="271"/>
      <c r="Z1114" s="271"/>
      <c r="AA1114" s="271"/>
      <c r="AB1114" s="271"/>
      <c r="AC1114" s="271"/>
    </row>
    <row r="1115" spans="1:29" x14ac:dyDescent="0.2">
      <c r="A1115" s="39"/>
      <c r="B1115" s="36" t="str">
        <f t="shared" si="237"/>
        <v>District heating</v>
      </c>
      <c r="C1115" s="38" t="s">
        <v>1228</v>
      </c>
      <c r="D1115" s="152"/>
      <c r="E1115" s="400"/>
      <c r="F1115" s="400"/>
      <c r="G1115" s="400"/>
      <c r="H1115" s="400"/>
      <c r="I1115" s="62" t="str">
        <f t="shared" si="238"/>
        <v>kWh</v>
      </c>
      <c r="J1115" s="500" t="e">
        <f t="shared" si="239"/>
        <v>#N/A</v>
      </c>
      <c r="K1115" s="270" t="e">
        <f t="shared" si="240"/>
        <v>#N/A</v>
      </c>
      <c r="L1115" s="271" t="e">
        <f t="shared" si="240"/>
        <v>#N/A</v>
      </c>
      <c r="M1115" s="271" t="e">
        <f t="shared" si="240"/>
        <v>#N/A</v>
      </c>
      <c r="N1115" s="272" t="e">
        <f t="shared" si="240"/>
        <v>#N/A</v>
      </c>
      <c r="O1115" s="86"/>
      <c r="R1115" s="271"/>
      <c r="S1115" s="271"/>
      <c r="T1115" s="271"/>
      <c r="U1115" s="271"/>
      <c r="V1115" s="271"/>
      <c r="W1115" s="271"/>
      <c r="X1115" s="271"/>
      <c r="Y1115" s="271"/>
      <c r="Z1115" s="271"/>
      <c r="AA1115" s="271"/>
      <c r="AB1115" s="271"/>
      <c r="AC1115" s="271"/>
    </row>
    <row r="1116" spans="1:29" x14ac:dyDescent="0.2">
      <c r="A1116" s="39"/>
      <c r="B1116" s="36" t="str">
        <f t="shared" si="237"/>
        <v>District cooling</v>
      </c>
      <c r="C1116" s="38" t="s">
        <v>1229</v>
      </c>
      <c r="D1116" s="152"/>
      <c r="E1116" s="400"/>
      <c r="F1116" s="400"/>
      <c r="G1116" s="400"/>
      <c r="H1116" s="400"/>
      <c r="I1116" s="62" t="str">
        <f t="shared" si="238"/>
        <v>kWh</v>
      </c>
      <c r="J1116" s="500" t="e">
        <f t="shared" si="239"/>
        <v>#N/A</v>
      </c>
      <c r="K1116" s="270" t="e">
        <f t="shared" si="240"/>
        <v>#N/A</v>
      </c>
      <c r="L1116" s="271" t="e">
        <f t="shared" si="240"/>
        <v>#N/A</v>
      </c>
      <c r="M1116" s="271" t="e">
        <f t="shared" si="240"/>
        <v>#N/A</v>
      </c>
      <c r="N1116" s="272" t="e">
        <f t="shared" si="240"/>
        <v>#N/A</v>
      </c>
      <c r="O1116" s="86"/>
      <c r="R1116" s="271"/>
      <c r="S1116" s="271"/>
      <c r="T1116" s="271"/>
      <c r="U1116" s="271"/>
      <c r="V1116" s="271"/>
      <c r="W1116" s="271"/>
      <c r="X1116" s="271"/>
      <c r="Y1116" s="271"/>
      <c r="Z1116" s="271"/>
      <c r="AA1116" s="271"/>
      <c r="AB1116" s="271"/>
      <c r="AC1116" s="271"/>
    </row>
    <row r="1117" spans="1:29" x14ac:dyDescent="0.2">
      <c r="A1117" s="39"/>
      <c r="B1117" s="36" t="str">
        <f t="shared" si="237"/>
        <v>Environment heat</v>
      </c>
      <c r="C1117" s="38" t="s">
        <v>1230</v>
      </c>
      <c r="D1117" s="152"/>
      <c r="E1117" s="400"/>
      <c r="F1117" s="400"/>
      <c r="G1117" s="400"/>
      <c r="H1117" s="400"/>
      <c r="I1117" s="62" t="str">
        <f t="shared" si="238"/>
        <v>kWh</v>
      </c>
      <c r="J1117" s="500" t="e">
        <f t="shared" si="239"/>
        <v>#N/A</v>
      </c>
      <c r="K1117" s="270" t="e">
        <f t="shared" si="240"/>
        <v>#N/A</v>
      </c>
      <c r="L1117" s="271" t="e">
        <f t="shared" si="240"/>
        <v>#N/A</v>
      </c>
      <c r="M1117" s="271" t="e">
        <f t="shared" si="240"/>
        <v>#N/A</v>
      </c>
      <c r="N1117" s="272" t="e">
        <f t="shared" si="240"/>
        <v>#N/A</v>
      </c>
      <c r="O1117" s="86"/>
      <c r="R1117" s="271"/>
      <c r="S1117" s="271"/>
      <c r="T1117" s="271"/>
      <c r="U1117" s="271"/>
      <c r="V1117" s="271"/>
      <c r="W1117" s="271"/>
      <c r="X1117" s="271"/>
      <c r="Y1117" s="271"/>
      <c r="Z1117" s="271"/>
      <c r="AA1117" s="271"/>
      <c r="AB1117" s="271"/>
      <c r="AC1117" s="271"/>
    </row>
    <row r="1118" spans="1:29" x14ac:dyDescent="0.2">
      <c r="A1118" s="39"/>
      <c r="B1118" s="36" t="e">
        <f t="shared" si="237"/>
        <v>#REF!</v>
      </c>
      <c r="C1118" s="38" t="s">
        <v>1231</v>
      </c>
      <c r="D1118" s="152"/>
      <c r="E1118" s="400"/>
      <c r="F1118" s="400"/>
      <c r="G1118" s="400"/>
      <c r="H1118" s="400"/>
      <c r="I1118" s="62" t="str">
        <f t="shared" si="238"/>
        <v>kWh</v>
      </c>
      <c r="J1118" s="500" t="e">
        <f t="shared" si="239"/>
        <v>#REF!</v>
      </c>
      <c r="K1118" s="270" t="e">
        <f t="shared" si="240"/>
        <v>#REF!</v>
      </c>
      <c r="L1118" s="271" t="e">
        <f t="shared" si="240"/>
        <v>#REF!</v>
      </c>
      <c r="M1118" s="271" t="e">
        <f t="shared" si="240"/>
        <v>#REF!</v>
      </c>
      <c r="N1118" s="272" t="e">
        <f t="shared" si="240"/>
        <v>#REF!</v>
      </c>
      <c r="O1118" s="86"/>
      <c r="R1118" s="271"/>
      <c r="S1118" s="271"/>
      <c r="T1118" s="271"/>
      <c r="U1118" s="271"/>
      <c r="V1118" s="271"/>
      <c r="W1118" s="271"/>
      <c r="X1118" s="271"/>
      <c r="Y1118" s="271"/>
      <c r="Z1118" s="271"/>
      <c r="AA1118" s="271"/>
      <c r="AB1118" s="271"/>
      <c r="AC1118" s="271"/>
    </row>
    <row r="1119" spans="1:29" x14ac:dyDescent="0.2">
      <c r="A1119" s="39"/>
      <c r="B1119" s="36" t="str">
        <f t="shared" si="237"/>
        <v>Electricity</v>
      </c>
      <c r="C1119" s="38" t="s">
        <v>1232</v>
      </c>
      <c r="D1119" s="229"/>
      <c r="E1119" s="401"/>
      <c r="F1119" s="401"/>
      <c r="G1119" s="401"/>
      <c r="H1119" s="401"/>
      <c r="I1119" s="168" t="str">
        <f t="shared" si="238"/>
        <v>kWh</v>
      </c>
      <c r="J1119" s="507" t="e">
        <f t="shared" si="239"/>
        <v>#REF!</v>
      </c>
      <c r="K1119" s="286" t="e">
        <f t="shared" si="240"/>
        <v>#REF!</v>
      </c>
      <c r="L1119" s="287" t="e">
        <f t="shared" si="240"/>
        <v>#REF!</v>
      </c>
      <c r="M1119" s="287" t="e">
        <f t="shared" si="240"/>
        <v>#REF!</v>
      </c>
      <c r="N1119" s="288" t="e">
        <f t="shared" si="240"/>
        <v>#REF!</v>
      </c>
      <c r="O1119" s="232"/>
      <c r="R1119" s="287"/>
      <c r="S1119" s="287"/>
      <c r="T1119" s="287"/>
      <c r="U1119" s="287"/>
      <c r="V1119" s="287"/>
      <c r="W1119" s="287"/>
      <c r="X1119" s="287"/>
      <c r="Y1119" s="287"/>
      <c r="Z1119" s="287"/>
      <c r="AA1119" s="287"/>
      <c r="AB1119" s="287"/>
      <c r="AC1119" s="287"/>
    </row>
    <row r="1120" spans="1:29" ht="13.5" thickBot="1" x14ac:dyDescent="0.25">
      <c r="A1120" s="39"/>
      <c r="B1120" s="571" t="str">
        <f>INDEX(Language!D312:M312,1,_language)</f>
        <v>Total renewable  primary energy</v>
      </c>
      <c r="C1120" s="264" t="s">
        <v>1233</v>
      </c>
      <c r="D1120" s="222"/>
      <c r="E1120" s="403"/>
      <c r="F1120" s="403"/>
      <c r="G1120" s="403"/>
      <c r="H1120" s="403"/>
      <c r="I1120" s="223" t="str">
        <f t="shared" si="238"/>
        <v>kWh</v>
      </c>
      <c r="J1120" s="538" t="e">
        <f t="shared" si="239"/>
        <v>#N/A</v>
      </c>
      <c r="K1120" s="277" t="e">
        <f>SUM(K1109:K1119)</f>
        <v>#N/A</v>
      </c>
      <c r="L1120" s="278" t="e">
        <f>SUM(L1109:L1119)</f>
        <v>#N/A</v>
      </c>
      <c r="M1120" s="278" t="e">
        <f>SUM(M1109:M1119)</f>
        <v>#N/A</v>
      </c>
      <c r="N1120" s="279" t="e">
        <f>SUM(N1109:N1119)</f>
        <v>#N/A</v>
      </c>
      <c r="O1120" s="280"/>
      <c r="R1120" s="278"/>
      <c r="S1120" s="278"/>
      <c r="T1120" s="278"/>
      <c r="U1120" s="278"/>
      <c r="V1120" s="278"/>
      <c r="W1120" s="278"/>
      <c r="X1120" s="278"/>
      <c r="Y1120" s="278"/>
      <c r="Z1120" s="278"/>
      <c r="AA1120" s="278"/>
      <c r="AB1120" s="278"/>
      <c r="AC1120" s="278"/>
    </row>
    <row r="1121" spans="1:29" ht="13.5" thickBot="1" x14ac:dyDescent="0.25">
      <c r="A1121" s="39"/>
      <c r="B1121" s="107"/>
      <c r="C1121" s="108"/>
      <c r="D1121" s="387"/>
      <c r="E1121" s="405"/>
      <c r="F1121" s="405"/>
      <c r="G1121" s="405"/>
      <c r="H1121" s="405"/>
      <c r="I1121" s="166"/>
      <c r="J1121" s="513"/>
      <c r="K1121" s="542"/>
      <c r="L1121" s="543"/>
      <c r="M1121" s="543"/>
      <c r="N1121" s="544"/>
      <c r="O1121" s="303"/>
      <c r="R1121" s="543"/>
      <c r="S1121" s="543"/>
      <c r="T1121" s="543"/>
      <c r="U1121" s="543"/>
      <c r="V1121" s="543"/>
      <c r="W1121" s="543"/>
      <c r="X1121" s="543"/>
      <c r="Y1121" s="543"/>
      <c r="Z1121" s="543"/>
      <c r="AA1121" s="543"/>
      <c r="AB1121" s="543"/>
      <c r="AC1121" s="543"/>
    </row>
    <row r="1122" spans="1:29" ht="22.5" customHeight="1" thickBot="1" x14ac:dyDescent="0.25">
      <c r="A1122" s="39"/>
      <c r="B1122" s="526" t="str">
        <f>INDEX(Language!$D$314:$M$314,1,_language)</f>
        <v>PRIMARY ENERGY CALCULATION, PER GENERATOR</v>
      </c>
      <c r="C1122" s="527"/>
      <c r="D1122" s="528"/>
      <c r="E1122" s="528"/>
      <c r="F1122" s="528"/>
      <c r="G1122" s="528"/>
      <c r="H1122" s="528"/>
      <c r="I1122" s="529"/>
      <c r="J1122" s="529"/>
      <c r="K1122" s="529"/>
      <c r="L1122" s="529"/>
      <c r="M1122" s="529"/>
      <c r="N1122" s="529"/>
      <c r="O1122" s="530"/>
      <c r="R1122" s="529"/>
      <c r="S1122" s="529"/>
      <c r="T1122" s="529"/>
      <c r="U1122" s="529"/>
      <c r="V1122" s="529"/>
      <c r="W1122" s="529"/>
      <c r="X1122" s="529"/>
      <c r="Y1122" s="529"/>
      <c r="Z1122" s="529"/>
      <c r="AA1122" s="529"/>
      <c r="AB1122" s="529"/>
      <c r="AC1122" s="529"/>
    </row>
    <row r="1123" spans="1:29" x14ac:dyDescent="0.2">
      <c r="A1123" s="39"/>
      <c r="B1123" s="487" t="str">
        <f>INDEX(Language!D322:M322,1,_language)</f>
        <v>Thermal solar delivered energy</v>
      </c>
      <c r="C1123" s="254"/>
      <c r="D1123" s="214"/>
      <c r="E1123" s="399"/>
      <c r="F1123" s="399"/>
      <c r="G1123" s="399"/>
      <c r="H1123" s="399"/>
      <c r="I1123" s="215"/>
      <c r="J1123" s="315">
        <f t="shared" ref="J1123:J1170" si="241">INDEX(K1123:N1123,,_case_en)</f>
        <v>1042.3529411764705</v>
      </c>
      <c r="K1123" s="216">
        <f>+K229</f>
        <v>4878.4313725490192</v>
      </c>
      <c r="L1123" s="217">
        <f>+L229</f>
        <v>0</v>
      </c>
      <c r="M1123" s="217">
        <f>+M229</f>
        <v>6188.2352941176459</v>
      </c>
      <c r="N1123" s="218">
        <f>+N229</f>
        <v>1042.3529411764705</v>
      </c>
      <c r="O1123" s="256"/>
      <c r="R1123" s="217"/>
      <c r="S1123" s="217"/>
      <c r="T1123" s="217"/>
      <c r="U1123" s="217"/>
      <c r="V1123" s="217"/>
      <c r="W1123" s="217"/>
      <c r="X1123" s="217"/>
      <c r="Y1123" s="217"/>
      <c r="Z1123" s="217"/>
      <c r="AA1123" s="217"/>
      <c r="AB1123" s="217"/>
      <c r="AC1123" s="217"/>
    </row>
    <row r="1124" spans="1:29" outlineLevel="1" x14ac:dyDescent="0.2">
      <c r="A1124" s="39"/>
      <c r="B1124" s="36" t="str">
        <f>INDEX(Language!$D$315:$M$315,1,_language)</f>
        <v>Energy carrier</v>
      </c>
      <c r="C1124" s="38"/>
      <c r="D1124" s="152"/>
      <c r="E1124" s="406" t="str">
        <f>+K1124</f>
        <v>sol</v>
      </c>
      <c r="F1124" s="406" t="str">
        <f>+L1124</f>
        <v>sol</v>
      </c>
      <c r="G1124" s="406" t="str">
        <f>+M1124</f>
        <v>sol</v>
      </c>
      <c r="H1124" s="406" t="str">
        <f>+N1124</f>
        <v>sol</v>
      </c>
      <c r="I1124" s="62"/>
      <c r="J1124" s="509" t="str">
        <f t="shared" si="241"/>
        <v>sol</v>
      </c>
      <c r="K1124" s="504" t="s">
        <v>1160</v>
      </c>
      <c r="L1124" s="505" t="s">
        <v>1160</v>
      </c>
      <c r="M1124" s="505" t="s">
        <v>1160</v>
      </c>
      <c r="N1124" s="506" t="s">
        <v>1160</v>
      </c>
      <c r="O1124" s="86"/>
      <c r="R1124" s="505"/>
      <c r="S1124" s="505"/>
      <c r="T1124" s="505"/>
      <c r="U1124" s="505"/>
      <c r="V1124" s="505"/>
      <c r="W1124" s="505"/>
      <c r="X1124" s="505"/>
      <c r="Y1124" s="505"/>
      <c r="Z1124" s="505"/>
      <c r="AA1124" s="505"/>
      <c r="AB1124" s="505"/>
      <c r="AC1124" s="505"/>
    </row>
    <row r="1125" spans="1:29" outlineLevel="1" x14ac:dyDescent="0.2">
      <c r="A1125" s="39"/>
      <c r="B1125" s="36" t="str">
        <f>INDEX(Language!$D$316:$M$316,1,_language)</f>
        <v>Non renewable factor</v>
      </c>
      <c r="C1125" s="38"/>
      <c r="D1125" s="152"/>
      <c r="E1125" s="400"/>
      <c r="F1125" s="400"/>
      <c r="G1125" s="400"/>
      <c r="H1125" s="400"/>
      <c r="I1125" s="62"/>
      <c r="J1125" s="486" t="e">
        <f t="shared" si="241"/>
        <v>#REF!</v>
      </c>
      <c r="K1125" s="497" t="e">
        <f>INDEX(K$937:K$965,MATCH(K1124,$D$937:$D$965,0))</f>
        <v>#REF!</v>
      </c>
      <c r="L1125" s="498" t="e">
        <f>INDEX(L$937:L$965,MATCH(L1124,$D$937:$D$965,0))</f>
        <v>#REF!</v>
      </c>
      <c r="M1125" s="498" t="e">
        <f>INDEX(M$937:M$965,MATCH(M1124,$D$937:$D$965,0))</f>
        <v>#REF!</v>
      </c>
      <c r="N1125" s="499" t="e">
        <f>INDEX(N$937:N$965,MATCH(N1124,$D$937:$D$965,0))</f>
        <v>#REF!</v>
      </c>
      <c r="O1125" s="86"/>
      <c r="R1125" s="498"/>
      <c r="S1125" s="498"/>
      <c r="T1125" s="498"/>
      <c r="U1125" s="498"/>
      <c r="V1125" s="498"/>
      <c r="W1125" s="498"/>
      <c r="X1125" s="498"/>
      <c r="Y1125" s="498"/>
      <c r="Z1125" s="498"/>
      <c r="AA1125" s="498"/>
      <c r="AB1125" s="498"/>
      <c r="AC1125" s="498"/>
    </row>
    <row r="1126" spans="1:29" outlineLevel="1" x14ac:dyDescent="0.2">
      <c r="A1126" s="39"/>
      <c r="B1126" s="36" t="str">
        <f>INDEX(Language!$D$317:$M$317,1,_language)</f>
        <v>Total factor</v>
      </c>
      <c r="C1126" s="38"/>
      <c r="D1126" s="152"/>
      <c r="E1126" s="400"/>
      <c r="F1126" s="400"/>
      <c r="G1126" s="400"/>
      <c r="H1126" s="400"/>
      <c r="I1126" s="62"/>
      <c r="J1126" s="486" t="e">
        <f t="shared" si="241"/>
        <v>#REF!</v>
      </c>
      <c r="K1126" s="497" t="e">
        <f>INDEX(K$999:K$1028,MATCH(K1124,$D$999:$D$1028,0))</f>
        <v>#REF!</v>
      </c>
      <c r="L1126" s="498" t="e">
        <f>INDEX(L$999:L$1028,MATCH(L1124,$D$999:$D$1028,0))</f>
        <v>#REF!</v>
      </c>
      <c r="M1126" s="498" t="e">
        <f>INDEX(M$999:M$1028,MATCH(M1124,$D$999:$D$1028,0))</f>
        <v>#REF!</v>
      </c>
      <c r="N1126" s="499" t="e">
        <f>INDEX(N$999:N$1028,MATCH(N1124,$D$999:$D$1028,0))</f>
        <v>#REF!</v>
      </c>
      <c r="O1126" s="86"/>
      <c r="R1126" s="498"/>
      <c r="S1126" s="498"/>
      <c r="T1126" s="498"/>
      <c r="U1126" s="498"/>
      <c r="V1126" s="498"/>
      <c r="W1126" s="498"/>
      <c r="X1126" s="498"/>
      <c r="Y1126" s="498"/>
      <c r="Z1126" s="498"/>
      <c r="AA1126" s="498"/>
      <c r="AB1126" s="498"/>
      <c r="AC1126" s="498"/>
    </row>
    <row r="1127" spans="1:29" outlineLevel="1" x14ac:dyDescent="0.2">
      <c r="A1127" s="39"/>
      <c r="B1127" s="36" t="str">
        <f>INDEX(Language!$D$318:$M$318,1,_language)</f>
        <v>Auxiliary energy</v>
      </c>
      <c r="C1127" s="38"/>
      <c r="D1127" s="152"/>
      <c r="E1127" s="400"/>
      <c r="F1127" s="400"/>
      <c r="G1127" s="400"/>
      <c r="H1127" s="400"/>
      <c r="I1127" s="62"/>
      <c r="J1127" s="500">
        <f t="shared" si="241"/>
        <v>26.58</v>
      </c>
      <c r="K1127" s="270">
        <f>+K215</f>
        <v>124.4</v>
      </c>
      <c r="L1127" s="271">
        <f>+L215</f>
        <v>0</v>
      </c>
      <c r="M1127" s="271">
        <f>+M215</f>
        <v>157.80000000000001</v>
      </c>
      <c r="N1127" s="272">
        <f>+N215</f>
        <v>26.58</v>
      </c>
      <c r="O1127" s="86"/>
      <c r="R1127" s="271"/>
      <c r="S1127" s="271"/>
      <c r="T1127" s="271"/>
      <c r="U1127" s="271"/>
      <c r="V1127" s="271"/>
      <c r="W1127" s="271"/>
      <c r="X1127" s="271"/>
      <c r="Y1127" s="271"/>
      <c r="Z1127" s="271"/>
      <c r="AA1127" s="271"/>
      <c r="AB1127" s="271"/>
      <c r="AC1127" s="271"/>
    </row>
    <row r="1128" spans="1:29" x14ac:dyDescent="0.2">
      <c r="A1128" s="39"/>
      <c r="B1128" s="36" t="str">
        <f>INDEX(Language!$D$319:$M$319,1,_language)</f>
        <v>Non renewable primary energy</v>
      </c>
      <c r="C1128" s="38"/>
      <c r="D1128" s="152"/>
      <c r="E1128" s="400"/>
      <c r="F1128" s="400"/>
      <c r="G1128" s="400"/>
      <c r="H1128" s="400"/>
      <c r="I1128" s="62" t="str">
        <f>+_En_unit</f>
        <v>kWh</v>
      </c>
      <c r="J1128" s="500" t="e">
        <f t="shared" si="241"/>
        <v>#REF!</v>
      </c>
      <c r="K1128" s="270" t="e">
        <f>+K1123*K1125+K$965*K1127</f>
        <v>#REF!</v>
      </c>
      <c r="L1128" s="271" t="e">
        <f>+L1123*L1125+L$965*L1127</f>
        <v>#REF!</v>
      </c>
      <c r="M1128" s="271" t="e">
        <f>+M1123*M1125+M$965*M1127</f>
        <v>#REF!</v>
      </c>
      <c r="N1128" s="272" t="e">
        <f>+N1123*N1125+N$965*N1127</f>
        <v>#REF!</v>
      </c>
      <c r="O1128" s="86"/>
      <c r="R1128" s="271"/>
      <c r="S1128" s="271"/>
      <c r="T1128" s="271"/>
      <c r="U1128" s="271"/>
      <c r="V1128" s="271"/>
      <c r="W1128" s="271"/>
      <c r="X1128" s="271"/>
      <c r="Y1128" s="271"/>
      <c r="Z1128" s="271"/>
      <c r="AA1128" s="271"/>
      <c r="AB1128" s="271"/>
      <c r="AC1128" s="271"/>
    </row>
    <row r="1129" spans="1:29" ht="13.5" thickBot="1" x14ac:dyDescent="0.25">
      <c r="A1129" s="39"/>
      <c r="B1129" s="263" t="str">
        <f>INDEX(Language!$D$320:$M$320,1,_language)</f>
        <v>Total primary energy</v>
      </c>
      <c r="C1129" s="264"/>
      <c r="D1129" s="222"/>
      <c r="E1129" s="403"/>
      <c r="F1129" s="403"/>
      <c r="G1129" s="403"/>
      <c r="H1129" s="403"/>
      <c r="I1129" s="223" t="str">
        <f>+_En_unit</f>
        <v>kWh</v>
      </c>
      <c r="J1129" s="538" t="e">
        <f t="shared" si="241"/>
        <v>#REF!</v>
      </c>
      <c r="K1129" s="277" t="e">
        <f>+K1123*K1126+K1127*K$1027</f>
        <v>#REF!</v>
      </c>
      <c r="L1129" s="278" t="e">
        <f>+L1123*L1126+L1127*L$1027</f>
        <v>#REF!</v>
      </c>
      <c r="M1129" s="278" t="e">
        <f>+M1123*M1126+M1127*M$1027</f>
        <v>#REF!</v>
      </c>
      <c r="N1129" s="279" t="e">
        <f>+N1123*N1126+N1127*N$1027</f>
        <v>#REF!</v>
      </c>
      <c r="O1129" s="280"/>
      <c r="R1129" s="278"/>
      <c r="S1129" s="278"/>
      <c r="T1129" s="278"/>
      <c r="U1129" s="278"/>
      <c r="V1129" s="278"/>
      <c r="W1129" s="278"/>
      <c r="X1129" s="278"/>
      <c r="Y1129" s="278"/>
      <c r="Z1129" s="278"/>
      <c r="AA1129" s="278"/>
      <c r="AB1129" s="278"/>
      <c r="AC1129" s="278"/>
    </row>
    <row r="1130" spans="1:29" x14ac:dyDescent="0.2">
      <c r="A1130" s="39"/>
      <c r="B1130" s="487" t="str">
        <f>INDEX(Language!D210:M210,1,_language)</f>
        <v>Cogenerator input</v>
      </c>
      <c r="C1130" s="254"/>
      <c r="D1130" s="214"/>
      <c r="E1130" s="399"/>
      <c r="F1130" s="399"/>
      <c r="G1130" s="399"/>
      <c r="H1130" s="399"/>
      <c r="I1130" s="215"/>
      <c r="J1130" s="315">
        <f t="shared" si="241"/>
        <v>1836.363636363636</v>
      </c>
      <c r="K1130" s="216">
        <f>+K291</f>
        <v>727.27272727272714</v>
      </c>
      <c r="L1130" s="217">
        <f>+L291</f>
        <v>18787.878787878788</v>
      </c>
      <c r="M1130" s="217">
        <f>+M291</f>
        <v>1272.7272727272725</v>
      </c>
      <c r="N1130" s="218">
        <f>+N291</f>
        <v>1836.363636363636</v>
      </c>
      <c r="O1130" s="256"/>
      <c r="R1130" s="217"/>
      <c r="S1130" s="217"/>
      <c r="T1130" s="217"/>
      <c r="U1130" s="217"/>
      <c r="V1130" s="217"/>
      <c r="W1130" s="217"/>
      <c r="X1130" s="217"/>
      <c r="Y1130" s="217"/>
      <c r="Z1130" s="217"/>
      <c r="AA1130" s="217"/>
      <c r="AB1130" s="217"/>
      <c r="AC1130" s="217"/>
    </row>
    <row r="1131" spans="1:29" x14ac:dyDescent="0.2">
      <c r="A1131" s="39"/>
      <c r="B1131" s="36" t="str">
        <f>INDEX(Language!$D$315:$M$315,1,_language)</f>
        <v>Energy carrier</v>
      </c>
      <c r="C1131" s="259"/>
      <c r="D1131" s="206"/>
      <c r="E1131" s="406" t="str">
        <f>+K1131</f>
        <v>gas</v>
      </c>
      <c r="F1131" s="406" t="str">
        <f>+L1131</f>
        <v>gas</v>
      </c>
      <c r="G1131" s="406" t="str">
        <f>+M1131</f>
        <v>gas</v>
      </c>
      <c r="H1131" s="406" t="str">
        <f>+N1131</f>
        <v>gas</v>
      </c>
      <c r="I1131" s="207"/>
      <c r="J1131" s="509" t="str">
        <f t="shared" si="241"/>
        <v>gas</v>
      </c>
      <c r="K1131" s="539" t="str">
        <f>+K277</f>
        <v>gas</v>
      </c>
      <c r="L1131" s="540" t="str">
        <f>+L277</f>
        <v>gas</v>
      </c>
      <c r="M1131" s="540" t="str">
        <f>+M277</f>
        <v>gas</v>
      </c>
      <c r="N1131" s="541" t="str">
        <f>+N277</f>
        <v>gas</v>
      </c>
      <c r="O1131" s="227"/>
      <c r="R1131" s="540"/>
      <c r="S1131" s="540"/>
      <c r="T1131" s="540"/>
      <c r="U1131" s="540"/>
      <c r="V1131" s="540"/>
      <c r="W1131" s="540"/>
      <c r="X1131" s="540"/>
      <c r="Y1131" s="540"/>
      <c r="Z1131" s="540"/>
      <c r="AA1131" s="540"/>
      <c r="AB1131" s="540"/>
      <c r="AC1131" s="540"/>
    </row>
    <row r="1132" spans="1:29" outlineLevel="1" x14ac:dyDescent="0.2">
      <c r="A1132" s="39"/>
      <c r="B1132" s="36" t="str">
        <f>INDEX(Language!$D$316:$M$316,1,_language)</f>
        <v>Non renewable factor</v>
      </c>
      <c r="C1132" s="259"/>
      <c r="D1132" s="206"/>
      <c r="E1132" s="402"/>
      <c r="F1132" s="402"/>
      <c r="G1132" s="402"/>
      <c r="H1132" s="402"/>
      <c r="I1132" s="207"/>
      <c r="J1132" s="486" t="e">
        <f t="shared" si="241"/>
        <v>#N/A</v>
      </c>
      <c r="K1132" s="497" t="e">
        <f>INDEX(K$937:K$965,MATCH(K1131,$D$937:$D$965,0))</f>
        <v>#N/A</v>
      </c>
      <c r="L1132" s="498" t="e">
        <f>INDEX(L$937:L$965,MATCH(L1131,$D$937:$D$965,0))</f>
        <v>#N/A</v>
      </c>
      <c r="M1132" s="498" t="e">
        <f>INDEX(M$937:M$965,MATCH(M1131,$D$937:$D$965,0))</f>
        <v>#N/A</v>
      </c>
      <c r="N1132" s="499" t="e">
        <f>INDEX(N$937:N$965,MATCH(N1131,$D$937:$D$965,0))</f>
        <v>#N/A</v>
      </c>
      <c r="O1132" s="227"/>
      <c r="R1132" s="498"/>
      <c r="S1132" s="498"/>
      <c r="T1132" s="498"/>
      <c r="U1132" s="498"/>
      <c r="V1132" s="498"/>
      <c r="W1132" s="498"/>
      <c r="X1132" s="498"/>
      <c r="Y1132" s="498"/>
      <c r="Z1132" s="498"/>
      <c r="AA1132" s="498"/>
      <c r="AB1132" s="498"/>
      <c r="AC1132" s="498"/>
    </row>
    <row r="1133" spans="1:29" outlineLevel="1" x14ac:dyDescent="0.2">
      <c r="A1133" s="39"/>
      <c r="B1133" s="36" t="str">
        <f>INDEX(Language!$D$317:$M$317,1,_language)</f>
        <v>Total factor</v>
      </c>
      <c r="C1133" s="259"/>
      <c r="D1133" s="206"/>
      <c r="E1133" s="402"/>
      <c r="F1133" s="402"/>
      <c r="G1133" s="402"/>
      <c r="H1133" s="402"/>
      <c r="I1133" s="207"/>
      <c r="J1133" s="486" t="e">
        <f t="shared" si="241"/>
        <v>#N/A</v>
      </c>
      <c r="K1133" s="497" t="e">
        <f>INDEX(K$999:K$1028,MATCH(K1131,$D$999:$D$1028,0))</f>
        <v>#N/A</v>
      </c>
      <c r="L1133" s="498" t="e">
        <f>INDEX(L$999:L$1028,MATCH(L1131,$D$999:$D$1028,0))</f>
        <v>#N/A</v>
      </c>
      <c r="M1133" s="498" t="e">
        <f>INDEX(M$999:M$1028,MATCH(M1131,$D$999:$D$1028,0))</f>
        <v>#N/A</v>
      </c>
      <c r="N1133" s="499" t="e">
        <f>INDEX(N$999:N$1028,MATCH(N1131,$D$999:$D$1028,0))</f>
        <v>#N/A</v>
      </c>
      <c r="O1133" s="227"/>
      <c r="R1133" s="498"/>
      <c r="S1133" s="498"/>
      <c r="T1133" s="498"/>
      <c r="U1133" s="498"/>
      <c r="V1133" s="498"/>
      <c r="W1133" s="498"/>
      <c r="X1133" s="498"/>
      <c r="Y1133" s="498"/>
      <c r="Z1133" s="498"/>
      <c r="AA1133" s="498"/>
      <c r="AB1133" s="498"/>
      <c r="AC1133" s="498"/>
    </row>
    <row r="1134" spans="1:29" ht="25.5" outlineLevel="1" x14ac:dyDescent="0.2">
      <c r="A1134" s="39"/>
      <c r="B1134" s="36" t="str">
        <f>INDEX(Language!$D$341:$M$341,1,_language)</f>
        <v>National option: separate CHP exported energy accounting</v>
      </c>
      <c r="C1134" s="259"/>
      <c r="D1134" s="206"/>
      <c r="E1134" s="402"/>
      <c r="F1134" s="402"/>
      <c r="G1134" s="402"/>
      <c r="H1134" s="402"/>
      <c r="I1134" s="207"/>
      <c r="J1134" s="500">
        <f t="shared" si="241"/>
        <v>0</v>
      </c>
      <c r="K1134" s="611">
        <f>+K640</f>
        <v>1</v>
      </c>
      <c r="L1134" s="612">
        <f>+L640</f>
        <v>1</v>
      </c>
      <c r="M1134" s="612">
        <f>+M640</f>
        <v>1</v>
      </c>
      <c r="N1134" s="169">
        <f>+N640</f>
        <v>0</v>
      </c>
      <c r="O1134" s="227" t="s">
        <v>1253</v>
      </c>
      <c r="R1134" s="498"/>
      <c r="S1134" s="498"/>
      <c r="T1134" s="498"/>
      <c r="U1134" s="498"/>
      <c r="V1134" s="498"/>
      <c r="W1134" s="498"/>
      <c r="X1134" s="498"/>
      <c r="Y1134" s="498"/>
      <c r="Z1134" s="498"/>
      <c r="AA1134" s="498"/>
      <c r="AB1134" s="498"/>
      <c r="AC1134" s="498"/>
    </row>
    <row r="1135" spans="1:29" outlineLevel="1" x14ac:dyDescent="0.2">
      <c r="A1135" s="39"/>
      <c r="B1135" s="36" t="str">
        <f>INDEX(Language!$D$261:$M$261,1,_language)</f>
        <v>Used CHP electricity</v>
      </c>
      <c r="C1135" s="259"/>
      <c r="D1135" s="206"/>
      <c r="E1135" s="402"/>
      <c r="F1135" s="402"/>
      <c r="G1135" s="402"/>
      <c r="H1135" s="402"/>
      <c r="I1135" s="207"/>
      <c r="J1135" s="500">
        <f t="shared" si="241"/>
        <v>497.13511523767215</v>
      </c>
      <c r="K1135" s="270">
        <f>+K717</f>
        <v>164.76468040490138</v>
      </c>
      <c r="L1135" s="271">
        <f>+L717</f>
        <v>4601.1399833471833</v>
      </c>
      <c r="M1135" s="271">
        <f>+M717</f>
        <v>293.12538069083973</v>
      </c>
      <c r="N1135" s="272">
        <f>+N717</f>
        <v>497.13511523767215</v>
      </c>
      <c r="O1135" s="227" t="s">
        <v>1255</v>
      </c>
      <c r="R1135" s="498"/>
      <c r="S1135" s="498"/>
      <c r="T1135" s="498"/>
      <c r="U1135" s="498"/>
      <c r="V1135" s="498"/>
      <c r="W1135" s="498"/>
      <c r="X1135" s="498"/>
      <c r="Y1135" s="498"/>
      <c r="Z1135" s="498"/>
      <c r="AA1135" s="498"/>
      <c r="AB1135" s="498"/>
      <c r="AC1135" s="498"/>
    </row>
    <row r="1136" spans="1:29" outlineLevel="1" x14ac:dyDescent="0.2">
      <c r="A1136" s="39"/>
      <c r="B1136" s="36" t="str">
        <f>INDEX(Language!$D$260:$M$260,1,_language)</f>
        <v>Redelivered CHP electricity</v>
      </c>
      <c r="C1136" s="259"/>
      <c r="D1136" s="206"/>
      <c r="E1136" s="402"/>
      <c r="F1136" s="402"/>
      <c r="G1136" s="402"/>
      <c r="H1136" s="402"/>
      <c r="I1136" s="207"/>
      <c r="J1136" s="500">
        <f t="shared" si="241"/>
        <v>55.042511570539254</v>
      </c>
      <c r="K1136" s="270">
        <f>+K857</f>
        <v>10.90486997783038</v>
      </c>
      <c r="L1136" s="271">
        <f>+L857</f>
        <v>345.28794030625022</v>
      </c>
      <c r="M1136" s="271">
        <f>+M857</f>
        <v>11.757355538005925</v>
      </c>
      <c r="N1136" s="272">
        <f>+N857</f>
        <v>55.042511570539254</v>
      </c>
      <c r="O1136" s="227" t="s">
        <v>1256</v>
      </c>
      <c r="R1136" s="271"/>
      <c r="S1136" s="271"/>
      <c r="T1136" s="271"/>
      <c r="U1136" s="271"/>
      <c r="V1136" s="271"/>
      <c r="W1136" s="271"/>
      <c r="X1136" s="271"/>
      <c r="Y1136" s="271"/>
      <c r="Z1136" s="271"/>
      <c r="AA1136" s="271"/>
      <c r="AB1136" s="271"/>
      <c r="AC1136" s="271"/>
    </row>
    <row r="1137" spans="1:29" outlineLevel="1" x14ac:dyDescent="0.2">
      <c r="A1137" s="39"/>
      <c r="B1137" s="36" t="str">
        <f>INDEX(Language!$D$264:$M$264,1,_language)</f>
        <v>Grid exported CHP electricity</v>
      </c>
      <c r="C1137" s="259"/>
      <c r="D1137" s="206"/>
      <c r="E1137" s="402"/>
      <c r="F1137" s="402"/>
      <c r="G1137" s="402"/>
      <c r="H1137" s="402"/>
      <c r="I1137" s="207"/>
      <c r="J1137" s="500">
        <f t="shared" si="241"/>
        <v>90.549645919061248</v>
      </c>
      <c r="K1137" s="270">
        <f>+K913</f>
        <v>11.775747873496821</v>
      </c>
      <c r="L1137" s="271">
        <f>+L913</f>
        <v>1629.3296521041411</v>
      </c>
      <c r="M1137" s="271">
        <f>+M913</f>
        <v>1.8437041154939249</v>
      </c>
      <c r="N1137" s="272">
        <f>+N913</f>
        <v>90.549645919061248</v>
      </c>
      <c r="O1137" s="227" t="s">
        <v>1257</v>
      </c>
      <c r="R1137" s="271"/>
      <c r="S1137" s="271"/>
      <c r="T1137" s="271"/>
      <c r="U1137" s="271"/>
      <c r="V1137" s="271"/>
      <c r="W1137" s="271"/>
      <c r="X1137" s="271"/>
      <c r="Y1137" s="271"/>
      <c r="Z1137" s="271"/>
      <c r="AA1137" s="271"/>
      <c r="AB1137" s="271"/>
      <c r="AC1137" s="271"/>
    </row>
    <row r="1138" spans="1:29" outlineLevel="1" x14ac:dyDescent="0.2">
      <c r="A1138" s="39"/>
      <c r="B1138" s="36" t="str">
        <f>INDEX(Language!$D$343:$M$343,1,_language)</f>
        <v>Non renewable primary energy in charge of electricity</v>
      </c>
      <c r="C1138" s="259"/>
      <c r="D1138" s="206"/>
      <c r="E1138" s="402"/>
      <c r="F1138" s="402"/>
      <c r="G1138" s="402"/>
      <c r="H1138" s="402"/>
      <c r="I1138" s="207"/>
      <c r="J1138" s="500" t="e">
        <f t="shared" si="241"/>
        <v>#REF!</v>
      </c>
      <c r="K1138" s="270" t="e">
        <f>+K1135*K947+K1136*K956+K1137*K954</f>
        <v>#REF!</v>
      </c>
      <c r="L1138" s="271" t="e">
        <f>+L1135*L947+L1136*L956+L1137*L954</f>
        <v>#REF!</v>
      </c>
      <c r="M1138" s="271" t="e">
        <f>+M1135*M947+M1136*M956+M1137*M954</f>
        <v>#REF!</v>
      </c>
      <c r="N1138" s="272" t="e">
        <f>+N1135*N947+N1136*N956+N1137*N954</f>
        <v>#REF!</v>
      </c>
      <c r="O1138" s="227"/>
      <c r="R1138" s="271"/>
      <c r="S1138" s="271"/>
      <c r="T1138" s="271"/>
      <c r="U1138" s="271"/>
      <c r="V1138" s="271"/>
      <c r="W1138" s="271"/>
      <c r="X1138" s="271"/>
      <c r="Y1138" s="271"/>
      <c r="Z1138" s="271"/>
      <c r="AA1138" s="271"/>
      <c r="AB1138" s="271"/>
      <c r="AC1138" s="271"/>
    </row>
    <row r="1139" spans="1:29" outlineLevel="1" x14ac:dyDescent="0.2">
      <c r="A1139" s="39"/>
      <c r="B1139" s="36" t="str">
        <f>INDEX(Language!$D$344:$M$344,1,_language)</f>
        <v>Total primary energy for CHP electricity</v>
      </c>
      <c r="C1139" s="259"/>
      <c r="D1139" s="206"/>
      <c r="E1139" s="402"/>
      <c r="F1139" s="402"/>
      <c r="G1139" s="402"/>
      <c r="H1139" s="402"/>
      <c r="I1139" s="207"/>
      <c r="J1139" s="500" t="e">
        <f t="shared" si="241"/>
        <v>#REF!</v>
      </c>
      <c r="K1139" s="270" t="e">
        <f>+K1135*K1009+K1136*K1018+K1137*K1016</f>
        <v>#REF!</v>
      </c>
      <c r="L1139" s="271" t="e">
        <f>+L1135*L1009+L1136*L1018+L1137*L1016</f>
        <v>#REF!</v>
      </c>
      <c r="M1139" s="271" t="e">
        <f>+M1135*M1009+M1136*M1018+M1137*M1016</f>
        <v>#REF!</v>
      </c>
      <c r="N1139" s="272" t="e">
        <f>+N1135*N1009+N1136*N1018+N1137*N1016</f>
        <v>#REF!</v>
      </c>
      <c r="O1139" s="227"/>
      <c r="R1139" s="271"/>
      <c r="S1139" s="271"/>
      <c r="T1139" s="271"/>
      <c r="U1139" s="271"/>
      <c r="V1139" s="271"/>
      <c r="W1139" s="271"/>
      <c r="X1139" s="271"/>
      <c r="Y1139" s="271"/>
      <c r="Z1139" s="271"/>
      <c r="AA1139" s="271"/>
      <c r="AB1139" s="271"/>
      <c r="AC1139" s="271"/>
    </row>
    <row r="1140" spans="1:29" outlineLevel="1" x14ac:dyDescent="0.2">
      <c r="A1140" s="39"/>
      <c r="B1140" s="36" t="str">
        <f>INDEX(Language!$D$318:$M$318,1,_language)</f>
        <v>Auxiliary energy</v>
      </c>
      <c r="C1140" s="259"/>
      <c r="D1140" s="206"/>
      <c r="E1140" s="402"/>
      <c r="F1140" s="402"/>
      <c r="G1140" s="402"/>
      <c r="H1140" s="402"/>
      <c r="I1140" s="207"/>
      <c r="J1140" s="500">
        <f t="shared" si="241"/>
        <v>0</v>
      </c>
      <c r="K1140" s="270">
        <v>0</v>
      </c>
      <c r="L1140" s="271">
        <v>0</v>
      </c>
      <c r="M1140" s="271">
        <v>0</v>
      </c>
      <c r="N1140" s="272">
        <v>0</v>
      </c>
      <c r="O1140" s="227" t="s">
        <v>1241</v>
      </c>
      <c r="R1140" s="271"/>
      <c r="S1140" s="271"/>
      <c r="T1140" s="271"/>
      <c r="U1140" s="271"/>
      <c r="V1140" s="271"/>
      <c r="W1140" s="271"/>
      <c r="X1140" s="271"/>
      <c r="Y1140" s="271"/>
      <c r="Z1140" s="271"/>
      <c r="AA1140" s="271"/>
      <c r="AB1140" s="271"/>
      <c r="AC1140" s="271"/>
    </row>
    <row r="1141" spans="1:29" x14ac:dyDescent="0.2">
      <c r="A1141" s="39"/>
      <c r="B1141" s="36" t="str">
        <f>INDEX(Language!$D$319:$M$319,1,_language)</f>
        <v>Non renewable primary energy</v>
      </c>
      <c r="C1141" s="259"/>
      <c r="D1141" s="206"/>
      <c r="E1141" s="402"/>
      <c r="F1141" s="402"/>
      <c r="G1141" s="402"/>
      <c r="H1141" s="402"/>
      <c r="I1141" s="207"/>
      <c r="J1141" s="500" t="e">
        <f t="shared" si="241"/>
        <v>#N/A</v>
      </c>
      <c r="K1141" s="270" t="e">
        <f>+K1130*K1132-IF(K1134=1,K1138,0)</f>
        <v>#N/A</v>
      </c>
      <c r="L1141" s="271" t="e">
        <f>+L1130*L1132-IF(L1134=1,L1138,0)</f>
        <v>#N/A</v>
      </c>
      <c r="M1141" s="271" t="e">
        <f>+M1130*M1132-IF(M1134=1,M1138,0)</f>
        <v>#N/A</v>
      </c>
      <c r="N1141" s="272" t="e">
        <f>+N1130*N1132-IF(N1134=1,N1138,0)</f>
        <v>#N/A</v>
      </c>
      <c r="O1141" s="227"/>
      <c r="R1141" s="271"/>
      <c r="S1141" s="271"/>
      <c r="T1141" s="271"/>
      <c r="U1141" s="271"/>
      <c r="V1141" s="271"/>
      <c r="W1141" s="271"/>
      <c r="X1141" s="271"/>
      <c r="Y1141" s="271"/>
      <c r="Z1141" s="271"/>
      <c r="AA1141" s="271"/>
      <c r="AB1141" s="271"/>
      <c r="AC1141" s="271"/>
    </row>
    <row r="1142" spans="1:29" ht="13.5" thickBot="1" x14ac:dyDescent="0.25">
      <c r="A1142" s="39"/>
      <c r="B1142" s="263" t="str">
        <f>INDEX(Language!$D$320:$M$320,1,_language)</f>
        <v>Total primary energy</v>
      </c>
      <c r="C1142" s="531"/>
      <c r="D1142" s="532"/>
      <c r="E1142" s="533"/>
      <c r="F1142" s="533"/>
      <c r="G1142" s="533"/>
      <c r="H1142" s="533"/>
      <c r="I1142" s="292"/>
      <c r="J1142" s="538" t="e">
        <f t="shared" si="241"/>
        <v>#N/A</v>
      </c>
      <c r="K1142" s="277" t="e">
        <f>+K1130*K1133-IF(K1134=1,K1139)</f>
        <v>#N/A</v>
      </c>
      <c r="L1142" s="278" t="e">
        <f>+L1130*L1133-IF(L1134=1,L1139)</f>
        <v>#N/A</v>
      </c>
      <c r="M1142" s="278" t="e">
        <f>+M1130*M1133-IF(M1134=1,M1139)</f>
        <v>#N/A</v>
      </c>
      <c r="N1142" s="279" t="e">
        <f>+N1130*N1133-IF(N1134=1,N1139)</f>
        <v>#N/A</v>
      </c>
      <c r="O1142" s="293"/>
      <c r="R1142" s="278"/>
      <c r="S1142" s="278"/>
      <c r="T1142" s="278"/>
      <c r="U1142" s="278"/>
      <c r="V1142" s="278"/>
      <c r="W1142" s="278"/>
      <c r="X1142" s="278"/>
      <c r="Y1142" s="278"/>
      <c r="Z1142" s="278"/>
      <c r="AA1142" s="278"/>
      <c r="AB1142" s="278"/>
      <c r="AC1142" s="278"/>
    </row>
    <row r="1143" spans="1:29" ht="25.5" x14ac:dyDescent="0.2">
      <c r="A1143" s="39"/>
      <c r="B1143" s="487" t="str">
        <f>INDEX(Language!D218:M218,1,_language)</f>
        <v>Heat pump input</v>
      </c>
      <c r="C1143" s="254"/>
      <c r="D1143" s="214"/>
      <c r="E1143" s="399"/>
      <c r="F1143" s="399"/>
      <c r="G1143" s="399"/>
      <c r="H1143" s="399"/>
      <c r="I1143" s="215"/>
      <c r="J1143" s="315">
        <f t="shared" si="241"/>
        <v>120.00000000000001</v>
      </c>
      <c r="K1143" s="216">
        <f>+K349</f>
        <v>3241.666666666667</v>
      </c>
      <c r="L1143" s="217">
        <f>+L349</f>
        <v>2472.2222222222217</v>
      </c>
      <c r="M1143" s="217">
        <f>+M349</f>
        <v>5972.2222222222226</v>
      </c>
      <c r="N1143" s="218">
        <f>+N349</f>
        <v>120.00000000000001</v>
      </c>
      <c r="O1143" s="256" t="s">
        <v>1171</v>
      </c>
      <c r="R1143" s="217"/>
      <c r="S1143" s="217"/>
      <c r="T1143" s="217"/>
      <c r="U1143" s="217"/>
      <c r="V1143" s="217"/>
      <c r="W1143" s="217"/>
      <c r="X1143" s="217"/>
      <c r="Y1143" s="217"/>
      <c r="Z1143" s="217"/>
      <c r="AA1143" s="217"/>
      <c r="AB1143" s="217"/>
      <c r="AC1143" s="217"/>
    </row>
    <row r="1144" spans="1:29" x14ac:dyDescent="0.2">
      <c r="A1144" s="39"/>
      <c r="B1144" s="36" t="str">
        <f>INDEX(Language!$D$315:$M$315,1,_language)</f>
        <v>Energy carrier</v>
      </c>
      <c r="C1144" s="259"/>
      <c r="D1144" s="206"/>
      <c r="E1144" s="406" t="str">
        <f>+K1144</f>
        <v>gas</v>
      </c>
      <c r="F1144" s="406" t="str">
        <f>+L1144</f>
        <v>el</v>
      </c>
      <c r="G1144" s="406" t="str">
        <f>+M1144</f>
        <v>gas</v>
      </c>
      <c r="H1144" s="406" t="str">
        <f>+N1144</f>
        <v>el</v>
      </c>
      <c r="I1144" s="207"/>
      <c r="J1144" s="509" t="str">
        <f t="shared" si="241"/>
        <v>el</v>
      </c>
      <c r="K1144" s="539" t="str">
        <f>K334</f>
        <v>gas</v>
      </c>
      <c r="L1144" s="540" t="str">
        <f>L334</f>
        <v>el</v>
      </c>
      <c r="M1144" s="540" t="str">
        <f>M334</f>
        <v>gas</v>
      </c>
      <c r="N1144" s="541" t="str">
        <f>N334</f>
        <v>el</v>
      </c>
      <c r="O1144" s="227"/>
      <c r="R1144" s="540"/>
      <c r="S1144" s="540"/>
      <c r="T1144" s="540"/>
      <c r="U1144" s="540"/>
      <c r="V1144" s="540"/>
      <c r="W1144" s="540"/>
      <c r="X1144" s="540"/>
      <c r="Y1144" s="540"/>
      <c r="Z1144" s="540"/>
      <c r="AA1144" s="540"/>
      <c r="AB1144" s="540"/>
      <c r="AC1144" s="540"/>
    </row>
    <row r="1145" spans="1:29" outlineLevel="1" x14ac:dyDescent="0.2">
      <c r="A1145" s="39"/>
      <c r="B1145" s="36" t="str">
        <f>INDEX(Language!$D$316:$M$316,1,_language)</f>
        <v>Non renewable factor</v>
      </c>
      <c r="C1145" s="259"/>
      <c r="D1145" s="206"/>
      <c r="E1145" s="402"/>
      <c r="F1145" s="402"/>
      <c r="G1145" s="402"/>
      <c r="H1145" s="402"/>
      <c r="I1145" s="207"/>
      <c r="J1145" s="486" t="e">
        <f t="shared" si="241"/>
        <v>#REF!</v>
      </c>
      <c r="K1145" s="497" t="e">
        <f>INDEX(K$937:K$965,MATCH(K1144,$D$937:$D$965,0))</f>
        <v>#N/A</v>
      </c>
      <c r="L1145" s="498" t="e">
        <f>INDEX(L$937:L$965,MATCH(L1144,$D$937:$D$965,0))</f>
        <v>#REF!</v>
      </c>
      <c r="M1145" s="498" t="e">
        <f>INDEX(M$937:M$965,MATCH(M1144,$D$937:$D$965,0))</f>
        <v>#N/A</v>
      </c>
      <c r="N1145" s="499" t="e">
        <f>INDEX(N$937:N$965,MATCH(N1144,$D$937:$D$965,0))</f>
        <v>#REF!</v>
      </c>
      <c r="O1145" s="227"/>
      <c r="R1145" s="498"/>
      <c r="S1145" s="498"/>
      <c r="T1145" s="498"/>
      <c r="U1145" s="498"/>
      <c r="V1145" s="498"/>
      <c r="W1145" s="498"/>
      <c r="X1145" s="498"/>
      <c r="Y1145" s="498"/>
      <c r="Z1145" s="498"/>
      <c r="AA1145" s="498"/>
      <c r="AB1145" s="498"/>
      <c r="AC1145" s="498"/>
    </row>
    <row r="1146" spans="1:29" outlineLevel="1" x14ac:dyDescent="0.2">
      <c r="A1146" s="39"/>
      <c r="B1146" s="36" t="str">
        <f>INDEX(Language!$D$317:$M$317,1,_language)</f>
        <v>Total factor</v>
      </c>
      <c r="C1146" s="38"/>
      <c r="D1146" s="152"/>
      <c r="E1146" s="400"/>
      <c r="F1146" s="400"/>
      <c r="G1146" s="400"/>
      <c r="H1146" s="400"/>
      <c r="I1146" s="62"/>
      <c r="J1146" s="486" t="e">
        <f t="shared" si="241"/>
        <v>#REF!</v>
      </c>
      <c r="K1146" s="497" t="e">
        <f>INDEX(K$999:K$1028,MATCH(K1144,$D$999:$D$1028,0))</f>
        <v>#N/A</v>
      </c>
      <c r="L1146" s="498" t="e">
        <f>INDEX(L$999:L$1028,MATCH(L1144,$D$999:$D$1028,0))</f>
        <v>#REF!</v>
      </c>
      <c r="M1146" s="498" t="e">
        <f>INDEX(M$999:M$1028,MATCH(M1144,$D$999:$D$1028,0))</f>
        <v>#N/A</v>
      </c>
      <c r="N1146" s="499" t="e">
        <f>INDEX(N$999:N$1028,MATCH(N1144,$D$999:$D$1028,0))</f>
        <v>#REF!</v>
      </c>
      <c r="O1146" s="86"/>
      <c r="R1146" s="498"/>
      <c r="S1146" s="498"/>
      <c r="T1146" s="498"/>
      <c r="U1146" s="498"/>
      <c r="V1146" s="498"/>
      <c r="W1146" s="498"/>
      <c r="X1146" s="498"/>
      <c r="Y1146" s="498"/>
      <c r="Z1146" s="498"/>
      <c r="AA1146" s="498"/>
      <c r="AB1146" s="498"/>
      <c r="AC1146" s="498"/>
    </row>
    <row r="1147" spans="1:29" outlineLevel="1" x14ac:dyDescent="0.2">
      <c r="A1147" s="39"/>
      <c r="B1147" s="36" t="str">
        <f>INDEX(Language!D220:M220,1,_language)</f>
        <v>Environmental heat</v>
      </c>
      <c r="C1147" s="38"/>
      <c r="D1147" s="152"/>
      <c r="E1147" s="400"/>
      <c r="F1147" s="400"/>
      <c r="G1147" s="400"/>
      <c r="H1147" s="400"/>
      <c r="I1147" s="62"/>
      <c r="J1147" s="500">
        <f t="shared" si="241"/>
        <v>239.99999999999994</v>
      </c>
      <c r="K1147" s="270">
        <f>+K376</f>
        <v>6483.3333333333339</v>
      </c>
      <c r="L1147" s="271">
        <f>+L376</f>
        <v>4944.4444444444443</v>
      </c>
      <c r="M1147" s="271">
        <f>+M376</f>
        <v>2986.1111111111109</v>
      </c>
      <c r="N1147" s="272">
        <f>+N376</f>
        <v>239.99999999999994</v>
      </c>
      <c r="O1147" s="86"/>
      <c r="R1147" s="271"/>
      <c r="S1147" s="271"/>
      <c r="T1147" s="271"/>
      <c r="U1147" s="271"/>
      <c r="V1147" s="271"/>
      <c r="W1147" s="271"/>
      <c r="X1147" s="271"/>
      <c r="Y1147" s="271"/>
      <c r="Z1147" s="271"/>
      <c r="AA1147" s="271"/>
      <c r="AB1147" s="271"/>
      <c r="AC1147" s="271"/>
    </row>
    <row r="1148" spans="1:29" outlineLevel="1" x14ac:dyDescent="0.2">
      <c r="A1148" s="39"/>
      <c r="B1148" s="36" t="str">
        <f>INDEX(Language!D219:M219,1,_language)</f>
        <v>Heat pump auxiliaries</v>
      </c>
      <c r="C1148" s="259"/>
      <c r="D1148" s="206"/>
      <c r="E1148" s="402"/>
      <c r="F1148" s="402"/>
      <c r="G1148" s="402"/>
      <c r="H1148" s="402"/>
      <c r="I1148" s="207"/>
      <c r="J1148" s="500">
        <f t="shared" si="241"/>
        <v>18</v>
      </c>
      <c r="K1148" s="270">
        <f>+K363</f>
        <v>291.75</v>
      </c>
      <c r="L1148" s="271">
        <f>+L363</f>
        <v>222.5</v>
      </c>
      <c r="M1148" s="271">
        <f>+M363</f>
        <v>268.75</v>
      </c>
      <c r="N1148" s="272">
        <f>+N363</f>
        <v>18</v>
      </c>
      <c r="O1148" s="227"/>
      <c r="R1148" s="271"/>
      <c r="S1148" s="271"/>
      <c r="T1148" s="271"/>
      <c r="U1148" s="271"/>
      <c r="V1148" s="271"/>
      <c r="W1148" s="271"/>
      <c r="X1148" s="271"/>
      <c r="Y1148" s="271"/>
      <c r="Z1148" s="271"/>
      <c r="AA1148" s="271"/>
      <c r="AB1148" s="271"/>
      <c r="AC1148" s="271"/>
    </row>
    <row r="1149" spans="1:29" x14ac:dyDescent="0.2">
      <c r="A1149" s="39"/>
      <c r="B1149" s="36" t="str">
        <f>INDEX(Language!$D$319:$M$319,1,_language)</f>
        <v>Non renewable primary energy</v>
      </c>
      <c r="C1149" s="259"/>
      <c r="D1149" s="206"/>
      <c r="E1149" s="402"/>
      <c r="F1149" s="402"/>
      <c r="G1149" s="402"/>
      <c r="H1149" s="402"/>
      <c r="I1149" s="207"/>
      <c r="J1149" s="500" t="e">
        <f t="shared" si="241"/>
        <v>#REF!</v>
      </c>
      <c r="K1149" s="270" t="e">
        <f>+K1143*K1145+K1147*K945+K1148*K965</f>
        <v>#N/A</v>
      </c>
      <c r="L1149" s="271" t="e">
        <f>+L1143*L1145+L1147*L945+L1148*L965</f>
        <v>#REF!</v>
      </c>
      <c r="M1149" s="271" t="e">
        <f>+M1143*M1145+M1147*M945+M1148*M965</f>
        <v>#N/A</v>
      </c>
      <c r="N1149" s="272" t="e">
        <f>+N1143*N1145+N1147*N945+N1148*N965</f>
        <v>#REF!</v>
      </c>
      <c r="O1149" s="227"/>
      <c r="R1149" s="271"/>
      <c r="S1149" s="271"/>
      <c r="T1149" s="271"/>
      <c r="U1149" s="271"/>
      <c r="V1149" s="271"/>
      <c r="W1149" s="271"/>
      <c r="X1149" s="271"/>
      <c r="Y1149" s="271"/>
      <c r="Z1149" s="271"/>
      <c r="AA1149" s="271"/>
      <c r="AB1149" s="271"/>
      <c r="AC1149" s="271"/>
    </row>
    <row r="1150" spans="1:29" ht="13.5" thickBot="1" x14ac:dyDescent="0.25">
      <c r="A1150" s="39"/>
      <c r="B1150" s="263" t="str">
        <f>INDEX(Language!$D$320:$M$320,1,_language)</f>
        <v>Total primary energy</v>
      </c>
      <c r="C1150" s="531"/>
      <c r="D1150" s="532"/>
      <c r="E1150" s="533"/>
      <c r="F1150" s="533"/>
      <c r="G1150" s="533"/>
      <c r="H1150" s="533"/>
      <c r="I1150" s="292"/>
      <c r="J1150" s="538" t="e">
        <f t="shared" si="241"/>
        <v>#REF!</v>
      </c>
      <c r="K1150" s="277" t="e">
        <f>+K1143*K1146+K1147*K1007+K1148*K1027</f>
        <v>#N/A</v>
      </c>
      <c r="L1150" s="278" t="e">
        <f>+L1143*L1146+L1147*L1007+L1148*L1027</f>
        <v>#REF!</v>
      </c>
      <c r="M1150" s="278" t="e">
        <f>+M1143*M1146+M1147*M1007+M1148*M1027</f>
        <v>#N/A</v>
      </c>
      <c r="N1150" s="279" t="e">
        <f>+N1143*N1146+N1147*N1007+N1148*N1027</f>
        <v>#REF!</v>
      </c>
      <c r="O1150" s="293"/>
      <c r="R1150" s="278"/>
      <c r="S1150" s="278"/>
      <c r="T1150" s="278"/>
      <c r="U1150" s="278"/>
      <c r="V1150" s="278"/>
      <c r="W1150" s="278"/>
      <c r="X1150" s="278"/>
      <c r="Y1150" s="278"/>
      <c r="Z1150" s="278"/>
      <c r="AA1150" s="278"/>
      <c r="AB1150" s="278"/>
      <c r="AC1150" s="278"/>
    </row>
    <row r="1151" spans="1:29" x14ac:dyDescent="0.2">
      <c r="A1151" s="39"/>
      <c r="B1151" s="487" t="str">
        <f>INDEX(Language!D225:M225,1,_language)</f>
        <v>Boiler input</v>
      </c>
      <c r="C1151" s="254"/>
      <c r="D1151" s="214"/>
      <c r="E1151" s="399"/>
      <c r="F1151" s="399"/>
      <c r="G1151" s="399"/>
      <c r="H1151" s="399"/>
      <c r="I1151" s="215"/>
      <c r="J1151" s="315">
        <f t="shared" si="241"/>
        <v>11965.555555555555</v>
      </c>
      <c r="K1151" s="216">
        <f>+K412</f>
        <v>4731.884057971014</v>
      </c>
      <c r="L1151" s="217">
        <f>+L412</f>
        <v>972.22222222222172</v>
      </c>
      <c r="M1151" s="217">
        <f>+M412</f>
        <v>4118.5185185185182</v>
      </c>
      <c r="N1151" s="218">
        <f>+N412</f>
        <v>11965.555555555555</v>
      </c>
      <c r="O1151" s="256"/>
      <c r="R1151" s="217"/>
      <c r="S1151" s="217"/>
      <c r="T1151" s="217"/>
      <c r="U1151" s="217"/>
      <c r="V1151" s="217"/>
      <c r="W1151" s="217"/>
      <c r="X1151" s="217"/>
      <c r="Y1151" s="217"/>
      <c r="Z1151" s="217"/>
      <c r="AA1151" s="217"/>
      <c r="AB1151" s="217"/>
      <c r="AC1151" s="217"/>
    </row>
    <row r="1152" spans="1:29" x14ac:dyDescent="0.2">
      <c r="A1152" s="39"/>
      <c r="B1152" s="36" t="str">
        <f>INDEX(Language!$D$315:$M$315,1,_language)</f>
        <v>Energy carrier</v>
      </c>
      <c r="C1152" s="259"/>
      <c r="D1152" s="206"/>
      <c r="E1152" s="406" t="str">
        <f>+K1152</f>
        <v>gas</v>
      </c>
      <c r="F1152" s="406" t="str">
        <f>+L1152</f>
        <v>oil</v>
      </c>
      <c r="G1152" s="406" t="str">
        <f>+M1152</f>
        <v>coal</v>
      </c>
      <c r="H1152" s="406" t="str">
        <f>+N1152</f>
        <v>gas</v>
      </c>
      <c r="I1152" s="207"/>
      <c r="J1152" s="509" t="str">
        <f t="shared" si="241"/>
        <v>gas</v>
      </c>
      <c r="K1152" s="539" t="str">
        <f>+K410</f>
        <v>gas</v>
      </c>
      <c r="L1152" s="540" t="str">
        <f>+L410</f>
        <v>oil</v>
      </c>
      <c r="M1152" s="540" t="str">
        <f>+M410</f>
        <v>coal</v>
      </c>
      <c r="N1152" s="541" t="str">
        <f>+N410</f>
        <v>gas</v>
      </c>
      <c r="O1152" s="227"/>
      <c r="R1152" s="540"/>
      <c r="S1152" s="540"/>
      <c r="T1152" s="540"/>
      <c r="U1152" s="540"/>
      <c r="V1152" s="540"/>
      <c r="W1152" s="540"/>
      <c r="X1152" s="540"/>
      <c r="Y1152" s="540"/>
      <c r="Z1152" s="540"/>
      <c r="AA1152" s="540"/>
      <c r="AB1152" s="540"/>
      <c r="AC1152" s="540"/>
    </row>
    <row r="1153" spans="1:29" outlineLevel="1" x14ac:dyDescent="0.2">
      <c r="A1153" s="39"/>
      <c r="B1153" s="36" t="str">
        <f>INDEX(Language!$D$316:$M$316,1,_language)</f>
        <v>Non renewable factor</v>
      </c>
      <c r="C1153" s="259"/>
      <c r="D1153" s="206"/>
      <c r="E1153" s="402"/>
      <c r="F1153" s="402"/>
      <c r="G1153" s="402"/>
      <c r="H1153" s="402"/>
      <c r="I1153" s="207"/>
      <c r="J1153" s="486" t="e">
        <f t="shared" si="241"/>
        <v>#N/A</v>
      </c>
      <c r="K1153" s="497" t="e">
        <f>INDEX(K$937:K$965,MATCH(K1152,$D$937:$D$965,0))</f>
        <v>#N/A</v>
      </c>
      <c r="L1153" s="498" t="e">
        <f>INDEX(L$937:L$965,MATCH(L1152,$D$937:$D$965,0))</f>
        <v>#N/A</v>
      </c>
      <c r="M1153" s="498" t="e">
        <f>INDEX(M$937:M$965,MATCH(M1152,$D$937:$D$965,0))</f>
        <v>#N/A</v>
      </c>
      <c r="N1153" s="499" t="e">
        <f>INDEX(N$937:N$965,MATCH(N1152,$D$937:$D$965,0))</f>
        <v>#N/A</v>
      </c>
      <c r="O1153" s="227"/>
      <c r="R1153" s="498"/>
      <c r="S1153" s="498"/>
      <c r="T1153" s="498"/>
      <c r="U1153" s="498"/>
      <c r="V1153" s="498"/>
      <c r="W1153" s="498"/>
      <c r="X1153" s="498"/>
      <c r="Y1153" s="498"/>
      <c r="Z1153" s="498"/>
      <c r="AA1153" s="498"/>
      <c r="AB1153" s="498"/>
      <c r="AC1153" s="498"/>
    </row>
    <row r="1154" spans="1:29" outlineLevel="1" x14ac:dyDescent="0.2">
      <c r="A1154" s="39"/>
      <c r="B1154" s="36" t="str">
        <f>INDEX(Language!$D$317:$M$317,1,_language)</f>
        <v>Total factor</v>
      </c>
      <c r="C1154" s="259"/>
      <c r="D1154" s="206"/>
      <c r="E1154" s="402"/>
      <c r="F1154" s="402"/>
      <c r="G1154" s="402"/>
      <c r="H1154" s="402"/>
      <c r="I1154" s="207"/>
      <c r="J1154" s="486" t="e">
        <f t="shared" si="241"/>
        <v>#N/A</v>
      </c>
      <c r="K1154" s="497" t="e">
        <f>INDEX(K$999:K$1028,MATCH(K1152,$D$999:$D$1028,0))</f>
        <v>#N/A</v>
      </c>
      <c r="L1154" s="498" t="e">
        <f>INDEX(L$999:L$1028,MATCH(L1152,$D$999:$D$1028,0))</f>
        <v>#N/A</v>
      </c>
      <c r="M1154" s="498" t="e">
        <f>INDEX(M$999:M$1028,MATCH(M1152,$D$999:$D$1028,0))</f>
        <v>#N/A</v>
      </c>
      <c r="N1154" s="499" t="e">
        <f>INDEX(N$999:N$1028,MATCH(N1152,$D$999:$D$1028,0))</f>
        <v>#N/A</v>
      </c>
      <c r="O1154" s="227"/>
      <c r="R1154" s="498"/>
      <c r="S1154" s="498"/>
      <c r="T1154" s="498"/>
      <c r="U1154" s="498"/>
      <c r="V1154" s="498"/>
      <c r="W1154" s="498"/>
      <c r="X1154" s="498"/>
      <c r="Y1154" s="498"/>
      <c r="Z1154" s="498"/>
      <c r="AA1154" s="498"/>
      <c r="AB1154" s="498"/>
      <c r="AC1154" s="498"/>
    </row>
    <row r="1155" spans="1:29" outlineLevel="1" x14ac:dyDescent="0.2">
      <c r="A1155" s="39"/>
      <c r="B1155" s="36" t="str">
        <f>INDEX(Language!D224:M224,1,_language)</f>
        <v>Boiler auxiliary energy</v>
      </c>
      <c r="C1155" s="38" t="s">
        <v>741</v>
      </c>
      <c r="D1155" s="206"/>
      <c r="E1155" s="402"/>
      <c r="F1155" s="402"/>
      <c r="G1155" s="402"/>
      <c r="H1155" s="402"/>
      <c r="I1155" s="207"/>
      <c r="J1155" s="500">
        <f t="shared" si="241"/>
        <v>358.96666666666664</v>
      </c>
      <c r="K1155" s="270">
        <f>+K426</f>
        <v>141.95652173913038</v>
      </c>
      <c r="L1155" s="271">
        <f>+L426</f>
        <v>29.16666666666665</v>
      </c>
      <c r="M1155" s="271">
        <f>+M426</f>
        <v>123.55555555555554</v>
      </c>
      <c r="N1155" s="272">
        <f>+N426</f>
        <v>358.96666666666664</v>
      </c>
      <c r="O1155" s="227"/>
      <c r="R1155" s="271"/>
      <c r="S1155" s="271"/>
      <c r="T1155" s="271"/>
      <c r="U1155" s="271"/>
      <c r="V1155" s="271"/>
      <c r="W1155" s="271"/>
      <c r="X1155" s="271"/>
      <c r="Y1155" s="271"/>
      <c r="Z1155" s="271"/>
      <c r="AA1155" s="271"/>
      <c r="AB1155" s="271"/>
      <c r="AC1155" s="271"/>
    </row>
    <row r="1156" spans="1:29" x14ac:dyDescent="0.2">
      <c r="A1156" s="39"/>
      <c r="B1156" s="36" t="str">
        <f>INDEX(Language!$D$319:$M$319,1,_language)</f>
        <v>Non renewable primary energy</v>
      </c>
      <c r="C1156" s="259"/>
      <c r="D1156" s="206"/>
      <c r="E1156" s="402"/>
      <c r="F1156" s="402"/>
      <c r="G1156" s="402"/>
      <c r="H1156" s="402"/>
      <c r="I1156" s="207"/>
      <c r="J1156" s="500" t="e">
        <f t="shared" si="241"/>
        <v>#N/A</v>
      </c>
      <c r="K1156" s="270" t="e">
        <f>+K1151*K1153+K1155*K965</f>
        <v>#N/A</v>
      </c>
      <c r="L1156" s="271" t="e">
        <f>+L1151*L1153+L1155*L965</f>
        <v>#N/A</v>
      </c>
      <c r="M1156" s="271" t="e">
        <f>+M1151*M1153+M1155*M965</f>
        <v>#N/A</v>
      </c>
      <c r="N1156" s="272" t="e">
        <f>+N1151*N1153+N1155*N965</f>
        <v>#N/A</v>
      </c>
      <c r="O1156" s="227"/>
      <c r="R1156" s="271"/>
      <c r="S1156" s="271"/>
      <c r="T1156" s="271"/>
      <c r="U1156" s="271"/>
      <c r="V1156" s="271"/>
      <c r="W1156" s="271"/>
      <c r="X1156" s="271"/>
      <c r="Y1156" s="271"/>
      <c r="Z1156" s="271"/>
      <c r="AA1156" s="271"/>
      <c r="AB1156" s="271"/>
      <c r="AC1156" s="271"/>
    </row>
    <row r="1157" spans="1:29" ht="13.5" thickBot="1" x14ac:dyDescent="0.25">
      <c r="A1157" s="39"/>
      <c r="B1157" s="263" t="str">
        <f>INDEX(Language!$D$320:$M$320,1,_language)</f>
        <v>Total primary energy</v>
      </c>
      <c r="C1157" s="531"/>
      <c r="D1157" s="532"/>
      <c r="E1157" s="533"/>
      <c r="F1157" s="533"/>
      <c r="G1157" s="533"/>
      <c r="H1157" s="533"/>
      <c r="I1157" s="292"/>
      <c r="J1157" s="538" t="e">
        <f t="shared" si="241"/>
        <v>#N/A</v>
      </c>
      <c r="K1157" s="277" t="e">
        <f>+K1151*K1154+K1155*K1027</f>
        <v>#N/A</v>
      </c>
      <c r="L1157" s="278" t="e">
        <f>+L1151*L1154+L1155*L1027</f>
        <v>#N/A</v>
      </c>
      <c r="M1157" s="278" t="e">
        <f>+M1151*M1154+M1155*M1027</f>
        <v>#N/A</v>
      </c>
      <c r="N1157" s="279" t="e">
        <f>+N1151*N1154+N1155*N1027</f>
        <v>#N/A</v>
      </c>
      <c r="O1157" s="293"/>
      <c r="R1157" s="278"/>
      <c r="S1157" s="278"/>
      <c r="T1157" s="278"/>
      <c r="U1157" s="278"/>
      <c r="V1157" s="278"/>
      <c r="W1157" s="278"/>
      <c r="X1157" s="278"/>
      <c r="Y1157" s="278"/>
      <c r="Z1157" s="278"/>
      <c r="AA1157" s="278"/>
      <c r="AB1157" s="278"/>
      <c r="AC1157" s="278"/>
    </row>
    <row r="1158" spans="1:29" x14ac:dyDescent="0.2">
      <c r="A1158" s="39"/>
      <c r="B1158" s="712" t="str">
        <f>INDEX(Language!D230:M230,1,_language)</f>
        <v>Chiller input</v>
      </c>
      <c r="C1158" s="259" t="s">
        <v>790</v>
      </c>
      <c r="D1158" s="206"/>
      <c r="E1158" s="402"/>
      <c r="F1158" s="402"/>
      <c r="G1158" s="402"/>
      <c r="H1158" s="402"/>
      <c r="I1158" s="207"/>
      <c r="J1158" s="315">
        <f t="shared" si="241"/>
        <v>542.85714285714278</v>
      </c>
      <c r="K1158" s="208">
        <f>K445</f>
        <v>1173.3333333333333</v>
      </c>
      <c r="L1158" s="209">
        <f>L445</f>
        <v>1173.3333333333333</v>
      </c>
      <c r="M1158" s="209">
        <f>M445</f>
        <v>1173.3333333333333</v>
      </c>
      <c r="N1158" s="210">
        <f>N445</f>
        <v>542.85714285714278</v>
      </c>
      <c r="O1158" s="227"/>
      <c r="R1158" s="209"/>
      <c r="S1158" s="209"/>
      <c r="T1158" s="209"/>
      <c r="U1158" s="209"/>
      <c r="V1158" s="209"/>
      <c r="W1158" s="209"/>
      <c r="X1158" s="209"/>
      <c r="Y1158" s="209"/>
      <c r="Z1158" s="209"/>
      <c r="AA1158" s="209"/>
      <c r="AB1158" s="209"/>
      <c r="AC1158" s="209"/>
    </row>
    <row r="1159" spans="1:29" x14ac:dyDescent="0.2">
      <c r="A1159" s="39"/>
      <c r="B1159" s="36" t="str">
        <f>INDEX(Language!$D$315:$M$315,1,_language)</f>
        <v>Energy carrier</v>
      </c>
      <c r="C1159" s="259"/>
      <c r="D1159" s="206"/>
      <c r="E1159" s="406" t="str">
        <f>+K1159</f>
        <v>el</v>
      </c>
      <c r="F1159" s="406" t="str">
        <f>+L1159</f>
        <v>gas</v>
      </c>
      <c r="G1159" s="406" t="str">
        <f>+M1159</f>
        <v>gas</v>
      </c>
      <c r="H1159" s="406" t="str">
        <f>+N1159</f>
        <v>el</v>
      </c>
      <c r="I1159" s="207"/>
      <c r="J1159" s="509" t="str">
        <f t="shared" si="241"/>
        <v>el</v>
      </c>
      <c r="K1159" s="539" t="str">
        <f>+K444</f>
        <v>el</v>
      </c>
      <c r="L1159" s="540" t="str">
        <f>+L444</f>
        <v>gas</v>
      </c>
      <c r="M1159" s="540" t="str">
        <f>+M444</f>
        <v>gas</v>
      </c>
      <c r="N1159" s="541" t="str">
        <f>+N444</f>
        <v>el</v>
      </c>
      <c r="O1159" s="227"/>
      <c r="R1159" s="540"/>
      <c r="S1159" s="540"/>
      <c r="T1159" s="540"/>
      <c r="U1159" s="540"/>
      <c r="V1159" s="540"/>
      <c r="W1159" s="540"/>
      <c r="X1159" s="540"/>
      <c r="Y1159" s="540"/>
      <c r="Z1159" s="540"/>
      <c r="AA1159" s="540"/>
      <c r="AB1159" s="540"/>
      <c r="AC1159" s="540"/>
    </row>
    <row r="1160" spans="1:29" outlineLevel="1" x14ac:dyDescent="0.2">
      <c r="A1160" s="39"/>
      <c r="B1160" s="36" t="str">
        <f>INDEX(Language!$D$316:$M$316,1,_language)</f>
        <v>Non renewable factor</v>
      </c>
      <c r="C1160" s="259"/>
      <c r="D1160" s="206"/>
      <c r="E1160" s="402"/>
      <c r="F1160" s="402"/>
      <c r="G1160" s="402"/>
      <c r="H1160" s="402"/>
      <c r="I1160" s="207"/>
      <c r="J1160" s="486" t="e">
        <f t="shared" si="241"/>
        <v>#REF!</v>
      </c>
      <c r="K1160" s="497" t="e">
        <f>INDEX(K$937:K$965,MATCH(K1159,$D$937:$D$965,0))</f>
        <v>#REF!</v>
      </c>
      <c r="L1160" s="498" t="e">
        <f>INDEX(L$937:L$965,MATCH(L1159,$D$937:$D$965,0))</f>
        <v>#N/A</v>
      </c>
      <c r="M1160" s="498" t="e">
        <f>INDEX(M$937:M$965,MATCH(M1159,$D$937:$D$965,0))</f>
        <v>#N/A</v>
      </c>
      <c r="N1160" s="499" t="e">
        <f>INDEX(N$937:N$965,MATCH(N1159,$D$937:$D$965,0))</f>
        <v>#REF!</v>
      </c>
      <c r="O1160" s="227"/>
      <c r="R1160" s="498"/>
      <c r="S1160" s="498"/>
      <c r="T1160" s="498"/>
      <c r="U1160" s="498"/>
      <c r="V1160" s="498"/>
      <c r="W1160" s="498"/>
      <c r="X1160" s="498"/>
      <c r="Y1160" s="498"/>
      <c r="Z1160" s="498"/>
      <c r="AA1160" s="498"/>
      <c r="AB1160" s="498"/>
      <c r="AC1160" s="498"/>
    </row>
    <row r="1161" spans="1:29" outlineLevel="1" x14ac:dyDescent="0.2">
      <c r="A1161" s="39"/>
      <c r="B1161" s="36" t="str">
        <f>INDEX(Language!$D$317:$M$317,1,_language)</f>
        <v>Total factor</v>
      </c>
      <c r="C1161" s="259"/>
      <c r="D1161" s="206"/>
      <c r="E1161" s="402"/>
      <c r="F1161" s="402"/>
      <c r="G1161" s="402"/>
      <c r="H1161" s="402"/>
      <c r="I1161" s="207"/>
      <c r="J1161" s="486" t="e">
        <f t="shared" si="241"/>
        <v>#REF!</v>
      </c>
      <c r="K1161" s="497" t="e">
        <f>INDEX(K$999:K$1028,MATCH(K1159,$D$999:$D$1028,0))</f>
        <v>#REF!</v>
      </c>
      <c r="L1161" s="498" t="e">
        <f>INDEX(L$999:L$1028,MATCH(L1159,$D$999:$D$1028,0))</f>
        <v>#N/A</v>
      </c>
      <c r="M1161" s="498" t="e">
        <f>INDEX(M$999:M$1028,MATCH(M1159,$D$999:$D$1028,0))</f>
        <v>#N/A</v>
      </c>
      <c r="N1161" s="499" t="e">
        <f>INDEX(N$999:N$1028,MATCH(N1159,$D$999:$D$1028,0))</f>
        <v>#REF!</v>
      </c>
      <c r="O1161" s="227"/>
      <c r="R1161" s="498"/>
      <c r="S1161" s="498"/>
      <c r="T1161" s="498"/>
      <c r="U1161" s="498"/>
      <c r="V1161" s="498"/>
      <c r="W1161" s="498"/>
      <c r="X1161" s="498"/>
      <c r="Y1161" s="498"/>
      <c r="Z1161" s="498"/>
      <c r="AA1161" s="498"/>
      <c r="AB1161" s="498"/>
      <c r="AC1161" s="498"/>
    </row>
    <row r="1162" spans="1:29" outlineLevel="1" x14ac:dyDescent="0.2">
      <c r="A1162" s="39"/>
      <c r="B1162" s="36" t="str">
        <f>INDEX(Language!D229:M229,1,_language)</f>
        <v>Chiller auxiliary energy</v>
      </c>
      <c r="C1162" s="38" t="s">
        <v>803</v>
      </c>
      <c r="D1162" s="206"/>
      <c r="E1162" s="402"/>
      <c r="F1162" s="402"/>
      <c r="G1162" s="402"/>
      <c r="H1162" s="402"/>
      <c r="I1162" s="207"/>
      <c r="J1162" s="500">
        <f t="shared" si="241"/>
        <v>27.142857142857142</v>
      </c>
      <c r="K1162" s="270">
        <f>+K459</f>
        <v>58.666666666666664</v>
      </c>
      <c r="L1162" s="271">
        <f>+L459</f>
        <v>58.666666666666664</v>
      </c>
      <c r="M1162" s="271">
        <f>+M459</f>
        <v>46.933333333333323</v>
      </c>
      <c r="N1162" s="272">
        <f>+N459</f>
        <v>27.142857142857142</v>
      </c>
      <c r="O1162" s="227"/>
      <c r="R1162" s="271"/>
      <c r="S1162" s="271"/>
      <c r="T1162" s="271"/>
      <c r="U1162" s="271"/>
      <c r="V1162" s="271"/>
      <c r="W1162" s="271"/>
      <c r="X1162" s="271"/>
      <c r="Y1162" s="271"/>
      <c r="Z1162" s="271"/>
      <c r="AA1162" s="271"/>
      <c r="AB1162" s="271"/>
      <c r="AC1162" s="271"/>
    </row>
    <row r="1163" spans="1:29" x14ac:dyDescent="0.2">
      <c r="A1163" s="39"/>
      <c r="B1163" s="36" t="str">
        <f>INDEX(Language!$D$319:$M$319,1,_language)</f>
        <v>Non renewable primary energy</v>
      </c>
      <c r="C1163" s="259"/>
      <c r="D1163" s="206"/>
      <c r="E1163" s="402"/>
      <c r="F1163" s="402"/>
      <c r="G1163" s="402"/>
      <c r="H1163" s="402"/>
      <c r="I1163" s="207"/>
      <c r="J1163" s="500" t="e">
        <f t="shared" si="241"/>
        <v>#REF!</v>
      </c>
      <c r="K1163" s="270" t="e">
        <f>+K1158*K1160+K1162*K965</f>
        <v>#REF!</v>
      </c>
      <c r="L1163" s="271" t="e">
        <f>+L1158*L1160+L1162*L965</f>
        <v>#N/A</v>
      </c>
      <c r="M1163" s="271" t="e">
        <f>+M1158*M1160+M1162*M965</f>
        <v>#N/A</v>
      </c>
      <c r="N1163" s="272" t="e">
        <f>+N1158*N1160+N1162*N965</f>
        <v>#REF!</v>
      </c>
      <c r="O1163" s="227"/>
      <c r="R1163" s="271"/>
      <c r="S1163" s="271"/>
      <c r="T1163" s="271"/>
      <c r="U1163" s="271"/>
      <c r="V1163" s="271"/>
      <c r="W1163" s="271"/>
      <c r="X1163" s="271"/>
      <c r="Y1163" s="271"/>
      <c r="Z1163" s="271"/>
      <c r="AA1163" s="271"/>
      <c r="AB1163" s="271"/>
      <c r="AC1163" s="271"/>
    </row>
    <row r="1164" spans="1:29" ht="13.5" thickBot="1" x14ac:dyDescent="0.25">
      <c r="A1164" s="39"/>
      <c r="B1164" s="263" t="str">
        <f>INDEX(Language!$D$320:$M$320,1,_language)</f>
        <v>Total primary energy</v>
      </c>
      <c r="C1164" s="531"/>
      <c r="D1164" s="532"/>
      <c r="E1164" s="533"/>
      <c r="F1164" s="533"/>
      <c r="G1164" s="533"/>
      <c r="H1164" s="533"/>
      <c r="I1164" s="292"/>
      <c r="J1164" s="538" t="e">
        <f t="shared" si="241"/>
        <v>#REF!</v>
      </c>
      <c r="K1164" s="277" t="e">
        <f>+K1158*K1161+K1162*K1027</f>
        <v>#REF!</v>
      </c>
      <c r="L1164" s="278" t="e">
        <f>+L1158*L1161+L1162*L1027</f>
        <v>#N/A</v>
      </c>
      <c r="M1164" s="278" t="e">
        <f>+M1158*M1161+M1162*M1027</f>
        <v>#N/A</v>
      </c>
      <c r="N1164" s="279" t="e">
        <f>+N1158*N1161+N1162*N1027</f>
        <v>#REF!</v>
      </c>
      <c r="O1164" s="293"/>
      <c r="R1164" s="278"/>
      <c r="S1164" s="278"/>
      <c r="T1164" s="278"/>
      <c r="U1164" s="278"/>
      <c r="V1164" s="278"/>
      <c r="W1164" s="278"/>
      <c r="X1164" s="278"/>
      <c r="Y1164" s="278"/>
      <c r="Z1164" s="278"/>
      <c r="AA1164" s="278"/>
      <c r="AB1164" s="278"/>
      <c r="AC1164" s="278"/>
    </row>
    <row r="1165" spans="1:29" x14ac:dyDescent="0.2">
      <c r="A1165" s="39"/>
      <c r="B1165" s="253" t="str">
        <f>INDEX(Language!D324:M324,1,_language)</f>
        <v>PV delivered solar radiation</v>
      </c>
      <c r="C1165" s="254"/>
      <c r="D1165" s="214"/>
      <c r="E1165" s="399"/>
      <c r="F1165" s="399"/>
      <c r="G1165" s="399"/>
      <c r="H1165" s="399"/>
      <c r="I1165" s="215"/>
      <c r="J1165" s="315">
        <f t="shared" si="241"/>
        <v>2205</v>
      </c>
      <c r="K1165" s="216">
        <f>+K565</f>
        <v>11025</v>
      </c>
      <c r="L1165" s="217">
        <f>+L565</f>
        <v>3675</v>
      </c>
      <c r="M1165" s="217">
        <f>+M565</f>
        <v>7350</v>
      </c>
      <c r="N1165" s="218">
        <f>+N565</f>
        <v>2205</v>
      </c>
      <c r="O1165" s="256"/>
      <c r="R1165" s="217"/>
      <c r="S1165" s="217"/>
      <c r="T1165" s="217"/>
      <c r="U1165" s="217"/>
      <c r="V1165" s="217"/>
      <c r="W1165" s="217"/>
      <c r="X1165" s="217"/>
      <c r="Y1165" s="217"/>
      <c r="Z1165" s="217"/>
      <c r="AA1165" s="217"/>
      <c r="AB1165" s="217"/>
      <c r="AC1165" s="217"/>
    </row>
    <row r="1166" spans="1:29" x14ac:dyDescent="0.2">
      <c r="A1166" s="39"/>
      <c r="B1166" s="36" t="str">
        <f>INDEX(Language!$D$315:$M$315,1,_language)</f>
        <v>Energy carrier</v>
      </c>
      <c r="C1166" s="259"/>
      <c r="D1166" s="206" t="s">
        <v>1160</v>
      </c>
      <c r="E1166" s="406" t="str">
        <f>+K1166</f>
        <v>sol</v>
      </c>
      <c r="F1166" s="406" t="str">
        <f>+L1166</f>
        <v>sol</v>
      </c>
      <c r="G1166" s="406" t="str">
        <f>+M1166</f>
        <v>sol</v>
      </c>
      <c r="H1166" s="406" t="str">
        <f>+N1166</f>
        <v>sol</v>
      </c>
      <c r="I1166" s="207"/>
      <c r="J1166" s="509" t="str">
        <f t="shared" si="241"/>
        <v>sol</v>
      </c>
      <c r="K1166" s="539" t="s">
        <v>1160</v>
      </c>
      <c r="L1166" s="540" t="s">
        <v>1160</v>
      </c>
      <c r="M1166" s="540" t="s">
        <v>1160</v>
      </c>
      <c r="N1166" s="541" t="s">
        <v>1160</v>
      </c>
      <c r="O1166" s="227"/>
      <c r="R1166" s="540"/>
      <c r="S1166" s="540"/>
      <c r="T1166" s="540"/>
      <c r="U1166" s="540"/>
      <c r="V1166" s="540"/>
      <c r="W1166" s="540"/>
      <c r="X1166" s="540"/>
      <c r="Y1166" s="540"/>
      <c r="Z1166" s="540"/>
      <c r="AA1166" s="540"/>
      <c r="AB1166" s="540"/>
      <c r="AC1166" s="540"/>
    </row>
    <row r="1167" spans="1:29" outlineLevel="1" x14ac:dyDescent="0.2">
      <c r="A1167" s="39"/>
      <c r="B1167" s="36" t="str">
        <f>INDEX(Language!$D$316:$M$316,1,_language)</f>
        <v>Non renewable factor</v>
      </c>
      <c r="C1167" s="259"/>
      <c r="D1167" s="206"/>
      <c r="E1167" s="402"/>
      <c r="F1167" s="402"/>
      <c r="G1167" s="402"/>
      <c r="H1167" s="402"/>
      <c r="I1167" s="207"/>
      <c r="J1167" s="486" t="e">
        <f t="shared" si="241"/>
        <v>#REF!</v>
      </c>
      <c r="K1167" s="497" t="e">
        <f>INDEX(K$937:K$965,MATCH(K1166,$D$937:$D$965,0))</f>
        <v>#REF!</v>
      </c>
      <c r="L1167" s="498" t="e">
        <f>INDEX(L$937:L$965,MATCH(L1166,$D$937:$D$965,0))</f>
        <v>#REF!</v>
      </c>
      <c r="M1167" s="498" t="e">
        <f>INDEX(M$937:M$965,MATCH(M1166,$D$937:$D$965,0))</f>
        <v>#REF!</v>
      </c>
      <c r="N1167" s="499" t="e">
        <f>INDEX(N$937:N$965,MATCH(N1166,$D$937:$D$965,0))</f>
        <v>#REF!</v>
      </c>
      <c r="O1167" s="227"/>
      <c r="R1167" s="498"/>
      <c r="S1167" s="498"/>
      <c r="T1167" s="498"/>
      <c r="U1167" s="498"/>
      <c r="V1167" s="498"/>
      <c r="W1167" s="498"/>
      <c r="X1167" s="498"/>
      <c r="Y1167" s="498"/>
      <c r="Z1167" s="498"/>
      <c r="AA1167" s="498"/>
      <c r="AB1167" s="498"/>
      <c r="AC1167" s="498"/>
    </row>
    <row r="1168" spans="1:29" outlineLevel="1" x14ac:dyDescent="0.2">
      <c r="A1168" s="39"/>
      <c r="B1168" s="36" t="str">
        <f>INDEX(Language!$D$317:$M$317,1,_language)</f>
        <v>Total factor</v>
      </c>
      <c r="C1168" s="259"/>
      <c r="D1168" s="206"/>
      <c r="E1168" s="402"/>
      <c r="F1168" s="402"/>
      <c r="G1168" s="402"/>
      <c r="H1168" s="402"/>
      <c r="I1168" s="207"/>
      <c r="J1168" s="486" t="e">
        <f t="shared" si="241"/>
        <v>#REF!</v>
      </c>
      <c r="K1168" s="497" t="e">
        <f>INDEX(K$999:K$1028,MATCH(K1166,$D$999:$D$1028,0))</f>
        <v>#REF!</v>
      </c>
      <c r="L1168" s="498" t="e">
        <f>INDEX(L$999:L$1028,MATCH(L1166,$D$999:$D$1028,0))</f>
        <v>#REF!</v>
      </c>
      <c r="M1168" s="498" t="e">
        <f>INDEX(M$999:M$1028,MATCH(M1166,$D$999:$D$1028,0))</f>
        <v>#REF!</v>
      </c>
      <c r="N1168" s="499" t="e">
        <f>INDEX(N$999:N$1028,MATCH(N1166,$D$999:$D$1028,0))</f>
        <v>#REF!</v>
      </c>
      <c r="O1168" s="227"/>
      <c r="R1168" s="498"/>
      <c r="S1168" s="498"/>
      <c r="T1168" s="498"/>
      <c r="U1168" s="498"/>
      <c r="V1168" s="498"/>
      <c r="W1168" s="498"/>
      <c r="X1168" s="498"/>
      <c r="Y1168" s="498"/>
      <c r="Z1168" s="498"/>
      <c r="AA1168" s="498"/>
      <c r="AB1168" s="498"/>
      <c r="AC1168" s="498"/>
    </row>
    <row r="1169" spans="1:29" x14ac:dyDescent="0.2">
      <c r="A1169" s="39"/>
      <c r="B1169" s="36" t="str">
        <f>INDEX(Language!$D$319:$M$319,1,_language)</f>
        <v>Non renewable primary energy</v>
      </c>
      <c r="C1169" s="259"/>
      <c r="D1169" s="206"/>
      <c r="E1169" s="402"/>
      <c r="F1169" s="402"/>
      <c r="G1169" s="402"/>
      <c r="H1169" s="402"/>
      <c r="I1169" s="207"/>
      <c r="J1169" s="500" t="e">
        <f t="shared" si="241"/>
        <v>#REF!</v>
      </c>
      <c r="K1169" s="270" t="e">
        <f>+K1165*K1167</f>
        <v>#REF!</v>
      </c>
      <c r="L1169" s="271" t="e">
        <f>+L1165*L1167</f>
        <v>#REF!</v>
      </c>
      <c r="M1169" s="271" t="e">
        <f>+M1165*M1167</f>
        <v>#REF!</v>
      </c>
      <c r="N1169" s="272" t="e">
        <f>+N1165*N1167</f>
        <v>#REF!</v>
      </c>
      <c r="O1169" s="227"/>
      <c r="R1169" s="271"/>
      <c r="S1169" s="271"/>
      <c r="T1169" s="271"/>
      <c r="U1169" s="271"/>
      <c r="V1169" s="271"/>
      <c r="W1169" s="271"/>
      <c r="X1169" s="271"/>
      <c r="Y1169" s="271"/>
      <c r="Z1169" s="271"/>
      <c r="AA1169" s="271"/>
      <c r="AB1169" s="271"/>
      <c r="AC1169" s="271"/>
    </row>
    <row r="1170" spans="1:29" ht="13.5" thickBot="1" x14ac:dyDescent="0.25">
      <c r="A1170" s="39"/>
      <c r="B1170" s="263" t="str">
        <f>INDEX(Language!$D$320:$M$320,1,_language)</f>
        <v>Total primary energy</v>
      </c>
      <c r="C1170" s="531"/>
      <c r="D1170" s="532"/>
      <c r="E1170" s="533"/>
      <c r="F1170" s="533"/>
      <c r="G1170" s="533"/>
      <c r="H1170" s="533"/>
      <c r="I1170" s="292"/>
      <c r="J1170" s="538" t="e">
        <f t="shared" si="241"/>
        <v>#REF!</v>
      </c>
      <c r="K1170" s="277" t="e">
        <f>+K1165*K1168</f>
        <v>#REF!</v>
      </c>
      <c r="L1170" s="278" t="e">
        <f>+L1165*L1168</f>
        <v>#REF!</v>
      </c>
      <c r="M1170" s="278" t="e">
        <f>+M1165*M1168</f>
        <v>#REF!</v>
      </c>
      <c r="N1170" s="279" t="e">
        <f>+N1165*N1168</f>
        <v>#REF!</v>
      </c>
      <c r="O1170" s="293"/>
      <c r="R1170" s="278"/>
      <c r="S1170" s="278"/>
      <c r="T1170" s="278"/>
      <c r="U1170" s="278"/>
      <c r="V1170" s="278"/>
      <c r="W1170" s="278"/>
      <c r="X1170" s="278"/>
      <c r="Y1170" s="278"/>
      <c r="Z1170" s="278"/>
      <c r="AA1170" s="278"/>
      <c r="AB1170" s="278"/>
      <c r="AC1170" s="278"/>
    </row>
    <row r="1171" spans="1:29" ht="13.5" thickBot="1" x14ac:dyDescent="0.25">
      <c r="A1171" s="39"/>
      <c r="B1171" s="335" t="str">
        <f>INDEX(Language!D195:M195,1,_language)</f>
        <v>Free cooling contribution</v>
      </c>
      <c r="C1171" s="336"/>
      <c r="D1171" s="337"/>
      <c r="E1171" s="407"/>
      <c r="F1171" s="407"/>
      <c r="G1171" s="407"/>
      <c r="H1171" s="407"/>
      <c r="I1171" s="338"/>
      <c r="J1171" s="339"/>
      <c r="K1171" s="389"/>
      <c r="L1171" s="390"/>
      <c r="M1171" s="390"/>
      <c r="N1171" s="391"/>
      <c r="O1171" s="392" t="s">
        <v>1345</v>
      </c>
      <c r="R1171" s="390"/>
      <c r="S1171" s="390"/>
      <c r="T1171" s="390"/>
      <c r="U1171" s="390"/>
      <c r="V1171" s="390"/>
      <c r="W1171" s="390"/>
      <c r="X1171" s="390"/>
      <c r="Y1171" s="390"/>
      <c r="Z1171" s="390"/>
      <c r="AA1171" s="390"/>
      <c r="AB1171" s="390"/>
      <c r="AC1171" s="390"/>
    </row>
    <row r="1172" spans="1:29" ht="18" customHeight="1" x14ac:dyDescent="0.2">
      <c r="A1172" s="39"/>
      <c r="B1172" s="572" t="str">
        <f>INDEX(Language!D336:M336,1,_language)</f>
        <v>Other auxiliaries</v>
      </c>
      <c r="C1172" s="563"/>
      <c r="D1172" s="564"/>
      <c r="E1172" s="565"/>
      <c r="F1172" s="565"/>
      <c r="G1172" s="565"/>
      <c r="H1172" s="565"/>
      <c r="I1172" s="566"/>
      <c r="J1172" s="567"/>
      <c r="K1172" s="568"/>
      <c r="L1172" s="569"/>
      <c r="M1172" s="569"/>
      <c r="N1172" s="569"/>
      <c r="O1172" s="570"/>
      <c r="R1172" s="569"/>
      <c r="S1172" s="569"/>
      <c r="T1172" s="569"/>
      <c r="U1172" s="569"/>
      <c r="V1172" s="569"/>
      <c r="W1172" s="569"/>
      <c r="X1172" s="569"/>
      <c r="Y1172" s="569"/>
      <c r="Z1172" s="569"/>
      <c r="AA1172" s="569"/>
      <c r="AB1172" s="569"/>
      <c r="AC1172" s="569"/>
    </row>
    <row r="1173" spans="1:29" ht="13.5" customHeight="1" x14ac:dyDescent="0.2">
      <c r="A1173" s="39"/>
      <c r="B1173" s="104" t="str">
        <f>INDEX(Language!D200:M200,1,_language)</f>
        <v>Heating system auxiliaries except generation</v>
      </c>
      <c r="C1173" s="259"/>
      <c r="D1173" s="206"/>
      <c r="E1173" s="402"/>
      <c r="F1173" s="402"/>
      <c r="G1173" s="402"/>
      <c r="H1173" s="402"/>
      <c r="I1173" s="207" t="str">
        <f t="shared" ref="I1173:I1183" si="242">+_En_unit</f>
        <v>kWh</v>
      </c>
      <c r="J1173" s="580">
        <f t="shared" ref="J1173:J1183" si="243">INDEX(K1173:N1173,,_case_en)</f>
        <v>318.75</v>
      </c>
      <c r="K1173" s="208">
        <f>+K106</f>
        <v>318.75</v>
      </c>
      <c r="L1173" s="209">
        <f>+L106</f>
        <v>318.75</v>
      </c>
      <c r="M1173" s="209">
        <f>+M106</f>
        <v>318.75</v>
      </c>
      <c r="N1173" s="210">
        <f>+N106</f>
        <v>318.75</v>
      </c>
      <c r="O1173" s="227"/>
      <c r="R1173" s="209"/>
      <c r="S1173" s="209"/>
      <c r="T1173" s="209"/>
      <c r="U1173" s="209"/>
      <c r="V1173" s="209"/>
      <c r="W1173" s="209"/>
      <c r="X1173" s="209"/>
      <c r="Y1173" s="209"/>
      <c r="Z1173" s="209"/>
      <c r="AA1173" s="209"/>
      <c r="AB1173" s="209"/>
      <c r="AC1173" s="209"/>
    </row>
    <row r="1174" spans="1:29" x14ac:dyDescent="0.2">
      <c r="A1174" s="39"/>
      <c r="B1174" s="104" t="str">
        <f>INDEX(Language!D202:M202,1,_language)</f>
        <v>Dhw system auxiliaries except generation</v>
      </c>
      <c r="C1174" s="259"/>
      <c r="D1174" s="206"/>
      <c r="E1174" s="402"/>
      <c r="F1174" s="402"/>
      <c r="G1174" s="402"/>
      <c r="H1174" s="402"/>
      <c r="I1174" s="207" t="str">
        <f t="shared" si="242"/>
        <v>kWh</v>
      </c>
      <c r="J1174" s="580">
        <f t="shared" si="243"/>
        <v>48</v>
      </c>
      <c r="K1174" s="208">
        <f>+K133</f>
        <v>160</v>
      </c>
      <c r="L1174" s="209">
        <f>+L133</f>
        <v>160</v>
      </c>
      <c r="M1174" s="209">
        <f>+M133</f>
        <v>160</v>
      </c>
      <c r="N1174" s="210">
        <f>+N133</f>
        <v>48</v>
      </c>
      <c r="O1174" s="227"/>
      <c r="R1174" s="209"/>
      <c r="S1174" s="209"/>
      <c r="T1174" s="209"/>
      <c r="U1174" s="209"/>
      <c r="V1174" s="209"/>
      <c r="W1174" s="209"/>
      <c r="X1174" s="209"/>
      <c r="Y1174" s="209"/>
      <c r="Z1174" s="209"/>
      <c r="AA1174" s="209"/>
      <c r="AB1174" s="209"/>
      <c r="AC1174" s="209"/>
    </row>
    <row r="1175" spans="1:29" x14ac:dyDescent="0.2">
      <c r="A1175" s="39"/>
      <c r="B1175" s="36" t="str">
        <f>INDEX(Language!D201:M201,1,_language)</f>
        <v>Cooling system auxiliaries except generation</v>
      </c>
      <c r="C1175" s="38"/>
      <c r="D1175" s="152"/>
      <c r="E1175" s="400"/>
      <c r="F1175" s="400"/>
      <c r="G1175" s="400"/>
      <c r="H1175" s="400"/>
      <c r="I1175" s="62" t="str">
        <f t="shared" si="242"/>
        <v>kWh</v>
      </c>
      <c r="J1175" s="500">
        <f t="shared" si="243"/>
        <v>27.142857142857142</v>
      </c>
      <c r="K1175" s="270">
        <f>+K160</f>
        <v>146.66666666666666</v>
      </c>
      <c r="L1175" s="271">
        <f>+L160</f>
        <v>146.66666666666666</v>
      </c>
      <c r="M1175" s="271">
        <f>+M160</f>
        <v>146.66666666666666</v>
      </c>
      <c r="N1175" s="272">
        <f>+N160</f>
        <v>27.142857142857142</v>
      </c>
      <c r="O1175" s="86"/>
      <c r="R1175" s="209"/>
      <c r="S1175" s="209"/>
      <c r="T1175" s="209"/>
      <c r="U1175" s="209"/>
      <c r="V1175" s="209"/>
      <c r="W1175" s="209"/>
      <c r="X1175" s="209"/>
      <c r="Y1175" s="209"/>
      <c r="Z1175" s="209"/>
      <c r="AA1175" s="209"/>
      <c r="AB1175" s="209"/>
      <c r="AC1175" s="209"/>
    </row>
    <row r="1176" spans="1:29" x14ac:dyDescent="0.2">
      <c r="A1176" s="39"/>
      <c r="B1176" s="36" t="str">
        <f>INDEX(Language!D232:M232,1,_language)</f>
        <v>Ventilation electricity use</v>
      </c>
      <c r="C1176" s="38"/>
      <c r="D1176" s="152"/>
      <c r="E1176" s="400"/>
      <c r="F1176" s="400"/>
      <c r="G1176" s="400"/>
      <c r="H1176" s="400"/>
      <c r="I1176" s="62" t="str">
        <f t="shared" si="242"/>
        <v>kWh</v>
      </c>
      <c r="J1176" s="500">
        <f t="shared" si="243"/>
        <v>600</v>
      </c>
      <c r="K1176" s="270">
        <f>+K485</f>
        <v>1440</v>
      </c>
      <c r="L1176" s="271">
        <f>+L485</f>
        <v>1440</v>
      </c>
      <c r="M1176" s="271">
        <f>+M485</f>
        <v>1440</v>
      </c>
      <c r="N1176" s="272">
        <f>+N485</f>
        <v>600</v>
      </c>
      <c r="O1176" s="86"/>
      <c r="R1176" s="209"/>
      <c r="S1176" s="209"/>
      <c r="T1176" s="209"/>
      <c r="U1176" s="209"/>
      <c r="V1176" s="209"/>
      <c r="W1176" s="209"/>
      <c r="X1176" s="209"/>
      <c r="Y1176" s="209"/>
      <c r="Z1176" s="209"/>
      <c r="AA1176" s="209"/>
      <c r="AB1176" s="209"/>
      <c r="AC1176" s="209"/>
    </row>
    <row r="1177" spans="1:29" x14ac:dyDescent="0.2">
      <c r="A1177" s="39"/>
      <c r="B1177" s="36" t="str">
        <f>INDEX(Language!D233:M233,1,_language)</f>
        <v>Lighting electricity use</v>
      </c>
      <c r="C1177" s="38"/>
      <c r="D1177" s="152"/>
      <c r="E1177" s="400"/>
      <c r="F1177" s="400"/>
      <c r="G1177" s="400"/>
      <c r="H1177" s="400"/>
      <c r="I1177" s="62" t="str">
        <f t="shared" si="242"/>
        <v>kWh</v>
      </c>
      <c r="J1177" s="500">
        <f t="shared" si="243"/>
        <v>240</v>
      </c>
      <c r="K1177" s="270">
        <f>+K498</f>
        <v>3000</v>
      </c>
      <c r="L1177" s="271">
        <f>+L498</f>
        <v>1800</v>
      </c>
      <c r="M1177" s="271">
        <f>+M498</f>
        <v>1800</v>
      </c>
      <c r="N1177" s="272">
        <f>+N498</f>
        <v>240</v>
      </c>
      <c r="O1177" s="86"/>
      <c r="R1177" s="209"/>
      <c r="S1177" s="209"/>
      <c r="T1177" s="209"/>
      <c r="U1177" s="209"/>
      <c r="V1177" s="209"/>
      <c r="W1177" s="209"/>
      <c r="X1177" s="209"/>
      <c r="Y1177" s="209"/>
      <c r="Z1177" s="209"/>
      <c r="AA1177" s="209"/>
      <c r="AB1177" s="209"/>
      <c r="AC1177" s="209"/>
    </row>
    <row r="1178" spans="1:29" x14ac:dyDescent="0.2">
      <c r="A1178" s="39"/>
      <c r="B1178" s="36" t="str">
        <f>INDEX(Language!D17:M17,1,_language)&amp;" "&amp;INDEX(Language!D20:M20,1,_language)</f>
        <v>appliances if part of EP</v>
      </c>
      <c r="C1178" s="38"/>
      <c r="D1178" s="152"/>
      <c r="E1178" s="400"/>
      <c r="F1178" s="400"/>
      <c r="G1178" s="400"/>
      <c r="H1178" s="400"/>
      <c r="I1178" s="62" t="str">
        <f t="shared" si="242"/>
        <v>kWh</v>
      </c>
      <c r="J1178" s="500">
        <f t="shared" si="243"/>
        <v>0</v>
      </c>
      <c r="K1178" s="270">
        <f>+K511</f>
        <v>600</v>
      </c>
      <c r="L1178" s="271">
        <f>+L511</f>
        <v>600</v>
      </c>
      <c r="M1178" s="271">
        <f>+M511</f>
        <v>600</v>
      </c>
      <c r="N1178" s="272">
        <f>+N511</f>
        <v>0</v>
      </c>
      <c r="O1178" s="86"/>
      <c r="R1178" s="209"/>
      <c r="S1178" s="209"/>
      <c r="T1178" s="209"/>
      <c r="U1178" s="209"/>
      <c r="V1178" s="209"/>
      <c r="W1178" s="209"/>
      <c r="X1178" s="209"/>
      <c r="Y1178" s="209"/>
      <c r="Z1178" s="209"/>
      <c r="AA1178" s="209"/>
      <c r="AB1178" s="209"/>
      <c r="AC1178" s="209"/>
    </row>
    <row r="1179" spans="1:29" x14ac:dyDescent="0.2">
      <c r="A1179" s="39"/>
      <c r="B1179" s="356" t="str">
        <f>INDEX(Language!D337:M337,1,_language)</f>
        <v>Total other auxiliaries</v>
      </c>
      <c r="C1179" s="357"/>
      <c r="D1179" s="358"/>
      <c r="E1179" s="410"/>
      <c r="F1179" s="410"/>
      <c r="G1179" s="410"/>
      <c r="H1179" s="410"/>
      <c r="I1179" s="359" t="str">
        <f t="shared" si="242"/>
        <v>kWh</v>
      </c>
      <c r="J1179" s="508">
        <f t="shared" si="243"/>
        <v>1233.8928571428571</v>
      </c>
      <c r="K1179" s="360">
        <f>SUM(K1173:K1178)</f>
        <v>5665.4166666666661</v>
      </c>
      <c r="L1179" s="361">
        <f>SUM(L1173:L1178)</f>
        <v>4465.4166666666661</v>
      </c>
      <c r="M1179" s="361">
        <f>SUM(M1173:M1178)</f>
        <v>4465.4166666666661</v>
      </c>
      <c r="N1179" s="362">
        <f>SUM(N1173:N1178)</f>
        <v>1233.8928571428571</v>
      </c>
      <c r="O1179" s="363"/>
      <c r="R1179" s="209"/>
      <c r="S1179" s="209"/>
      <c r="T1179" s="209"/>
      <c r="U1179" s="209"/>
      <c r="V1179" s="209"/>
      <c r="W1179" s="209"/>
      <c r="X1179" s="209"/>
      <c r="Y1179" s="209"/>
      <c r="Z1179" s="209"/>
      <c r="AA1179" s="209"/>
      <c r="AB1179" s="209"/>
      <c r="AC1179" s="209"/>
    </row>
    <row r="1180" spans="1:29" x14ac:dyDescent="0.2">
      <c r="A1180" s="39"/>
      <c r="B1180" s="36" t="str">
        <f>INDEX(Language!$D$319:$M$319,1,_language)</f>
        <v>Non renewable primary energy</v>
      </c>
      <c r="C1180" s="259"/>
      <c r="D1180" s="206"/>
      <c r="E1180" s="402"/>
      <c r="F1180" s="402"/>
      <c r="G1180" s="402"/>
      <c r="H1180" s="402"/>
      <c r="I1180" s="207" t="str">
        <f t="shared" si="242"/>
        <v>kWh</v>
      </c>
      <c r="J1180" s="580" t="e">
        <f t="shared" si="243"/>
        <v>#REF!</v>
      </c>
      <c r="K1180" s="208" t="e">
        <f>+K1179*K965</f>
        <v>#REF!</v>
      </c>
      <c r="L1180" s="209" t="e">
        <f>+L1179*L965</f>
        <v>#REF!</v>
      </c>
      <c r="M1180" s="209" t="e">
        <f>+M1179*M965</f>
        <v>#REF!</v>
      </c>
      <c r="N1180" s="210" t="e">
        <f>+N1179*N965</f>
        <v>#REF!</v>
      </c>
      <c r="O1180" s="227"/>
      <c r="R1180" s="209"/>
      <c r="S1180" s="209"/>
      <c r="T1180" s="209"/>
      <c r="U1180" s="209"/>
      <c r="V1180" s="209"/>
      <c r="W1180" s="209"/>
      <c r="X1180" s="209"/>
      <c r="Y1180" s="209"/>
      <c r="Z1180" s="209"/>
      <c r="AA1180" s="209"/>
      <c r="AB1180" s="209"/>
      <c r="AC1180" s="209"/>
    </row>
    <row r="1181" spans="1:29" ht="13.5" thickBot="1" x14ac:dyDescent="0.25">
      <c r="A1181" s="39"/>
      <c r="B1181" s="263" t="str">
        <f>INDEX(Language!$D$320:$M$320,1,_language)</f>
        <v>Total primary energy</v>
      </c>
      <c r="C1181" s="531"/>
      <c r="D1181" s="532"/>
      <c r="E1181" s="533"/>
      <c r="F1181" s="533"/>
      <c r="G1181" s="533"/>
      <c r="H1181" s="533"/>
      <c r="I1181" s="292" t="str">
        <f t="shared" si="242"/>
        <v>kWh</v>
      </c>
      <c r="J1181" s="581" t="e">
        <f t="shared" si="243"/>
        <v>#REF!</v>
      </c>
      <c r="K1181" s="281" t="e">
        <f>+K1179*K1027</f>
        <v>#REF!</v>
      </c>
      <c r="L1181" s="294" t="e">
        <f>+L1179*L1027</f>
        <v>#REF!</v>
      </c>
      <c r="M1181" s="294" t="e">
        <f>+M1179*M1027</f>
        <v>#REF!</v>
      </c>
      <c r="N1181" s="295" t="e">
        <f>+N1179*N1027</f>
        <v>#REF!</v>
      </c>
      <c r="O1181" s="293"/>
      <c r="R1181" s="294"/>
      <c r="S1181" s="294"/>
      <c r="T1181" s="294"/>
      <c r="U1181" s="294"/>
      <c r="V1181" s="294"/>
      <c r="W1181" s="294"/>
      <c r="X1181" s="294"/>
      <c r="Y1181" s="294"/>
      <c r="Z1181" s="294"/>
      <c r="AA1181" s="294"/>
      <c r="AB1181" s="294"/>
      <c r="AC1181" s="294"/>
    </row>
    <row r="1182" spans="1:29" x14ac:dyDescent="0.2">
      <c r="A1182" s="39"/>
      <c r="B1182" s="487" t="str">
        <f>INDEX(Language!D307:M307,1,_language)</f>
        <v>Total non renewable primary energy</v>
      </c>
      <c r="C1182" s="582"/>
      <c r="D1182" s="583"/>
      <c r="E1182" s="584"/>
      <c r="F1182" s="584"/>
      <c r="G1182" s="584"/>
      <c r="H1182" s="584"/>
      <c r="I1182" s="585" t="str">
        <f t="shared" si="242"/>
        <v>kWh</v>
      </c>
      <c r="J1182" s="590" t="e">
        <f t="shared" si="243"/>
        <v>#REF!</v>
      </c>
      <c r="K1182" s="586" t="e">
        <f t="shared" ref="K1182:N1183" si="244">+K1180+K1163+K1156+K1149+K1141+K1128+K1169</f>
        <v>#REF!</v>
      </c>
      <c r="L1182" s="587" t="e">
        <f t="shared" si="244"/>
        <v>#REF!</v>
      </c>
      <c r="M1182" s="587" t="e">
        <f t="shared" si="244"/>
        <v>#REF!</v>
      </c>
      <c r="N1182" s="588" t="e">
        <f t="shared" si="244"/>
        <v>#REF!</v>
      </c>
      <c r="O1182" s="589"/>
      <c r="R1182" s="587"/>
      <c r="S1182" s="587"/>
      <c r="T1182" s="587"/>
      <c r="U1182" s="587"/>
      <c r="V1182" s="587"/>
      <c r="W1182" s="587"/>
      <c r="X1182" s="587"/>
      <c r="Y1182" s="587"/>
      <c r="Z1182" s="587"/>
      <c r="AA1182" s="587"/>
      <c r="AB1182" s="587"/>
      <c r="AC1182" s="587"/>
    </row>
    <row r="1183" spans="1:29" ht="13.5" thickBot="1" x14ac:dyDescent="0.25">
      <c r="A1183" s="39"/>
      <c r="B1183" s="493" t="str">
        <f>INDEX(Language!D310:M310,1,_language)</f>
        <v>Total total primary energy</v>
      </c>
      <c r="C1183" s="591"/>
      <c r="D1183" s="592"/>
      <c r="E1183" s="593"/>
      <c r="F1183" s="593"/>
      <c r="G1183" s="593"/>
      <c r="H1183" s="593"/>
      <c r="I1183" s="594" t="str">
        <f t="shared" si="242"/>
        <v>kWh</v>
      </c>
      <c r="J1183" s="595" t="e">
        <f t="shared" si="243"/>
        <v>#REF!</v>
      </c>
      <c r="K1183" s="596" t="e">
        <f t="shared" si="244"/>
        <v>#REF!</v>
      </c>
      <c r="L1183" s="597" t="e">
        <f t="shared" si="244"/>
        <v>#REF!</v>
      </c>
      <c r="M1183" s="597" t="e">
        <f t="shared" si="244"/>
        <v>#REF!</v>
      </c>
      <c r="N1183" s="598" t="e">
        <f t="shared" si="244"/>
        <v>#REF!</v>
      </c>
      <c r="O1183" s="599"/>
      <c r="R1183" s="597"/>
      <c r="S1183" s="597"/>
      <c r="T1183" s="597"/>
      <c r="U1183" s="597"/>
      <c r="V1183" s="597"/>
      <c r="W1183" s="597"/>
      <c r="X1183" s="597"/>
      <c r="Y1183" s="597"/>
      <c r="Z1183" s="597"/>
      <c r="AA1183" s="597"/>
      <c r="AB1183" s="597"/>
      <c r="AC1183" s="597"/>
    </row>
    <row r="1184" spans="1:29" ht="22.5" customHeight="1" thickBot="1" x14ac:dyDescent="0.25">
      <c r="A1184" s="39"/>
      <c r="B1184" s="600" t="str">
        <f>INDEX(Language!$D$339:$M$339,1,_language)</f>
        <v>Primary energy attribution to services</v>
      </c>
      <c r="C1184" s="601"/>
      <c r="D1184" s="602"/>
      <c r="E1184" s="602"/>
      <c r="F1184" s="602"/>
      <c r="G1184" s="602"/>
      <c r="H1184" s="602"/>
      <c r="I1184" s="603"/>
      <c r="J1184" s="603"/>
      <c r="K1184" s="603"/>
      <c r="L1184" s="603"/>
      <c r="M1184" s="603"/>
      <c r="N1184" s="603"/>
      <c r="O1184" s="604"/>
      <c r="R1184" s="603"/>
      <c r="S1184" s="603"/>
      <c r="T1184" s="603"/>
      <c r="U1184" s="603"/>
      <c r="V1184" s="603"/>
      <c r="W1184" s="603"/>
      <c r="X1184" s="603"/>
      <c r="Y1184" s="603"/>
      <c r="Z1184" s="603"/>
      <c r="AA1184" s="603"/>
      <c r="AB1184" s="603"/>
      <c r="AC1184" s="603"/>
    </row>
    <row r="1185" spans="1:29" x14ac:dyDescent="0.2">
      <c r="A1185" s="39"/>
      <c r="B1185" s="104"/>
      <c r="C1185" s="259"/>
      <c r="D1185" s="206"/>
      <c r="E1185" s="402"/>
      <c r="F1185" s="402"/>
      <c r="G1185" s="402"/>
      <c r="H1185" s="402"/>
      <c r="I1185" s="207"/>
      <c r="J1185" s="368"/>
      <c r="K1185" s="208" t="e">
        <f>+K1094</f>
        <v>#N/A</v>
      </c>
      <c r="L1185" s="209" t="e">
        <f>+L1094</f>
        <v>#N/A</v>
      </c>
      <c r="M1185" s="209" t="e">
        <f>+M1094</f>
        <v>#N/A</v>
      </c>
      <c r="N1185" s="210" t="e">
        <f>+N1094</f>
        <v>#N/A</v>
      </c>
      <c r="O1185" s="227"/>
      <c r="R1185" s="209"/>
      <c r="S1185" s="209"/>
      <c r="T1185" s="209"/>
      <c r="U1185" s="209"/>
      <c r="V1185" s="209"/>
      <c r="W1185" s="209"/>
      <c r="X1185" s="209"/>
      <c r="Y1185" s="209"/>
      <c r="Z1185" s="209"/>
      <c r="AA1185" s="209"/>
      <c r="AB1185" s="209"/>
      <c r="AC1185" s="209"/>
    </row>
    <row r="1186" spans="1:29" x14ac:dyDescent="0.2">
      <c r="A1186" s="39"/>
      <c r="B1186" s="104"/>
      <c r="C1186" s="259"/>
      <c r="D1186" s="206"/>
      <c r="E1186" s="402"/>
      <c r="F1186" s="402"/>
      <c r="G1186" s="402"/>
      <c r="H1186" s="402"/>
      <c r="I1186" s="207"/>
      <c r="J1186" s="368"/>
      <c r="K1186" s="208" t="e">
        <f>+K1107</f>
        <v>#N/A</v>
      </c>
      <c r="L1186" s="209" t="e">
        <f>+L1107</f>
        <v>#N/A</v>
      </c>
      <c r="M1186" s="209" t="e">
        <f>+M1107</f>
        <v>#N/A</v>
      </c>
      <c r="N1186" s="210" t="e">
        <f>+N1107</f>
        <v>#N/A</v>
      </c>
      <c r="O1186" s="227"/>
      <c r="R1186" s="209"/>
      <c r="S1186" s="209"/>
      <c r="T1186" s="209"/>
      <c r="U1186" s="209"/>
      <c r="V1186" s="209"/>
      <c r="W1186" s="209"/>
      <c r="X1186" s="209"/>
      <c r="Y1186" s="209"/>
      <c r="Z1186" s="209"/>
      <c r="AA1186" s="209"/>
      <c r="AB1186" s="209"/>
      <c r="AC1186" s="209"/>
    </row>
    <row r="1187" spans="1:29" ht="38.25" x14ac:dyDescent="0.2">
      <c r="A1187" s="39"/>
      <c r="B1187" s="104"/>
      <c r="C1187" s="259"/>
      <c r="D1187" s="206"/>
      <c r="E1187" s="402"/>
      <c r="F1187" s="402"/>
      <c r="G1187" s="402"/>
      <c r="H1187" s="402"/>
      <c r="I1187" s="207"/>
      <c r="J1187" s="368"/>
      <c r="K1187" s="208" t="e">
        <f>AND(K1186=K1183,K1185=K1182)</f>
        <v>#N/A</v>
      </c>
      <c r="L1187" s="209" t="e">
        <f>AND(L1186=L1183,L1185=L1182)</f>
        <v>#N/A</v>
      </c>
      <c r="M1187" s="209" t="e">
        <f>AND(M1186=M1183,M1185=M1182)</f>
        <v>#N/A</v>
      </c>
      <c r="N1187" s="210" t="e">
        <f>AND(N1186=N1183,N1185=N1182)</f>
        <v>#N/A</v>
      </c>
      <c r="O1187" s="227" t="s">
        <v>1346</v>
      </c>
      <c r="R1187" s="209"/>
      <c r="S1187" s="209"/>
      <c r="T1187" s="209"/>
      <c r="U1187" s="209"/>
      <c r="V1187" s="209"/>
      <c r="W1187" s="209"/>
      <c r="X1187" s="209"/>
      <c r="Y1187" s="209"/>
      <c r="Z1187" s="209"/>
      <c r="AA1187" s="209"/>
      <c r="AB1187" s="209"/>
      <c r="AC1187" s="209"/>
    </row>
    <row r="1188" spans="1:29" x14ac:dyDescent="0.2">
      <c r="A1188" s="39"/>
      <c r="B1188" s="104"/>
      <c r="C1188" s="259"/>
      <c r="D1188" s="206"/>
      <c r="E1188" s="402"/>
      <c r="F1188" s="402"/>
      <c r="G1188" s="402"/>
      <c r="H1188" s="402"/>
      <c r="I1188" s="207"/>
      <c r="J1188" s="368"/>
      <c r="K1188" s="208"/>
      <c r="L1188" s="209"/>
      <c r="M1188" s="209"/>
      <c r="N1188" s="210"/>
      <c r="O1188" s="227"/>
      <c r="R1188" s="209"/>
      <c r="S1188" s="209"/>
      <c r="T1188" s="209"/>
      <c r="U1188" s="209"/>
      <c r="V1188" s="209"/>
      <c r="W1188" s="209"/>
      <c r="X1188" s="209"/>
      <c r="Y1188" s="209"/>
      <c r="Z1188" s="209"/>
      <c r="AA1188" s="209"/>
      <c r="AB1188" s="209"/>
      <c r="AC1188" s="209"/>
    </row>
    <row r="1189" spans="1:29" x14ac:dyDescent="0.2">
      <c r="A1189" s="39"/>
      <c r="B1189" s="104"/>
      <c r="C1189" s="259"/>
      <c r="D1189" s="206"/>
      <c r="E1189" s="402"/>
      <c r="F1189" s="402"/>
      <c r="G1189" s="402"/>
      <c r="H1189" s="402"/>
      <c r="I1189" s="207"/>
      <c r="J1189" s="368"/>
      <c r="K1189" s="208"/>
      <c r="L1189" s="209"/>
      <c r="M1189" s="209"/>
      <c r="N1189" s="210"/>
      <c r="O1189" s="227"/>
      <c r="R1189" s="209"/>
      <c r="S1189" s="209"/>
      <c r="T1189" s="209"/>
      <c r="U1189" s="209"/>
      <c r="V1189" s="209"/>
      <c r="W1189" s="209"/>
      <c r="X1189" s="209"/>
      <c r="Y1189" s="209"/>
      <c r="Z1189" s="209"/>
      <c r="AA1189" s="209"/>
      <c r="AB1189" s="209"/>
      <c r="AC1189" s="209"/>
    </row>
    <row r="1190" spans="1:29" x14ac:dyDescent="0.2">
      <c r="A1190" s="39"/>
      <c r="B1190" s="104"/>
      <c r="C1190" s="259"/>
      <c r="D1190" s="206"/>
      <c r="E1190" s="402"/>
      <c r="F1190" s="402"/>
      <c r="G1190" s="402"/>
      <c r="H1190" s="402"/>
      <c r="I1190" s="207"/>
      <c r="J1190" s="368"/>
      <c r="K1190" s="208"/>
      <c r="L1190" s="209"/>
      <c r="M1190" s="209"/>
      <c r="N1190" s="210"/>
      <c r="O1190" s="227"/>
      <c r="R1190" s="209"/>
      <c r="S1190" s="209"/>
      <c r="T1190" s="209"/>
      <c r="U1190" s="209"/>
      <c r="V1190" s="209"/>
      <c r="W1190" s="209"/>
      <c r="X1190" s="209"/>
      <c r="Y1190" s="209"/>
      <c r="Z1190" s="209"/>
      <c r="AA1190" s="209"/>
      <c r="AB1190" s="209"/>
      <c r="AC1190" s="209"/>
    </row>
    <row r="1191" spans="1:29" x14ac:dyDescent="0.2">
      <c r="A1191" s="39"/>
      <c r="B1191" s="36"/>
      <c r="C1191" s="38"/>
      <c r="D1191" s="152"/>
      <c r="E1191" s="400"/>
      <c r="F1191" s="400"/>
      <c r="G1191" s="400"/>
      <c r="H1191" s="400"/>
      <c r="I1191" s="62"/>
      <c r="J1191" s="257"/>
      <c r="K1191" s="270"/>
      <c r="L1191" s="271"/>
      <c r="M1191" s="271"/>
      <c r="N1191" s="272"/>
      <c r="O1191" s="86"/>
      <c r="R1191" s="271"/>
      <c r="S1191" s="271"/>
      <c r="T1191" s="271"/>
      <c r="U1191" s="271"/>
      <c r="V1191" s="271"/>
      <c r="W1191" s="271"/>
      <c r="X1191" s="271"/>
      <c r="Y1191" s="271"/>
      <c r="Z1191" s="271"/>
      <c r="AA1191" s="271"/>
      <c r="AB1191" s="271"/>
      <c r="AC1191" s="271"/>
    </row>
    <row r="1192" spans="1:29" x14ac:dyDescent="0.2">
      <c r="A1192" s="39"/>
      <c r="B1192" s="36"/>
      <c r="C1192" s="38"/>
      <c r="D1192" s="152"/>
      <c r="E1192" s="400"/>
      <c r="F1192" s="400"/>
      <c r="G1192" s="400"/>
      <c r="H1192" s="400"/>
      <c r="I1192" s="62"/>
      <c r="J1192" s="257"/>
      <c r="K1192" s="270"/>
      <c r="L1192" s="271"/>
      <c r="M1192" s="271"/>
      <c r="N1192" s="272"/>
      <c r="O1192" s="86"/>
      <c r="R1192" s="271"/>
      <c r="S1192" s="271"/>
      <c r="T1192" s="271"/>
      <c r="U1192" s="271"/>
      <c r="V1192" s="271"/>
      <c r="W1192" s="271"/>
      <c r="X1192" s="271"/>
      <c r="Y1192" s="271"/>
      <c r="Z1192" s="271"/>
      <c r="AA1192" s="271"/>
      <c r="AB1192" s="271"/>
      <c r="AC1192" s="271"/>
    </row>
    <row r="1193" spans="1:29" x14ac:dyDescent="0.2">
      <c r="A1193" s="39"/>
      <c r="B1193" s="36"/>
      <c r="C1193" s="38"/>
      <c r="D1193" s="152"/>
      <c r="E1193" s="400"/>
      <c r="F1193" s="400"/>
      <c r="G1193" s="400"/>
      <c r="H1193" s="400"/>
      <c r="I1193" s="62"/>
      <c r="J1193" s="257"/>
      <c r="K1193" s="270"/>
      <c r="L1193" s="271"/>
      <c r="M1193" s="271"/>
      <c r="N1193" s="272"/>
      <c r="O1193" s="86"/>
      <c r="R1193" s="271"/>
      <c r="S1193" s="271"/>
      <c r="T1193" s="271"/>
      <c r="U1193" s="271"/>
      <c r="V1193" s="271"/>
      <c r="W1193" s="271"/>
      <c r="X1193" s="271"/>
      <c r="Y1193" s="271"/>
      <c r="Z1193" s="271"/>
      <c r="AA1193" s="271"/>
      <c r="AB1193" s="271"/>
      <c r="AC1193" s="271"/>
    </row>
    <row r="1194" spans="1:29" x14ac:dyDescent="0.2">
      <c r="A1194" s="39"/>
      <c r="B1194" s="36"/>
      <c r="C1194" s="38"/>
      <c r="D1194" s="152"/>
      <c r="E1194" s="400"/>
      <c r="F1194" s="400"/>
      <c r="G1194" s="400"/>
      <c r="H1194" s="400"/>
      <c r="I1194" s="62"/>
      <c r="J1194" s="257"/>
      <c r="K1194" s="270"/>
      <c r="L1194" s="271"/>
      <c r="M1194" s="271"/>
      <c r="N1194" s="272"/>
      <c r="O1194" s="86"/>
      <c r="R1194" s="271"/>
      <c r="S1194" s="271"/>
      <c r="T1194" s="271"/>
      <c r="U1194" s="271"/>
      <c r="V1194" s="271"/>
      <c r="W1194" s="271"/>
      <c r="X1194" s="271"/>
      <c r="Y1194" s="271"/>
      <c r="Z1194" s="271"/>
      <c r="AA1194" s="271"/>
      <c r="AB1194" s="271"/>
      <c r="AC1194" s="271"/>
    </row>
    <row r="1195" spans="1:29" x14ac:dyDescent="0.2">
      <c r="A1195" s="39"/>
      <c r="B1195" s="36"/>
      <c r="C1195" s="38"/>
      <c r="D1195" s="152"/>
      <c r="E1195" s="400"/>
      <c r="F1195" s="400"/>
      <c r="G1195" s="400"/>
      <c r="H1195" s="400"/>
      <c r="I1195" s="62"/>
      <c r="J1195" s="257"/>
      <c r="K1195" s="61"/>
      <c r="L1195" s="44"/>
      <c r="M1195" s="44"/>
      <c r="N1195" s="62"/>
      <c r="O1195" s="86"/>
      <c r="R1195" s="44"/>
      <c r="S1195" s="44"/>
      <c r="T1195" s="44"/>
      <c r="U1195" s="44"/>
      <c r="V1195" s="44"/>
      <c r="W1195" s="44"/>
      <c r="X1195" s="44"/>
      <c r="Y1195" s="44"/>
      <c r="Z1195" s="44"/>
      <c r="AA1195" s="44"/>
      <c r="AB1195" s="44"/>
      <c r="AC1195" s="44"/>
    </row>
    <row r="1196" spans="1:29" x14ac:dyDescent="0.2">
      <c r="A1196" s="39"/>
      <c r="B1196" s="36"/>
      <c r="C1196" s="38"/>
      <c r="D1196" s="152"/>
      <c r="E1196" s="400"/>
      <c r="F1196" s="400"/>
      <c r="G1196" s="400"/>
      <c r="H1196" s="400"/>
      <c r="I1196" s="62"/>
      <c r="J1196" s="257"/>
      <c r="K1196" s="61"/>
      <c r="L1196" s="44"/>
      <c r="M1196" s="44"/>
      <c r="N1196" s="62"/>
      <c r="O1196" s="86"/>
      <c r="R1196" s="44"/>
      <c r="S1196" s="44"/>
      <c r="T1196" s="44"/>
      <c r="U1196" s="44"/>
      <c r="V1196" s="44"/>
      <c r="W1196" s="44"/>
      <c r="X1196" s="44"/>
      <c r="Y1196" s="44"/>
      <c r="Z1196" s="44"/>
      <c r="AA1196" s="44"/>
      <c r="AB1196" s="44"/>
      <c r="AC1196" s="44"/>
    </row>
    <row r="1197" spans="1:29" x14ac:dyDescent="0.2">
      <c r="A1197" s="39"/>
      <c r="B1197" s="36"/>
      <c r="C1197" s="38"/>
      <c r="D1197" s="152"/>
      <c r="E1197" s="400"/>
      <c r="F1197" s="400"/>
      <c r="G1197" s="400"/>
      <c r="H1197" s="400"/>
      <c r="I1197" s="62"/>
      <c r="J1197" s="257"/>
      <c r="K1197" s="61"/>
      <c r="L1197" s="44"/>
      <c r="M1197" s="44"/>
      <c r="N1197" s="62"/>
      <c r="O1197" s="86"/>
      <c r="R1197" s="44"/>
      <c r="S1197" s="44"/>
      <c r="T1197" s="44"/>
      <c r="U1197" s="44"/>
      <c r="V1197" s="44"/>
      <c r="W1197" s="44"/>
      <c r="X1197" s="44"/>
      <c r="Y1197" s="44"/>
      <c r="Z1197" s="44"/>
      <c r="AA1197" s="44"/>
      <c r="AB1197" s="44"/>
      <c r="AC1197" s="44"/>
    </row>
    <row r="1198" spans="1:29" x14ac:dyDescent="0.2">
      <c r="A1198" s="39"/>
      <c r="B1198" s="36"/>
      <c r="C1198" s="38"/>
      <c r="D1198" s="152"/>
      <c r="E1198" s="400"/>
      <c r="F1198" s="400"/>
      <c r="G1198" s="400"/>
      <c r="H1198" s="400"/>
      <c r="I1198" s="62"/>
      <c r="J1198" s="257"/>
      <c r="K1198" s="61"/>
      <c r="L1198" s="44"/>
      <c r="M1198" s="44"/>
      <c r="N1198" s="62"/>
      <c r="O1198" s="86"/>
      <c r="R1198" s="44"/>
      <c r="S1198" s="44"/>
      <c r="T1198" s="44"/>
      <c r="U1198" s="44"/>
      <c r="V1198" s="44"/>
      <c r="W1198" s="44"/>
      <c r="X1198" s="44"/>
      <c r="Y1198" s="44"/>
      <c r="Z1198" s="44"/>
      <c r="AA1198" s="44"/>
      <c r="AB1198" s="44"/>
      <c r="AC1198" s="44"/>
    </row>
    <row r="1199" spans="1:29" x14ac:dyDescent="0.2">
      <c r="A1199" s="39"/>
      <c r="B1199" s="36"/>
      <c r="C1199" s="38"/>
      <c r="D1199" s="152"/>
      <c r="E1199" s="400"/>
      <c r="F1199" s="400"/>
      <c r="G1199" s="400"/>
      <c r="H1199" s="400"/>
      <c r="I1199" s="62"/>
      <c r="J1199" s="257"/>
      <c r="K1199" s="61"/>
      <c r="L1199" s="44"/>
      <c r="M1199" s="44"/>
      <c r="N1199" s="62"/>
      <c r="O1199" s="86"/>
      <c r="R1199" s="44"/>
      <c r="S1199" s="44"/>
      <c r="T1199" s="44"/>
      <c r="U1199" s="44"/>
      <c r="V1199" s="44"/>
      <c r="W1199" s="44"/>
      <c r="X1199" s="44"/>
      <c r="Y1199" s="44"/>
      <c r="Z1199" s="44"/>
      <c r="AA1199" s="44"/>
      <c r="AB1199" s="44"/>
      <c r="AC1199" s="44"/>
    </row>
    <row r="1200" spans="1:29" x14ac:dyDescent="0.2">
      <c r="A1200" s="39"/>
      <c r="B1200" s="36"/>
      <c r="C1200" s="38"/>
      <c r="D1200" s="152"/>
      <c r="E1200" s="400"/>
      <c r="F1200" s="400"/>
      <c r="G1200" s="400"/>
      <c r="H1200" s="400"/>
      <c r="I1200" s="62"/>
      <c r="J1200" s="257"/>
      <c r="K1200" s="61"/>
      <c r="L1200" s="44"/>
      <c r="M1200" s="44"/>
      <c r="N1200" s="62"/>
      <c r="O1200" s="86"/>
      <c r="R1200" s="44"/>
      <c r="S1200" s="44"/>
      <c r="T1200" s="44"/>
      <c r="U1200" s="44"/>
      <c r="V1200" s="44"/>
      <c r="W1200" s="44"/>
      <c r="X1200" s="44"/>
      <c r="Y1200" s="44"/>
      <c r="Z1200" s="44"/>
      <c r="AA1200" s="44"/>
      <c r="AB1200" s="44"/>
      <c r="AC1200" s="44"/>
    </row>
    <row r="1201" spans="1:29" x14ac:dyDescent="0.2">
      <c r="A1201" s="39"/>
      <c r="B1201" s="36"/>
      <c r="C1201" s="38"/>
      <c r="D1201" s="152"/>
      <c r="E1201" s="400"/>
      <c r="F1201" s="400"/>
      <c r="G1201" s="400"/>
      <c r="H1201" s="400"/>
      <c r="I1201" s="62"/>
      <c r="J1201" s="257"/>
      <c r="K1201" s="61"/>
      <c r="L1201" s="44"/>
      <c r="M1201" s="44"/>
      <c r="N1201" s="62"/>
      <c r="O1201" s="86"/>
      <c r="R1201" s="44"/>
      <c r="S1201" s="44"/>
      <c r="T1201" s="44"/>
      <c r="U1201" s="44"/>
      <c r="V1201" s="44"/>
      <c r="W1201" s="44"/>
      <c r="X1201" s="44"/>
      <c r="Y1201" s="44"/>
      <c r="Z1201" s="44"/>
      <c r="AA1201" s="44"/>
      <c r="AB1201" s="44"/>
      <c r="AC1201" s="44"/>
    </row>
    <row r="1202" spans="1:29" x14ac:dyDescent="0.2">
      <c r="A1202" s="39"/>
      <c r="B1202" s="36"/>
      <c r="C1202" s="38"/>
      <c r="D1202" s="152"/>
      <c r="E1202" s="400"/>
      <c r="F1202" s="400"/>
      <c r="G1202" s="400"/>
      <c r="H1202" s="400"/>
      <c r="I1202" s="62"/>
      <c r="J1202" s="257"/>
      <c r="K1202" s="61"/>
      <c r="L1202" s="44"/>
      <c r="M1202" s="44"/>
      <c r="N1202" s="62"/>
      <c r="O1202" s="86"/>
      <c r="R1202" s="44"/>
      <c r="S1202" s="44"/>
      <c r="T1202" s="44"/>
      <c r="U1202" s="44"/>
      <c r="V1202" s="44"/>
      <c r="W1202" s="44"/>
      <c r="X1202" s="44"/>
      <c r="Y1202" s="44"/>
      <c r="Z1202" s="44"/>
      <c r="AA1202" s="44"/>
      <c r="AB1202" s="44"/>
      <c r="AC1202" s="44"/>
    </row>
    <row r="1203" spans="1:29" x14ac:dyDescent="0.2">
      <c r="A1203" s="39"/>
      <c r="B1203" s="36"/>
      <c r="C1203" s="38"/>
      <c r="D1203" s="152"/>
      <c r="E1203" s="400"/>
      <c r="F1203" s="400"/>
      <c r="G1203" s="400"/>
      <c r="H1203" s="400"/>
      <c r="I1203" s="62"/>
      <c r="J1203" s="257"/>
      <c r="K1203" s="61"/>
      <c r="L1203" s="44"/>
      <c r="M1203" s="44"/>
      <c r="N1203" s="62"/>
      <c r="O1203" s="86"/>
      <c r="R1203" s="44"/>
      <c r="S1203" s="44"/>
      <c r="T1203" s="44"/>
      <c r="U1203" s="44"/>
      <c r="V1203" s="44"/>
      <c r="W1203" s="44"/>
      <c r="X1203" s="44"/>
      <c r="Y1203" s="44"/>
      <c r="Z1203" s="44"/>
      <c r="AA1203" s="44"/>
      <c r="AB1203" s="44"/>
      <c r="AC1203" s="44"/>
    </row>
    <row r="1204" spans="1:29" x14ac:dyDescent="0.2">
      <c r="A1204" s="39"/>
      <c r="B1204" s="36"/>
      <c r="C1204" s="38"/>
      <c r="D1204" s="152"/>
      <c r="E1204" s="400"/>
      <c r="F1204" s="400"/>
      <c r="G1204" s="400"/>
      <c r="H1204" s="400"/>
      <c r="I1204" s="62"/>
      <c r="J1204" s="257"/>
      <c r="K1204" s="61"/>
      <c r="L1204" s="44"/>
      <c r="M1204" s="44"/>
      <c r="N1204" s="62"/>
      <c r="O1204" s="86"/>
      <c r="R1204" s="44"/>
      <c r="S1204" s="44"/>
      <c r="T1204" s="44"/>
      <c r="U1204" s="44"/>
      <c r="V1204" s="44"/>
      <c r="W1204" s="44"/>
      <c r="X1204" s="44"/>
      <c r="Y1204" s="44"/>
      <c r="Z1204" s="44"/>
      <c r="AA1204" s="44"/>
      <c r="AB1204" s="44"/>
      <c r="AC1204" s="44"/>
    </row>
    <row r="1205" spans="1:29" x14ac:dyDescent="0.2">
      <c r="A1205" s="39"/>
      <c r="B1205" s="36"/>
      <c r="C1205" s="38"/>
      <c r="D1205" s="152"/>
      <c r="E1205" s="400"/>
      <c r="F1205" s="400"/>
      <c r="G1205" s="400"/>
      <c r="H1205" s="400"/>
      <c r="I1205" s="62"/>
      <c r="J1205" s="257"/>
      <c r="K1205" s="61"/>
      <c r="L1205" s="44"/>
      <c r="M1205" s="44"/>
      <c r="N1205" s="62"/>
      <c r="O1205" s="86"/>
      <c r="R1205" s="44"/>
      <c r="S1205" s="44"/>
      <c r="T1205" s="44"/>
      <c r="U1205" s="44"/>
      <c r="V1205" s="44"/>
      <c r="W1205" s="44"/>
      <c r="X1205" s="44"/>
      <c r="Y1205" s="44"/>
      <c r="Z1205" s="44"/>
      <c r="AA1205" s="44"/>
      <c r="AB1205" s="44"/>
      <c r="AC1205" s="44"/>
    </row>
    <row r="1206" spans="1:29" x14ac:dyDescent="0.2">
      <c r="A1206" s="39"/>
      <c r="B1206" s="36"/>
      <c r="C1206" s="38"/>
      <c r="D1206" s="152"/>
      <c r="E1206" s="400"/>
      <c r="F1206" s="400"/>
      <c r="G1206" s="400"/>
      <c r="H1206" s="400"/>
      <c r="I1206" s="62"/>
      <c r="J1206" s="257"/>
      <c r="K1206" s="61"/>
      <c r="L1206" s="44"/>
      <c r="M1206" s="44"/>
      <c r="N1206" s="62"/>
      <c r="O1206" s="86"/>
      <c r="R1206" s="44"/>
      <c r="S1206" s="44"/>
      <c r="T1206" s="44"/>
      <c r="U1206" s="44"/>
      <c r="V1206" s="44"/>
      <c r="W1206" s="44"/>
      <c r="X1206" s="44"/>
      <c r="Y1206" s="44"/>
      <c r="Z1206" s="44"/>
      <c r="AA1206" s="44"/>
      <c r="AB1206" s="44"/>
      <c r="AC1206" s="44"/>
    </row>
    <row r="1207" spans="1:29" x14ac:dyDescent="0.2">
      <c r="A1207" s="39"/>
      <c r="B1207" s="36"/>
      <c r="C1207" s="38"/>
      <c r="D1207" s="152"/>
      <c r="E1207" s="400"/>
      <c r="F1207" s="400"/>
      <c r="G1207" s="400"/>
      <c r="H1207" s="400"/>
      <c r="I1207" s="62"/>
      <c r="J1207" s="257"/>
      <c r="K1207" s="61"/>
      <c r="L1207" s="44"/>
      <c r="M1207" s="44"/>
      <c r="N1207" s="62"/>
      <c r="O1207" s="86"/>
      <c r="R1207" s="44"/>
      <c r="S1207" s="44"/>
      <c r="T1207" s="44"/>
      <c r="U1207" s="44"/>
      <c r="V1207" s="44"/>
      <c r="W1207" s="44"/>
      <c r="X1207" s="44"/>
      <c r="Y1207" s="44"/>
      <c r="Z1207" s="44"/>
      <c r="AA1207" s="44"/>
      <c r="AB1207" s="44"/>
      <c r="AC1207" s="44"/>
    </row>
    <row r="1208" spans="1:29" x14ac:dyDescent="0.2">
      <c r="A1208" s="39"/>
      <c r="B1208" s="36"/>
      <c r="C1208" s="38"/>
      <c r="D1208" s="152"/>
      <c r="E1208" s="400"/>
      <c r="F1208" s="400"/>
      <c r="G1208" s="400"/>
      <c r="H1208" s="400"/>
      <c r="I1208" s="62"/>
      <c r="J1208" s="257"/>
      <c r="K1208" s="61"/>
      <c r="L1208" s="44"/>
      <c r="M1208" s="44"/>
      <c r="N1208" s="62"/>
      <c r="O1208" s="86"/>
      <c r="R1208" s="44"/>
      <c r="S1208" s="44"/>
      <c r="T1208" s="44"/>
      <c r="U1208" s="44"/>
      <c r="V1208" s="44"/>
      <c r="W1208" s="44"/>
      <c r="X1208" s="44"/>
      <c r="Y1208" s="44"/>
      <c r="Z1208" s="44"/>
      <c r="AA1208" s="44"/>
      <c r="AB1208" s="44"/>
      <c r="AC1208" s="44"/>
    </row>
    <row r="1209" spans="1:29" x14ac:dyDescent="0.2">
      <c r="A1209" s="39"/>
      <c r="B1209" s="36"/>
      <c r="C1209" s="38"/>
      <c r="D1209" s="152"/>
      <c r="E1209" s="400"/>
      <c r="F1209" s="400"/>
      <c r="G1209" s="400"/>
      <c r="H1209" s="400"/>
      <c r="I1209" s="62"/>
      <c r="J1209" s="257"/>
      <c r="K1209" s="61"/>
      <c r="L1209" s="44"/>
      <c r="M1209" s="44"/>
      <c r="N1209" s="62"/>
      <c r="O1209" s="86"/>
      <c r="R1209" s="44"/>
      <c r="S1209" s="44"/>
      <c r="T1209" s="44"/>
      <c r="U1209" s="44"/>
      <c r="V1209" s="44"/>
      <c r="W1209" s="44"/>
      <c r="X1209" s="44"/>
      <c r="Y1209" s="44"/>
      <c r="Z1209" s="44"/>
      <c r="AA1209" s="44"/>
      <c r="AB1209" s="44"/>
      <c r="AC1209" s="44"/>
    </row>
    <row r="1210" spans="1:29" x14ac:dyDescent="0.2">
      <c r="A1210" s="39"/>
      <c r="B1210" s="36"/>
      <c r="C1210" s="38"/>
      <c r="D1210" s="152"/>
      <c r="E1210" s="400"/>
      <c r="F1210" s="400"/>
      <c r="G1210" s="400"/>
      <c r="H1210" s="400"/>
      <c r="I1210" s="62"/>
      <c r="J1210" s="257"/>
      <c r="K1210" s="61"/>
      <c r="L1210" s="44"/>
      <c r="M1210" s="44"/>
      <c r="N1210" s="62"/>
      <c r="O1210" s="86"/>
      <c r="R1210" s="44"/>
      <c r="S1210" s="44"/>
      <c r="T1210" s="44"/>
      <c r="U1210" s="44"/>
      <c r="V1210" s="44"/>
      <c r="W1210" s="44"/>
      <c r="X1210" s="44"/>
      <c r="Y1210" s="44"/>
      <c r="Z1210" s="44"/>
      <c r="AA1210" s="44"/>
      <c r="AB1210" s="44"/>
      <c r="AC1210" s="44"/>
    </row>
    <row r="1211" spans="1:29" x14ac:dyDescent="0.2">
      <c r="A1211" s="39"/>
      <c r="B1211" s="36"/>
      <c r="C1211" s="38"/>
      <c r="D1211" s="152"/>
      <c r="E1211" s="400"/>
      <c r="F1211" s="400"/>
      <c r="G1211" s="400"/>
      <c r="H1211" s="400"/>
      <c r="I1211" s="62"/>
      <c r="J1211" s="257"/>
      <c r="K1211" s="61"/>
      <c r="L1211" s="44"/>
      <c r="M1211" s="44"/>
      <c r="N1211" s="62"/>
      <c r="O1211" s="86"/>
      <c r="R1211" s="44"/>
      <c r="S1211" s="44"/>
      <c r="T1211" s="44"/>
      <c r="U1211" s="44"/>
      <c r="V1211" s="44"/>
      <c r="W1211" s="44"/>
      <c r="X1211" s="44"/>
      <c r="Y1211" s="44"/>
      <c r="Z1211" s="44"/>
      <c r="AA1211" s="44"/>
      <c r="AB1211" s="44"/>
      <c r="AC1211" s="44"/>
    </row>
    <row r="1212" spans="1:29" x14ac:dyDescent="0.2">
      <c r="A1212" s="39"/>
      <c r="B1212" s="36"/>
      <c r="C1212" s="38"/>
      <c r="D1212" s="152"/>
      <c r="E1212" s="400"/>
      <c r="F1212" s="400"/>
      <c r="G1212" s="400"/>
      <c r="H1212" s="400"/>
      <c r="I1212" s="62"/>
      <c r="J1212" s="257"/>
      <c r="K1212" s="61"/>
      <c r="L1212" s="44"/>
      <c r="M1212" s="44"/>
      <c r="N1212" s="62"/>
      <c r="O1212" s="86"/>
      <c r="R1212" s="44"/>
      <c r="S1212" s="44"/>
      <c r="T1212" s="44"/>
      <c r="U1212" s="44"/>
      <c r="V1212" s="44"/>
      <c r="W1212" s="44"/>
      <c r="X1212" s="44"/>
      <c r="Y1212" s="44"/>
      <c r="Z1212" s="44"/>
      <c r="AA1212" s="44"/>
      <c r="AB1212" s="44"/>
      <c r="AC1212" s="44"/>
    </row>
    <row r="1213" spans="1:29" x14ac:dyDescent="0.2">
      <c r="A1213" s="39"/>
      <c r="B1213" s="36"/>
      <c r="C1213" s="38"/>
      <c r="D1213" s="152"/>
      <c r="E1213" s="400"/>
      <c r="F1213" s="400"/>
      <c r="G1213" s="400"/>
      <c r="H1213" s="400"/>
      <c r="I1213" s="62"/>
      <c r="J1213" s="257"/>
      <c r="K1213" s="61"/>
      <c r="L1213" s="44"/>
      <c r="M1213" s="44"/>
      <c r="N1213" s="62"/>
      <c r="O1213" s="86"/>
      <c r="R1213" s="44"/>
      <c r="S1213" s="44"/>
      <c r="T1213" s="44"/>
      <c r="U1213" s="44"/>
      <c r="V1213" s="44"/>
      <c r="W1213" s="44"/>
      <c r="X1213" s="44"/>
      <c r="Y1213" s="44"/>
      <c r="Z1213" s="44"/>
      <c r="AA1213" s="44"/>
      <c r="AB1213" s="44"/>
      <c r="AC1213" s="44"/>
    </row>
    <row r="1214" spans="1:29" x14ac:dyDescent="0.2">
      <c r="A1214" s="39"/>
      <c r="B1214" s="36"/>
      <c r="C1214" s="38"/>
      <c r="D1214" s="152"/>
      <c r="E1214" s="400"/>
      <c r="F1214" s="400"/>
      <c r="G1214" s="400"/>
      <c r="H1214" s="400"/>
      <c r="I1214" s="62"/>
      <c r="J1214" s="257"/>
      <c r="K1214" s="61"/>
      <c r="L1214" s="44"/>
      <c r="M1214" s="44"/>
      <c r="N1214" s="62"/>
      <c r="O1214" s="86"/>
      <c r="R1214" s="44"/>
      <c r="S1214" s="44"/>
      <c r="T1214" s="44"/>
      <c r="U1214" s="44"/>
      <c r="V1214" s="44"/>
      <c r="W1214" s="44"/>
      <c r="X1214" s="44"/>
      <c r="Y1214" s="44"/>
      <c r="Z1214" s="44"/>
      <c r="AA1214" s="44"/>
      <c r="AB1214" s="44"/>
      <c r="AC1214" s="44"/>
    </row>
    <row r="1215" spans="1:29" x14ac:dyDescent="0.2">
      <c r="A1215" s="39"/>
      <c r="B1215" s="36"/>
      <c r="C1215" s="38"/>
      <c r="D1215" s="152"/>
      <c r="E1215" s="400"/>
      <c r="F1215" s="400"/>
      <c r="G1215" s="400"/>
      <c r="H1215" s="400"/>
      <c r="I1215" s="62"/>
      <c r="J1215" s="257"/>
      <c r="K1215" s="61"/>
      <c r="L1215" s="44"/>
      <c r="M1215" s="44"/>
      <c r="N1215" s="62"/>
      <c r="O1215" s="86"/>
      <c r="R1215" s="44"/>
      <c r="S1215" s="44"/>
      <c r="T1215" s="44"/>
      <c r="U1215" s="44"/>
      <c r="V1215" s="44"/>
      <c r="W1215" s="44"/>
      <c r="X1215" s="44"/>
      <c r="Y1215" s="44"/>
      <c r="Z1215" s="44"/>
      <c r="AA1215" s="44"/>
      <c r="AB1215" s="44"/>
      <c r="AC1215" s="44"/>
    </row>
    <row r="1216" spans="1:29" x14ac:dyDescent="0.2">
      <c r="A1216" s="39"/>
      <c r="B1216" s="36"/>
      <c r="C1216" s="38"/>
      <c r="D1216" s="152"/>
      <c r="E1216" s="400"/>
      <c r="F1216" s="400"/>
      <c r="G1216" s="400"/>
      <c r="H1216" s="400"/>
      <c r="I1216" s="62"/>
      <c r="J1216" s="257"/>
      <c r="K1216" s="61"/>
      <c r="L1216" s="44"/>
      <c r="M1216" s="44"/>
      <c r="N1216" s="62"/>
      <c r="O1216" s="86"/>
      <c r="R1216" s="44"/>
      <c r="S1216" s="44"/>
      <c r="T1216" s="44"/>
      <c r="U1216" s="44"/>
      <c r="V1216" s="44"/>
      <c r="W1216" s="44"/>
      <c r="X1216" s="44"/>
      <c r="Y1216" s="44"/>
      <c r="Z1216" s="44"/>
      <c r="AA1216" s="44"/>
      <c r="AB1216" s="44"/>
      <c r="AC1216" s="44"/>
    </row>
    <row r="1217" spans="1:29" x14ac:dyDescent="0.2">
      <c r="A1217" s="39"/>
      <c r="B1217" s="36"/>
      <c r="C1217" s="38"/>
      <c r="D1217" s="152"/>
      <c r="E1217" s="400"/>
      <c r="F1217" s="400"/>
      <c r="G1217" s="400"/>
      <c r="H1217" s="400"/>
      <c r="I1217" s="62"/>
      <c r="J1217" s="257"/>
      <c r="K1217" s="61"/>
      <c r="L1217" s="44"/>
      <c r="M1217" s="44"/>
      <c r="N1217" s="62"/>
      <c r="O1217" s="86"/>
      <c r="R1217" s="44"/>
      <c r="S1217" s="44"/>
      <c r="T1217" s="44"/>
      <c r="U1217" s="44"/>
      <c r="V1217" s="44"/>
      <c r="W1217" s="44"/>
      <c r="X1217" s="44"/>
      <c r="Y1217" s="44"/>
      <c r="Z1217" s="44"/>
      <c r="AA1217" s="44"/>
      <c r="AB1217" s="44"/>
      <c r="AC1217" s="44"/>
    </row>
    <row r="1218" spans="1:29" x14ac:dyDescent="0.2">
      <c r="A1218" s="39"/>
      <c r="B1218" s="36"/>
      <c r="C1218" s="38"/>
      <c r="D1218" s="152"/>
      <c r="E1218" s="400"/>
      <c r="F1218" s="400"/>
      <c r="G1218" s="400"/>
      <c r="H1218" s="400"/>
      <c r="I1218" s="62"/>
      <c r="J1218" s="257"/>
      <c r="K1218" s="61"/>
      <c r="L1218" s="44"/>
      <c r="M1218" s="44"/>
      <c r="N1218" s="62"/>
      <c r="O1218" s="86"/>
      <c r="R1218" s="44"/>
      <c r="S1218" s="44"/>
      <c r="T1218" s="44"/>
      <c r="U1218" s="44"/>
      <c r="V1218" s="44"/>
      <c r="W1218" s="44"/>
      <c r="X1218" s="44"/>
      <c r="Y1218" s="44"/>
      <c r="Z1218" s="44"/>
      <c r="AA1218" s="44"/>
      <c r="AB1218" s="44"/>
      <c r="AC1218" s="44"/>
    </row>
    <row r="1219" spans="1:29" x14ac:dyDescent="0.2">
      <c r="A1219" s="39"/>
      <c r="B1219" s="36"/>
      <c r="C1219" s="38"/>
      <c r="D1219" s="152"/>
      <c r="E1219" s="400"/>
      <c r="F1219" s="400"/>
      <c r="G1219" s="400"/>
      <c r="H1219" s="400"/>
      <c r="I1219" s="62"/>
      <c r="J1219" s="257"/>
      <c r="K1219" s="61"/>
      <c r="L1219" s="44"/>
      <c r="M1219" s="44"/>
      <c r="N1219" s="62"/>
      <c r="O1219" s="86"/>
      <c r="R1219" s="44"/>
      <c r="S1219" s="44"/>
      <c r="T1219" s="44"/>
      <c r="U1219" s="44"/>
      <c r="V1219" s="44"/>
      <c r="W1219" s="44"/>
      <c r="X1219" s="44"/>
      <c r="Y1219" s="44"/>
      <c r="Z1219" s="44"/>
      <c r="AA1219" s="44"/>
      <c r="AB1219" s="44"/>
      <c r="AC1219" s="44"/>
    </row>
    <row r="1220" spans="1:29" x14ac:dyDescent="0.2">
      <c r="A1220" s="39"/>
      <c r="B1220" s="36"/>
      <c r="C1220" s="38"/>
      <c r="D1220" s="152"/>
      <c r="E1220" s="400"/>
      <c r="F1220" s="400"/>
      <c r="G1220" s="400"/>
      <c r="H1220" s="400"/>
      <c r="I1220" s="62"/>
      <c r="J1220" s="257"/>
      <c r="K1220" s="61"/>
      <c r="L1220" s="44"/>
      <c r="M1220" s="44"/>
      <c r="N1220" s="62"/>
      <c r="O1220" s="86"/>
      <c r="R1220" s="44"/>
      <c r="S1220" s="44"/>
      <c r="T1220" s="44"/>
      <c r="U1220" s="44"/>
      <c r="V1220" s="44"/>
      <c r="W1220" s="44"/>
      <c r="X1220" s="44"/>
      <c r="Y1220" s="44"/>
      <c r="Z1220" s="44"/>
      <c r="AA1220" s="44"/>
      <c r="AB1220" s="44"/>
      <c r="AC1220" s="44"/>
    </row>
    <row r="1221" spans="1:29" x14ac:dyDescent="0.2">
      <c r="A1221" s="39"/>
      <c r="B1221" s="36"/>
      <c r="C1221" s="38"/>
      <c r="D1221" s="152"/>
      <c r="E1221" s="400"/>
      <c r="F1221" s="400"/>
      <c r="G1221" s="400"/>
      <c r="H1221" s="400"/>
      <c r="I1221" s="62"/>
      <c r="J1221" s="257"/>
      <c r="K1221" s="61"/>
      <c r="L1221" s="44"/>
      <c r="M1221" s="44"/>
      <c r="N1221" s="62"/>
      <c r="O1221" s="86"/>
      <c r="R1221" s="44"/>
      <c r="S1221" s="44"/>
      <c r="T1221" s="44"/>
      <c r="U1221" s="44"/>
      <c r="V1221" s="44"/>
      <c r="W1221" s="44"/>
      <c r="X1221" s="44"/>
      <c r="Y1221" s="44"/>
      <c r="Z1221" s="44"/>
      <c r="AA1221" s="44"/>
      <c r="AB1221" s="44"/>
      <c r="AC1221" s="44"/>
    </row>
    <row r="1222" spans="1:29" x14ac:dyDescent="0.2">
      <c r="A1222" s="39"/>
      <c r="B1222" s="36"/>
      <c r="C1222" s="38"/>
      <c r="D1222" s="152"/>
      <c r="E1222" s="400"/>
      <c r="F1222" s="400"/>
      <c r="G1222" s="400"/>
      <c r="H1222" s="400"/>
      <c r="I1222" s="62"/>
      <c r="J1222" s="257"/>
      <c r="K1222" s="61"/>
      <c r="L1222" s="44"/>
      <c r="M1222" s="44"/>
      <c r="N1222" s="62"/>
      <c r="O1222" s="86"/>
      <c r="R1222" s="44"/>
      <c r="S1222" s="44"/>
      <c r="T1222" s="44"/>
      <c r="U1222" s="44"/>
      <c r="V1222" s="44"/>
      <c r="W1222" s="44"/>
      <c r="X1222" s="44"/>
      <c r="Y1222" s="44"/>
      <c r="Z1222" s="44"/>
      <c r="AA1222" s="44"/>
      <c r="AB1222" s="44"/>
      <c r="AC1222" s="44"/>
    </row>
    <row r="1223" spans="1:29" x14ac:dyDescent="0.2">
      <c r="A1223" s="39"/>
      <c r="B1223" s="36"/>
      <c r="C1223" s="38"/>
      <c r="D1223" s="152"/>
      <c r="E1223" s="400"/>
      <c r="F1223" s="400"/>
      <c r="G1223" s="400"/>
      <c r="H1223" s="400"/>
      <c r="I1223" s="62"/>
      <c r="J1223" s="257"/>
      <c r="K1223" s="61"/>
      <c r="L1223" s="44"/>
      <c r="M1223" s="44"/>
      <c r="N1223" s="62"/>
      <c r="O1223" s="86"/>
      <c r="R1223" s="44"/>
      <c r="S1223" s="44"/>
      <c r="T1223" s="44"/>
      <c r="U1223" s="44"/>
      <c r="V1223" s="44"/>
      <c r="W1223" s="44"/>
      <c r="X1223" s="44"/>
      <c r="Y1223" s="44"/>
      <c r="Z1223" s="44"/>
      <c r="AA1223" s="44"/>
      <c r="AB1223" s="44"/>
      <c r="AC1223" s="44"/>
    </row>
    <row r="1224" spans="1:29" x14ac:dyDescent="0.2">
      <c r="A1224" s="39"/>
      <c r="B1224" s="36"/>
      <c r="C1224" s="38"/>
      <c r="D1224" s="152"/>
      <c r="E1224" s="400"/>
      <c r="F1224" s="400"/>
      <c r="G1224" s="400"/>
      <c r="H1224" s="400"/>
      <c r="I1224" s="62"/>
      <c r="J1224" s="257"/>
      <c r="K1224" s="61"/>
      <c r="L1224" s="44"/>
      <c r="M1224" s="44"/>
      <c r="N1224" s="62"/>
      <c r="O1224" s="86"/>
      <c r="R1224" s="44"/>
      <c r="S1224" s="44"/>
      <c r="T1224" s="44"/>
      <c r="U1224" s="44"/>
      <c r="V1224" s="44"/>
      <c r="W1224" s="44"/>
      <c r="X1224" s="44"/>
      <c r="Y1224" s="44"/>
      <c r="Z1224" s="44"/>
      <c r="AA1224" s="44"/>
      <c r="AB1224" s="44"/>
      <c r="AC1224" s="44"/>
    </row>
    <row r="1225" spans="1:29" x14ac:dyDescent="0.2">
      <c r="A1225" s="39"/>
      <c r="B1225" s="36"/>
      <c r="C1225" s="38"/>
      <c r="D1225" s="152"/>
      <c r="E1225" s="400"/>
      <c r="F1225" s="400"/>
      <c r="G1225" s="400"/>
      <c r="H1225" s="400"/>
      <c r="I1225" s="62"/>
      <c r="J1225" s="257"/>
      <c r="K1225" s="61"/>
      <c r="L1225" s="44"/>
      <c r="M1225" s="44"/>
      <c r="N1225" s="62"/>
      <c r="O1225" s="86"/>
      <c r="R1225" s="44"/>
      <c r="S1225" s="44"/>
      <c r="T1225" s="44"/>
      <c r="U1225" s="44"/>
      <c r="V1225" s="44"/>
      <c r="W1225" s="44"/>
      <c r="X1225" s="44"/>
      <c r="Y1225" s="44"/>
      <c r="Z1225" s="44"/>
      <c r="AA1225" s="44"/>
      <c r="AB1225" s="44"/>
      <c r="AC1225" s="44"/>
    </row>
    <row r="1226" spans="1:29" x14ac:dyDescent="0.2">
      <c r="A1226" s="39"/>
      <c r="B1226" s="36"/>
      <c r="C1226" s="38"/>
      <c r="D1226" s="152"/>
      <c r="E1226" s="400"/>
      <c r="F1226" s="400"/>
      <c r="G1226" s="400"/>
      <c r="H1226" s="400"/>
      <c r="I1226" s="62"/>
      <c r="J1226" s="257"/>
      <c r="K1226" s="61"/>
      <c r="L1226" s="44"/>
      <c r="M1226" s="44"/>
      <c r="N1226" s="62"/>
      <c r="O1226" s="86"/>
      <c r="R1226" s="44"/>
      <c r="S1226" s="44"/>
      <c r="T1226" s="44"/>
      <c r="U1226" s="44"/>
      <c r="V1226" s="44"/>
      <c r="W1226" s="44"/>
      <c r="X1226" s="44"/>
      <c r="Y1226" s="44"/>
      <c r="Z1226" s="44"/>
      <c r="AA1226" s="44"/>
      <c r="AB1226" s="44"/>
      <c r="AC1226" s="44"/>
    </row>
    <row r="1227" spans="1:29" x14ac:dyDescent="0.2">
      <c r="A1227" s="39"/>
      <c r="B1227" s="36"/>
      <c r="C1227" s="38"/>
      <c r="D1227" s="152"/>
      <c r="E1227" s="400"/>
      <c r="F1227" s="400"/>
      <c r="G1227" s="400"/>
      <c r="H1227" s="400"/>
      <c r="I1227" s="62"/>
      <c r="J1227" s="257"/>
      <c r="K1227" s="61"/>
      <c r="L1227" s="44"/>
      <c r="M1227" s="44"/>
      <c r="N1227" s="62"/>
      <c r="O1227" s="86"/>
      <c r="R1227" s="44"/>
      <c r="S1227" s="44"/>
      <c r="T1227" s="44"/>
      <c r="U1227" s="44"/>
      <c r="V1227" s="44"/>
      <c r="W1227" s="44"/>
      <c r="X1227" s="44"/>
      <c r="Y1227" s="44"/>
      <c r="Z1227" s="44"/>
      <c r="AA1227" s="44"/>
      <c r="AB1227" s="44"/>
      <c r="AC1227" s="44"/>
    </row>
    <row r="1228" spans="1:29" x14ac:dyDescent="0.2">
      <c r="A1228" s="39"/>
      <c r="B1228" s="36"/>
      <c r="C1228" s="38"/>
      <c r="D1228" s="152"/>
      <c r="E1228" s="400"/>
      <c r="F1228" s="400"/>
      <c r="G1228" s="400"/>
      <c r="H1228" s="400"/>
      <c r="I1228" s="62"/>
      <c r="J1228" s="257"/>
      <c r="K1228" s="61"/>
      <c r="L1228" s="44"/>
      <c r="M1228" s="44"/>
      <c r="N1228" s="62"/>
      <c r="O1228" s="86"/>
      <c r="R1228" s="44"/>
      <c r="S1228" s="44"/>
      <c r="T1228" s="44"/>
      <c r="U1228" s="44"/>
      <c r="V1228" s="44"/>
      <c r="W1228" s="44"/>
      <c r="X1228" s="44"/>
      <c r="Y1228" s="44"/>
      <c r="Z1228" s="44"/>
      <c r="AA1228" s="44"/>
      <c r="AB1228" s="44"/>
      <c r="AC1228" s="44"/>
    </row>
    <row r="1229" spans="1:29" x14ac:dyDescent="0.2">
      <c r="A1229" s="39"/>
      <c r="B1229" s="36"/>
      <c r="C1229" s="38"/>
      <c r="D1229" s="152"/>
      <c r="E1229" s="400"/>
      <c r="F1229" s="400"/>
      <c r="G1229" s="400"/>
      <c r="H1229" s="400"/>
      <c r="I1229" s="62"/>
      <c r="J1229" s="257"/>
      <c r="K1229" s="61"/>
      <c r="L1229" s="44"/>
      <c r="M1229" s="44"/>
      <c r="N1229" s="62"/>
      <c r="O1229" s="86"/>
      <c r="R1229" s="44"/>
      <c r="S1229" s="44"/>
      <c r="T1229" s="44"/>
      <c r="U1229" s="44"/>
      <c r="V1229" s="44"/>
      <c r="W1229" s="44"/>
      <c r="X1229" s="44"/>
      <c r="Y1229" s="44"/>
      <c r="Z1229" s="44"/>
      <c r="AA1229" s="44"/>
      <c r="AB1229" s="44"/>
      <c r="AC1229" s="44"/>
    </row>
    <row r="1230" spans="1:29" x14ac:dyDescent="0.2">
      <c r="A1230" s="39"/>
      <c r="B1230" s="36"/>
      <c r="C1230" s="38"/>
      <c r="D1230" s="152"/>
      <c r="E1230" s="400"/>
      <c r="F1230" s="400"/>
      <c r="G1230" s="400"/>
      <c r="H1230" s="400"/>
      <c r="I1230" s="62"/>
      <c r="J1230" s="257"/>
      <c r="K1230" s="61"/>
      <c r="L1230" s="44"/>
      <c r="M1230" s="44"/>
      <c r="N1230" s="62"/>
      <c r="O1230" s="86"/>
      <c r="R1230" s="44"/>
      <c r="S1230" s="44"/>
      <c r="T1230" s="44"/>
      <c r="U1230" s="44"/>
      <c r="V1230" s="44"/>
      <c r="W1230" s="44"/>
      <c r="X1230" s="44"/>
      <c r="Y1230" s="44"/>
      <c r="Z1230" s="44"/>
      <c r="AA1230" s="44"/>
      <c r="AB1230" s="44"/>
      <c r="AC1230" s="44"/>
    </row>
    <row r="1231" spans="1:29" x14ac:dyDescent="0.2">
      <c r="A1231" s="39"/>
      <c r="B1231" s="36"/>
      <c r="C1231" s="38"/>
      <c r="D1231" s="152"/>
      <c r="E1231" s="400"/>
      <c r="F1231" s="400"/>
      <c r="G1231" s="400"/>
      <c r="H1231" s="400"/>
      <c r="I1231" s="62"/>
      <c r="J1231" s="257"/>
      <c r="K1231" s="61"/>
      <c r="L1231" s="44"/>
      <c r="M1231" s="44"/>
      <c r="N1231" s="62"/>
      <c r="O1231" s="86"/>
      <c r="R1231" s="44"/>
      <c r="S1231" s="44"/>
      <c r="T1231" s="44"/>
      <c r="U1231" s="44"/>
      <c r="V1231" s="44"/>
      <c r="W1231" s="44"/>
      <c r="X1231" s="44"/>
      <c r="Y1231" s="44"/>
      <c r="Z1231" s="44"/>
      <c r="AA1231" s="44"/>
      <c r="AB1231" s="44"/>
      <c r="AC1231" s="44"/>
    </row>
    <row r="1232" spans="1:29" x14ac:dyDescent="0.2">
      <c r="A1232" s="39"/>
      <c r="B1232" s="36"/>
      <c r="C1232" s="38"/>
      <c r="D1232" s="152"/>
      <c r="E1232" s="400"/>
      <c r="F1232" s="400"/>
      <c r="G1232" s="400"/>
      <c r="H1232" s="400"/>
      <c r="I1232" s="62"/>
      <c r="J1232" s="257"/>
      <c r="K1232" s="61"/>
      <c r="L1232" s="44"/>
      <c r="M1232" s="44"/>
      <c r="N1232" s="62"/>
      <c r="O1232" s="86"/>
      <c r="R1232" s="44"/>
      <c r="S1232" s="44"/>
      <c r="T1232" s="44"/>
      <c r="U1232" s="44"/>
      <c r="V1232" s="44"/>
      <c r="W1232" s="44"/>
      <c r="X1232" s="44"/>
      <c r="Y1232" s="44"/>
      <c r="Z1232" s="44"/>
      <c r="AA1232" s="44"/>
      <c r="AB1232" s="44"/>
      <c r="AC1232" s="44"/>
    </row>
    <row r="1233" spans="1:29" x14ac:dyDescent="0.2">
      <c r="A1233" s="39"/>
      <c r="B1233" s="36"/>
      <c r="C1233" s="38"/>
      <c r="D1233" s="152"/>
      <c r="E1233" s="400"/>
      <c r="F1233" s="400"/>
      <c r="G1233" s="400"/>
      <c r="H1233" s="400"/>
      <c r="I1233" s="62"/>
      <c r="J1233" s="257"/>
      <c r="K1233" s="61"/>
      <c r="L1233" s="44"/>
      <c r="M1233" s="44"/>
      <c r="N1233" s="62"/>
      <c r="O1233" s="86"/>
      <c r="R1233" s="44"/>
      <c r="S1233" s="44"/>
      <c r="T1233" s="44"/>
      <c r="U1233" s="44"/>
      <c r="V1233" s="44"/>
      <c r="W1233" s="44"/>
      <c r="X1233" s="44"/>
      <c r="Y1233" s="44"/>
      <c r="Z1233" s="44"/>
      <c r="AA1233" s="44"/>
      <c r="AB1233" s="44"/>
      <c r="AC1233" s="44"/>
    </row>
    <row r="1234" spans="1:29" x14ac:dyDescent="0.2">
      <c r="A1234" s="39"/>
      <c r="B1234" s="36"/>
      <c r="C1234" s="38"/>
      <c r="D1234" s="152"/>
      <c r="E1234" s="400"/>
      <c r="F1234" s="400"/>
      <c r="G1234" s="400"/>
      <c r="H1234" s="400"/>
      <c r="I1234" s="62"/>
      <c r="J1234" s="257"/>
      <c r="K1234" s="61"/>
      <c r="L1234" s="44"/>
      <c r="M1234" s="44"/>
      <c r="N1234" s="62"/>
      <c r="O1234" s="86"/>
      <c r="R1234" s="44"/>
      <c r="S1234" s="44"/>
      <c r="T1234" s="44"/>
      <c r="U1234" s="44"/>
      <c r="V1234" s="44"/>
      <c r="W1234" s="44"/>
      <c r="X1234" s="44"/>
      <c r="Y1234" s="44"/>
      <c r="Z1234" s="44"/>
      <c r="AA1234" s="44"/>
      <c r="AB1234" s="44"/>
      <c r="AC1234" s="44"/>
    </row>
    <row r="1235" spans="1:29" x14ac:dyDescent="0.2">
      <c r="A1235" s="39"/>
      <c r="B1235" s="36"/>
      <c r="C1235" s="38"/>
      <c r="D1235" s="152"/>
      <c r="E1235" s="400"/>
      <c r="F1235" s="400"/>
      <c r="G1235" s="400"/>
      <c r="H1235" s="400"/>
      <c r="I1235" s="62"/>
      <c r="J1235" s="257"/>
      <c r="K1235" s="61"/>
      <c r="L1235" s="44"/>
      <c r="M1235" s="44"/>
      <c r="N1235" s="62"/>
      <c r="O1235" s="86"/>
      <c r="R1235" s="44"/>
      <c r="S1235" s="44"/>
      <c r="T1235" s="44"/>
      <c r="U1235" s="44"/>
      <c r="V1235" s="44"/>
      <c r="W1235" s="44"/>
      <c r="X1235" s="44"/>
      <c r="Y1235" s="44"/>
      <c r="Z1235" s="44"/>
      <c r="AA1235" s="44"/>
      <c r="AB1235" s="44"/>
      <c r="AC1235" s="44"/>
    </row>
    <row r="1236" spans="1:29" x14ac:dyDescent="0.2">
      <c r="A1236" s="39"/>
      <c r="B1236" s="36"/>
      <c r="C1236" s="38"/>
      <c r="D1236" s="152"/>
      <c r="E1236" s="400"/>
      <c r="F1236" s="400"/>
      <c r="G1236" s="400"/>
      <c r="H1236" s="400"/>
      <c r="I1236" s="62"/>
      <c r="J1236" s="257"/>
      <c r="K1236" s="61"/>
      <c r="L1236" s="44"/>
      <c r="M1236" s="44"/>
      <c r="N1236" s="62"/>
      <c r="O1236" s="86"/>
      <c r="R1236" s="44"/>
      <c r="S1236" s="44"/>
      <c r="T1236" s="44"/>
      <c r="U1236" s="44"/>
      <c r="V1236" s="44"/>
      <c r="W1236" s="44"/>
      <c r="X1236" s="44"/>
      <c r="Y1236" s="44"/>
      <c r="Z1236" s="44"/>
      <c r="AA1236" s="44"/>
      <c r="AB1236" s="44"/>
      <c r="AC1236" s="44"/>
    </row>
    <row r="1237" spans="1:29" x14ac:dyDescent="0.2">
      <c r="A1237" s="39"/>
      <c r="B1237" s="36"/>
      <c r="C1237" s="38"/>
      <c r="D1237" s="152"/>
      <c r="E1237" s="400"/>
      <c r="F1237" s="400"/>
      <c r="G1237" s="400"/>
      <c r="H1237" s="400"/>
      <c r="I1237" s="62"/>
      <c r="J1237" s="257"/>
      <c r="K1237" s="61"/>
      <c r="L1237" s="44"/>
      <c r="M1237" s="44"/>
      <c r="N1237" s="62"/>
      <c r="O1237" s="86"/>
      <c r="R1237" s="44"/>
      <c r="S1237" s="44"/>
      <c r="T1237" s="44"/>
      <c r="U1237" s="44"/>
      <c r="V1237" s="44"/>
      <c r="W1237" s="44"/>
      <c r="X1237" s="44"/>
      <c r="Y1237" s="44"/>
      <c r="Z1237" s="44"/>
      <c r="AA1237" s="44"/>
      <c r="AB1237" s="44"/>
      <c r="AC1237" s="44"/>
    </row>
    <row r="1238" spans="1:29" x14ac:dyDescent="0.2">
      <c r="A1238" s="39"/>
      <c r="B1238" s="36"/>
      <c r="C1238" s="38"/>
      <c r="D1238" s="152"/>
      <c r="E1238" s="400"/>
      <c r="F1238" s="400"/>
      <c r="G1238" s="400"/>
      <c r="H1238" s="400"/>
      <c r="I1238" s="62"/>
      <c r="J1238" s="257"/>
      <c r="K1238" s="61"/>
      <c r="L1238" s="44"/>
      <c r="M1238" s="44"/>
      <c r="N1238" s="62"/>
      <c r="O1238" s="86"/>
      <c r="R1238" s="44"/>
      <c r="S1238" s="44"/>
      <c r="T1238" s="44"/>
      <c r="U1238" s="44"/>
      <c r="V1238" s="44"/>
      <c r="W1238" s="44"/>
      <c r="X1238" s="44"/>
      <c r="Y1238" s="44"/>
      <c r="Z1238" s="44"/>
      <c r="AA1238" s="44"/>
      <c r="AB1238" s="44"/>
      <c r="AC1238" s="44"/>
    </row>
    <row r="1239" spans="1:29" x14ac:dyDescent="0.2">
      <c r="A1239" s="39"/>
      <c r="B1239" s="36"/>
      <c r="C1239" s="38"/>
      <c r="D1239" s="152"/>
      <c r="E1239" s="400"/>
      <c r="F1239" s="400"/>
      <c r="G1239" s="400"/>
      <c r="H1239" s="400"/>
      <c r="I1239" s="62"/>
      <c r="J1239" s="257"/>
      <c r="K1239" s="61"/>
      <c r="L1239" s="44"/>
      <c r="M1239" s="44"/>
      <c r="N1239" s="62"/>
      <c r="O1239" s="86"/>
      <c r="R1239" s="44"/>
      <c r="S1239" s="44"/>
      <c r="T1239" s="44"/>
      <c r="U1239" s="44"/>
      <c r="V1239" s="44"/>
      <c r="W1239" s="44"/>
      <c r="X1239" s="44"/>
      <c r="Y1239" s="44"/>
      <c r="Z1239" s="44"/>
      <c r="AA1239" s="44"/>
      <c r="AB1239" s="44"/>
      <c r="AC1239" s="44"/>
    </row>
    <row r="1240" spans="1:29" x14ac:dyDescent="0.2">
      <c r="A1240" s="39"/>
      <c r="B1240" s="36"/>
      <c r="C1240" s="38"/>
      <c r="D1240" s="152"/>
      <c r="E1240" s="400"/>
      <c r="F1240" s="400"/>
      <c r="G1240" s="400"/>
      <c r="H1240" s="400"/>
      <c r="I1240" s="62"/>
      <c r="J1240" s="257"/>
      <c r="K1240" s="61"/>
      <c r="L1240" s="44"/>
      <c r="M1240" s="44"/>
      <c r="N1240" s="62"/>
      <c r="O1240" s="86"/>
      <c r="R1240" s="44"/>
      <c r="S1240" s="44"/>
      <c r="T1240" s="44"/>
      <c r="U1240" s="44"/>
      <c r="V1240" s="44"/>
      <c r="W1240" s="44"/>
      <c r="X1240" s="44"/>
      <c r="Y1240" s="44"/>
      <c r="Z1240" s="44"/>
      <c r="AA1240" s="44"/>
      <c r="AB1240" s="44"/>
      <c r="AC1240" s="44"/>
    </row>
    <row r="1241" spans="1:29" x14ac:dyDescent="0.2">
      <c r="A1241" s="39"/>
      <c r="B1241" s="36"/>
      <c r="C1241" s="38"/>
      <c r="D1241" s="152"/>
      <c r="E1241" s="400"/>
      <c r="F1241" s="400"/>
      <c r="G1241" s="400"/>
      <c r="H1241" s="400"/>
      <c r="I1241" s="62"/>
      <c r="J1241" s="257"/>
      <c r="K1241" s="61"/>
      <c r="L1241" s="44"/>
      <c r="M1241" s="44"/>
      <c r="N1241" s="62"/>
      <c r="O1241" s="86"/>
      <c r="R1241" s="44"/>
      <c r="S1241" s="44"/>
      <c r="T1241" s="44"/>
      <c r="U1241" s="44"/>
      <c r="V1241" s="44"/>
      <c r="W1241" s="44"/>
      <c r="X1241" s="44"/>
      <c r="Y1241" s="44"/>
      <c r="Z1241" s="44"/>
      <c r="AA1241" s="44"/>
      <c r="AB1241" s="44"/>
      <c r="AC1241" s="44"/>
    </row>
    <row r="1242" spans="1:29" x14ac:dyDescent="0.2">
      <c r="A1242" s="39"/>
      <c r="B1242" s="36"/>
      <c r="C1242" s="38"/>
      <c r="D1242" s="152"/>
      <c r="E1242" s="400"/>
      <c r="F1242" s="400"/>
      <c r="G1242" s="400"/>
      <c r="H1242" s="400"/>
      <c r="I1242" s="62"/>
      <c r="J1242" s="257"/>
      <c r="K1242" s="61"/>
      <c r="L1242" s="44"/>
      <c r="M1242" s="44"/>
      <c r="N1242" s="62"/>
      <c r="O1242" s="86"/>
      <c r="R1242" s="44"/>
      <c r="S1242" s="44"/>
      <c r="T1242" s="44"/>
      <c r="U1242" s="44"/>
      <c r="V1242" s="44"/>
      <c r="W1242" s="44"/>
      <c r="X1242" s="44"/>
      <c r="Y1242" s="44"/>
      <c r="Z1242" s="44"/>
      <c r="AA1242" s="44"/>
      <c r="AB1242" s="44"/>
      <c r="AC1242" s="44"/>
    </row>
    <row r="1243" spans="1:29" x14ac:dyDescent="0.2">
      <c r="A1243" s="39"/>
      <c r="B1243" s="36"/>
      <c r="C1243" s="38"/>
      <c r="D1243" s="152"/>
      <c r="E1243" s="400"/>
      <c r="F1243" s="400"/>
      <c r="G1243" s="400"/>
      <c r="H1243" s="400"/>
      <c r="I1243" s="62"/>
      <c r="J1243" s="257"/>
      <c r="K1243" s="61"/>
      <c r="L1243" s="44"/>
      <c r="M1243" s="44"/>
      <c r="N1243" s="62"/>
      <c r="O1243" s="86"/>
      <c r="R1243" s="44"/>
      <c r="S1243" s="44"/>
      <c r="T1243" s="44"/>
      <c r="U1243" s="44"/>
      <c r="V1243" s="44"/>
      <c r="W1243" s="44"/>
      <c r="X1243" s="44"/>
      <c r="Y1243" s="44"/>
      <c r="Z1243" s="44"/>
      <c r="AA1243" s="44"/>
      <c r="AB1243" s="44"/>
      <c r="AC1243" s="44"/>
    </row>
    <row r="1244" spans="1:29" x14ac:dyDescent="0.2">
      <c r="A1244" s="39"/>
      <c r="B1244" s="36"/>
      <c r="C1244" s="38"/>
      <c r="D1244" s="152"/>
      <c r="E1244" s="400"/>
      <c r="F1244" s="400"/>
      <c r="G1244" s="400"/>
      <c r="H1244" s="400"/>
      <c r="I1244" s="62"/>
      <c r="J1244" s="257"/>
      <c r="K1244" s="61"/>
      <c r="L1244" s="44"/>
      <c r="M1244" s="44"/>
      <c r="N1244" s="62"/>
      <c r="O1244" s="86"/>
      <c r="R1244" s="44"/>
      <c r="S1244" s="44"/>
      <c r="T1244" s="44"/>
      <c r="U1244" s="44"/>
      <c r="V1244" s="44"/>
      <c r="W1244" s="44"/>
      <c r="X1244" s="44"/>
      <c r="Y1244" s="44"/>
      <c r="Z1244" s="44"/>
      <c r="AA1244" s="44"/>
      <c r="AB1244" s="44"/>
      <c r="AC1244" s="44"/>
    </row>
    <row r="1245" spans="1:29" x14ac:dyDescent="0.2">
      <c r="A1245" s="39"/>
      <c r="B1245" s="36"/>
      <c r="C1245" s="38"/>
      <c r="D1245" s="152"/>
      <c r="E1245" s="400"/>
      <c r="F1245" s="400"/>
      <c r="G1245" s="400"/>
      <c r="H1245" s="400"/>
      <c r="I1245" s="62"/>
      <c r="J1245" s="257"/>
      <c r="K1245" s="61"/>
      <c r="L1245" s="44"/>
      <c r="M1245" s="44"/>
      <c r="N1245" s="62"/>
      <c r="O1245" s="86"/>
      <c r="R1245" s="44"/>
      <c r="S1245" s="44"/>
      <c r="T1245" s="44"/>
      <c r="U1245" s="44"/>
      <c r="V1245" s="44"/>
      <c r="W1245" s="44"/>
      <c r="X1245" s="44"/>
      <c r="Y1245" s="44"/>
      <c r="Z1245" s="44"/>
      <c r="AA1245" s="44"/>
      <c r="AB1245" s="44"/>
      <c r="AC1245" s="44"/>
    </row>
    <row r="1246" spans="1:29" x14ac:dyDescent="0.2">
      <c r="A1246" s="39"/>
      <c r="B1246" s="36"/>
      <c r="C1246" s="38"/>
      <c r="D1246" s="152"/>
      <c r="E1246" s="400"/>
      <c r="F1246" s="400"/>
      <c r="G1246" s="400"/>
      <c r="H1246" s="400"/>
      <c r="I1246" s="62"/>
      <c r="J1246" s="257"/>
      <c r="K1246" s="61"/>
      <c r="L1246" s="44"/>
      <c r="M1246" s="44"/>
      <c r="N1246" s="62"/>
      <c r="O1246" s="86"/>
      <c r="R1246" s="44"/>
      <c r="S1246" s="44"/>
      <c r="T1246" s="44"/>
      <c r="U1246" s="44"/>
      <c r="V1246" s="44"/>
      <c r="W1246" s="44"/>
      <c r="X1246" s="44"/>
      <c r="Y1246" s="44"/>
      <c r="Z1246" s="44"/>
      <c r="AA1246" s="44"/>
      <c r="AB1246" s="44"/>
      <c r="AC1246" s="44"/>
    </row>
    <row r="1247" spans="1:29" x14ac:dyDescent="0.2">
      <c r="A1247" s="39"/>
      <c r="B1247" s="36"/>
      <c r="C1247" s="38"/>
      <c r="D1247" s="152"/>
      <c r="E1247" s="400"/>
      <c r="F1247" s="400"/>
      <c r="G1247" s="400"/>
      <c r="H1247" s="400"/>
      <c r="I1247" s="62"/>
      <c r="J1247" s="257"/>
      <c r="K1247" s="61"/>
      <c r="L1247" s="44"/>
      <c r="M1247" s="44"/>
      <c r="N1247" s="62"/>
      <c r="O1247" s="86"/>
      <c r="R1247" s="44"/>
      <c r="S1247" s="44"/>
      <c r="T1247" s="44"/>
      <c r="U1247" s="44"/>
      <c r="V1247" s="44"/>
      <c r="W1247" s="44"/>
      <c r="X1247" s="44"/>
      <c r="Y1247" s="44"/>
      <c r="Z1247" s="44"/>
      <c r="AA1247" s="44"/>
      <c r="AB1247" s="44"/>
      <c r="AC1247" s="44"/>
    </row>
    <row r="1248" spans="1:29" x14ac:dyDescent="0.2">
      <c r="A1248" s="39"/>
      <c r="B1248" s="36"/>
      <c r="C1248" s="38"/>
      <c r="D1248" s="152"/>
      <c r="E1248" s="400"/>
      <c r="F1248" s="400"/>
      <c r="G1248" s="400"/>
      <c r="H1248" s="400"/>
      <c r="I1248" s="62"/>
      <c r="J1248" s="257"/>
      <c r="K1248" s="61"/>
      <c r="L1248" s="44"/>
      <c r="M1248" s="44"/>
      <c r="N1248" s="62"/>
      <c r="O1248" s="86"/>
      <c r="R1248" s="44"/>
      <c r="S1248" s="44"/>
      <c r="T1248" s="44"/>
      <c r="U1248" s="44"/>
      <c r="V1248" s="44"/>
      <c r="W1248" s="44"/>
      <c r="X1248" s="44"/>
      <c r="Y1248" s="44"/>
      <c r="Z1248" s="44"/>
      <c r="AA1248" s="44"/>
      <c r="AB1248" s="44"/>
      <c r="AC1248" s="44"/>
    </row>
    <row r="1249" spans="1:29" x14ac:dyDescent="0.2">
      <c r="A1249" s="39"/>
      <c r="B1249" s="36"/>
      <c r="C1249" s="38"/>
      <c r="D1249" s="152"/>
      <c r="E1249" s="400"/>
      <c r="F1249" s="400"/>
      <c r="G1249" s="400"/>
      <c r="H1249" s="400"/>
      <c r="I1249" s="62"/>
      <c r="J1249" s="257"/>
      <c r="K1249" s="61"/>
      <c r="L1249" s="44"/>
      <c r="M1249" s="44"/>
      <c r="N1249" s="62"/>
      <c r="O1249" s="86"/>
      <c r="R1249" s="44"/>
      <c r="S1249" s="44"/>
      <c r="T1249" s="44"/>
      <c r="U1249" s="44"/>
      <c r="V1249" s="44"/>
      <c r="W1249" s="44"/>
      <c r="X1249" s="44"/>
      <c r="Y1249" s="44"/>
      <c r="Z1249" s="44"/>
      <c r="AA1249" s="44"/>
      <c r="AB1249" s="44"/>
      <c r="AC1249" s="44"/>
    </row>
    <row r="1250" spans="1:29" x14ac:dyDescent="0.2">
      <c r="B1250" s="104" t="e">
        <f>+HLOOKUP(Lan,Language!$D$3:$I$211,24)&amp; "; "&amp;HLOOKUP(Lan,Language!$D$3:$I$211,26)</f>
        <v>#N/A</v>
      </c>
      <c r="C1250" s="233" t="s">
        <v>75</v>
      </c>
      <c r="D1250" s="175" t="str">
        <f>+J1250</f>
        <v>gas</v>
      </c>
      <c r="E1250" s="411"/>
      <c r="F1250" s="411"/>
      <c r="G1250" s="411"/>
      <c r="H1250" s="411"/>
      <c r="I1250" s="207"/>
      <c r="J1250" s="234" t="s">
        <v>36</v>
      </c>
      <c r="K1250" s="235" t="s">
        <v>36</v>
      </c>
      <c r="L1250" s="236" t="s">
        <v>36</v>
      </c>
      <c r="M1250" s="236" t="s">
        <v>36</v>
      </c>
      <c r="N1250" s="237" t="s">
        <v>36</v>
      </c>
      <c r="O1250" s="211"/>
      <c r="R1250" s="236" t="s">
        <v>36</v>
      </c>
      <c r="S1250" s="236" t="s">
        <v>36</v>
      </c>
      <c r="T1250" s="236" t="s">
        <v>36</v>
      </c>
      <c r="U1250" s="236" t="s">
        <v>36</v>
      </c>
      <c r="V1250" s="236" t="s">
        <v>36</v>
      </c>
      <c r="W1250" s="236" t="s">
        <v>36</v>
      </c>
      <c r="X1250" s="236" t="s">
        <v>36</v>
      </c>
      <c r="Y1250" s="236" t="s">
        <v>36</v>
      </c>
      <c r="Z1250" s="236" t="s">
        <v>36</v>
      </c>
      <c r="AA1250" s="236" t="s">
        <v>36</v>
      </c>
      <c r="AB1250" s="236" t="s">
        <v>36</v>
      </c>
      <c r="AC1250" s="236" t="s">
        <v>36</v>
      </c>
    </row>
    <row r="1251" spans="1:29" ht="13.5" thickBot="1" x14ac:dyDescent="0.25">
      <c r="B1251" s="36" t="e">
        <f>+HLOOKUP(Lan,Language!$D$3:$I$211,25)&amp; "; "&amp;HLOOKUP(Lan,Language!$D$3:$I$211,26)</f>
        <v>#N/A</v>
      </c>
      <c r="C1251" s="35" t="s">
        <v>76</v>
      </c>
      <c r="D1251" s="154" t="str">
        <f>+J1251</f>
        <v>wood</v>
      </c>
      <c r="E1251" s="412"/>
      <c r="F1251" s="412"/>
      <c r="G1251" s="412"/>
      <c r="H1251" s="412"/>
      <c r="I1251" s="155"/>
      <c r="J1251" s="132" t="s">
        <v>39</v>
      </c>
      <c r="K1251" s="60" t="s">
        <v>36</v>
      </c>
      <c r="L1251" s="45" t="s">
        <v>36</v>
      </c>
      <c r="M1251" s="45" t="s">
        <v>36</v>
      </c>
      <c r="N1251" s="43" t="s">
        <v>36</v>
      </c>
      <c r="O1251" s="85"/>
      <c r="R1251" s="45" t="s">
        <v>36</v>
      </c>
      <c r="S1251" s="45" t="s">
        <v>36</v>
      </c>
      <c r="T1251" s="45" t="s">
        <v>36</v>
      </c>
      <c r="U1251" s="45" t="s">
        <v>36</v>
      </c>
      <c r="V1251" s="45" t="s">
        <v>36</v>
      </c>
      <c r="W1251" s="45" t="s">
        <v>36</v>
      </c>
      <c r="X1251" s="45" t="s">
        <v>36</v>
      </c>
      <c r="Y1251" s="45" t="s">
        <v>36</v>
      </c>
      <c r="Z1251" s="45" t="s">
        <v>36</v>
      </c>
      <c r="AA1251" s="45" t="s">
        <v>36</v>
      </c>
      <c r="AB1251" s="45" t="s">
        <v>36</v>
      </c>
      <c r="AC1251" s="45" t="s">
        <v>36</v>
      </c>
    </row>
    <row r="1252" spans="1:29" x14ac:dyDescent="0.2">
      <c r="B1252" s="32" t="e">
        <f>+HLOOKUP(Lan,Language!$D$3:$I$211,6)</f>
        <v>#N/A</v>
      </c>
      <c r="C1252" s="35"/>
      <c r="D1252" s="156"/>
      <c r="E1252" s="413"/>
      <c r="F1252" s="413"/>
      <c r="G1252" s="413"/>
      <c r="H1252" s="413"/>
      <c r="I1252" s="157"/>
      <c r="J1252" s="133"/>
      <c r="K1252" s="60"/>
      <c r="L1252" s="45"/>
      <c r="M1252" s="45"/>
      <c r="N1252" s="43"/>
      <c r="O1252" s="85"/>
      <c r="R1252" s="45"/>
      <c r="S1252" s="45"/>
      <c r="T1252" s="45"/>
      <c r="U1252" s="45"/>
      <c r="V1252" s="45"/>
      <c r="W1252" s="45"/>
      <c r="X1252" s="45"/>
      <c r="Y1252" s="45"/>
      <c r="Z1252" s="45"/>
      <c r="AA1252" s="45"/>
      <c r="AB1252" s="45"/>
      <c r="AC1252" s="45"/>
    </row>
    <row r="1253" spans="1:29" x14ac:dyDescent="0.2">
      <c r="B1253" s="96" t="e">
        <f>HLOOKUP(Lan,Language!$D$3:$I$211,7)&amp; ", "&amp;HLOOKUP(Lan,Language!$D$3:$I$211,23)</f>
        <v>#N/A</v>
      </c>
      <c r="C1253" s="33" t="s">
        <v>77</v>
      </c>
      <c r="D1253" s="153" t="str">
        <f>+$D$1250</f>
        <v>gas</v>
      </c>
      <c r="E1253" s="414"/>
      <c r="F1253" s="414"/>
      <c r="G1253" s="414"/>
      <c r="H1253" s="414"/>
      <c r="I1253" s="62" t="s">
        <v>62</v>
      </c>
      <c r="J1253" s="130">
        <v>19000</v>
      </c>
      <c r="K1253" s="60">
        <v>19000</v>
      </c>
      <c r="L1253" s="45">
        <v>19000</v>
      </c>
      <c r="M1253" s="45">
        <v>19000</v>
      </c>
      <c r="N1253" s="43">
        <v>19000</v>
      </c>
      <c r="O1253" s="85"/>
      <c r="R1253" s="45">
        <v>19000</v>
      </c>
      <c r="S1253" s="45">
        <v>19000</v>
      </c>
      <c r="T1253" s="45">
        <v>19000</v>
      </c>
      <c r="U1253" s="45">
        <v>19000</v>
      </c>
      <c r="V1253" s="45">
        <v>19000</v>
      </c>
      <c r="W1253" s="45">
        <v>19000</v>
      </c>
      <c r="X1253" s="45">
        <v>19000</v>
      </c>
      <c r="Y1253" s="45">
        <v>19000</v>
      </c>
      <c r="Z1253" s="45">
        <v>19000</v>
      </c>
      <c r="AA1253" s="45">
        <v>19000</v>
      </c>
      <c r="AB1253" s="45">
        <v>19000</v>
      </c>
      <c r="AC1253" s="45">
        <v>19000</v>
      </c>
    </row>
    <row r="1254" spans="1:29" x14ac:dyDescent="0.2">
      <c r="B1254" s="36" t="s">
        <v>78</v>
      </c>
      <c r="C1254" s="33" t="s">
        <v>79</v>
      </c>
      <c r="D1254" s="153" t="str">
        <f>+$D$1251</f>
        <v>wood</v>
      </c>
      <c r="E1254" s="414"/>
      <c r="F1254" s="414"/>
      <c r="G1254" s="414"/>
      <c r="H1254" s="414"/>
      <c r="I1254" s="62" t="s">
        <v>62</v>
      </c>
      <c r="J1254" s="130">
        <v>0</v>
      </c>
      <c r="K1254" s="60">
        <v>0</v>
      </c>
      <c r="L1254" s="45">
        <v>0</v>
      </c>
      <c r="M1254" s="45">
        <v>0</v>
      </c>
      <c r="N1254" s="43">
        <v>0</v>
      </c>
      <c r="O1254" s="85"/>
      <c r="R1254" s="45">
        <v>0</v>
      </c>
      <c r="S1254" s="45">
        <v>0</v>
      </c>
      <c r="T1254" s="45">
        <v>0</v>
      </c>
      <c r="U1254" s="45">
        <v>0</v>
      </c>
      <c r="V1254" s="45">
        <v>0</v>
      </c>
      <c r="W1254" s="45">
        <v>0</v>
      </c>
      <c r="X1254" s="45">
        <v>0</v>
      </c>
      <c r="Y1254" s="45">
        <v>0</v>
      </c>
      <c r="Z1254" s="45">
        <v>0</v>
      </c>
      <c r="AA1254" s="45">
        <v>0</v>
      </c>
      <c r="AB1254" s="45">
        <v>0</v>
      </c>
      <c r="AC1254" s="45">
        <v>0</v>
      </c>
    </row>
    <row r="1255" spans="1:29" x14ac:dyDescent="0.2">
      <c r="B1255" s="36" t="s">
        <v>78</v>
      </c>
      <c r="C1255" s="33" t="s">
        <v>80</v>
      </c>
      <c r="D1255" s="44" t="s">
        <v>43</v>
      </c>
      <c r="E1255" s="415"/>
      <c r="F1255" s="415"/>
      <c r="G1255" s="415"/>
      <c r="H1255" s="415"/>
      <c r="I1255" s="62"/>
      <c r="J1255" s="130">
        <v>500</v>
      </c>
      <c r="K1255" s="60">
        <v>500</v>
      </c>
      <c r="L1255" s="45">
        <v>500</v>
      </c>
      <c r="M1255" s="45">
        <v>500</v>
      </c>
      <c r="N1255" s="43">
        <v>500</v>
      </c>
      <c r="O1255" s="85"/>
      <c r="R1255" s="45">
        <v>500</v>
      </c>
      <c r="S1255" s="45">
        <v>500</v>
      </c>
      <c r="T1255" s="45">
        <v>500</v>
      </c>
      <c r="U1255" s="45">
        <v>500</v>
      </c>
      <c r="V1255" s="45">
        <v>500</v>
      </c>
      <c r="W1255" s="45">
        <v>500</v>
      </c>
      <c r="X1255" s="45">
        <v>500</v>
      </c>
      <c r="Y1255" s="45">
        <v>500</v>
      </c>
      <c r="Z1255" s="45">
        <v>500</v>
      </c>
      <c r="AA1255" s="45">
        <v>500</v>
      </c>
      <c r="AB1255" s="45">
        <v>500</v>
      </c>
      <c r="AC1255" s="45">
        <v>500</v>
      </c>
    </row>
    <row r="1256" spans="1:29" x14ac:dyDescent="0.2">
      <c r="B1256" s="96" t="e">
        <f>HLOOKUP(Lan,Language!$D$3:$I$211,8)&amp; ", "&amp;HLOOKUP(Lan,Language!$D$3:$I$211,23)</f>
        <v>#N/A</v>
      </c>
      <c r="C1256" s="33" t="s">
        <v>81</v>
      </c>
      <c r="D1256" s="153" t="str">
        <f>+$D$1250</f>
        <v>gas</v>
      </c>
      <c r="E1256" s="414"/>
      <c r="F1256" s="414"/>
      <c r="G1256" s="414"/>
      <c r="H1256" s="414"/>
      <c r="I1256" s="62" t="s">
        <v>62</v>
      </c>
      <c r="J1256" s="130">
        <v>8500</v>
      </c>
      <c r="K1256" s="60">
        <v>8500</v>
      </c>
      <c r="L1256" s="45">
        <v>8500</v>
      </c>
      <c r="M1256" s="45">
        <v>8500</v>
      </c>
      <c r="N1256" s="43">
        <v>8500</v>
      </c>
      <c r="O1256" s="85"/>
      <c r="R1256" s="45">
        <v>8500</v>
      </c>
      <c r="S1256" s="45">
        <v>8500</v>
      </c>
      <c r="T1256" s="45">
        <v>8500</v>
      </c>
      <c r="U1256" s="45">
        <v>8500</v>
      </c>
      <c r="V1256" s="45">
        <v>8500</v>
      </c>
      <c r="W1256" s="45">
        <v>8500</v>
      </c>
      <c r="X1256" s="45">
        <v>8500</v>
      </c>
      <c r="Y1256" s="45">
        <v>8500</v>
      </c>
      <c r="Z1256" s="45">
        <v>8500</v>
      </c>
      <c r="AA1256" s="45">
        <v>8500</v>
      </c>
      <c r="AB1256" s="45">
        <v>8500</v>
      </c>
      <c r="AC1256" s="45">
        <v>8500</v>
      </c>
    </row>
    <row r="1257" spans="1:29" x14ac:dyDescent="0.2">
      <c r="B1257" s="36" t="s">
        <v>78</v>
      </c>
      <c r="C1257" s="33" t="s">
        <v>82</v>
      </c>
      <c r="D1257" s="153" t="str">
        <f>+$D$1251</f>
        <v>wood</v>
      </c>
      <c r="E1257" s="414"/>
      <c r="F1257" s="414"/>
      <c r="G1257" s="414"/>
      <c r="H1257" s="414"/>
      <c r="I1257" s="62"/>
      <c r="J1257" s="130">
        <v>0</v>
      </c>
      <c r="K1257" s="60">
        <v>0</v>
      </c>
      <c r="L1257" s="45">
        <v>0</v>
      </c>
      <c r="M1257" s="45">
        <v>0</v>
      </c>
      <c r="N1257" s="43">
        <v>0</v>
      </c>
      <c r="O1257" s="85"/>
      <c r="R1257" s="45">
        <v>0</v>
      </c>
      <c r="S1257" s="45">
        <v>0</v>
      </c>
      <c r="T1257" s="45">
        <v>0</v>
      </c>
      <c r="U1257" s="45">
        <v>0</v>
      </c>
      <c r="V1257" s="45">
        <v>0</v>
      </c>
      <c r="W1257" s="45">
        <v>0</v>
      </c>
      <c r="X1257" s="45">
        <v>0</v>
      </c>
      <c r="Y1257" s="45">
        <v>0</v>
      </c>
      <c r="Z1257" s="45">
        <v>0</v>
      </c>
      <c r="AA1257" s="45">
        <v>0</v>
      </c>
      <c r="AB1257" s="45">
        <v>0</v>
      </c>
      <c r="AC1257" s="45">
        <v>0</v>
      </c>
    </row>
    <row r="1258" spans="1:29" x14ac:dyDescent="0.2">
      <c r="B1258" s="36" t="s">
        <v>78</v>
      </c>
      <c r="C1258" s="33" t="s">
        <v>83</v>
      </c>
      <c r="D1258" s="44" t="s">
        <v>43</v>
      </c>
      <c r="E1258" s="415"/>
      <c r="F1258" s="415"/>
      <c r="G1258" s="415"/>
      <c r="H1258" s="415"/>
      <c r="I1258" s="62"/>
      <c r="J1258" s="130">
        <v>0</v>
      </c>
      <c r="K1258" s="60">
        <v>0</v>
      </c>
      <c r="L1258" s="45">
        <v>0</v>
      </c>
      <c r="M1258" s="45">
        <v>0</v>
      </c>
      <c r="N1258" s="43">
        <v>0</v>
      </c>
      <c r="O1258" s="85"/>
      <c r="R1258" s="45">
        <v>0</v>
      </c>
      <c r="S1258" s="45">
        <v>0</v>
      </c>
      <c r="T1258" s="45">
        <v>0</v>
      </c>
      <c r="U1258" s="45">
        <v>0</v>
      </c>
      <c r="V1258" s="45">
        <v>0</v>
      </c>
      <c r="W1258" s="45">
        <v>0</v>
      </c>
      <c r="X1258" s="45">
        <v>0</v>
      </c>
      <c r="Y1258" s="45">
        <v>0</v>
      </c>
      <c r="Z1258" s="45">
        <v>0</v>
      </c>
      <c r="AA1258" s="45">
        <v>0</v>
      </c>
      <c r="AB1258" s="45">
        <v>0</v>
      </c>
      <c r="AC1258" s="45">
        <v>0</v>
      </c>
    </row>
    <row r="1259" spans="1:29" x14ac:dyDescent="0.2">
      <c r="B1259" s="96" t="e">
        <f>HLOOKUP(Lan,Language!$D$3:$I$211,9)&amp; " "&amp;HLOOKUP(Lan,Language!$D$3:$I$211,16)&amp; ", "&amp;HLOOKUP(Lan,Language!$D$3:$I$211,23)</f>
        <v>#N/A</v>
      </c>
      <c r="C1259" s="37" t="s">
        <v>84</v>
      </c>
      <c r="D1259" s="153" t="str">
        <f>+$D$1250</f>
        <v>gas</v>
      </c>
      <c r="E1259" s="414"/>
      <c r="F1259" s="414"/>
      <c r="G1259" s="414"/>
      <c r="H1259" s="414"/>
      <c r="I1259" s="62" t="s">
        <v>62</v>
      </c>
      <c r="J1259" s="130">
        <v>0</v>
      </c>
      <c r="K1259" s="60">
        <v>0</v>
      </c>
      <c r="L1259" s="45">
        <v>0</v>
      </c>
      <c r="M1259" s="45">
        <v>0</v>
      </c>
      <c r="N1259" s="43">
        <v>0</v>
      </c>
      <c r="O1259" s="85"/>
      <c r="R1259" s="45">
        <v>0</v>
      </c>
      <c r="S1259" s="45">
        <v>0</v>
      </c>
      <c r="T1259" s="45">
        <v>0</v>
      </c>
      <c r="U1259" s="45">
        <v>0</v>
      </c>
      <c r="V1259" s="45">
        <v>0</v>
      </c>
      <c r="W1259" s="45">
        <v>0</v>
      </c>
      <c r="X1259" s="45">
        <v>0</v>
      </c>
      <c r="Y1259" s="45">
        <v>0</v>
      </c>
      <c r="Z1259" s="45">
        <v>0</v>
      </c>
      <c r="AA1259" s="45">
        <v>0</v>
      </c>
      <c r="AB1259" s="45">
        <v>0</v>
      </c>
      <c r="AC1259" s="45">
        <v>0</v>
      </c>
    </row>
    <row r="1260" spans="1:29" x14ac:dyDescent="0.2">
      <c r="B1260" s="36" t="s">
        <v>78</v>
      </c>
      <c r="C1260" s="37" t="s">
        <v>85</v>
      </c>
      <c r="D1260" s="153" t="str">
        <f>+$D$1251</f>
        <v>wood</v>
      </c>
      <c r="E1260" s="414"/>
      <c r="F1260" s="414"/>
      <c r="G1260" s="414"/>
      <c r="H1260" s="414"/>
      <c r="I1260" s="62"/>
      <c r="J1260" s="130">
        <v>0</v>
      </c>
      <c r="K1260" s="60">
        <v>0</v>
      </c>
      <c r="L1260" s="45">
        <v>0</v>
      </c>
      <c r="M1260" s="45">
        <v>0</v>
      </c>
      <c r="N1260" s="43">
        <v>0</v>
      </c>
      <c r="O1260" s="85"/>
      <c r="R1260" s="45">
        <v>0</v>
      </c>
      <c r="S1260" s="45">
        <v>0</v>
      </c>
      <c r="T1260" s="45">
        <v>0</v>
      </c>
      <c r="U1260" s="45">
        <v>0</v>
      </c>
      <c r="V1260" s="45">
        <v>0</v>
      </c>
      <c r="W1260" s="45">
        <v>0</v>
      </c>
      <c r="X1260" s="45">
        <v>0</v>
      </c>
      <c r="Y1260" s="45">
        <v>0</v>
      </c>
      <c r="Z1260" s="45">
        <v>0</v>
      </c>
      <c r="AA1260" s="45">
        <v>0</v>
      </c>
      <c r="AB1260" s="45">
        <v>0</v>
      </c>
      <c r="AC1260" s="45">
        <v>0</v>
      </c>
    </row>
    <row r="1261" spans="1:29" x14ac:dyDescent="0.2">
      <c r="B1261" s="36" t="s">
        <v>78</v>
      </c>
      <c r="C1261" s="37" t="s">
        <v>86</v>
      </c>
      <c r="D1261" s="44" t="s">
        <v>43</v>
      </c>
      <c r="E1261" s="415"/>
      <c r="F1261" s="415"/>
      <c r="G1261" s="415"/>
      <c r="H1261" s="415"/>
      <c r="I1261" s="62"/>
      <c r="J1261" s="130">
        <v>0</v>
      </c>
      <c r="K1261" s="60">
        <v>0</v>
      </c>
      <c r="L1261" s="45">
        <v>0</v>
      </c>
      <c r="M1261" s="45">
        <v>0</v>
      </c>
      <c r="N1261" s="43">
        <v>0</v>
      </c>
      <c r="O1261" s="85"/>
      <c r="R1261" s="45">
        <v>0</v>
      </c>
      <c r="S1261" s="45">
        <v>0</v>
      </c>
      <c r="T1261" s="45">
        <v>0</v>
      </c>
      <c r="U1261" s="45">
        <v>0</v>
      </c>
      <c r="V1261" s="45">
        <v>0</v>
      </c>
      <c r="W1261" s="45">
        <v>0</v>
      </c>
      <c r="X1261" s="45">
        <v>0</v>
      </c>
      <c r="Y1261" s="45">
        <v>0</v>
      </c>
      <c r="Z1261" s="45">
        <v>0</v>
      </c>
      <c r="AA1261" s="45">
        <v>0</v>
      </c>
      <c r="AB1261" s="45">
        <v>0</v>
      </c>
      <c r="AC1261" s="45">
        <v>0</v>
      </c>
    </row>
    <row r="1262" spans="1:29" x14ac:dyDescent="0.2">
      <c r="B1262" s="96" t="e">
        <f>HLOOKUP(Lan,Language!$D$3:$I$211,10)&amp; ", "&amp;HLOOKUP(Lan,Language!$D$3:$I$211,23)</f>
        <v>#N/A</v>
      </c>
      <c r="C1262" s="37" t="s">
        <v>87</v>
      </c>
      <c r="D1262" s="153" t="str">
        <f>+$D$1250</f>
        <v>gas</v>
      </c>
      <c r="E1262" s="414"/>
      <c r="F1262" s="414"/>
      <c r="G1262" s="414"/>
      <c r="H1262" s="414"/>
      <c r="I1262" s="62" t="s">
        <v>62</v>
      </c>
      <c r="J1262" s="130">
        <v>0</v>
      </c>
      <c r="K1262" s="60">
        <v>0</v>
      </c>
      <c r="L1262" s="45">
        <v>0</v>
      </c>
      <c r="M1262" s="45">
        <v>0</v>
      </c>
      <c r="N1262" s="43">
        <v>0</v>
      </c>
      <c r="O1262" s="85"/>
      <c r="R1262" s="45">
        <v>0</v>
      </c>
      <c r="S1262" s="45">
        <v>0</v>
      </c>
      <c r="T1262" s="45">
        <v>0</v>
      </c>
      <c r="U1262" s="45">
        <v>0</v>
      </c>
      <c r="V1262" s="45">
        <v>0</v>
      </c>
      <c r="W1262" s="45">
        <v>0</v>
      </c>
      <c r="X1262" s="45">
        <v>0</v>
      </c>
      <c r="Y1262" s="45">
        <v>0</v>
      </c>
      <c r="Z1262" s="45">
        <v>0</v>
      </c>
      <c r="AA1262" s="45">
        <v>0</v>
      </c>
      <c r="AB1262" s="45">
        <v>0</v>
      </c>
      <c r="AC1262" s="45">
        <v>0</v>
      </c>
    </row>
    <row r="1263" spans="1:29" x14ac:dyDescent="0.2">
      <c r="B1263" s="36" t="s">
        <v>78</v>
      </c>
      <c r="C1263" s="37" t="s">
        <v>88</v>
      </c>
      <c r="D1263" s="153" t="str">
        <f>+$D$1251</f>
        <v>wood</v>
      </c>
      <c r="E1263" s="414"/>
      <c r="F1263" s="414"/>
      <c r="G1263" s="414"/>
      <c r="H1263" s="414"/>
      <c r="I1263" s="62"/>
      <c r="J1263" s="130">
        <v>0</v>
      </c>
      <c r="K1263" s="60">
        <v>0</v>
      </c>
      <c r="L1263" s="45">
        <v>0</v>
      </c>
      <c r="M1263" s="45">
        <v>0</v>
      </c>
      <c r="N1263" s="43">
        <v>0</v>
      </c>
      <c r="O1263" s="85"/>
      <c r="R1263" s="45">
        <v>0</v>
      </c>
      <c r="S1263" s="45">
        <v>0</v>
      </c>
      <c r="T1263" s="45">
        <v>0</v>
      </c>
      <c r="U1263" s="45">
        <v>0</v>
      </c>
      <c r="V1263" s="45">
        <v>0</v>
      </c>
      <c r="W1263" s="45">
        <v>0</v>
      </c>
      <c r="X1263" s="45">
        <v>0</v>
      </c>
      <c r="Y1263" s="45">
        <v>0</v>
      </c>
      <c r="Z1263" s="45">
        <v>0</v>
      </c>
      <c r="AA1263" s="45">
        <v>0</v>
      </c>
      <c r="AB1263" s="45">
        <v>0</v>
      </c>
      <c r="AC1263" s="45">
        <v>0</v>
      </c>
    </row>
    <row r="1264" spans="1:29" x14ac:dyDescent="0.2">
      <c r="B1264" s="36" t="s">
        <v>78</v>
      </c>
      <c r="C1264" s="37" t="s">
        <v>89</v>
      </c>
      <c r="D1264" s="44" t="s">
        <v>43</v>
      </c>
      <c r="E1264" s="415"/>
      <c r="F1264" s="415"/>
      <c r="G1264" s="415"/>
      <c r="H1264" s="415"/>
      <c r="I1264" s="62"/>
      <c r="J1264" s="130">
        <v>330</v>
      </c>
      <c r="K1264" s="60">
        <v>330</v>
      </c>
      <c r="L1264" s="45">
        <v>330</v>
      </c>
      <c r="M1264" s="45">
        <v>330</v>
      </c>
      <c r="N1264" s="43">
        <v>330</v>
      </c>
      <c r="O1264" s="85"/>
      <c r="R1264" s="45">
        <v>330</v>
      </c>
      <c r="S1264" s="45">
        <v>330</v>
      </c>
      <c r="T1264" s="45">
        <v>330</v>
      </c>
      <c r="U1264" s="45">
        <v>330</v>
      </c>
      <c r="V1264" s="45">
        <v>330</v>
      </c>
      <c r="W1264" s="45">
        <v>330</v>
      </c>
      <c r="X1264" s="45">
        <v>330</v>
      </c>
      <c r="Y1264" s="45">
        <v>330</v>
      </c>
      <c r="Z1264" s="45">
        <v>330</v>
      </c>
      <c r="AA1264" s="45">
        <v>330</v>
      </c>
      <c r="AB1264" s="45">
        <v>330</v>
      </c>
      <c r="AC1264" s="45">
        <v>330</v>
      </c>
    </row>
    <row r="1265" spans="2:29" x14ac:dyDescent="0.2">
      <c r="B1265" s="96" t="e">
        <f>HLOOKUP(Lan,Language!$D$3:$I$211,11)&amp; " "&amp;HLOOKUP(Lan,Language!$D$3:$I$211,17)&amp; ", "&amp;HLOOKUP(Lan,Language!$D$3:$I$211,23)</f>
        <v>#N/A</v>
      </c>
      <c r="C1265" s="37" t="s">
        <v>90</v>
      </c>
      <c r="D1265" s="153" t="str">
        <f>+$D$1250</f>
        <v>gas</v>
      </c>
      <c r="E1265" s="414"/>
      <c r="F1265" s="414"/>
      <c r="G1265" s="414"/>
      <c r="H1265" s="414"/>
      <c r="I1265" s="62" t="s">
        <v>62</v>
      </c>
      <c r="J1265" s="130">
        <v>0</v>
      </c>
      <c r="K1265" s="60">
        <v>0</v>
      </c>
      <c r="L1265" s="45">
        <v>0</v>
      </c>
      <c r="M1265" s="45">
        <v>0</v>
      </c>
      <c r="N1265" s="43">
        <v>0</v>
      </c>
      <c r="O1265" s="85"/>
      <c r="R1265" s="45">
        <v>0</v>
      </c>
      <c r="S1265" s="45">
        <v>0</v>
      </c>
      <c r="T1265" s="45">
        <v>0</v>
      </c>
      <c r="U1265" s="45">
        <v>0</v>
      </c>
      <c r="V1265" s="45">
        <v>0</v>
      </c>
      <c r="W1265" s="45">
        <v>0</v>
      </c>
      <c r="X1265" s="45">
        <v>0</v>
      </c>
      <c r="Y1265" s="45">
        <v>0</v>
      </c>
      <c r="Z1265" s="45">
        <v>0</v>
      </c>
      <c r="AA1265" s="45">
        <v>0</v>
      </c>
      <c r="AB1265" s="45">
        <v>0</v>
      </c>
      <c r="AC1265" s="45">
        <v>0</v>
      </c>
    </row>
    <row r="1266" spans="2:29" x14ac:dyDescent="0.2">
      <c r="B1266" s="36" t="s">
        <v>78</v>
      </c>
      <c r="C1266" s="37" t="s">
        <v>91</v>
      </c>
      <c r="D1266" s="153" t="str">
        <f>+$D$1251</f>
        <v>wood</v>
      </c>
      <c r="E1266" s="414"/>
      <c r="F1266" s="414"/>
      <c r="G1266" s="414"/>
      <c r="H1266" s="414"/>
      <c r="I1266" s="62"/>
      <c r="J1266" s="130">
        <v>0</v>
      </c>
      <c r="K1266" s="60">
        <v>0</v>
      </c>
      <c r="L1266" s="45">
        <v>0</v>
      </c>
      <c r="M1266" s="45">
        <v>0</v>
      </c>
      <c r="N1266" s="43">
        <v>0</v>
      </c>
      <c r="O1266" s="85"/>
      <c r="R1266" s="45">
        <v>0</v>
      </c>
      <c r="S1266" s="45">
        <v>0</v>
      </c>
      <c r="T1266" s="45">
        <v>0</v>
      </c>
      <c r="U1266" s="45">
        <v>0</v>
      </c>
      <c r="V1266" s="45">
        <v>0</v>
      </c>
      <c r="W1266" s="45">
        <v>0</v>
      </c>
      <c r="X1266" s="45">
        <v>0</v>
      </c>
      <c r="Y1266" s="45">
        <v>0</v>
      </c>
      <c r="Z1266" s="45">
        <v>0</v>
      </c>
      <c r="AA1266" s="45">
        <v>0</v>
      </c>
      <c r="AB1266" s="45">
        <v>0</v>
      </c>
      <c r="AC1266" s="45">
        <v>0</v>
      </c>
    </row>
    <row r="1267" spans="2:29" x14ac:dyDescent="0.2">
      <c r="B1267" s="36" t="s">
        <v>78</v>
      </c>
      <c r="C1267" s="37" t="s">
        <v>92</v>
      </c>
      <c r="D1267" s="44" t="s">
        <v>43</v>
      </c>
      <c r="E1267" s="415"/>
      <c r="F1267" s="415"/>
      <c r="G1267" s="415"/>
      <c r="H1267" s="415"/>
      <c r="I1267" s="62"/>
      <c r="J1267" s="130">
        <v>0</v>
      </c>
      <c r="K1267" s="60">
        <v>0</v>
      </c>
      <c r="L1267" s="45">
        <v>0</v>
      </c>
      <c r="M1267" s="45">
        <v>0</v>
      </c>
      <c r="N1267" s="43">
        <v>0</v>
      </c>
      <c r="O1267" s="85"/>
      <c r="R1267" s="45">
        <v>0</v>
      </c>
      <c r="S1267" s="45">
        <v>0</v>
      </c>
      <c r="T1267" s="45">
        <v>0</v>
      </c>
      <c r="U1267" s="45">
        <v>0</v>
      </c>
      <c r="V1267" s="45">
        <v>0</v>
      </c>
      <c r="W1267" s="45">
        <v>0</v>
      </c>
      <c r="X1267" s="45">
        <v>0</v>
      </c>
      <c r="Y1267" s="45">
        <v>0</v>
      </c>
      <c r="Z1267" s="45">
        <v>0</v>
      </c>
      <c r="AA1267" s="45">
        <v>0</v>
      </c>
      <c r="AB1267" s="45">
        <v>0</v>
      </c>
      <c r="AC1267" s="45">
        <v>0</v>
      </c>
    </row>
    <row r="1268" spans="2:29" x14ac:dyDescent="0.2">
      <c r="B1268" s="36" t="e">
        <f>HLOOKUP(Lan,Language!$D$3:$I$211,12)&amp; " ("&amp;HLOOKUP(Lan,Language!$D$3:$I$211,27)&amp;")"</f>
        <v>#N/A</v>
      </c>
      <c r="C1268" s="38" t="s">
        <v>93</v>
      </c>
      <c r="D1268" s="44" t="s">
        <v>43</v>
      </c>
      <c r="E1268" s="415"/>
      <c r="F1268" s="415"/>
      <c r="G1268" s="415"/>
      <c r="H1268" s="415"/>
      <c r="I1268" s="62" t="s">
        <v>62</v>
      </c>
      <c r="J1268" s="130">
        <v>800</v>
      </c>
      <c r="K1268" s="60">
        <v>800</v>
      </c>
      <c r="L1268" s="45">
        <v>800</v>
      </c>
      <c r="M1268" s="45">
        <v>800</v>
      </c>
      <c r="N1268" s="43">
        <v>800</v>
      </c>
      <c r="O1268" s="85"/>
      <c r="R1268" s="45">
        <v>800</v>
      </c>
      <c r="S1268" s="45">
        <v>800</v>
      </c>
      <c r="T1268" s="45">
        <v>800</v>
      </c>
      <c r="U1268" s="45">
        <v>800</v>
      </c>
      <c r="V1268" s="45">
        <v>800</v>
      </c>
      <c r="W1268" s="45">
        <v>800</v>
      </c>
      <c r="X1268" s="45">
        <v>800</v>
      </c>
      <c r="Y1268" s="45">
        <v>800</v>
      </c>
      <c r="Z1268" s="45">
        <v>800</v>
      </c>
      <c r="AA1268" s="45">
        <v>800</v>
      </c>
      <c r="AB1268" s="45">
        <v>800</v>
      </c>
      <c r="AC1268" s="45">
        <v>800</v>
      </c>
    </row>
    <row r="1269" spans="2:29" x14ac:dyDescent="0.2">
      <c r="B1269" s="36" t="e">
        <f>HLOOKUP(Lan,Language!$D$3:$I$211,13)</f>
        <v>#N/A</v>
      </c>
      <c r="C1269" s="38" t="s">
        <v>94</v>
      </c>
      <c r="D1269" s="44" t="s">
        <v>43</v>
      </c>
      <c r="E1269" s="415"/>
      <c r="F1269" s="415"/>
      <c r="G1269" s="415"/>
      <c r="H1269" s="415"/>
      <c r="I1269" s="62" t="s">
        <v>62</v>
      </c>
      <c r="J1269" s="130">
        <v>1800</v>
      </c>
      <c r="K1269" s="60">
        <v>1800</v>
      </c>
      <c r="L1269" s="45">
        <v>1800</v>
      </c>
      <c r="M1269" s="45">
        <v>1800</v>
      </c>
      <c r="N1269" s="43">
        <v>1800</v>
      </c>
      <c r="O1269" s="85"/>
      <c r="R1269" s="45">
        <v>1800</v>
      </c>
      <c r="S1269" s="45">
        <v>1800</v>
      </c>
      <c r="T1269" s="45">
        <v>1800</v>
      </c>
      <c r="U1269" s="45">
        <v>1800</v>
      </c>
      <c r="V1269" s="45">
        <v>1800</v>
      </c>
      <c r="W1269" s="45">
        <v>1800</v>
      </c>
      <c r="X1269" s="45">
        <v>1800</v>
      </c>
      <c r="Y1269" s="45">
        <v>1800</v>
      </c>
      <c r="Z1269" s="45">
        <v>1800</v>
      </c>
      <c r="AA1269" s="45">
        <v>1800</v>
      </c>
      <c r="AB1269" s="45">
        <v>1800</v>
      </c>
      <c r="AC1269" s="45">
        <v>1800</v>
      </c>
    </row>
    <row r="1270" spans="2:29" x14ac:dyDescent="0.2">
      <c r="B1270" s="36" t="e">
        <f>HLOOKUP(Lan,Language!$D$3:$I$211,14)</f>
        <v>#N/A</v>
      </c>
      <c r="C1270" s="38" t="s">
        <v>95</v>
      </c>
      <c r="D1270" s="44" t="s">
        <v>43</v>
      </c>
      <c r="E1270" s="415"/>
      <c r="F1270" s="415"/>
      <c r="G1270" s="415"/>
      <c r="H1270" s="415"/>
      <c r="I1270" s="62" t="s">
        <v>62</v>
      </c>
      <c r="J1270" s="130">
        <v>0</v>
      </c>
      <c r="K1270" s="60">
        <v>0</v>
      </c>
      <c r="L1270" s="45">
        <v>0</v>
      </c>
      <c r="M1270" s="45">
        <v>0</v>
      </c>
      <c r="N1270" s="43">
        <v>0</v>
      </c>
      <c r="O1270" s="85"/>
      <c r="R1270" s="45">
        <v>0</v>
      </c>
      <c r="S1270" s="45">
        <v>0</v>
      </c>
      <c r="T1270" s="45">
        <v>0</v>
      </c>
      <c r="U1270" s="45">
        <v>0</v>
      </c>
      <c r="V1270" s="45">
        <v>0</v>
      </c>
      <c r="W1270" s="45">
        <v>0</v>
      </c>
      <c r="X1270" s="45">
        <v>0</v>
      </c>
      <c r="Y1270" s="45">
        <v>0</v>
      </c>
      <c r="Z1270" s="45">
        <v>0</v>
      </c>
      <c r="AA1270" s="45">
        <v>0</v>
      </c>
      <c r="AB1270" s="45">
        <v>0</v>
      </c>
      <c r="AC1270" s="45">
        <v>0</v>
      </c>
    </row>
    <row r="1271" spans="2:29" x14ac:dyDescent="0.2">
      <c r="B1271" s="36" t="e">
        <f>HLOOKUP(Lan,Language!$D$3:$I$211,15)&amp;" "&amp;HLOOKUP(Lan,Language!$D$3:$I$211,18)</f>
        <v>#N/A</v>
      </c>
      <c r="C1271" s="38" t="s">
        <v>96</v>
      </c>
      <c r="D1271" s="44" t="s">
        <v>43</v>
      </c>
      <c r="E1271" s="415"/>
      <c r="F1271" s="415"/>
      <c r="G1271" s="415"/>
      <c r="H1271" s="415"/>
      <c r="I1271" s="62" t="s">
        <v>62</v>
      </c>
      <c r="J1271" s="130">
        <v>0</v>
      </c>
      <c r="K1271" s="60">
        <v>0</v>
      </c>
      <c r="L1271" s="45">
        <v>0</v>
      </c>
      <c r="M1271" s="45">
        <v>0</v>
      </c>
      <c r="N1271" s="43">
        <v>0</v>
      </c>
      <c r="O1271" s="85"/>
      <c r="R1271" s="45">
        <v>0</v>
      </c>
      <c r="S1271" s="45">
        <v>0</v>
      </c>
      <c r="T1271" s="45">
        <v>0</v>
      </c>
      <c r="U1271" s="45">
        <v>0</v>
      </c>
      <c r="V1271" s="45">
        <v>0</v>
      </c>
      <c r="W1271" s="45">
        <v>0</v>
      </c>
      <c r="X1271" s="45">
        <v>0</v>
      </c>
      <c r="Y1271" s="45">
        <v>0</v>
      </c>
      <c r="Z1271" s="45">
        <v>0</v>
      </c>
      <c r="AA1271" s="45">
        <v>0</v>
      </c>
      <c r="AB1271" s="45">
        <v>0</v>
      </c>
      <c r="AC1271" s="45">
        <v>0</v>
      </c>
    </row>
    <row r="1272" spans="2:29" x14ac:dyDescent="0.2">
      <c r="B1272" s="36"/>
      <c r="C1272" s="38"/>
      <c r="D1272" s="44"/>
      <c r="E1272" s="415"/>
      <c r="F1272" s="415"/>
      <c r="G1272" s="415"/>
      <c r="H1272" s="415"/>
      <c r="I1272" s="62"/>
      <c r="J1272" s="130"/>
      <c r="K1272" s="60"/>
      <c r="L1272" s="45"/>
      <c r="M1272" s="45"/>
      <c r="N1272" s="43"/>
      <c r="O1272" s="85"/>
      <c r="R1272" s="45"/>
      <c r="S1272" s="45"/>
      <c r="T1272" s="45"/>
      <c r="U1272" s="45"/>
      <c r="V1272" s="45"/>
      <c r="W1272" s="45"/>
      <c r="X1272" s="45"/>
      <c r="Y1272" s="45"/>
      <c r="Z1272" s="45"/>
      <c r="AA1272" s="45"/>
      <c r="AB1272" s="45"/>
      <c r="AC1272" s="45"/>
    </row>
    <row r="1273" spans="2:29" ht="26.25" thickBot="1" x14ac:dyDescent="0.25">
      <c r="B1273" s="96" t="e">
        <f>+HLOOKUP(Lan,Language!$D$3:$I$211,21)&amp;" "&amp;HLOOKUP(Lan,Language!$D$3:$I$211,53)&amp;", "&amp;HLOOKUP(Lan,Language!$D$3:$I$211,19)&amp;", "&amp;HLOOKUP(Lan,Language!$D$3:$I$211,20)</f>
        <v>#N/A</v>
      </c>
      <c r="C1273" s="37" t="s">
        <v>97</v>
      </c>
      <c r="D1273" s="158" t="s">
        <v>43</v>
      </c>
      <c r="E1273" s="416"/>
      <c r="F1273" s="416"/>
      <c r="G1273" s="416"/>
      <c r="H1273" s="416"/>
      <c r="I1273" s="155" t="s">
        <v>62</v>
      </c>
      <c r="J1273" s="132">
        <v>3000</v>
      </c>
      <c r="K1273" s="60">
        <v>3000</v>
      </c>
      <c r="L1273" s="45">
        <v>3000</v>
      </c>
      <c r="M1273" s="45">
        <v>3000</v>
      </c>
      <c r="N1273" s="43">
        <v>3000</v>
      </c>
      <c r="O1273" s="87" t="s">
        <v>98</v>
      </c>
      <c r="R1273" s="45">
        <v>3000</v>
      </c>
      <c r="S1273" s="45">
        <v>3000</v>
      </c>
      <c r="T1273" s="45">
        <v>3000</v>
      </c>
      <c r="U1273" s="45">
        <v>3000</v>
      </c>
      <c r="V1273" s="45">
        <v>3000</v>
      </c>
      <c r="W1273" s="45">
        <v>3000</v>
      </c>
      <c r="X1273" s="45">
        <v>3000</v>
      </c>
      <c r="Y1273" s="45">
        <v>3000</v>
      </c>
      <c r="Z1273" s="45">
        <v>3000</v>
      </c>
      <c r="AA1273" s="45">
        <v>3000</v>
      </c>
      <c r="AB1273" s="45">
        <v>3000</v>
      </c>
      <c r="AC1273" s="45">
        <v>3000</v>
      </c>
    </row>
    <row r="1274" spans="2:29" x14ac:dyDescent="0.2">
      <c r="B1274" s="95" t="e">
        <f>+HLOOKUP(Lan,Language!$D$3:$I$211,28)&amp;" "&amp;HLOOKUP(Lan,Language!$D$3:$I$211,52)&amp;", "&amp;HLOOKUP(Lan,Language!$D$3:$I$211,29)</f>
        <v>#N/A</v>
      </c>
      <c r="C1274" s="37"/>
      <c r="D1274" s="159"/>
      <c r="E1274" s="417"/>
      <c r="F1274" s="417"/>
      <c r="G1274" s="417"/>
      <c r="H1274" s="417"/>
      <c r="I1274" s="157"/>
      <c r="J1274" s="133"/>
      <c r="K1274" s="60"/>
      <c r="L1274" s="45"/>
      <c r="M1274" s="45"/>
      <c r="N1274" s="43"/>
      <c r="O1274" s="86"/>
      <c r="R1274" s="45"/>
      <c r="S1274" s="45"/>
      <c r="T1274" s="45"/>
      <c r="U1274" s="45"/>
      <c r="V1274" s="45"/>
      <c r="W1274" s="45"/>
      <c r="X1274" s="45"/>
      <c r="Y1274" s="45"/>
      <c r="Z1274" s="45"/>
      <c r="AA1274" s="45"/>
      <c r="AB1274" s="45"/>
      <c r="AC1274" s="45"/>
    </row>
    <row r="1275" spans="2:29" x14ac:dyDescent="0.2">
      <c r="B1275" s="96" t="e">
        <f>HLOOKUP(Lan,Language!$D$3:$I$211,53)&amp;" "&amp;HLOOKUP(Lan,Language!$D$3:$I$211,30)</f>
        <v>#N/A</v>
      </c>
      <c r="C1275" s="37" t="s">
        <v>99</v>
      </c>
      <c r="D1275" s="44" t="s">
        <v>43</v>
      </c>
      <c r="E1275" s="415"/>
      <c r="F1275" s="415"/>
      <c r="G1275" s="415"/>
      <c r="H1275" s="415"/>
      <c r="I1275" s="62" t="s">
        <v>62</v>
      </c>
      <c r="J1275" s="134">
        <v>8000</v>
      </c>
      <c r="K1275" s="63">
        <v>8000</v>
      </c>
      <c r="L1275" s="46">
        <v>4500</v>
      </c>
      <c r="M1275" s="46">
        <v>4500</v>
      </c>
      <c r="N1275" s="64">
        <v>4500</v>
      </c>
      <c r="O1275" s="85"/>
      <c r="R1275" s="46">
        <v>4500</v>
      </c>
      <c r="S1275" s="46">
        <v>4500</v>
      </c>
      <c r="T1275" s="46">
        <v>4500</v>
      </c>
      <c r="U1275" s="46">
        <v>4500</v>
      </c>
      <c r="V1275" s="46">
        <v>4500</v>
      </c>
      <c r="W1275" s="46">
        <v>4500</v>
      </c>
      <c r="X1275" s="46">
        <v>4500</v>
      </c>
      <c r="Y1275" s="46">
        <v>4500</v>
      </c>
      <c r="Z1275" s="46">
        <v>4500</v>
      </c>
      <c r="AA1275" s="46">
        <v>4500</v>
      </c>
      <c r="AB1275" s="46">
        <v>4500</v>
      </c>
      <c r="AC1275" s="46">
        <v>4500</v>
      </c>
    </row>
    <row r="1276" spans="2:29" x14ac:dyDescent="0.2">
      <c r="B1276" s="96" t="e">
        <f>HLOOKUP(Lan,Language!$D$3:$I$211,53)&amp;" "&amp;HLOOKUP(Lan,Language!$D$3:$I$211,31)</f>
        <v>#N/A</v>
      </c>
      <c r="C1276" s="37" t="s">
        <v>100</v>
      </c>
      <c r="D1276" s="44" t="s">
        <v>43</v>
      </c>
      <c r="E1276" s="415"/>
      <c r="F1276" s="415"/>
      <c r="G1276" s="415"/>
      <c r="H1276" s="415"/>
      <c r="I1276" s="62" t="s">
        <v>62</v>
      </c>
      <c r="J1276" s="134">
        <v>1000</v>
      </c>
      <c r="K1276" s="63">
        <v>1000</v>
      </c>
      <c r="L1276" s="46">
        <v>500</v>
      </c>
      <c r="M1276" s="46">
        <v>500</v>
      </c>
      <c r="N1276" s="64">
        <v>500</v>
      </c>
      <c r="O1276" s="85"/>
      <c r="R1276" s="46">
        <v>500</v>
      </c>
      <c r="S1276" s="46">
        <v>500</v>
      </c>
      <c r="T1276" s="46">
        <v>500</v>
      </c>
      <c r="U1276" s="46">
        <v>500</v>
      </c>
      <c r="V1276" s="46">
        <v>500</v>
      </c>
      <c r="W1276" s="46">
        <v>500</v>
      </c>
      <c r="X1276" s="46">
        <v>500</v>
      </c>
      <c r="Y1276" s="46">
        <v>500</v>
      </c>
      <c r="Z1276" s="46">
        <v>500</v>
      </c>
      <c r="AA1276" s="46">
        <v>500</v>
      </c>
      <c r="AB1276" s="46">
        <v>500</v>
      </c>
      <c r="AC1276" s="46">
        <v>500</v>
      </c>
    </row>
    <row r="1277" spans="2:29" x14ac:dyDescent="0.2">
      <c r="B1277" s="96" t="e">
        <f>"==&gt; "&amp;HLOOKUP(Lan,Language!$D$3:$I$211,28)&amp;" "&amp;HLOOKUP(Lan,Language!$D$3:$I$211,53)&amp;", "&amp;HLOOKUP(Lan,Language!$D$3:$I$211,29)</f>
        <v>#N/A</v>
      </c>
      <c r="C1277" s="37" t="s">
        <v>101</v>
      </c>
      <c r="D1277" s="44" t="s">
        <v>43</v>
      </c>
      <c r="E1277" s="415"/>
      <c r="F1277" s="415"/>
      <c r="G1277" s="415"/>
      <c r="H1277" s="415"/>
      <c r="I1277" s="62" t="s">
        <v>62</v>
      </c>
      <c r="J1277" s="134">
        <f>+J1275+J1276</f>
        <v>9000</v>
      </c>
      <c r="K1277" s="63">
        <f>+K1275+K1276</f>
        <v>9000</v>
      </c>
      <c r="L1277" s="46">
        <f>+L1275+L1276</f>
        <v>5000</v>
      </c>
      <c r="M1277" s="46">
        <f>+M1275+M1276</f>
        <v>5000</v>
      </c>
      <c r="N1277" s="64">
        <f>+N1275+N1276</f>
        <v>5000</v>
      </c>
      <c r="O1277" s="85"/>
      <c r="R1277" s="46">
        <v>5000</v>
      </c>
      <c r="S1277" s="46">
        <v>5000</v>
      </c>
      <c r="T1277" s="46">
        <v>5000</v>
      </c>
      <c r="U1277" s="46">
        <v>5000</v>
      </c>
      <c r="V1277" s="46">
        <v>5000</v>
      </c>
      <c r="W1277" s="46">
        <v>5000</v>
      </c>
      <c r="X1277" s="46">
        <v>5000</v>
      </c>
      <c r="Y1277" s="46">
        <v>5000</v>
      </c>
      <c r="Z1277" s="46">
        <v>5000</v>
      </c>
      <c r="AA1277" s="46">
        <v>5000</v>
      </c>
      <c r="AB1277" s="46">
        <v>5000</v>
      </c>
      <c r="AC1277" s="46">
        <v>5000</v>
      </c>
    </row>
    <row r="1278" spans="2:29" ht="51" x14ac:dyDescent="0.2">
      <c r="B1278" s="96" t="e">
        <f>HLOOKUP(Lan,Language!$D$3:$I$211,54)&amp;" "&amp;HLOOKUP(Lan,Language!$D$3:$I$211,52)&amp;", "&amp;HLOOKUP(Lan,Language!$D$3:$I$211,33)</f>
        <v>#N/A</v>
      </c>
      <c r="C1278" s="37" t="s">
        <v>102</v>
      </c>
      <c r="D1278" s="44" t="s">
        <v>44</v>
      </c>
      <c r="E1278" s="415"/>
      <c r="F1278" s="415"/>
      <c r="G1278" s="415"/>
      <c r="H1278" s="415"/>
      <c r="I1278" s="62" t="s">
        <v>62</v>
      </c>
      <c r="J1278" s="134">
        <v>0</v>
      </c>
      <c r="K1278" s="65">
        <v>0</v>
      </c>
      <c r="L1278" s="47">
        <v>1000</v>
      </c>
      <c r="M1278" s="47">
        <v>1000</v>
      </c>
      <c r="N1278" s="66">
        <v>1000</v>
      </c>
      <c r="O1278" s="88" t="s">
        <v>103</v>
      </c>
      <c r="R1278" s="47">
        <v>1000</v>
      </c>
      <c r="S1278" s="47">
        <v>1000</v>
      </c>
      <c r="T1278" s="47">
        <v>1000</v>
      </c>
      <c r="U1278" s="47">
        <v>1000</v>
      </c>
      <c r="V1278" s="47">
        <v>1000</v>
      </c>
      <c r="W1278" s="47">
        <v>1000</v>
      </c>
      <c r="X1278" s="47">
        <v>1000</v>
      </c>
      <c r="Y1278" s="47">
        <v>1000</v>
      </c>
      <c r="Z1278" s="47">
        <v>1000</v>
      </c>
      <c r="AA1278" s="47">
        <v>1000</v>
      </c>
      <c r="AB1278" s="47">
        <v>1000</v>
      </c>
      <c r="AC1278" s="47">
        <v>1000</v>
      </c>
    </row>
    <row r="1279" spans="2:29" x14ac:dyDescent="0.2">
      <c r="B1279" s="95" t="e">
        <f>+HLOOKUP(Lan,Language!$D$3:$I$211,113)&amp;", "&amp;HLOOKUP(Lan,Language!$D$3:$I$211,115)</f>
        <v>#N/A</v>
      </c>
      <c r="C1279" s="37"/>
      <c r="D1279" s="44"/>
      <c r="E1279" s="415"/>
      <c r="F1279" s="415"/>
      <c r="G1279" s="415"/>
      <c r="H1279" s="415"/>
      <c r="I1279" s="62"/>
      <c r="J1279" s="134"/>
      <c r="K1279" s="65"/>
      <c r="L1279" s="47"/>
      <c r="M1279" s="47"/>
      <c r="N1279" s="66"/>
      <c r="O1279" s="89"/>
      <c r="R1279" s="47"/>
      <c r="S1279" s="47"/>
      <c r="T1279" s="47"/>
      <c r="U1279" s="47"/>
      <c r="V1279" s="47"/>
      <c r="W1279" s="47"/>
      <c r="X1279" s="47"/>
      <c r="Y1279" s="47"/>
      <c r="Z1279" s="47"/>
      <c r="AA1279" s="47"/>
      <c r="AB1279" s="47"/>
      <c r="AC1279" s="47"/>
    </row>
    <row r="1280" spans="2:29" ht="48" customHeight="1" x14ac:dyDescent="0.2">
      <c r="B1280" s="96" t="e">
        <f>++HLOOKUP(Lan,Language!$D$3:$I$211,34)&amp;HLOOKUP(Lan,Language!$D$3:$I$211,28)&amp;" "&amp;HLOOKUP(Lan,Language!$D$3:$I$211,53)&amp;", "&amp;HLOOKUP(Lan,Language!$D$3:$I$211,29)&amp;", "&amp;HLOOKUP(Lan,Language!$D$3:$I$211,30)&amp;" "&amp;HLOOKUP(Lan,Language!$D$3:$I$211,35)</f>
        <v>#N/A</v>
      </c>
      <c r="C1280" s="37" t="s">
        <v>104</v>
      </c>
      <c r="D1280" s="152" t="s">
        <v>61</v>
      </c>
      <c r="E1280" s="400"/>
      <c r="F1280" s="400"/>
      <c r="G1280" s="400"/>
      <c r="H1280" s="400"/>
      <c r="I1280" s="160" t="s">
        <v>9</v>
      </c>
      <c r="J1280" s="135">
        <v>1</v>
      </c>
      <c r="K1280" s="67">
        <v>0.7</v>
      </c>
      <c r="L1280" s="48">
        <v>0.8</v>
      </c>
      <c r="M1280" s="48">
        <v>0.8</v>
      </c>
      <c r="N1280" s="68">
        <v>0.8</v>
      </c>
      <c r="O1280" s="90"/>
      <c r="R1280" s="48">
        <v>0.8</v>
      </c>
      <c r="S1280" s="48">
        <v>0.8</v>
      </c>
      <c r="T1280" s="48">
        <v>0.8</v>
      </c>
      <c r="U1280" s="48">
        <v>0.8</v>
      </c>
      <c r="V1280" s="48">
        <v>0.8</v>
      </c>
      <c r="W1280" s="48">
        <v>0.8</v>
      </c>
      <c r="X1280" s="48">
        <v>0.8</v>
      </c>
      <c r="Y1280" s="48">
        <v>0.8</v>
      </c>
      <c r="Z1280" s="48">
        <v>0.8</v>
      </c>
      <c r="AA1280" s="48">
        <v>0.8</v>
      </c>
      <c r="AB1280" s="48">
        <v>0.8</v>
      </c>
      <c r="AC1280" s="48">
        <v>0.8</v>
      </c>
    </row>
    <row r="1281" spans="1:29" ht="51" customHeight="1" x14ac:dyDescent="0.2">
      <c r="B1281" s="96" t="e">
        <f>++HLOOKUP(Lan,Language!$D$3:$I$211,34)&amp;HLOOKUP(Lan,Language!$D$3:$I$211,28)&amp;" "&amp;HLOOKUP(Lan,Language!$D$3:$I$211,53)&amp;", "&amp;HLOOKUP(Lan,Language!$D$3:$I$211,29)&amp;", "&amp;HLOOKUP(Lan,Language!$D$3:$I$211,31)&amp;" "&amp;HLOOKUP(Lan,Language!$D$3:$I$211,35)</f>
        <v>#N/A</v>
      </c>
      <c r="C1281" s="37" t="s">
        <v>105</v>
      </c>
      <c r="D1281" s="152" t="s">
        <v>61</v>
      </c>
      <c r="E1281" s="400"/>
      <c r="F1281" s="400"/>
      <c r="G1281" s="400"/>
      <c r="H1281" s="400"/>
      <c r="I1281" s="160" t="s">
        <v>9</v>
      </c>
      <c r="J1281" s="135">
        <v>1</v>
      </c>
      <c r="K1281" s="67">
        <v>0.5</v>
      </c>
      <c r="L1281" s="48">
        <v>0.8</v>
      </c>
      <c r="M1281" s="48">
        <v>0.8</v>
      </c>
      <c r="N1281" s="68">
        <v>0.8</v>
      </c>
      <c r="O1281" s="90"/>
      <c r="R1281" s="48">
        <v>0.8</v>
      </c>
      <c r="S1281" s="48">
        <v>0.8</v>
      </c>
      <c r="T1281" s="48">
        <v>0.8</v>
      </c>
      <c r="U1281" s="48">
        <v>0.8</v>
      </c>
      <c r="V1281" s="48">
        <v>0.8</v>
      </c>
      <c r="W1281" s="48">
        <v>0.8</v>
      </c>
      <c r="X1281" s="48">
        <v>0.8</v>
      </c>
      <c r="Y1281" s="48">
        <v>0.8</v>
      </c>
      <c r="Z1281" s="48">
        <v>0.8</v>
      </c>
      <c r="AA1281" s="48">
        <v>0.8</v>
      </c>
      <c r="AB1281" s="48">
        <v>0.8</v>
      </c>
      <c r="AC1281" s="48">
        <v>0.8</v>
      </c>
    </row>
    <row r="1282" spans="1:29" ht="110.25" customHeight="1" thickBot="1" x14ac:dyDescent="0.25">
      <c r="A1282" s="39"/>
      <c r="B1282" s="96" t="e">
        <f>+HLOOKUP(Lan,Language!$D$3:$I$211,34)&amp;HLOOKUP(Lan,Language!$D$3:$I$211,28)&amp;" "&amp;HLOOKUP(Lan,Language!$D$3:$I$211,54)&amp;" "&amp;HLOOKUP(Lan,Language!$D$3:$I$211,52)&amp;", "&amp;HLOOKUP(Lan,Language!$D$3:$I$211,29)&amp;", "&amp;HLOOKUP(Lan,Language!$D$3:$I$211,33)&amp;", "&amp;HLOOKUP(Lan,Language!$D$3:$I$211,35)</f>
        <v>#N/A</v>
      </c>
      <c r="C1282" s="37" t="s">
        <v>106</v>
      </c>
      <c r="D1282" s="161" t="s">
        <v>61</v>
      </c>
      <c r="E1282" s="418"/>
      <c r="F1282" s="418"/>
      <c r="G1282" s="418"/>
      <c r="H1282" s="418"/>
      <c r="I1282" s="162" t="s">
        <v>9</v>
      </c>
      <c r="J1282" s="136">
        <v>1</v>
      </c>
      <c r="K1282" s="67">
        <v>1</v>
      </c>
      <c r="L1282" s="48">
        <v>1</v>
      </c>
      <c r="M1282" s="48">
        <v>1</v>
      </c>
      <c r="N1282" s="68">
        <v>1</v>
      </c>
      <c r="O1282" s="88" t="s">
        <v>107</v>
      </c>
      <c r="R1282" s="48">
        <v>1</v>
      </c>
      <c r="S1282" s="48">
        <v>1</v>
      </c>
      <c r="T1282" s="48">
        <v>1</v>
      </c>
      <c r="U1282" s="48">
        <v>1</v>
      </c>
      <c r="V1282" s="48">
        <v>1</v>
      </c>
      <c r="W1282" s="48">
        <v>1</v>
      </c>
      <c r="X1282" s="48">
        <v>1</v>
      </c>
      <c r="Y1282" s="48">
        <v>1</v>
      </c>
      <c r="Z1282" s="48">
        <v>1</v>
      </c>
      <c r="AA1282" s="48">
        <v>1</v>
      </c>
      <c r="AB1282" s="48">
        <v>1</v>
      </c>
      <c r="AC1282" s="48">
        <v>1</v>
      </c>
    </row>
    <row r="1283" spans="1:29" ht="46.5" customHeight="1" x14ac:dyDescent="0.2">
      <c r="A1283" s="39"/>
      <c r="B1283" s="95" t="e">
        <f>+HLOOKUP(Lan,Language!$D$3:$I$211,114)</f>
        <v>#N/A</v>
      </c>
      <c r="C1283" s="37"/>
      <c r="D1283" s="159"/>
      <c r="E1283" s="417"/>
      <c r="F1283" s="417"/>
      <c r="G1283" s="417"/>
      <c r="H1283" s="417"/>
      <c r="I1283" s="157"/>
      <c r="J1283" s="137"/>
      <c r="K1283" s="69"/>
      <c r="L1283" s="55"/>
      <c r="M1283" s="55"/>
      <c r="N1283" s="70"/>
      <c r="O1283" s="90"/>
      <c r="R1283" s="55"/>
      <c r="S1283" s="55"/>
      <c r="T1283" s="55"/>
      <c r="U1283" s="55"/>
      <c r="V1283" s="55"/>
      <c r="W1283" s="55"/>
      <c r="X1283" s="55"/>
      <c r="Y1283" s="55"/>
      <c r="Z1283" s="55"/>
      <c r="AA1283" s="55"/>
      <c r="AB1283" s="55"/>
      <c r="AC1283" s="55"/>
    </row>
    <row r="1284" spans="1:29" ht="46.5" customHeight="1" x14ac:dyDescent="0.2">
      <c r="B1284" s="96" t="e">
        <f>+HLOOKUP(Lan,Language!$D$3:$I$211,21)&amp;" "&amp;HLOOKUP(Lan,Language!$D$3:$I$211,52)&amp;", "&amp;HLOOKUP(Lan,Language!$D$3:$I$211,22)&amp;", "&amp;HLOOKUP(Lan,Language!$D$3:$I$211,23)</f>
        <v>#N/A</v>
      </c>
      <c r="C1284" s="37" t="s">
        <v>108</v>
      </c>
      <c r="D1284" s="153" t="str">
        <f>+$D$1250</f>
        <v>gas</v>
      </c>
      <c r="E1284" s="414"/>
      <c r="F1284" s="414"/>
      <c r="G1284" s="414"/>
      <c r="H1284" s="414"/>
      <c r="I1284" s="62" t="s">
        <v>62</v>
      </c>
      <c r="J1284" s="138">
        <f t="shared" ref="J1284:N1285" si="245">+J1253+J1256+J1259+J1262+J1265</f>
        <v>27500</v>
      </c>
      <c r="K1284" s="71">
        <f t="shared" si="245"/>
        <v>27500</v>
      </c>
      <c r="L1284" s="50">
        <f t="shared" si="245"/>
        <v>27500</v>
      </c>
      <c r="M1284" s="50">
        <f t="shared" si="245"/>
        <v>27500</v>
      </c>
      <c r="N1284" s="49">
        <f t="shared" si="245"/>
        <v>27500</v>
      </c>
      <c r="O1284" s="86"/>
      <c r="R1284" s="50">
        <v>27500</v>
      </c>
      <c r="S1284" s="50">
        <v>27500</v>
      </c>
      <c r="T1284" s="50">
        <v>27500</v>
      </c>
      <c r="U1284" s="50">
        <v>27500</v>
      </c>
      <c r="V1284" s="50">
        <v>27500</v>
      </c>
      <c r="W1284" s="50">
        <v>27500</v>
      </c>
      <c r="X1284" s="50">
        <v>27500</v>
      </c>
      <c r="Y1284" s="50">
        <v>27500</v>
      </c>
      <c r="Z1284" s="50">
        <v>27500</v>
      </c>
      <c r="AA1284" s="50">
        <v>27500</v>
      </c>
      <c r="AB1284" s="50">
        <v>27500</v>
      </c>
      <c r="AC1284" s="50">
        <v>27500</v>
      </c>
    </row>
    <row r="1285" spans="1:29" ht="46.5" customHeight="1" x14ac:dyDescent="0.2">
      <c r="B1285" s="36" t="s">
        <v>78</v>
      </c>
      <c r="C1285" s="37" t="s">
        <v>109</v>
      </c>
      <c r="D1285" s="153" t="str">
        <f>+$D$1251</f>
        <v>wood</v>
      </c>
      <c r="E1285" s="414"/>
      <c r="F1285" s="414"/>
      <c r="G1285" s="414"/>
      <c r="H1285" s="414"/>
      <c r="I1285" s="62" t="s">
        <v>62</v>
      </c>
      <c r="J1285" s="138">
        <f t="shared" si="245"/>
        <v>0</v>
      </c>
      <c r="K1285" s="71">
        <f t="shared" si="245"/>
        <v>0</v>
      </c>
      <c r="L1285" s="50">
        <f t="shared" si="245"/>
        <v>0</v>
      </c>
      <c r="M1285" s="50">
        <f t="shared" si="245"/>
        <v>0</v>
      </c>
      <c r="N1285" s="49">
        <f t="shared" si="245"/>
        <v>0</v>
      </c>
      <c r="O1285" s="85"/>
      <c r="R1285" s="50">
        <v>0</v>
      </c>
      <c r="S1285" s="50">
        <v>0</v>
      </c>
      <c r="T1285" s="50">
        <v>0</v>
      </c>
      <c r="U1285" s="50">
        <v>0</v>
      </c>
      <c r="V1285" s="50">
        <v>0</v>
      </c>
      <c r="W1285" s="50">
        <v>0</v>
      </c>
      <c r="X1285" s="50">
        <v>0</v>
      </c>
      <c r="Y1285" s="50">
        <v>0</v>
      </c>
      <c r="Z1285" s="50">
        <v>0</v>
      </c>
      <c r="AA1285" s="50">
        <v>0</v>
      </c>
      <c r="AB1285" s="50">
        <v>0</v>
      </c>
      <c r="AC1285" s="50">
        <v>0</v>
      </c>
    </row>
    <row r="1286" spans="1:29" ht="46.5" customHeight="1" x14ac:dyDescent="0.2">
      <c r="B1286" s="36" t="s">
        <v>78</v>
      </c>
      <c r="C1286" s="37" t="s">
        <v>110</v>
      </c>
      <c r="D1286" s="44" t="s">
        <v>43</v>
      </c>
      <c r="E1286" s="415"/>
      <c r="F1286" s="415"/>
      <c r="G1286" s="415"/>
      <c r="H1286" s="415"/>
      <c r="I1286" s="62" t="s">
        <v>62</v>
      </c>
      <c r="J1286" s="138">
        <f>+J1255+J1258+J1261+J1264+J1267+J1268+J1269+J1270+J1271</f>
        <v>3430</v>
      </c>
      <c r="K1286" s="71">
        <f>+K1255+K1258+K1261+K1264+K1267+K1268+K1269+K1270+K1271</f>
        <v>3430</v>
      </c>
      <c r="L1286" s="50">
        <f>+L1255+L1258+L1261+L1264+L1267+L1268+L1269+L1270+L1271</f>
        <v>3430</v>
      </c>
      <c r="M1286" s="50">
        <f>+M1255+M1258+M1261+M1264+M1267+M1268+M1269+M1270+M1271</f>
        <v>3430</v>
      </c>
      <c r="N1286" s="49">
        <f>+N1255+N1258+N1261+N1264+N1267+N1268+N1269+N1270+N1271</f>
        <v>3430</v>
      </c>
      <c r="O1286" s="85"/>
      <c r="R1286" s="50">
        <v>3430</v>
      </c>
      <c r="S1286" s="50">
        <v>3430</v>
      </c>
      <c r="T1286" s="50">
        <v>3430</v>
      </c>
      <c r="U1286" s="50">
        <v>3430</v>
      </c>
      <c r="V1286" s="50">
        <v>3430</v>
      </c>
      <c r="W1286" s="50">
        <v>3430</v>
      </c>
      <c r="X1286" s="50">
        <v>3430</v>
      </c>
      <c r="Y1286" s="50">
        <v>3430</v>
      </c>
      <c r="Z1286" s="50">
        <v>3430</v>
      </c>
      <c r="AA1286" s="50">
        <v>3430</v>
      </c>
      <c r="AB1286" s="50">
        <v>3430</v>
      </c>
      <c r="AC1286" s="50">
        <v>3430</v>
      </c>
    </row>
    <row r="1287" spans="1:29" ht="25.5" x14ac:dyDescent="0.2">
      <c r="A1287" s="39"/>
      <c r="B1287" s="96" t="e">
        <f>+HLOOKUP(Lan,Language!$D$3:$I$211,28)&amp;" "&amp;HLOOKUP(Lan,Language!$D$3:$I$211,53)&amp;" "&amp;HLOOKUP(Lan,Language!$D$3:$I$211,29)&amp;" "&amp;HLOOKUP(Lan,Language!$D$3:$I$211,36)</f>
        <v>#N/A</v>
      </c>
      <c r="C1287" s="37" t="s">
        <v>111</v>
      </c>
      <c r="D1287" s="44" t="s">
        <v>43</v>
      </c>
      <c r="E1287" s="415"/>
      <c r="F1287" s="415"/>
      <c r="G1287" s="415"/>
      <c r="H1287" s="415"/>
      <c r="I1287" s="62" t="s">
        <v>62</v>
      </c>
      <c r="J1287" s="138">
        <f>+MIN((J1275*J1280+J1276*J1281),(J1286+J1273))</f>
        <v>6430</v>
      </c>
      <c r="K1287" s="71">
        <f>+MIN((K1275*K1280+K1276*K1281),(K1286+K1273))</f>
        <v>6100</v>
      </c>
      <c r="L1287" s="50">
        <f>+MIN((L1275*L1280+L1276*L1281),(L1286+L1273))</f>
        <v>4000</v>
      </c>
      <c r="M1287" s="50">
        <f>+MIN((M1275*M1280+M1276*M1281),(M1286+M1273))</f>
        <v>4000</v>
      </c>
      <c r="N1287" s="49">
        <f>+MIN((N1275*N1280+N1276*N1281),(N1286+N1273))</f>
        <v>4000</v>
      </c>
      <c r="O1287" s="90" t="s">
        <v>112</v>
      </c>
      <c r="R1287" s="50">
        <v>4000</v>
      </c>
      <c r="S1287" s="50">
        <v>4000</v>
      </c>
      <c r="T1287" s="50">
        <v>4000</v>
      </c>
      <c r="U1287" s="50">
        <v>4000</v>
      </c>
      <c r="V1287" s="50">
        <v>4000</v>
      </c>
      <c r="W1287" s="50">
        <v>4000</v>
      </c>
      <c r="X1287" s="50">
        <v>4000</v>
      </c>
      <c r="Y1287" s="50">
        <v>4000</v>
      </c>
      <c r="Z1287" s="50">
        <v>4000</v>
      </c>
      <c r="AA1287" s="50">
        <v>4000</v>
      </c>
      <c r="AB1287" s="50">
        <v>4000</v>
      </c>
      <c r="AC1287" s="50">
        <v>4000</v>
      </c>
    </row>
    <row r="1288" spans="1:29" ht="19.5" customHeight="1" x14ac:dyDescent="0.2">
      <c r="A1288" s="39"/>
      <c r="B1288" s="96" t="e">
        <f>+HLOOKUP(Lan,Language!$D$3:$I$211,37)&amp;" "&amp;HLOOKUP(Lan,Language!$D$3:$I$211,53)&amp;", "&amp;HLOOKUP(Lan,Language!$D$3:$I$211,30)</f>
        <v>#N/A</v>
      </c>
      <c r="C1288" s="37" t="s">
        <v>113</v>
      </c>
      <c r="D1288" s="44" t="s">
        <v>43</v>
      </c>
      <c r="E1288" s="415"/>
      <c r="F1288" s="415"/>
      <c r="G1288" s="415"/>
      <c r="H1288" s="415"/>
      <c r="I1288" s="62" t="s">
        <v>62</v>
      </c>
      <c r="J1288" s="138">
        <f>+J1275-J1287*(J1275/J1277)</f>
        <v>2284.4444444444443</v>
      </c>
      <c r="K1288" s="71">
        <f>+K1275-K1287*(K1275/K1277)</f>
        <v>2577.7777777777783</v>
      </c>
      <c r="L1288" s="50">
        <f>+L1275-L1287*(L1275/L1277)</f>
        <v>900</v>
      </c>
      <c r="M1288" s="50">
        <f>+M1275-M1287*(M1275/M1277)</f>
        <v>900</v>
      </c>
      <c r="N1288" s="49">
        <f>+N1275-N1287*(N1275/N1277)</f>
        <v>900</v>
      </c>
      <c r="O1288" s="90"/>
      <c r="R1288" s="50">
        <v>900</v>
      </c>
      <c r="S1288" s="50">
        <v>900</v>
      </c>
      <c r="T1288" s="50">
        <v>900</v>
      </c>
      <c r="U1288" s="50">
        <v>900</v>
      </c>
      <c r="V1288" s="50">
        <v>900</v>
      </c>
      <c r="W1288" s="50">
        <v>900</v>
      </c>
      <c r="X1288" s="50">
        <v>900</v>
      </c>
      <c r="Y1288" s="50">
        <v>900</v>
      </c>
      <c r="Z1288" s="50">
        <v>900</v>
      </c>
      <c r="AA1288" s="50">
        <v>900</v>
      </c>
      <c r="AB1288" s="50">
        <v>900</v>
      </c>
      <c r="AC1288" s="50">
        <v>900</v>
      </c>
    </row>
    <row r="1289" spans="1:29" x14ac:dyDescent="0.2">
      <c r="B1289" s="96" t="e">
        <f>+HLOOKUP(Lan,Language!$D$3:$I$211,37)&amp;" "&amp;HLOOKUP(Lan,Language!$D$3:$I$211,53)&amp;", "&amp;HLOOKUP(Lan,Language!$D$3:$I$211,31)</f>
        <v>#N/A</v>
      </c>
      <c r="C1289" s="37" t="s">
        <v>114</v>
      </c>
      <c r="D1289" s="44" t="s">
        <v>43</v>
      </c>
      <c r="E1289" s="415"/>
      <c r="F1289" s="415"/>
      <c r="G1289" s="415"/>
      <c r="H1289" s="415"/>
      <c r="I1289" s="62" t="s">
        <v>62</v>
      </c>
      <c r="J1289" s="138">
        <f>+J1276-J1287*(J1276/J1277)</f>
        <v>285.55555555555554</v>
      </c>
      <c r="K1289" s="71">
        <f>+K1276-K1287*(K1276/K1277)</f>
        <v>322.22222222222229</v>
      </c>
      <c r="L1289" s="50">
        <f>+L1276-L1287*(L1276/L1277)</f>
        <v>100</v>
      </c>
      <c r="M1289" s="50">
        <f>+M1276-M1287*(M1276/M1277)</f>
        <v>100</v>
      </c>
      <c r="N1289" s="49">
        <f>+N1276-N1287*(N1276/N1277)</f>
        <v>100</v>
      </c>
      <c r="O1289" s="90"/>
      <c r="R1289" s="50">
        <v>100</v>
      </c>
      <c r="S1289" s="50">
        <v>100</v>
      </c>
      <c r="T1289" s="50">
        <v>100</v>
      </c>
      <c r="U1289" s="50">
        <v>100</v>
      </c>
      <c r="V1289" s="50">
        <v>100</v>
      </c>
      <c r="W1289" s="50">
        <v>100</v>
      </c>
      <c r="X1289" s="50">
        <v>100</v>
      </c>
      <c r="Y1289" s="50">
        <v>100</v>
      </c>
      <c r="Z1289" s="50">
        <v>100</v>
      </c>
      <c r="AA1289" s="50">
        <v>100</v>
      </c>
      <c r="AB1289" s="50">
        <v>100</v>
      </c>
      <c r="AC1289" s="50">
        <v>100</v>
      </c>
    </row>
    <row r="1290" spans="1:29" x14ac:dyDescent="0.2">
      <c r="B1290" s="96" t="e">
        <f>+"==&gt; "&amp;HLOOKUP(Lan,Language!$D$3:$I$211,37)&amp;" "&amp;HLOOKUP(Lan,Language!$D$3:$I$211,53)</f>
        <v>#N/A</v>
      </c>
      <c r="C1290" s="37" t="s">
        <v>115</v>
      </c>
      <c r="D1290" s="44" t="s">
        <v>43</v>
      </c>
      <c r="E1290" s="415"/>
      <c r="F1290" s="415"/>
      <c r="G1290" s="415"/>
      <c r="H1290" s="415"/>
      <c r="I1290" s="62" t="s">
        <v>62</v>
      </c>
      <c r="J1290" s="138">
        <f>+J1288+J1289</f>
        <v>2570</v>
      </c>
      <c r="K1290" s="71">
        <f>+K1288+K1289</f>
        <v>2900.0000000000005</v>
      </c>
      <c r="L1290" s="50">
        <f>+L1288+L1289</f>
        <v>1000</v>
      </c>
      <c r="M1290" s="50">
        <f>+M1288+M1289</f>
        <v>1000</v>
      </c>
      <c r="N1290" s="49">
        <f>+N1288+N1289</f>
        <v>1000</v>
      </c>
      <c r="O1290" s="90"/>
      <c r="R1290" s="50">
        <v>1000</v>
      </c>
      <c r="S1290" s="50">
        <v>1000</v>
      </c>
      <c r="T1290" s="50">
        <v>1000</v>
      </c>
      <c r="U1290" s="50">
        <v>1000</v>
      </c>
      <c r="V1290" s="50">
        <v>1000</v>
      </c>
      <c r="W1290" s="50">
        <v>1000</v>
      </c>
      <c r="X1290" s="50">
        <v>1000</v>
      </c>
      <c r="Y1290" s="50">
        <v>1000</v>
      </c>
      <c r="Z1290" s="50">
        <v>1000</v>
      </c>
      <c r="AA1290" s="50">
        <v>1000</v>
      </c>
      <c r="AB1290" s="50">
        <v>1000</v>
      </c>
      <c r="AC1290" s="50">
        <v>1000</v>
      </c>
    </row>
    <row r="1291" spans="1:29" ht="51" x14ac:dyDescent="0.2">
      <c r="B1291" s="36" t="e">
        <f>+HLOOKUP(Lan,Language!$D$3:$I$211,38)&amp;HLOOKUP(Lan,Language!$D$3:$I$211,28)&amp;" "&amp;HLOOKUP(Lan,Language!$D$3:$I$211,54)&amp;" "&amp;HLOOKUP(Lan,Language!$D$3:$I$211,52)&amp;", "&amp;HLOOKUP(Lan,Language!$D$3:$I$211,29)&amp;", "&amp;HLOOKUP(Lan,Language!$D$3:$I$211,33)&amp;" "&amp;HLOOKUP(Lan,Language!$D$3:$I$211,36)&amp;" "&amp;HLOOKUP(Lan,Language!$D$3:$I$211,22)</f>
        <v>#N/A</v>
      </c>
      <c r="C1291" s="37" t="s">
        <v>116</v>
      </c>
      <c r="D1291" s="44" t="s">
        <v>44</v>
      </c>
      <c r="E1291" s="415"/>
      <c r="F1291" s="415"/>
      <c r="G1291" s="415"/>
      <c r="H1291" s="415"/>
      <c r="I1291" s="62" t="s">
        <v>62</v>
      </c>
      <c r="J1291" s="138">
        <f>+J1282*J1278</f>
        <v>0</v>
      </c>
      <c r="K1291" s="71">
        <f>+K1282*K1278</f>
        <v>0</v>
      </c>
      <c r="L1291" s="50">
        <f>+L1282*L1278</f>
        <v>1000</v>
      </c>
      <c r="M1291" s="50">
        <f>+M1282*M1278</f>
        <v>1000</v>
      </c>
      <c r="N1291" s="49">
        <f>+N1282*N1278</f>
        <v>1000</v>
      </c>
      <c r="O1291" s="88" t="s">
        <v>103</v>
      </c>
      <c r="R1291" s="50">
        <v>1000</v>
      </c>
      <c r="S1291" s="50">
        <v>1000</v>
      </c>
      <c r="T1291" s="50">
        <v>1000</v>
      </c>
      <c r="U1291" s="50">
        <v>1000</v>
      </c>
      <c r="V1291" s="50">
        <v>1000</v>
      </c>
      <c r="W1291" s="50">
        <v>1000</v>
      </c>
      <c r="X1291" s="50">
        <v>1000</v>
      </c>
      <c r="Y1291" s="50">
        <v>1000</v>
      </c>
      <c r="Z1291" s="50">
        <v>1000</v>
      </c>
      <c r="AA1291" s="50">
        <v>1000</v>
      </c>
      <c r="AB1291" s="50">
        <v>1000</v>
      </c>
      <c r="AC1291" s="50">
        <v>1000</v>
      </c>
    </row>
    <row r="1292" spans="1:29" ht="51" x14ac:dyDescent="0.2">
      <c r="B1292" s="96" t="e">
        <f>+HLOOKUP(Lan,Language!$D$3:$I$211,37)&amp;" "&amp;HLOOKUP(Lan,Language!$D$3:$I$211,54)&amp;" "&amp;HLOOKUP(Lan,Language!$D$3:$I$211,52)&amp;", "&amp;HLOOKUP(Lan,Language!$D$3:$I$211,33)</f>
        <v>#N/A</v>
      </c>
      <c r="C1292" s="37" t="s">
        <v>117</v>
      </c>
      <c r="D1292" s="44" t="s">
        <v>44</v>
      </c>
      <c r="E1292" s="415"/>
      <c r="F1292" s="415"/>
      <c r="G1292" s="415"/>
      <c r="H1292" s="415"/>
      <c r="I1292" s="62" t="s">
        <v>62</v>
      </c>
      <c r="J1292" s="138">
        <f>+J1278-J1291</f>
        <v>0</v>
      </c>
      <c r="K1292" s="71">
        <f>+K1278-K1291</f>
        <v>0</v>
      </c>
      <c r="L1292" s="50">
        <f>+L1278-L1291</f>
        <v>0</v>
      </c>
      <c r="M1292" s="50">
        <f>+M1278-M1291</f>
        <v>0</v>
      </c>
      <c r="N1292" s="49">
        <f>+N1278-N1291</f>
        <v>0</v>
      </c>
      <c r="O1292" s="88" t="s">
        <v>103</v>
      </c>
      <c r="R1292" s="50">
        <v>0</v>
      </c>
      <c r="S1292" s="50">
        <v>0</v>
      </c>
      <c r="T1292" s="50">
        <v>0</v>
      </c>
      <c r="U1292" s="50">
        <v>0</v>
      </c>
      <c r="V1292" s="50">
        <v>0</v>
      </c>
      <c r="W1292" s="50">
        <v>0</v>
      </c>
      <c r="X1292" s="50">
        <v>0</v>
      </c>
      <c r="Y1292" s="50">
        <v>0</v>
      </c>
      <c r="Z1292" s="50">
        <v>0</v>
      </c>
      <c r="AA1292" s="50">
        <v>0</v>
      </c>
      <c r="AB1292" s="50">
        <v>0</v>
      </c>
      <c r="AC1292" s="50">
        <v>0</v>
      </c>
    </row>
    <row r="1293" spans="1:29" ht="46.5" customHeight="1" x14ac:dyDescent="0.2">
      <c r="B1293" s="36" t="e">
        <f>+HLOOKUP(Lan,Language!$D$3:$I$211,38)&amp;HLOOKUP(Lan,Language!$D$3:$I$211,28)&amp;" "&amp;HLOOKUP(Lan,Language!$D$3:$I$211,53)&amp;", "&amp;HLOOKUP(Lan,Language!$D$3:$I$211,29)&amp;" "&amp;HLOOKUP(Lan,Language!$D$3:$I$211,36)&amp;" "&amp;HLOOKUP(Lan,Language!$D$3:$I$211,22)</f>
        <v>#N/A</v>
      </c>
      <c r="C1293" s="37" t="s">
        <v>118</v>
      </c>
      <c r="D1293" s="44" t="s">
        <v>43</v>
      </c>
      <c r="E1293" s="415"/>
      <c r="F1293" s="415"/>
      <c r="G1293" s="415"/>
      <c r="H1293" s="415"/>
      <c r="I1293" s="62" t="s">
        <v>62</v>
      </c>
      <c r="J1293" s="138">
        <f>+(J1286/(J1286+J1273))*J1287</f>
        <v>3430</v>
      </c>
      <c r="K1293" s="72">
        <f>+(K1286/(K1286+K1273))*K1287</f>
        <v>3253.9657853810263</v>
      </c>
      <c r="L1293" s="51">
        <f>+(L1286/(L1286+L1273))*L1287</f>
        <v>2133.7480559875585</v>
      </c>
      <c r="M1293" s="51">
        <f>+(M1286/(M1286+M1273))*M1287</f>
        <v>2133.7480559875585</v>
      </c>
      <c r="N1293" s="54">
        <f>+(N1286/(N1286+N1273))*N1287</f>
        <v>2133.7480559875585</v>
      </c>
      <c r="O1293" s="90"/>
      <c r="R1293" s="51">
        <v>2133.7480559875585</v>
      </c>
      <c r="S1293" s="51">
        <v>2133.7480559875585</v>
      </c>
      <c r="T1293" s="51">
        <v>2133.7480559875585</v>
      </c>
      <c r="U1293" s="51">
        <v>2133.7480559875585</v>
      </c>
      <c r="V1293" s="51">
        <v>2133.7480559875585</v>
      </c>
      <c r="W1293" s="51">
        <v>2133.7480559875585</v>
      </c>
      <c r="X1293" s="51">
        <v>2133.7480559875585</v>
      </c>
      <c r="Y1293" s="51">
        <v>2133.7480559875585</v>
      </c>
      <c r="Z1293" s="51">
        <v>2133.7480559875585</v>
      </c>
      <c r="AA1293" s="51">
        <v>2133.7480559875585</v>
      </c>
      <c r="AB1293" s="51">
        <v>2133.7480559875585</v>
      </c>
      <c r="AC1293" s="51">
        <v>2133.7480559875585</v>
      </c>
    </row>
    <row r="1294" spans="1:29" ht="13.5" thickBot="1" x14ac:dyDescent="0.25">
      <c r="B1294" s="36" t="e">
        <f>+HLOOKUP(Lan,Language!$D$3:$I$211,38)&amp;HLOOKUP(Lan,Language!$D$3:$I$211,28)&amp;" "&amp;HLOOKUP(Lan,Language!$D$3:$I$211,53)&amp;", "&amp;HLOOKUP(Lan,Language!$D$3:$I$211,29)&amp;" "&amp;HLOOKUP(Lan,Language!$D$3:$I$211,36)&amp;", "&amp;HLOOKUP(Lan,Language!$D$3:$I$211,39)&amp;", "&amp;HLOOKUP(Lan,Language!$D$3:$I$211,20)</f>
        <v>#N/A</v>
      </c>
      <c r="C1294" s="37" t="s">
        <v>119</v>
      </c>
      <c r="D1294" s="158" t="s">
        <v>43</v>
      </c>
      <c r="E1294" s="416"/>
      <c r="F1294" s="416"/>
      <c r="G1294" s="416"/>
      <c r="H1294" s="416"/>
      <c r="I1294" s="155" t="s">
        <v>62</v>
      </c>
      <c r="J1294" s="139">
        <f>+(J1287/(J1286+J1273))*J1273</f>
        <v>3000</v>
      </c>
      <c r="K1294" s="72">
        <f>+(K1287/(K1286+K1273))*K1273</f>
        <v>2846.0342146189737</v>
      </c>
      <c r="L1294" s="51">
        <f>+(L1287/(L1286+L1273))*L1273</f>
        <v>1866.2519440124418</v>
      </c>
      <c r="M1294" s="51">
        <f>+(M1287/(M1286+M1273))*M1273</f>
        <v>1866.2519440124418</v>
      </c>
      <c r="N1294" s="54">
        <f>+(N1287/(N1286+N1273))*N1273</f>
        <v>1866.2519440124418</v>
      </c>
      <c r="O1294" s="90"/>
      <c r="R1294" s="51">
        <v>1866.2519440124418</v>
      </c>
      <c r="S1294" s="51">
        <v>1866.2519440124418</v>
      </c>
      <c r="T1294" s="51">
        <v>1866.2519440124418</v>
      </c>
      <c r="U1294" s="51">
        <v>1866.2519440124418</v>
      </c>
      <c r="V1294" s="51">
        <v>1866.2519440124418</v>
      </c>
      <c r="W1294" s="51">
        <v>1866.2519440124418</v>
      </c>
      <c r="X1294" s="51">
        <v>1866.2519440124418</v>
      </c>
      <c r="Y1294" s="51">
        <v>1866.2519440124418</v>
      </c>
      <c r="Z1294" s="51">
        <v>1866.2519440124418</v>
      </c>
      <c r="AA1294" s="51">
        <v>1866.2519440124418</v>
      </c>
      <c r="AB1294" s="51">
        <v>1866.2519440124418</v>
      </c>
      <c r="AC1294" s="51">
        <v>1866.2519440124418</v>
      </c>
    </row>
    <row r="1295" spans="1:29" x14ac:dyDescent="0.2">
      <c r="B1295" s="99"/>
      <c r="C1295" s="100"/>
      <c r="D1295" s="163"/>
      <c r="E1295" s="419"/>
      <c r="F1295" s="419"/>
      <c r="G1295" s="419"/>
      <c r="H1295" s="422"/>
      <c r="I1295" s="164"/>
      <c r="J1295" s="140"/>
      <c r="K1295" s="73"/>
      <c r="L1295" s="56"/>
      <c r="M1295" s="56"/>
      <c r="N1295" s="74"/>
      <c r="O1295" s="91"/>
      <c r="R1295" s="56"/>
      <c r="S1295" s="56"/>
      <c r="T1295" s="56"/>
      <c r="U1295" s="56"/>
      <c r="V1295" s="56"/>
      <c r="W1295" s="56"/>
      <c r="X1295" s="56"/>
      <c r="Y1295" s="56"/>
      <c r="Z1295" s="56"/>
      <c r="AA1295" s="56"/>
      <c r="AB1295" s="56"/>
      <c r="AC1295" s="56"/>
    </row>
    <row r="1296" spans="1:29" x14ac:dyDescent="0.2">
      <c r="B1296" s="36" t="e">
        <f>+HLOOKUP(Lan,Language!$D$3:$I$211,41)&amp;" "&amp;HLOOKUP(Lan,Language!$D$3:$I$211,22)&amp;", "&amp;HLOOKUP(Lan,Language!$D$3:$I$211,23)&amp;", "&amp;HLOOKUP(Lan,Language!$D$3:$I$211,42)</f>
        <v>#N/A</v>
      </c>
      <c r="C1296" s="37" t="s">
        <v>120</v>
      </c>
      <c r="D1296" s="153" t="str">
        <f>+$D$1250</f>
        <v>gas</v>
      </c>
      <c r="E1296" s="414"/>
      <c r="F1296" s="414"/>
      <c r="G1296" s="414"/>
      <c r="H1296" s="414"/>
      <c r="I1296" s="62" t="s">
        <v>62</v>
      </c>
      <c r="J1296" s="138">
        <f t="shared" ref="J1296:N1297" si="246">+J1284</f>
        <v>27500</v>
      </c>
      <c r="K1296" s="71">
        <f t="shared" si="246"/>
        <v>27500</v>
      </c>
      <c r="L1296" s="50">
        <f t="shared" si="246"/>
        <v>27500</v>
      </c>
      <c r="M1296" s="50">
        <f t="shared" si="246"/>
        <v>27500</v>
      </c>
      <c r="N1296" s="49">
        <f t="shared" si="246"/>
        <v>27500</v>
      </c>
      <c r="O1296" s="90"/>
      <c r="R1296" s="50">
        <v>27500</v>
      </c>
      <c r="S1296" s="50">
        <v>27500</v>
      </c>
      <c r="T1296" s="50">
        <v>27500</v>
      </c>
      <c r="U1296" s="50">
        <v>27500</v>
      </c>
      <c r="V1296" s="50">
        <v>27500</v>
      </c>
      <c r="W1296" s="50">
        <v>27500</v>
      </c>
      <c r="X1296" s="50">
        <v>27500</v>
      </c>
      <c r="Y1296" s="50">
        <v>27500</v>
      </c>
      <c r="Z1296" s="50">
        <v>27500</v>
      </c>
      <c r="AA1296" s="50">
        <v>27500</v>
      </c>
      <c r="AB1296" s="50">
        <v>27500</v>
      </c>
      <c r="AC1296" s="50">
        <v>27500</v>
      </c>
    </row>
    <row r="1297" spans="1:30" x14ac:dyDescent="0.2">
      <c r="B1297" s="96" t="s">
        <v>78</v>
      </c>
      <c r="C1297" s="37" t="s">
        <v>121</v>
      </c>
      <c r="D1297" s="153" t="str">
        <f>+$D$1251</f>
        <v>wood</v>
      </c>
      <c r="E1297" s="414"/>
      <c r="F1297" s="414"/>
      <c r="G1297" s="414"/>
      <c r="H1297" s="414"/>
      <c r="I1297" s="62" t="s">
        <v>62</v>
      </c>
      <c r="J1297" s="138">
        <f t="shared" si="246"/>
        <v>0</v>
      </c>
      <c r="K1297" s="71">
        <f t="shared" si="246"/>
        <v>0</v>
      </c>
      <c r="L1297" s="50">
        <f t="shared" si="246"/>
        <v>0</v>
      </c>
      <c r="M1297" s="50">
        <f t="shared" si="246"/>
        <v>0</v>
      </c>
      <c r="N1297" s="49">
        <f t="shared" si="246"/>
        <v>0</v>
      </c>
      <c r="O1297" s="90"/>
      <c r="R1297" s="50">
        <v>0</v>
      </c>
      <c r="S1297" s="50">
        <v>0</v>
      </c>
      <c r="T1297" s="50">
        <v>0</v>
      </c>
      <c r="U1297" s="50">
        <v>0</v>
      </c>
      <c r="V1297" s="50">
        <v>0</v>
      </c>
      <c r="W1297" s="50">
        <v>0</v>
      </c>
      <c r="X1297" s="50">
        <v>0</v>
      </c>
      <c r="Y1297" s="50">
        <v>0</v>
      </c>
      <c r="Z1297" s="50">
        <v>0</v>
      </c>
      <c r="AA1297" s="50">
        <v>0</v>
      </c>
      <c r="AB1297" s="50">
        <v>0</v>
      </c>
      <c r="AC1297" s="50">
        <v>0</v>
      </c>
    </row>
    <row r="1298" spans="1:30" ht="25.5" x14ac:dyDescent="0.2">
      <c r="B1298" s="36" t="s">
        <v>78</v>
      </c>
      <c r="C1298" s="37" t="s">
        <v>122</v>
      </c>
      <c r="D1298" s="44" t="s">
        <v>43</v>
      </c>
      <c r="E1298" s="415"/>
      <c r="F1298" s="415"/>
      <c r="G1298" s="415"/>
      <c r="H1298" s="415"/>
      <c r="I1298" s="62" t="s">
        <v>62</v>
      </c>
      <c r="J1298" s="138">
        <f>J1286-J1293</f>
        <v>0</v>
      </c>
      <c r="K1298" s="71">
        <f>K1286-K1293</f>
        <v>176.03421461897369</v>
      </c>
      <c r="L1298" s="50">
        <f>L1286-L1293</f>
        <v>1296.2519440124415</v>
      </c>
      <c r="M1298" s="50">
        <f>M1286-M1293</f>
        <v>1296.2519440124415</v>
      </c>
      <c r="N1298" s="49">
        <f>N1286-N1293</f>
        <v>1296.2519440124415</v>
      </c>
      <c r="O1298" s="89" t="s">
        <v>123</v>
      </c>
      <c r="R1298" s="50">
        <v>1296.2519440124415</v>
      </c>
      <c r="S1298" s="50">
        <v>1296.2519440124415</v>
      </c>
      <c r="T1298" s="50">
        <v>1296.2519440124415</v>
      </c>
      <c r="U1298" s="50">
        <v>1296.2519440124415</v>
      </c>
      <c r="V1298" s="50">
        <v>1296.2519440124415</v>
      </c>
      <c r="W1298" s="50">
        <v>1296.2519440124415</v>
      </c>
      <c r="X1298" s="50">
        <v>1296.2519440124415</v>
      </c>
      <c r="Y1298" s="50">
        <v>1296.2519440124415</v>
      </c>
      <c r="Z1298" s="50">
        <v>1296.2519440124415</v>
      </c>
      <c r="AA1298" s="50">
        <v>1296.2519440124415</v>
      </c>
      <c r="AB1298" s="50">
        <v>1296.2519440124415</v>
      </c>
      <c r="AC1298" s="50">
        <v>1296.2519440124415</v>
      </c>
    </row>
    <row r="1299" spans="1:30" s="26" customFormat="1" x14ac:dyDescent="0.2">
      <c r="B1299" s="102"/>
      <c r="C1299" s="103"/>
      <c r="D1299" s="165"/>
      <c r="E1299" s="420"/>
      <c r="F1299" s="420"/>
      <c r="G1299" s="420"/>
      <c r="H1299" s="420"/>
      <c r="I1299" s="166"/>
      <c r="J1299" s="141"/>
      <c r="K1299" s="75"/>
      <c r="L1299" s="57"/>
      <c r="M1299" s="57"/>
      <c r="N1299" s="76"/>
      <c r="O1299" s="92"/>
      <c r="P1299" s="1527"/>
      <c r="Q1299" s="1527"/>
      <c r="R1299" s="57"/>
      <c r="S1299" s="57"/>
      <c r="T1299" s="57"/>
      <c r="U1299" s="57"/>
      <c r="V1299" s="57"/>
      <c r="W1299" s="57"/>
      <c r="X1299" s="57"/>
      <c r="Y1299" s="57"/>
      <c r="Z1299" s="57"/>
      <c r="AA1299" s="57"/>
      <c r="AB1299" s="57"/>
      <c r="AC1299" s="57"/>
      <c r="AD1299" s="1527"/>
    </row>
    <row r="1300" spans="1:30" s="26" customFormat="1" x14ac:dyDescent="0.2">
      <c r="B1300" s="102"/>
      <c r="C1300" s="103"/>
      <c r="D1300" s="165"/>
      <c r="E1300" s="420"/>
      <c r="F1300" s="420"/>
      <c r="G1300" s="420"/>
      <c r="H1300" s="420"/>
      <c r="I1300" s="166"/>
      <c r="J1300" s="141"/>
      <c r="K1300" s="75"/>
      <c r="L1300" s="57"/>
      <c r="M1300" s="57"/>
      <c r="N1300" s="76"/>
      <c r="O1300" s="92"/>
      <c r="P1300" s="1527"/>
      <c r="Q1300" s="1527"/>
      <c r="R1300" s="57"/>
      <c r="S1300" s="57"/>
      <c r="T1300" s="57"/>
      <c r="U1300" s="57"/>
      <c r="V1300" s="57"/>
      <c r="W1300" s="57"/>
      <c r="X1300" s="57"/>
      <c r="Y1300" s="57"/>
      <c r="Z1300" s="57"/>
      <c r="AA1300" s="57"/>
      <c r="AB1300" s="57"/>
      <c r="AC1300" s="57"/>
      <c r="AD1300" s="1527"/>
    </row>
    <row r="1301" spans="1:30" ht="13.5" thickBot="1" x14ac:dyDescent="0.25">
      <c r="B1301" s="95" t="e">
        <f>+HLOOKUP(Lan,Language!$D$3:$I$211,110)&amp;":"</f>
        <v>#N/A</v>
      </c>
      <c r="C1301" s="25"/>
      <c r="D1301" s="167"/>
      <c r="E1301" s="421"/>
      <c r="F1301" s="421"/>
      <c r="G1301" s="421"/>
      <c r="H1301" s="421"/>
      <c r="I1301" s="168"/>
      <c r="J1301" s="142"/>
      <c r="K1301" s="77"/>
      <c r="L1301" s="52"/>
      <c r="M1301" s="52"/>
      <c r="N1301" s="78"/>
      <c r="O1301" s="90"/>
      <c r="R1301" s="52"/>
      <c r="S1301" s="52"/>
      <c r="T1301" s="52"/>
      <c r="U1301" s="52"/>
      <c r="V1301" s="52"/>
      <c r="W1301" s="52"/>
      <c r="X1301" s="52"/>
      <c r="Y1301" s="52"/>
      <c r="Z1301" s="52"/>
      <c r="AA1301" s="52"/>
      <c r="AB1301" s="52"/>
      <c r="AC1301" s="52"/>
    </row>
    <row r="1302" spans="1:30" x14ac:dyDescent="0.2">
      <c r="B1302" s="95" t="e">
        <f>+HLOOKUP(Lan,Language!$D$3:$I$211,71)</f>
        <v>#N/A</v>
      </c>
      <c r="C1302" s="25"/>
      <c r="D1302" s="159"/>
      <c r="E1302" s="417"/>
      <c r="F1302" s="417"/>
      <c r="G1302" s="417"/>
      <c r="H1302" s="417"/>
      <c r="I1302" s="157"/>
      <c r="J1302" s="143"/>
      <c r="K1302" s="79"/>
      <c r="L1302" s="50"/>
      <c r="M1302" s="50"/>
      <c r="N1302" s="49"/>
      <c r="O1302" s="90"/>
      <c r="R1302" s="50"/>
      <c r="S1302" s="50"/>
      <c r="T1302" s="50"/>
      <c r="U1302" s="50"/>
      <c r="V1302" s="50"/>
      <c r="W1302" s="50"/>
      <c r="X1302" s="50"/>
      <c r="Y1302" s="50"/>
      <c r="Z1302" s="50"/>
      <c r="AA1302" s="50"/>
      <c r="AB1302" s="50"/>
      <c r="AC1302" s="50"/>
    </row>
    <row r="1303" spans="1:30" x14ac:dyDescent="0.2">
      <c r="B1303" s="36" t="e">
        <f>+HLOOKUP(Lan,Language!$D$3:$I$211,41)&amp;" "&amp;HLOOKUP(Lan,Language!$D$3:$I$211,22)&amp;", "&amp;HLOOKUP(Lan,Language!$D$3:$I$211,82)&amp;" "&amp;HLOOKUP(Lan,Language!$D$3:$I$211,71)&amp;", "&amp;HLOOKUP(Lan,Language!$D$3:$I$211,23)</f>
        <v>#N/A</v>
      </c>
      <c r="C1303" s="37" t="s">
        <v>124</v>
      </c>
      <c r="D1303" s="153" t="str">
        <f>+$D$1250</f>
        <v>gas</v>
      </c>
      <c r="E1303" s="414"/>
      <c r="F1303" s="414"/>
      <c r="G1303" s="414"/>
      <c r="H1303" s="414"/>
      <c r="I1303" s="169" t="s">
        <v>125</v>
      </c>
      <c r="J1303" s="138">
        <f>+J$1296*VLOOKUP($D1303,ConvFactors!$D32:$P39,3)</f>
        <v>30250.000000000004</v>
      </c>
      <c r="K1303" s="72" t="e">
        <f>+K$1296*VLOOKUP($D1303,ConvFactors!$D32:$P39,4)</f>
        <v>#VALUE!</v>
      </c>
      <c r="L1303" s="51">
        <f>+L$1296*VLOOKUP($D1303,ConvFactors!$D32:$P39,5)</f>
        <v>0</v>
      </c>
      <c r="M1303" s="51">
        <f>+M$1296*VLOOKUP($D1303,ConvFactors!$D32:$P39,6)</f>
        <v>30250.000000000004</v>
      </c>
      <c r="N1303" s="54">
        <f>+N$1296*VLOOKUP($D1303,ConvFactors!$D32:$P39,7)</f>
        <v>30250.000000000004</v>
      </c>
      <c r="O1303" s="89"/>
      <c r="R1303" s="51">
        <v>27500</v>
      </c>
      <c r="S1303" s="51">
        <v>27500</v>
      </c>
      <c r="T1303" s="51">
        <v>27500</v>
      </c>
      <c r="U1303" s="51">
        <v>27500</v>
      </c>
      <c r="V1303" s="51">
        <v>27500</v>
      </c>
      <c r="W1303" s="51">
        <v>27500</v>
      </c>
      <c r="X1303" s="51">
        <v>27500</v>
      </c>
      <c r="Y1303" s="51">
        <v>27500</v>
      </c>
      <c r="Z1303" s="51">
        <v>27500</v>
      </c>
      <c r="AA1303" s="51">
        <v>27500</v>
      </c>
      <c r="AB1303" s="51">
        <v>27500</v>
      </c>
      <c r="AC1303" s="51">
        <v>27500</v>
      </c>
    </row>
    <row r="1304" spans="1:30" x14ac:dyDescent="0.2">
      <c r="B1304" s="36" t="e">
        <f>+HLOOKUP(Lan,Language!$D$3:$I$211,41)&amp;" "&amp;HLOOKUP(Lan,Language!$D$3:$I$211,22)&amp;", "&amp;HLOOKUP(Lan,Language!$D$3:$I$211,82)&amp;" "&amp;HLOOKUP(Lan,Language!$D$3:$I$211,71)&amp;", "&amp;HLOOKUP(Lan,Language!$D$3:$I$211,23)</f>
        <v>#N/A</v>
      </c>
      <c r="C1304" s="37" t="s">
        <v>126</v>
      </c>
      <c r="D1304" s="153" t="str">
        <f>+$D$1251</f>
        <v>wood</v>
      </c>
      <c r="E1304" s="414"/>
      <c r="F1304" s="414"/>
      <c r="G1304" s="414"/>
      <c r="H1304" s="414"/>
      <c r="I1304" s="169" t="s">
        <v>125</v>
      </c>
      <c r="J1304" s="138">
        <f>+J$1297*VLOOKUP($D1304,ConvFactors!$D32:$P39,3)</f>
        <v>0</v>
      </c>
      <c r="K1304" s="72" t="e">
        <f>+K$1297*VLOOKUP($D1304,ConvFactors!$D32:$P39,4)</f>
        <v>#VALUE!</v>
      </c>
      <c r="L1304" s="51">
        <f>+L$1297*VLOOKUP($D1304,ConvFactors!$D32:$P39,5)</f>
        <v>0</v>
      </c>
      <c r="M1304" s="51">
        <f>+M$1297*VLOOKUP($D1304,ConvFactors!$D32:$P39,6)</f>
        <v>0</v>
      </c>
      <c r="N1304" s="54">
        <f>+N$1297*VLOOKUP($D1304,ConvFactors!$D32:$P39,7)</f>
        <v>0</v>
      </c>
      <c r="O1304" s="90"/>
      <c r="R1304" s="51">
        <v>0</v>
      </c>
      <c r="S1304" s="51">
        <v>0</v>
      </c>
      <c r="T1304" s="51">
        <v>0</v>
      </c>
      <c r="U1304" s="51">
        <v>0</v>
      </c>
      <c r="V1304" s="51">
        <v>0</v>
      </c>
      <c r="W1304" s="51">
        <v>0</v>
      </c>
      <c r="X1304" s="51">
        <v>0</v>
      </c>
      <c r="Y1304" s="51">
        <v>0</v>
      </c>
      <c r="Z1304" s="51">
        <v>0</v>
      </c>
      <c r="AA1304" s="51">
        <v>0</v>
      </c>
      <c r="AB1304" s="51">
        <v>0</v>
      </c>
      <c r="AC1304" s="51">
        <v>0</v>
      </c>
    </row>
    <row r="1305" spans="1:30" x14ac:dyDescent="0.2">
      <c r="B1305" s="36" t="e">
        <f>+HLOOKUP(Lan,Language!$D$3:$I$211,41)&amp;" "&amp;HLOOKUP(Lan,Language!$D$3:$I$211,22)&amp;", "&amp;HLOOKUP(Lan,Language!$D$3:$I$211,82)&amp;" "&amp;HLOOKUP(Lan,Language!$D$3:$I$211,71)&amp;", "&amp;HLOOKUP(Lan,Language!$D$3:$I$211,23)</f>
        <v>#N/A</v>
      </c>
      <c r="C1305" s="37" t="s">
        <v>127</v>
      </c>
      <c r="D1305" s="44" t="s">
        <v>43</v>
      </c>
      <c r="E1305" s="415"/>
      <c r="F1305" s="415"/>
      <c r="G1305" s="415"/>
      <c r="H1305" s="415"/>
      <c r="I1305" s="169" t="s">
        <v>125</v>
      </c>
      <c r="J1305" s="138" t="e">
        <f>+J$1298*ConvFactors!#REF!</f>
        <v>#REF!</v>
      </c>
      <c r="K1305" s="71" t="e">
        <f>+K$1298*ConvFactors!#REF!</f>
        <v>#REF!</v>
      </c>
      <c r="L1305" s="50" t="e">
        <f>+L$1298*ConvFactors!#REF!</f>
        <v>#REF!</v>
      </c>
      <c r="M1305" s="50" t="e">
        <f>+M$1298*ConvFactors!#REF!</f>
        <v>#REF!</v>
      </c>
      <c r="N1305" s="49" t="e">
        <f>+N$1298*ConvFactors!#REF!</f>
        <v>#REF!</v>
      </c>
      <c r="O1305" s="89"/>
      <c r="R1305" s="50">
        <v>2825.8292379471227</v>
      </c>
      <c r="S1305" s="50">
        <v>2825.8292379471227</v>
      </c>
      <c r="T1305" s="50">
        <v>2825.8292379471227</v>
      </c>
      <c r="U1305" s="50">
        <v>2825.8292379471227</v>
      </c>
      <c r="V1305" s="50">
        <v>2825.8292379471227</v>
      </c>
      <c r="W1305" s="50">
        <v>2825.8292379471227</v>
      </c>
      <c r="X1305" s="50">
        <v>2825.8292379471227</v>
      </c>
      <c r="Y1305" s="50">
        <v>2825.8292379471227</v>
      </c>
      <c r="Z1305" s="50">
        <v>2825.8292379471227</v>
      </c>
      <c r="AA1305" s="50">
        <v>2825.8292379471227</v>
      </c>
      <c r="AB1305" s="50">
        <v>2825.8292379471227</v>
      </c>
      <c r="AC1305" s="50">
        <v>2825.8292379471227</v>
      </c>
    </row>
    <row r="1306" spans="1:30" ht="25.5" customHeight="1" x14ac:dyDescent="0.2">
      <c r="B1306" s="96" t="e">
        <f>+HLOOKUP(Lan,Language!$D$3:$I$211,37)&amp;" "&amp;HLOOKUP(Lan,Language!$D$3:$I$211,53)&amp;", "&amp;HLOOKUP(Lan,Language!$D$3:$I$211,30)&amp;", "&amp;HLOOKUP(Lan,Language!$D$3:$I$211,82)&amp;" "&amp;HLOOKUP(Lan,Language!$D$3:$I$211,71)</f>
        <v>#N/A</v>
      </c>
      <c r="C1306" s="37" t="s">
        <v>128</v>
      </c>
      <c r="D1306" s="44" t="s">
        <v>43</v>
      </c>
      <c r="E1306" s="415"/>
      <c r="F1306" s="415"/>
      <c r="G1306" s="415"/>
      <c r="H1306" s="415"/>
      <c r="I1306" s="169" t="s">
        <v>125</v>
      </c>
      <c r="J1306" s="138" t="e">
        <f>+J$1288*ConvFactors!#REF!</f>
        <v>#REF!</v>
      </c>
      <c r="K1306" s="71" t="e">
        <f>+K$1288*ConvFactors!#REF!</f>
        <v>#REF!</v>
      </c>
      <c r="L1306" s="50" t="e">
        <f>+L$1288*ConvFactors!#REF!</f>
        <v>#REF!</v>
      </c>
      <c r="M1306" s="50" t="e">
        <f>+M$1288*ConvFactors!#REF!</f>
        <v>#REF!</v>
      </c>
      <c r="N1306" s="49" t="e">
        <f>+N$1288*ConvFactors!#REF!</f>
        <v>#REF!</v>
      </c>
      <c r="O1306" s="89"/>
      <c r="R1306" s="50">
        <v>1962.0000000000002</v>
      </c>
      <c r="S1306" s="50">
        <v>1962.0000000000002</v>
      </c>
      <c r="T1306" s="50">
        <v>1962.0000000000002</v>
      </c>
      <c r="U1306" s="50">
        <v>1962.0000000000002</v>
      </c>
      <c r="V1306" s="50">
        <v>1962.0000000000002</v>
      </c>
      <c r="W1306" s="50">
        <v>1962.0000000000002</v>
      </c>
      <c r="X1306" s="50">
        <v>1962.0000000000002</v>
      </c>
      <c r="Y1306" s="50">
        <v>1962.0000000000002</v>
      </c>
      <c r="Z1306" s="50">
        <v>1962.0000000000002</v>
      </c>
      <c r="AA1306" s="50">
        <v>1962.0000000000002</v>
      </c>
      <c r="AB1306" s="50">
        <v>1962.0000000000002</v>
      </c>
      <c r="AC1306" s="50">
        <v>1962.0000000000002</v>
      </c>
    </row>
    <row r="1307" spans="1:30" x14ac:dyDescent="0.2">
      <c r="B1307" s="96" t="e">
        <f>+HLOOKUP(Lan,Language!$D$3:$I$211,37)&amp;" "&amp;HLOOKUP(Lan,Language!$D$3:$I$211,53)&amp;", "&amp;HLOOKUP(Lan,Language!$D$3:$I$211,31)&amp;", "&amp;HLOOKUP(Lan,Language!$D$3:$I$211,82)&amp;" "&amp;HLOOKUP(Lan,Language!$D$3:$I$211,71)</f>
        <v>#N/A</v>
      </c>
      <c r="C1307" s="37" t="s">
        <v>129</v>
      </c>
      <c r="D1307" s="44" t="s">
        <v>43</v>
      </c>
      <c r="E1307" s="415"/>
      <c r="F1307" s="415"/>
      <c r="G1307" s="415"/>
      <c r="H1307" s="415"/>
      <c r="I1307" s="169" t="s">
        <v>125</v>
      </c>
      <c r="J1307" s="138" t="e">
        <f>+J$1289*ConvFactors!#REF!</f>
        <v>#REF!</v>
      </c>
      <c r="K1307" s="71" t="e">
        <f>+K$1289*ConvFactors!#REF!</f>
        <v>#REF!</v>
      </c>
      <c r="L1307" s="50" t="e">
        <f>+L$1289*ConvFactors!#REF!</f>
        <v>#REF!</v>
      </c>
      <c r="M1307" s="50" t="e">
        <f>+M$1289*ConvFactors!#REF!</f>
        <v>#REF!</v>
      </c>
      <c r="N1307" s="49" t="e">
        <f>+N$1289*ConvFactors!#REF!</f>
        <v>#REF!</v>
      </c>
      <c r="O1307" s="89"/>
      <c r="R1307" s="50">
        <v>218.00000000000003</v>
      </c>
      <c r="S1307" s="50">
        <v>218.00000000000003</v>
      </c>
      <c r="T1307" s="50">
        <v>218.00000000000003</v>
      </c>
      <c r="U1307" s="50">
        <v>218.00000000000003</v>
      </c>
      <c r="V1307" s="50">
        <v>218.00000000000003</v>
      </c>
      <c r="W1307" s="50">
        <v>218.00000000000003</v>
      </c>
      <c r="X1307" s="50">
        <v>218.00000000000003</v>
      </c>
      <c r="Y1307" s="50">
        <v>218.00000000000003</v>
      </c>
      <c r="Z1307" s="50">
        <v>218.00000000000003</v>
      </c>
      <c r="AA1307" s="50">
        <v>218.00000000000003</v>
      </c>
      <c r="AB1307" s="50">
        <v>218.00000000000003</v>
      </c>
      <c r="AC1307" s="50">
        <v>218.00000000000003</v>
      </c>
    </row>
    <row r="1308" spans="1:30" x14ac:dyDescent="0.2">
      <c r="B1308" s="96" t="e">
        <f>+HLOOKUP(Lan,Language!$D$3:$I$211,28)&amp;" "&amp;HLOOKUP(Lan,Language!$D$3:$I$211,54)&amp;" "&amp;HLOOKUP(Lan,Language!$D$3:$I$211,52)&amp;", "&amp;HLOOKUP(Lan,Language!$D$3:$I$211,33)&amp;", "&amp;HLOOKUP(Lan,Language!$D$3:$I$211,82)&amp;" "&amp;HLOOKUP(Lan,Language!$D$3:$I$211,71)</f>
        <v>#N/A</v>
      </c>
      <c r="C1308" s="37" t="s">
        <v>130</v>
      </c>
      <c r="D1308" s="44" t="s">
        <v>44</v>
      </c>
      <c r="E1308" s="415"/>
      <c r="F1308" s="415"/>
      <c r="G1308" s="415"/>
      <c r="H1308" s="415"/>
      <c r="I1308" s="169" t="s">
        <v>125</v>
      </c>
      <c r="J1308" s="138" t="e">
        <f>+J$1292*ConvFactors!#REF!</f>
        <v>#REF!</v>
      </c>
      <c r="K1308" s="71" t="e">
        <f>+K$1292*ConvFactors!#REF!</f>
        <v>#REF!</v>
      </c>
      <c r="L1308" s="50" t="e">
        <f>+L$1292*ConvFactors!#REF!</f>
        <v>#REF!</v>
      </c>
      <c r="M1308" s="50" t="e">
        <f>+M$1292*ConvFactors!#REF!</f>
        <v>#REF!</v>
      </c>
      <c r="N1308" s="49" t="e">
        <f>+N$1292*ConvFactors!#REF!</f>
        <v>#REF!</v>
      </c>
      <c r="O1308" s="89"/>
      <c r="R1308" s="50">
        <v>0</v>
      </c>
      <c r="S1308" s="50">
        <v>0</v>
      </c>
      <c r="T1308" s="50">
        <v>0</v>
      </c>
      <c r="U1308" s="50">
        <v>0</v>
      </c>
      <c r="V1308" s="50">
        <v>0</v>
      </c>
      <c r="W1308" s="50">
        <v>0</v>
      </c>
      <c r="X1308" s="50">
        <v>0</v>
      </c>
      <c r="Y1308" s="50">
        <v>0</v>
      </c>
      <c r="Z1308" s="50">
        <v>0</v>
      </c>
      <c r="AA1308" s="50">
        <v>0</v>
      </c>
      <c r="AB1308" s="50">
        <v>0</v>
      </c>
      <c r="AC1308" s="50">
        <v>0</v>
      </c>
    </row>
    <row r="1309" spans="1:30" x14ac:dyDescent="0.2">
      <c r="A1309" s="39"/>
      <c r="B1309" s="96" t="e">
        <f>+HLOOKUP(Lan,Language!$D$3:$I$211,83)&amp;" "&amp;HLOOKUP(Lan,Language!$D$3:$I$211,21)&amp;" "&amp;HLOOKUP(Lan,Language!$D$3:$I$211,53)&amp;", "&amp;HLOOKUP(Lan,Language!$D$3:$I$211,19)&amp;", "&amp;HLOOKUP(Lan,Language!$D$3:$I$211,20)&amp;", "&amp;HLOOKUP(Lan,Language!$D$3:$I$211,82)&amp;" "&amp;HLOOKUP(Lan,Language!$D$3:$I$211,71)</f>
        <v>#N/A</v>
      </c>
      <c r="C1309" s="38" t="s">
        <v>131</v>
      </c>
      <c r="D1309" s="44" t="s">
        <v>43</v>
      </c>
      <c r="E1309" s="415"/>
      <c r="F1309" s="415"/>
      <c r="G1309" s="415"/>
      <c r="H1309" s="415"/>
      <c r="I1309" s="169" t="s">
        <v>125</v>
      </c>
      <c r="J1309" s="138" t="e">
        <f>+J$1294*ConvFactors!#REF!</f>
        <v>#REF!</v>
      </c>
      <c r="K1309" s="71" t="e">
        <f>+K$1294*ConvFactors!#REF!</f>
        <v>#REF!</v>
      </c>
      <c r="L1309" s="50" t="e">
        <f>+L$1294*ConvFactors!#REF!</f>
        <v>#REF!</v>
      </c>
      <c r="M1309" s="50" t="e">
        <f>+M$1294*ConvFactors!#REF!</f>
        <v>#REF!</v>
      </c>
      <c r="N1309" s="49" t="e">
        <f>+N$1294*ConvFactors!#REF!</f>
        <v>#REF!</v>
      </c>
      <c r="O1309" s="89"/>
      <c r="R1309" s="50">
        <v>4068.4292379471235</v>
      </c>
      <c r="S1309" s="50">
        <v>4068.4292379471235</v>
      </c>
      <c r="T1309" s="50">
        <v>4068.4292379471235</v>
      </c>
      <c r="U1309" s="50">
        <v>4068.4292379471235</v>
      </c>
      <c r="V1309" s="50">
        <v>4068.4292379471235</v>
      </c>
      <c r="W1309" s="50">
        <v>4068.4292379471235</v>
      </c>
      <c r="X1309" s="50">
        <v>4068.4292379471235</v>
      </c>
      <c r="Y1309" s="50">
        <v>4068.4292379471235</v>
      </c>
      <c r="Z1309" s="50">
        <v>4068.4292379471235</v>
      </c>
      <c r="AA1309" s="50">
        <v>4068.4292379471235</v>
      </c>
      <c r="AB1309" s="50">
        <v>4068.4292379471235</v>
      </c>
      <c r="AC1309" s="50">
        <v>4068.4292379471235</v>
      </c>
    </row>
    <row r="1310" spans="1:30" ht="13.5" thickBot="1" x14ac:dyDescent="0.25">
      <c r="A1310" s="39"/>
      <c r="B1310" s="96" t="e">
        <f>+HLOOKUP(Lan,Language!$D$3:$I$211,45)&amp;", "&amp;HLOOKUP(Lan,Language!$D$3:$I$211,71)</f>
        <v>#N/A</v>
      </c>
      <c r="C1310" s="37" t="s">
        <v>132</v>
      </c>
      <c r="D1310" s="161" t="s">
        <v>61</v>
      </c>
      <c r="E1310" s="418"/>
      <c r="F1310" s="418"/>
      <c r="G1310" s="418"/>
      <c r="H1310" s="418"/>
      <c r="I1310" s="170" t="s">
        <v>125</v>
      </c>
      <c r="J1310" s="139" t="e">
        <f>+J1303+J1304+J1305-J1306-J1307-J1308-J1309</f>
        <v>#REF!</v>
      </c>
      <c r="K1310" s="71" t="e">
        <f>+K1303+K1304+K1305-K1306-K1307-K1308-K1309</f>
        <v>#VALUE!</v>
      </c>
      <c r="L1310" s="50" t="e">
        <f>+L1303+L1304+L1305-L1306-L1307-L1308-L1309</f>
        <v>#REF!</v>
      </c>
      <c r="M1310" s="50" t="e">
        <f>+M1303+M1304+M1305-M1306-M1307-M1308-M1309</f>
        <v>#REF!</v>
      </c>
      <c r="N1310" s="49" t="e">
        <f>+N1303+N1304+N1305-N1306-N1307-N1308-N1309</f>
        <v>#REF!</v>
      </c>
      <c r="O1310" s="90"/>
      <c r="R1310" s="50">
        <v>24077.4</v>
      </c>
      <c r="S1310" s="50">
        <v>24077.4</v>
      </c>
      <c r="T1310" s="50">
        <v>24077.4</v>
      </c>
      <c r="U1310" s="50">
        <v>24077.4</v>
      </c>
      <c r="V1310" s="50">
        <v>24077.4</v>
      </c>
      <c r="W1310" s="50">
        <v>24077.4</v>
      </c>
      <c r="X1310" s="50">
        <v>24077.4</v>
      </c>
      <c r="Y1310" s="50">
        <v>24077.4</v>
      </c>
      <c r="Z1310" s="50">
        <v>24077.4</v>
      </c>
      <c r="AA1310" s="50">
        <v>24077.4</v>
      </c>
      <c r="AB1310" s="50">
        <v>24077.4</v>
      </c>
      <c r="AC1310" s="50">
        <v>24077.4</v>
      </c>
    </row>
    <row r="1311" spans="1:30" x14ac:dyDescent="0.2">
      <c r="A1311" s="39"/>
      <c r="B1311" s="102"/>
      <c r="C1311" s="103"/>
      <c r="D1311" s="171"/>
      <c r="E1311" s="422"/>
      <c r="F1311" s="422"/>
      <c r="G1311" s="422"/>
      <c r="H1311" s="422"/>
      <c r="I1311" s="172"/>
      <c r="J1311" s="141"/>
      <c r="K1311" s="75"/>
      <c r="L1311" s="57"/>
      <c r="M1311" s="57"/>
      <c r="N1311" s="76"/>
      <c r="O1311" s="92"/>
      <c r="R1311" s="57"/>
      <c r="S1311" s="57"/>
      <c r="T1311" s="57"/>
      <c r="U1311" s="57"/>
      <c r="V1311" s="57"/>
      <c r="W1311" s="57"/>
      <c r="X1311" s="57"/>
      <c r="Y1311" s="57"/>
      <c r="Z1311" s="57"/>
      <c r="AA1311" s="57"/>
      <c r="AB1311" s="57"/>
      <c r="AC1311" s="57"/>
    </row>
    <row r="1312" spans="1:30" x14ac:dyDescent="0.2">
      <c r="A1312" s="39"/>
      <c r="B1312" s="102"/>
      <c r="C1312" s="103"/>
      <c r="D1312" s="171"/>
      <c r="E1312" s="422"/>
      <c r="F1312" s="422"/>
      <c r="G1312" s="422"/>
      <c r="H1312" s="422"/>
      <c r="I1312" s="172"/>
      <c r="J1312" s="141"/>
      <c r="K1312" s="75"/>
      <c r="L1312" s="57"/>
      <c r="M1312" s="57"/>
      <c r="N1312" s="76"/>
      <c r="O1312" s="92"/>
      <c r="R1312" s="57"/>
      <c r="S1312" s="57"/>
      <c r="T1312" s="57"/>
      <c r="U1312" s="57"/>
      <c r="V1312" s="57"/>
      <c r="W1312" s="57"/>
      <c r="X1312" s="57"/>
      <c r="Y1312" s="57"/>
      <c r="Z1312" s="57"/>
      <c r="AA1312" s="57"/>
      <c r="AB1312" s="57"/>
      <c r="AC1312" s="57"/>
    </row>
    <row r="1313" spans="1:29" x14ac:dyDescent="0.2">
      <c r="A1313" s="39"/>
      <c r="B1313" s="102"/>
      <c r="C1313" s="103"/>
      <c r="D1313" s="171"/>
      <c r="E1313" s="422"/>
      <c r="F1313" s="422"/>
      <c r="G1313" s="422"/>
      <c r="H1313" s="422"/>
      <c r="I1313" s="172"/>
      <c r="J1313" s="141"/>
      <c r="K1313" s="75"/>
      <c r="L1313" s="57"/>
      <c r="M1313" s="57"/>
      <c r="N1313" s="76"/>
      <c r="O1313" s="92"/>
      <c r="R1313" s="57"/>
      <c r="S1313" s="57"/>
      <c r="T1313" s="57"/>
      <c r="U1313" s="57"/>
      <c r="V1313" s="57"/>
      <c r="W1313" s="57"/>
      <c r="X1313" s="57"/>
      <c r="Y1313" s="57"/>
      <c r="Z1313" s="57"/>
      <c r="AA1313" s="57"/>
      <c r="AB1313" s="57"/>
      <c r="AC1313" s="57"/>
    </row>
    <row r="1314" spans="1:29" x14ac:dyDescent="0.2">
      <c r="A1314" s="39"/>
      <c r="B1314" s="102"/>
      <c r="C1314" s="103"/>
      <c r="D1314" s="171"/>
      <c r="E1314" s="422"/>
      <c r="F1314" s="422"/>
      <c r="G1314" s="422"/>
      <c r="H1314" s="422"/>
      <c r="I1314" s="166"/>
      <c r="J1314" s="144"/>
      <c r="K1314" s="73"/>
      <c r="L1314" s="56"/>
      <c r="M1314" s="56"/>
      <c r="N1314" s="74"/>
      <c r="O1314" s="92"/>
      <c r="R1314" s="56"/>
      <c r="S1314" s="56"/>
      <c r="T1314" s="56"/>
      <c r="U1314" s="56"/>
      <c r="V1314" s="56"/>
      <c r="W1314" s="56"/>
      <c r="X1314" s="56"/>
      <c r="Y1314" s="56"/>
      <c r="Z1314" s="56"/>
      <c r="AA1314" s="56"/>
      <c r="AB1314" s="56"/>
      <c r="AC1314" s="56"/>
    </row>
    <row r="1315" spans="1:29" ht="13.5" thickBot="1" x14ac:dyDescent="0.25">
      <c r="B1315" s="95" t="e">
        <f>+HLOOKUP(Lan,Language!$D$3:$I$211,72)</f>
        <v>#N/A</v>
      </c>
      <c r="C1315" s="25"/>
      <c r="D1315" s="167"/>
      <c r="E1315" s="421"/>
      <c r="F1315" s="421"/>
      <c r="G1315" s="421"/>
      <c r="H1315" s="421"/>
      <c r="I1315" s="168"/>
      <c r="J1315" s="145"/>
      <c r="K1315" s="80"/>
      <c r="L1315" s="53"/>
      <c r="M1315" s="53"/>
      <c r="N1315" s="78"/>
      <c r="O1315" s="90"/>
      <c r="R1315" s="53"/>
      <c r="S1315" s="53"/>
      <c r="T1315" s="53"/>
      <c r="U1315" s="53"/>
      <c r="V1315" s="53"/>
      <c r="W1315" s="53"/>
      <c r="X1315" s="53"/>
      <c r="Y1315" s="53"/>
      <c r="Z1315" s="53"/>
      <c r="AA1315" s="53"/>
      <c r="AB1315" s="53"/>
      <c r="AC1315" s="53"/>
    </row>
    <row r="1316" spans="1:29" x14ac:dyDescent="0.2">
      <c r="B1316" s="36" t="e">
        <f>+HLOOKUP(Lan,Language!$D$3:$I$211,41)&amp;" "&amp;HLOOKUP(Lan,Language!$D$3:$I$211,22)&amp;", "&amp;HLOOKUP(Lan,Language!$D$3:$I$211,82)&amp;" "&amp;HLOOKUP(Lan,Language!$D$3:$I$211,71)&amp;", "&amp;HLOOKUP(Lan,Language!$D$3:$I$211,23)</f>
        <v>#N/A</v>
      </c>
      <c r="C1316" s="37" t="s">
        <v>133</v>
      </c>
      <c r="D1316" s="173" t="str">
        <f>+$D$1250</f>
        <v>gas</v>
      </c>
      <c r="E1316" s="423"/>
      <c r="F1316" s="423"/>
      <c r="G1316" s="423"/>
      <c r="H1316" s="423"/>
      <c r="I1316" s="174" t="s">
        <v>134</v>
      </c>
      <c r="J1316" s="143" t="e">
        <f>+J$1296*VLOOKUP($D1316,ConvFactors!#REF!,3)</f>
        <v>#REF!</v>
      </c>
      <c r="K1316" s="72" t="e">
        <f>+K$1296*VLOOKUP($D1316,ConvFactors!#REF!,4)</f>
        <v>#REF!</v>
      </c>
      <c r="L1316" s="51" t="e">
        <f>+L$1296*VLOOKUP($D1316,ConvFactors!#REF!,5)</f>
        <v>#REF!</v>
      </c>
      <c r="M1316" s="51" t="e">
        <f>+M$1296*VLOOKUP($D1316,ConvFactors!#REF!,6)</f>
        <v>#REF!</v>
      </c>
      <c r="N1316" s="54" t="e">
        <f>+N$1296*VLOOKUP($D1316,ConvFactors!#REF!,7)</f>
        <v>#REF!</v>
      </c>
      <c r="O1316" s="90"/>
      <c r="R1316" s="51">
        <v>0</v>
      </c>
      <c r="S1316" s="51">
        <v>0</v>
      </c>
      <c r="T1316" s="51">
        <v>0</v>
      </c>
      <c r="U1316" s="51">
        <v>0</v>
      </c>
      <c r="V1316" s="51">
        <v>0</v>
      </c>
      <c r="W1316" s="51">
        <v>0</v>
      </c>
      <c r="X1316" s="51">
        <v>0</v>
      </c>
      <c r="Y1316" s="51">
        <v>0</v>
      </c>
      <c r="Z1316" s="51">
        <v>0</v>
      </c>
      <c r="AA1316" s="51">
        <v>0</v>
      </c>
      <c r="AB1316" s="51">
        <v>0</v>
      </c>
      <c r="AC1316" s="51">
        <v>0</v>
      </c>
    </row>
    <row r="1317" spans="1:29" x14ac:dyDescent="0.2">
      <c r="B1317" s="36" t="e">
        <f>+HLOOKUP(Lan,Language!$D$3:$I$211,41)&amp;" "&amp;HLOOKUP(Lan,Language!$D$3:$I$211,22)&amp;", "&amp;HLOOKUP(Lan,Language!$D$3:$I$211,82)&amp;" "&amp;HLOOKUP(Lan,Language!$D$3:$I$211,72)&amp;", "&amp;HLOOKUP(Lan,Language!$D$3:$I$211,23)</f>
        <v>#N/A</v>
      </c>
      <c r="C1317" s="37" t="s">
        <v>135</v>
      </c>
      <c r="D1317" s="153" t="str">
        <f>+$D$1251</f>
        <v>wood</v>
      </c>
      <c r="E1317" s="414"/>
      <c r="F1317" s="414"/>
      <c r="G1317" s="414"/>
      <c r="H1317" s="414"/>
      <c r="I1317" s="169" t="s">
        <v>134</v>
      </c>
      <c r="J1317" s="138" t="e">
        <f>+J$1297*VLOOKUP($D1317,ConvFactors!#REF!,3)</f>
        <v>#REF!</v>
      </c>
      <c r="K1317" s="72" t="e">
        <f>+K$1297*VLOOKUP($D1317,ConvFactors!#REF!,4)</f>
        <v>#REF!</v>
      </c>
      <c r="L1317" s="51" t="e">
        <f>+L$1297*VLOOKUP($D1317,ConvFactors!#REF!,5)</f>
        <v>#REF!</v>
      </c>
      <c r="M1317" s="51" t="e">
        <f>+M$1297*VLOOKUP($D1317,ConvFactors!#REF!,6)</f>
        <v>#REF!</v>
      </c>
      <c r="N1317" s="54" t="e">
        <f>+N$1297*VLOOKUP($D1317,ConvFactors!#REF!,7)</f>
        <v>#REF!</v>
      </c>
      <c r="O1317" s="85"/>
      <c r="R1317" s="51">
        <v>0</v>
      </c>
      <c r="S1317" s="51">
        <v>0</v>
      </c>
      <c r="T1317" s="51">
        <v>0</v>
      </c>
      <c r="U1317" s="51">
        <v>0</v>
      </c>
      <c r="V1317" s="51">
        <v>0</v>
      </c>
      <c r="W1317" s="51">
        <v>0</v>
      </c>
      <c r="X1317" s="51">
        <v>0</v>
      </c>
      <c r="Y1317" s="51">
        <v>0</v>
      </c>
      <c r="Z1317" s="51">
        <v>0</v>
      </c>
      <c r="AA1317" s="51">
        <v>0</v>
      </c>
      <c r="AB1317" s="51">
        <v>0</v>
      </c>
      <c r="AC1317" s="51">
        <v>0</v>
      </c>
    </row>
    <row r="1318" spans="1:29" x14ac:dyDescent="0.2">
      <c r="B1318" s="36" t="e">
        <f>+HLOOKUP(Lan,Language!$D$3:$I$211,41)&amp;" "&amp;HLOOKUP(Lan,Language!$D$3:$I$211,22)&amp;", "&amp;HLOOKUP(Lan,Language!$D$3:$I$211,82)&amp;" "&amp;HLOOKUP(Lan,Language!$D$3:$I$211,72)&amp;", "&amp;HLOOKUP(Lan,Language!$D$3:$I$211,23)</f>
        <v>#N/A</v>
      </c>
      <c r="C1318" s="37" t="s">
        <v>136</v>
      </c>
      <c r="D1318" s="44" t="s">
        <v>43</v>
      </c>
      <c r="E1318" s="415"/>
      <c r="F1318" s="415"/>
      <c r="G1318" s="415"/>
      <c r="H1318" s="415"/>
      <c r="I1318" s="169" t="s">
        <v>134</v>
      </c>
      <c r="J1318" s="138" t="e">
        <f>+J$1298*ConvFactors!#REF!</f>
        <v>#REF!</v>
      </c>
      <c r="K1318" s="71" t="e">
        <f>+K$1298*ConvFactors!#REF!</f>
        <v>#REF!</v>
      </c>
      <c r="L1318" s="50" t="e">
        <f>+L$1298*ConvFactors!#REF!</f>
        <v>#REF!</v>
      </c>
      <c r="M1318" s="50" t="e">
        <f>+M$1298*ConvFactors!#REF!</f>
        <v>#REF!</v>
      </c>
      <c r="N1318" s="49" t="e">
        <f>+N$1298*ConvFactors!#REF!</f>
        <v>#REF!</v>
      </c>
      <c r="O1318" s="85"/>
      <c r="R1318" s="50">
        <v>0</v>
      </c>
      <c r="S1318" s="50">
        <v>0</v>
      </c>
      <c r="T1318" s="50">
        <v>0</v>
      </c>
      <c r="U1318" s="50">
        <v>0</v>
      </c>
      <c r="V1318" s="50">
        <v>0</v>
      </c>
      <c r="W1318" s="50">
        <v>0</v>
      </c>
      <c r="X1318" s="50">
        <v>0</v>
      </c>
      <c r="Y1318" s="50">
        <v>0</v>
      </c>
      <c r="Z1318" s="50">
        <v>0</v>
      </c>
      <c r="AA1318" s="50">
        <v>0</v>
      </c>
      <c r="AB1318" s="50">
        <v>0</v>
      </c>
      <c r="AC1318" s="50">
        <v>0</v>
      </c>
    </row>
    <row r="1319" spans="1:29" x14ac:dyDescent="0.2">
      <c r="B1319" s="96" t="e">
        <f>+HLOOKUP(Lan,Language!$D$3:$I$211,37)&amp;" "&amp;HLOOKUP(Lan,Language!$D$3:$I$211,53)&amp;", "&amp;HLOOKUP(Lan,Language!$D$3:$I$211,30)&amp;", "&amp;HLOOKUP(Lan,Language!$D$3:$I$211,82)&amp;" "&amp;HLOOKUP(Lan,Language!$D$3:$I$211,72)</f>
        <v>#N/A</v>
      </c>
      <c r="C1319" s="37" t="s">
        <v>137</v>
      </c>
      <c r="D1319" s="44" t="s">
        <v>43</v>
      </c>
      <c r="E1319" s="415"/>
      <c r="F1319" s="415"/>
      <c r="G1319" s="415"/>
      <c r="H1319" s="415"/>
      <c r="I1319" s="169" t="s">
        <v>134</v>
      </c>
      <c r="J1319" s="138" t="e">
        <f>+J$1288*ConvFactors!#REF!</f>
        <v>#REF!</v>
      </c>
      <c r="K1319" s="71" t="e">
        <f>+K$1288*ConvFactors!#REF!</f>
        <v>#REF!</v>
      </c>
      <c r="L1319" s="50" t="e">
        <f>+L$1288*ConvFactors!#REF!</f>
        <v>#REF!</v>
      </c>
      <c r="M1319" s="50" t="e">
        <f>+M$1288*ConvFactors!#REF!</f>
        <v>#REF!</v>
      </c>
      <c r="N1319" s="49" t="e">
        <f>+N$1288*ConvFactors!#REF!</f>
        <v>#REF!</v>
      </c>
      <c r="O1319" s="85"/>
      <c r="R1319" s="50">
        <v>0</v>
      </c>
      <c r="S1319" s="50">
        <v>0</v>
      </c>
      <c r="T1319" s="50">
        <v>0</v>
      </c>
      <c r="U1319" s="50">
        <v>0</v>
      </c>
      <c r="V1319" s="50">
        <v>0</v>
      </c>
      <c r="W1319" s="50">
        <v>0</v>
      </c>
      <c r="X1319" s="50">
        <v>0</v>
      </c>
      <c r="Y1319" s="50">
        <v>0</v>
      </c>
      <c r="Z1319" s="50">
        <v>0</v>
      </c>
      <c r="AA1319" s="50">
        <v>0</v>
      </c>
      <c r="AB1319" s="50">
        <v>0</v>
      </c>
      <c r="AC1319" s="50">
        <v>0</v>
      </c>
    </row>
    <row r="1320" spans="1:29" x14ac:dyDescent="0.2">
      <c r="B1320" s="96" t="e">
        <f>+HLOOKUP(Lan,Language!$D$3:$I$211,37)&amp;" "&amp;HLOOKUP(Lan,Language!$D$3:$I$211,53)&amp;", "&amp;HLOOKUP(Lan,Language!$D$3:$I$211,31)&amp;", "&amp;HLOOKUP(Lan,Language!$D$3:$I$211,82)&amp;" "&amp;HLOOKUP(Lan,Language!$D$3:$I$211,72)</f>
        <v>#N/A</v>
      </c>
      <c r="C1320" s="37" t="s">
        <v>138</v>
      </c>
      <c r="D1320" s="44" t="s">
        <v>43</v>
      </c>
      <c r="E1320" s="415"/>
      <c r="F1320" s="415"/>
      <c r="G1320" s="415"/>
      <c r="H1320" s="415"/>
      <c r="I1320" s="169" t="s">
        <v>134</v>
      </c>
      <c r="J1320" s="138" t="e">
        <f>+J$1289*ConvFactors!#REF!</f>
        <v>#REF!</v>
      </c>
      <c r="K1320" s="71" t="e">
        <f>+K$1289*ConvFactors!#REF!</f>
        <v>#REF!</v>
      </c>
      <c r="L1320" s="50" t="e">
        <f>+L$1289*ConvFactors!#REF!</f>
        <v>#REF!</v>
      </c>
      <c r="M1320" s="50" t="e">
        <f>+M$1289*ConvFactors!#REF!</f>
        <v>#REF!</v>
      </c>
      <c r="N1320" s="49" t="e">
        <f>+N$1289*ConvFactors!#REF!</f>
        <v>#REF!</v>
      </c>
      <c r="O1320" s="85"/>
      <c r="R1320" s="50">
        <v>0</v>
      </c>
      <c r="S1320" s="50">
        <v>0</v>
      </c>
      <c r="T1320" s="50">
        <v>0</v>
      </c>
      <c r="U1320" s="50">
        <v>0</v>
      </c>
      <c r="V1320" s="50">
        <v>0</v>
      </c>
      <c r="W1320" s="50">
        <v>0</v>
      </c>
      <c r="X1320" s="50">
        <v>0</v>
      </c>
      <c r="Y1320" s="50">
        <v>0</v>
      </c>
      <c r="Z1320" s="50">
        <v>0</v>
      </c>
      <c r="AA1320" s="50">
        <v>0</v>
      </c>
      <c r="AB1320" s="50">
        <v>0</v>
      </c>
      <c r="AC1320" s="50">
        <v>0</v>
      </c>
    </row>
    <row r="1321" spans="1:29" x14ac:dyDescent="0.2">
      <c r="B1321" s="96" t="e">
        <f>+HLOOKUP(Lan,Language!$D$3:$I$211,28)&amp;" "&amp;HLOOKUP(Lan,Language!$D$3:$I$211,53)&amp;", "&amp;HLOOKUP(Lan,Language!$D$3:$I$211,33)&amp;", "&amp;HLOOKUP(Lan,Language!$D$3:$I$211,82)&amp;" "&amp;HLOOKUP(Lan,Language!$D$3:$I$211,72)</f>
        <v>#N/A</v>
      </c>
      <c r="C1321" s="37" t="s">
        <v>139</v>
      </c>
      <c r="D1321" s="44" t="s">
        <v>44</v>
      </c>
      <c r="E1321" s="415"/>
      <c r="F1321" s="415"/>
      <c r="G1321" s="415"/>
      <c r="H1321" s="415"/>
      <c r="I1321" s="169" t="s">
        <v>134</v>
      </c>
      <c r="J1321" s="138" t="e">
        <f>+J$1292*ConvFactors!#REF!</f>
        <v>#REF!</v>
      </c>
      <c r="K1321" s="71" t="e">
        <f>+K$1292*ConvFactors!#REF!</f>
        <v>#REF!</v>
      </c>
      <c r="L1321" s="50" t="e">
        <f>+L$1292*ConvFactors!#REF!</f>
        <v>#REF!</v>
      </c>
      <c r="M1321" s="50" t="e">
        <f>+M$1292*ConvFactors!#REF!</f>
        <v>#REF!</v>
      </c>
      <c r="N1321" s="49" t="e">
        <f>+N$1292*ConvFactors!#REF!</f>
        <v>#REF!</v>
      </c>
      <c r="O1321" s="85"/>
      <c r="R1321" s="50">
        <v>0</v>
      </c>
      <c r="S1321" s="50">
        <v>0</v>
      </c>
      <c r="T1321" s="50">
        <v>0</v>
      </c>
      <c r="U1321" s="50">
        <v>0</v>
      </c>
      <c r="V1321" s="50">
        <v>0</v>
      </c>
      <c r="W1321" s="50">
        <v>0</v>
      </c>
      <c r="X1321" s="50">
        <v>0</v>
      </c>
      <c r="Y1321" s="50">
        <v>0</v>
      </c>
      <c r="Z1321" s="50">
        <v>0</v>
      </c>
      <c r="AA1321" s="50">
        <v>0</v>
      </c>
      <c r="AB1321" s="50">
        <v>0</v>
      </c>
      <c r="AC1321" s="50">
        <v>0</v>
      </c>
    </row>
    <row r="1322" spans="1:29" x14ac:dyDescent="0.2">
      <c r="B1322" s="96" t="e">
        <f>+HLOOKUP(Lan,Language!$D$3:$I$211,83)&amp;" "&amp;HLOOKUP(Lan,Language!$D$3:$I$211,21)&amp;" "&amp;HLOOKUP(Lan,Language!$D$3:$I$211,53)&amp;", "&amp;HLOOKUP(Lan,Language!$D$3:$I$211,19)&amp;", "&amp;HLOOKUP(Lan,Language!$D$3:$I$211,20)&amp;", "&amp;HLOOKUP(Lan,Language!$D$3:$I$211,82)&amp;" "&amp;HLOOKUP(Lan,Language!$D$3:$I$211,72)</f>
        <v>#N/A</v>
      </c>
      <c r="C1322" s="38" t="s">
        <v>140</v>
      </c>
      <c r="D1322" s="44" t="s">
        <v>43</v>
      </c>
      <c r="E1322" s="415"/>
      <c r="F1322" s="415"/>
      <c r="G1322" s="415"/>
      <c r="H1322" s="415"/>
      <c r="I1322" s="169" t="s">
        <v>134</v>
      </c>
      <c r="J1322" s="138" t="e">
        <f>+J$1294*ConvFactors!#REF!</f>
        <v>#REF!</v>
      </c>
      <c r="K1322" s="71" t="e">
        <f>+K$1294*ConvFactors!#REF!</f>
        <v>#REF!</v>
      </c>
      <c r="L1322" s="50" t="e">
        <f>+L$1294*ConvFactors!#REF!</f>
        <v>#REF!</v>
      </c>
      <c r="M1322" s="50" t="e">
        <f>+M$1294*ConvFactors!#REF!</f>
        <v>#REF!</v>
      </c>
      <c r="N1322" s="49" t="e">
        <f>+N$1294*ConvFactors!#REF!</f>
        <v>#REF!</v>
      </c>
      <c r="O1322" s="85"/>
      <c r="R1322" s="50">
        <v>0</v>
      </c>
      <c r="S1322" s="50">
        <v>0</v>
      </c>
      <c r="T1322" s="50">
        <v>0</v>
      </c>
      <c r="U1322" s="50">
        <v>0</v>
      </c>
      <c r="V1322" s="50">
        <v>0</v>
      </c>
      <c r="W1322" s="50">
        <v>0</v>
      </c>
      <c r="X1322" s="50">
        <v>0</v>
      </c>
      <c r="Y1322" s="50">
        <v>0</v>
      </c>
      <c r="Z1322" s="50">
        <v>0</v>
      </c>
      <c r="AA1322" s="50">
        <v>0</v>
      </c>
      <c r="AB1322" s="50">
        <v>0</v>
      </c>
      <c r="AC1322" s="50">
        <v>0</v>
      </c>
    </row>
    <row r="1323" spans="1:29" ht="13.5" thickBot="1" x14ac:dyDescent="0.25">
      <c r="B1323" s="96" t="e">
        <f>+HLOOKUP(Lan,Language!$D$3:$I$211,45)&amp;", "&amp;HLOOKUP(Lan,Language!$D$3:$I$211,72)</f>
        <v>#N/A</v>
      </c>
      <c r="C1323" s="37" t="s">
        <v>141</v>
      </c>
      <c r="D1323" s="161" t="s">
        <v>61</v>
      </c>
      <c r="E1323" s="418"/>
      <c r="F1323" s="418"/>
      <c r="G1323" s="418"/>
      <c r="H1323" s="418"/>
      <c r="I1323" s="170" t="s">
        <v>134</v>
      </c>
      <c r="J1323" s="139" t="e">
        <f>+J1316+J1317+J1318-J1319-J1320-J1321-J1322</f>
        <v>#REF!</v>
      </c>
      <c r="K1323" s="71" t="e">
        <f>+K1316+K1317+K1318-K1319-K1320-K1321-K1322</f>
        <v>#REF!</v>
      </c>
      <c r="L1323" s="50" t="e">
        <f>+L1316+L1317+L1318-L1319-L1320-L1321-L1322</f>
        <v>#REF!</v>
      </c>
      <c r="M1323" s="50" t="e">
        <f>+M1316+M1317+M1318-M1319-M1320-M1321-M1322</f>
        <v>#REF!</v>
      </c>
      <c r="N1323" s="49" t="e">
        <f>+N1316+N1317+N1318-N1319-N1320-N1321-N1322</f>
        <v>#REF!</v>
      </c>
      <c r="O1323" s="85"/>
      <c r="R1323" s="50">
        <v>0</v>
      </c>
      <c r="S1323" s="50">
        <v>0</v>
      </c>
      <c r="T1323" s="50">
        <v>0</v>
      </c>
      <c r="U1323" s="50">
        <v>0</v>
      </c>
      <c r="V1323" s="50">
        <v>0</v>
      </c>
      <c r="W1323" s="50">
        <v>0</v>
      </c>
      <c r="X1323" s="50">
        <v>0</v>
      </c>
      <c r="Y1323" s="50">
        <v>0</v>
      </c>
      <c r="Z1323" s="50">
        <v>0</v>
      </c>
      <c r="AA1323" s="50">
        <v>0</v>
      </c>
      <c r="AB1323" s="50">
        <v>0</v>
      </c>
      <c r="AC1323" s="50">
        <v>0</v>
      </c>
    </row>
    <row r="1324" spans="1:29" x14ac:dyDescent="0.2">
      <c r="B1324" s="102"/>
      <c r="C1324" s="103"/>
      <c r="D1324" s="171"/>
      <c r="E1324" s="422"/>
      <c r="F1324" s="422"/>
      <c r="G1324" s="422"/>
      <c r="H1324" s="422"/>
      <c r="I1324" s="172"/>
      <c r="J1324" s="141"/>
      <c r="K1324" s="75"/>
      <c r="L1324" s="57"/>
      <c r="M1324" s="57"/>
      <c r="N1324" s="76"/>
      <c r="O1324" s="91"/>
      <c r="R1324" s="57"/>
      <c r="S1324" s="57"/>
      <c r="T1324" s="57"/>
      <c r="U1324" s="57"/>
      <c r="V1324" s="57"/>
      <c r="W1324" s="57"/>
      <c r="X1324" s="57"/>
      <c r="Y1324" s="57"/>
      <c r="Z1324" s="57"/>
      <c r="AA1324" s="57"/>
      <c r="AB1324" s="57"/>
      <c r="AC1324" s="57"/>
    </row>
    <row r="1325" spans="1:29" x14ac:dyDescent="0.2">
      <c r="B1325" s="102"/>
      <c r="C1325" s="103"/>
      <c r="D1325" s="171"/>
      <c r="E1325" s="422"/>
      <c r="F1325" s="422"/>
      <c r="G1325" s="422"/>
      <c r="H1325" s="422"/>
      <c r="I1325" s="172"/>
      <c r="J1325" s="141"/>
      <c r="K1325" s="75"/>
      <c r="L1325" s="57"/>
      <c r="M1325" s="57"/>
      <c r="N1325" s="76"/>
      <c r="O1325" s="91"/>
      <c r="R1325" s="57"/>
      <c r="S1325" s="57"/>
      <c r="T1325" s="57"/>
      <c r="U1325" s="57"/>
      <c r="V1325" s="57"/>
      <c r="W1325" s="57"/>
      <c r="X1325" s="57"/>
      <c r="Y1325" s="57"/>
      <c r="Z1325" s="57"/>
      <c r="AA1325" s="57"/>
      <c r="AB1325" s="57"/>
      <c r="AC1325" s="57"/>
    </row>
    <row r="1326" spans="1:29" x14ac:dyDescent="0.2">
      <c r="B1326" s="102"/>
      <c r="C1326" s="103"/>
      <c r="D1326" s="171"/>
      <c r="E1326" s="422"/>
      <c r="F1326" s="422"/>
      <c r="G1326" s="422"/>
      <c r="H1326" s="422"/>
      <c r="I1326" s="172"/>
      <c r="J1326" s="141"/>
      <c r="K1326" s="75"/>
      <c r="L1326" s="57"/>
      <c r="M1326" s="57"/>
      <c r="N1326" s="76"/>
      <c r="O1326" s="91"/>
      <c r="R1326" s="57"/>
      <c r="S1326" s="57"/>
      <c r="T1326" s="57"/>
      <c r="U1326" s="57"/>
      <c r="V1326" s="57"/>
      <c r="W1326" s="57"/>
      <c r="X1326" s="57"/>
      <c r="Y1326" s="57"/>
      <c r="Z1326" s="57"/>
      <c r="AA1326" s="57"/>
      <c r="AB1326" s="57"/>
      <c r="AC1326" s="57"/>
    </row>
    <row r="1327" spans="1:29" x14ac:dyDescent="0.2">
      <c r="B1327" s="99"/>
      <c r="C1327" s="103"/>
      <c r="D1327" s="165"/>
      <c r="E1327" s="420"/>
      <c r="F1327" s="420"/>
      <c r="G1327" s="420"/>
      <c r="H1327" s="420"/>
      <c r="I1327" s="164"/>
      <c r="J1327" s="144"/>
      <c r="K1327" s="73"/>
      <c r="L1327" s="56"/>
      <c r="M1327" s="56"/>
      <c r="N1327" s="74"/>
      <c r="O1327" s="91"/>
      <c r="R1327" s="56"/>
      <c r="S1327" s="56"/>
      <c r="T1327" s="56"/>
      <c r="U1327" s="56"/>
      <c r="V1327" s="56"/>
      <c r="W1327" s="56"/>
      <c r="X1327" s="56"/>
      <c r="Y1327" s="56"/>
      <c r="Z1327" s="56"/>
      <c r="AA1327" s="56"/>
      <c r="AB1327" s="56"/>
      <c r="AC1327" s="56"/>
    </row>
    <row r="1328" spans="1:29" ht="13.5" thickBot="1" x14ac:dyDescent="0.25">
      <c r="B1328" s="95" t="e">
        <f>+HLOOKUP(Lan,Language!$D$3:$I$211,73)</f>
        <v>#N/A</v>
      </c>
      <c r="C1328" s="25"/>
      <c r="D1328" s="167"/>
      <c r="E1328" s="421"/>
      <c r="F1328" s="421"/>
      <c r="G1328" s="421"/>
      <c r="H1328" s="421"/>
      <c r="I1328" s="168"/>
      <c r="J1328" s="145"/>
      <c r="K1328" s="80"/>
      <c r="L1328" s="53"/>
      <c r="M1328" s="53"/>
      <c r="N1328" s="78"/>
      <c r="O1328" s="85"/>
      <c r="R1328" s="53"/>
      <c r="S1328" s="53"/>
      <c r="T1328" s="53"/>
      <c r="U1328" s="53"/>
      <c r="V1328" s="53"/>
      <c r="W1328" s="53"/>
      <c r="X1328" s="53"/>
      <c r="Y1328" s="53"/>
      <c r="Z1328" s="53"/>
      <c r="AA1328" s="53"/>
      <c r="AB1328" s="53"/>
      <c r="AC1328" s="53"/>
    </row>
    <row r="1329" spans="2:29" x14ac:dyDescent="0.2">
      <c r="B1329" s="36" t="e">
        <f>+HLOOKUP(Lan,Language!$D$3:$I$211,41)&amp;" "&amp;HLOOKUP(Lan,Language!$D$3:$I$211,22)&amp;", "&amp;HLOOKUP(Lan,Language!$D$3:$I$211,82)&amp;" "&amp;HLOOKUP(Lan,Language!$D$3:$I$211,73)&amp;", "&amp;HLOOKUP(Lan,Language!$D$3:$I$211,23)</f>
        <v>#N/A</v>
      </c>
      <c r="C1329" s="37" t="s">
        <v>142</v>
      </c>
      <c r="D1329" s="173" t="str">
        <f>+$D$1250</f>
        <v>gas</v>
      </c>
      <c r="E1329" s="423"/>
      <c r="F1329" s="423"/>
      <c r="G1329" s="423"/>
      <c r="H1329" s="423"/>
      <c r="I1329" s="174" t="s">
        <v>143</v>
      </c>
      <c r="J1329" s="143" t="e">
        <f>+J$1296*VLOOKUP($D1329,ConvFactors!#REF!,3)</f>
        <v>#REF!</v>
      </c>
      <c r="K1329" s="72" t="e">
        <f>+K$1296*VLOOKUP($D1329,ConvFactors!#REF!,4)</f>
        <v>#REF!</v>
      </c>
      <c r="L1329" s="51" t="e">
        <f>+L$1296*VLOOKUP($D1329,ConvFactors!#REF!,5)</f>
        <v>#REF!</v>
      </c>
      <c r="M1329" s="51" t="e">
        <f>+M$1296*VLOOKUP($D1329,ConvFactors!#REF!,6)</f>
        <v>#REF!</v>
      </c>
      <c r="N1329" s="54" t="e">
        <f>+N$1296*VLOOKUP($D1329,ConvFactors!#REF!,7)</f>
        <v>#REF!</v>
      </c>
      <c r="O1329" s="85"/>
      <c r="R1329" s="51">
        <v>0</v>
      </c>
      <c r="S1329" s="51">
        <v>0</v>
      </c>
      <c r="T1329" s="51">
        <v>0</v>
      </c>
      <c r="U1329" s="51">
        <v>0</v>
      </c>
      <c r="V1329" s="51">
        <v>0</v>
      </c>
      <c r="W1329" s="51">
        <v>0</v>
      </c>
      <c r="X1329" s="51">
        <v>0</v>
      </c>
      <c r="Y1329" s="51">
        <v>0</v>
      </c>
      <c r="Z1329" s="51">
        <v>0</v>
      </c>
      <c r="AA1329" s="51">
        <v>0</v>
      </c>
      <c r="AB1329" s="51">
        <v>0</v>
      </c>
      <c r="AC1329" s="51">
        <v>0</v>
      </c>
    </row>
    <row r="1330" spans="2:29" x14ac:dyDescent="0.2">
      <c r="B1330" s="104" t="e">
        <f>+HLOOKUP(Lan,Language!$D$3:$I$211,41)&amp;" "&amp;HLOOKUP(Lan,Language!$D$3:$I$211,22)&amp;", "&amp;HLOOKUP(Lan,Language!$D$3:$I$211,82)&amp;" "&amp;HLOOKUP(Lan,Language!$D$3:$I$211,73)&amp;", "&amp;HLOOKUP(Lan,Language!$D$3:$I$211,23)</f>
        <v>#N/A</v>
      </c>
      <c r="C1330" s="105" t="s">
        <v>144</v>
      </c>
      <c r="D1330" s="175" t="str">
        <f>+$D$1251</f>
        <v>wood</v>
      </c>
      <c r="E1330" s="411"/>
      <c r="F1330" s="411"/>
      <c r="G1330" s="411"/>
      <c r="H1330" s="411"/>
      <c r="I1330" s="176" t="s">
        <v>143</v>
      </c>
      <c r="J1330" s="138" t="e">
        <f>+J$1297*VLOOKUP($D1330,ConvFactors!#REF!,3)</f>
        <v>#REF!</v>
      </c>
      <c r="K1330" s="72" t="e">
        <f>+K$1297*VLOOKUP($D1330,ConvFactors!#REF!,4)</f>
        <v>#REF!</v>
      </c>
      <c r="L1330" s="51" t="e">
        <f>+L$1297*VLOOKUP($D1330,ConvFactors!#REF!,5)</f>
        <v>#REF!</v>
      </c>
      <c r="M1330" s="51" t="e">
        <f>+M$1297*VLOOKUP($D1330,ConvFactors!#REF!,6)</f>
        <v>#REF!</v>
      </c>
      <c r="N1330" s="54" t="e">
        <f>+N$1297*VLOOKUP($D1330,ConvFactors!#REF!,7)</f>
        <v>#REF!</v>
      </c>
      <c r="O1330" s="85"/>
      <c r="R1330" s="51">
        <v>0</v>
      </c>
      <c r="S1330" s="51">
        <v>0</v>
      </c>
      <c r="T1330" s="51">
        <v>0</v>
      </c>
      <c r="U1330" s="51">
        <v>0</v>
      </c>
      <c r="V1330" s="51">
        <v>0</v>
      </c>
      <c r="W1330" s="51">
        <v>0</v>
      </c>
      <c r="X1330" s="51">
        <v>0</v>
      </c>
      <c r="Y1330" s="51">
        <v>0</v>
      </c>
      <c r="Z1330" s="51">
        <v>0</v>
      </c>
      <c r="AA1330" s="51">
        <v>0</v>
      </c>
      <c r="AB1330" s="51">
        <v>0</v>
      </c>
      <c r="AC1330" s="51">
        <v>0</v>
      </c>
    </row>
    <row r="1331" spans="2:29" x14ac:dyDescent="0.2">
      <c r="B1331" s="36" t="e">
        <f>+HLOOKUP(Lan,Language!$D$3:$I$211,41)&amp;" "&amp;HLOOKUP(Lan,Language!$D$3:$I$211,22)&amp;", "&amp;HLOOKUP(Lan,Language!$D$3:$I$211,82)&amp;" "&amp;HLOOKUP(Lan,Language!$D$3:$I$211,73)&amp;", "&amp;HLOOKUP(Lan,Language!$D$3:$I$211,23)</f>
        <v>#N/A</v>
      </c>
      <c r="C1331" s="37" t="s">
        <v>145</v>
      </c>
      <c r="D1331" s="44" t="s">
        <v>43</v>
      </c>
      <c r="E1331" s="415"/>
      <c r="F1331" s="415"/>
      <c r="G1331" s="415"/>
      <c r="H1331" s="415"/>
      <c r="I1331" s="169" t="s">
        <v>143</v>
      </c>
      <c r="J1331" s="138" t="e">
        <f>+J$1298*ConvFactors!#REF!</f>
        <v>#REF!</v>
      </c>
      <c r="K1331" s="71" t="e">
        <f>+K$1298*ConvFactors!#REF!</f>
        <v>#REF!</v>
      </c>
      <c r="L1331" s="50" t="e">
        <f>+L$1298*ConvFactors!#REF!</f>
        <v>#REF!</v>
      </c>
      <c r="M1331" s="50" t="e">
        <f>+M$1298*ConvFactors!#REF!</f>
        <v>#REF!</v>
      </c>
      <c r="N1331" s="49" t="e">
        <f>+N$1298*ConvFactors!#REF!</f>
        <v>#REF!</v>
      </c>
      <c r="O1331" s="85"/>
      <c r="R1331" s="50">
        <v>0</v>
      </c>
      <c r="S1331" s="50">
        <v>0</v>
      </c>
      <c r="T1331" s="50">
        <v>0</v>
      </c>
      <c r="U1331" s="50">
        <v>0</v>
      </c>
      <c r="V1331" s="50">
        <v>0</v>
      </c>
      <c r="W1331" s="50">
        <v>0</v>
      </c>
      <c r="X1331" s="50">
        <v>0</v>
      </c>
      <c r="Y1331" s="50">
        <v>0</v>
      </c>
      <c r="Z1331" s="50">
        <v>0</v>
      </c>
      <c r="AA1331" s="50">
        <v>0</v>
      </c>
      <c r="AB1331" s="50">
        <v>0</v>
      </c>
      <c r="AC1331" s="50">
        <v>0</v>
      </c>
    </row>
    <row r="1332" spans="2:29" x14ac:dyDescent="0.2">
      <c r="B1332" s="96" t="e">
        <f>+HLOOKUP(Lan,Language!$D$3:$I$211,37)&amp;" "&amp;HLOOKUP(Lan,Language!$D$3:$I$211,53)&amp;", "&amp;HLOOKUP(Lan,Language!$D$3:$I$211,30)&amp;", "&amp;HLOOKUP(Lan,Language!$D$3:$I$211,82)&amp;" "&amp;HLOOKUP(Lan,Language!$D$3:$I$211,73)</f>
        <v>#N/A</v>
      </c>
      <c r="C1332" s="37" t="s">
        <v>146</v>
      </c>
      <c r="D1332" s="44" t="s">
        <v>43</v>
      </c>
      <c r="E1332" s="415"/>
      <c r="F1332" s="415"/>
      <c r="G1332" s="415"/>
      <c r="H1332" s="415"/>
      <c r="I1332" s="169" t="s">
        <v>143</v>
      </c>
      <c r="J1332" s="138" t="e">
        <f>+J$1288*ConvFactors!#REF!</f>
        <v>#REF!</v>
      </c>
      <c r="K1332" s="71" t="e">
        <f>+K$1288*ConvFactors!#REF!</f>
        <v>#REF!</v>
      </c>
      <c r="L1332" s="50" t="e">
        <f>+L$1288*ConvFactors!#REF!</f>
        <v>#REF!</v>
      </c>
      <c r="M1332" s="50" t="e">
        <f>+M$1288*ConvFactors!#REF!</f>
        <v>#REF!</v>
      </c>
      <c r="N1332" s="49" t="e">
        <f>+N$1288*ConvFactors!#REF!</f>
        <v>#REF!</v>
      </c>
      <c r="O1332" s="85"/>
      <c r="R1332" s="50">
        <v>0</v>
      </c>
      <c r="S1332" s="50">
        <v>0</v>
      </c>
      <c r="T1332" s="50">
        <v>0</v>
      </c>
      <c r="U1332" s="50">
        <v>0</v>
      </c>
      <c r="V1332" s="50">
        <v>0</v>
      </c>
      <c r="W1332" s="50">
        <v>0</v>
      </c>
      <c r="X1332" s="50">
        <v>0</v>
      </c>
      <c r="Y1332" s="50">
        <v>0</v>
      </c>
      <c r="Z1332" s="50">
        <v>0</v>
      </c>
      <c r="AA1332" s="50">
        <v>0</v>
      </c>
      <c r="AB1332" s="50">
        <v>0</v>
      </c>
      <c r="AC1332" s="50">
        <v>0</v>
      </c>
    </row>
    <row r="1333" spans="2:29" x14ac:dyDescent="0.2">
      <c r="B1333" s="96" t="e">
        <f>+HLOOKUP(Lan,Language!$D$3:$I$211,37)&amp;" "&amp;HLOOKUP(Lan,Language!$D$3:$I$211,53)&amp;", "&amp;HLOOKUP(Lan,Language!$D$3:$I$211,31)&amp;", "&amp;HLOOKUP(Lan,Language!$D$3:$I$211,82)&amp;" "&amp;HLOOKUP(Lan,Language!$D$3:$I$211,73)</f>
        <v>#N/A</v>
      </c>
      <c r="C1333" s="37" t="s">
        <v>147</v>
      </c>
      <c r="D1333" s="44" t="s">
        <v>43</v>
      </c>
      <c r="E1333" s="415"/>
      <c r="F1333" s="415"/>
      <c r="G1333" s="415"/>
      <c r="H1333" s="415"/>
      <c r="I1333" s="169" t="s">
        <v>143</v>
      </c>
      <c r="J1333" s="138" t="e">
        <f>+J$1289*ConvFactors!#REF!</f>
        <v>#REF!</v>
      </c>
      <c r="K1333" s="71" t="e">
        <f>+K$1289*ConvFactors!#REF!</f>
        <v>#REF!</v>
      </c>
      <c r="L1333" s="50" t="e">
        <f>+L$1289*ConvFactors!#REF!</f>
        <v>#REF!</v>
      </c>
      <c r="M1333" s="50" t="e">
        <f>+M$1289*ConvFactors!#REF!</f>
        <v>#REF!</v>
      </c>
      <c r="N1333" s="49" t="e">
        <f>+N$1289*ConvFactors!#REF!</f>
        <v>#REF!</v>
      </c>
      <c r="O1333" s="85"/>
      <c r="R1333" s="50">
        <v>0</v>
      </c>
      <c r="S1333" s="50">
        <v>0</v>
      </c>
      <c r="T1333" s="50">
        <v>0</v>
      </c>
      <c r="U1333" s="50">
        <v>0</v>
      </c>
      <c r="V1333" s="50">
        <v>0</v>
      </c>
      <c r="W1333" s="50">
        <v>0</v>
      </c>
      <c r="X1333" s="50">
        <v>0</v>
      </c>
      <c r="Y1333" s="50">
        <v>0</v>
      </c>
      <c r="Z1333" s="50">
        <v>0</v>
      </c>
      <c r="AA1333" s="50">
        <v>0</v>
      </c>
      <c r="AB1333" s="50">
        <v>0</v>
      </c>
      <c r="AC1333" s="50">
        <v>0</v>
      </c>
    </row>
    <row r="1334" spans="2:29" x14ac:dyDescent="0.2">
      <c r="B1334" s="96" t="e">
        <f>+HLOOKUP(Lan,Language!$D$3:$I$211,28)&amp;" "&amp;HLOOKUP(Lan,Language!$D$3:$I$211,53)&amp;", "&amp;HLOOKUP(Lan,Language!$D$3:$I$211,33)&amp;", "&amp;HLOOKUP(Lan,Language!$D$3:$I$211,82)&amp;" "&amp;HLOOKUP(Lan,Language!$D$3:$I$211,73)</f>
        <v>#N/A</v>
      </c>
      <c r="C1334" s="37" t="s">
        <v>148</v>
      </c>
      <c r="D1334" s="44" t="s">
        <v>44</v>
      </c>
      <c r="E1334" s="415"/>
      <c r="F1334" s="415"/>
      <c r="G1334" s="415"/>
      <c r="H1334" s="415"/>
      <c r="I1334" s="169" t="s">
        <v>143</v>
      </c>
      <c r="J1334" s="138" t="e">
        <f>+J$1292*ConvFactors!#REF!</f>
        <v>#REF!</v>
      </c>
      <c r="K1334" s="71" t="e">
        <f>+K$1292*ConvFactors!#REF!</f>
        <v>#REF!</v>
      </c>
      <c r="L1334" s="50" t="e">
        <f>+L$1292*ConvFactors!#REF!</f>
        <v>#REF!</v>
      </c>
      <c r="M1334" s="50" t="e">
        <f>+M$1292*ConvFactors!#REF!</f>
        <v>#REF!</v>
      </c>
      <c r="N1334" s="49" t="e">
        <f>+N$1292*ConvFactors!#REF!</f>
        <v>#REF!</v>
      </c>
      <c r="O1334" s="85"/>
      <c r="R1334" s="50">
        <v>0</v>
      </c>
      <c r="S1334" s="50">
        <v>0</v>
      </c>
      <c r="T1334" s="50">
        <v>0</v>
      </c>
      <c r="U1334" s="50">
        <v>0</v>
      </c>
      <c r="V1334" s="50">
        <v>0</v>
      </c>
      <c r="W1334" s="50">
        <v>0</v>
      </c>
      <c r="X1334" s="50">
        <v>0</v>
      </c>
      <c r="Y1334" s="50">
        <v>0</v>
      </c>
      <c r="Z1334" s="50">
        <v>0</v>
      </c>
      <c r="AA1334" s="50">
        <v>0</v>
      </c>
      <c r="AB1334" s="50">
        <v>0</v>
      </c>
      <c r="AC1334" s="50">
        <v>0</v>
      </c>
    </row>
    <row r="1335" spans="2:29" x14ac:dyDescent="0.2">
      <c r="B1335" s="96" t="e">
        <f>+HLOOKUP(Lan,Language!$D$3:$I$211,83)&amp;" "&amp;HLOOKUP(Lan,Language!$D$3:$I$211,21)&amp;" "&amp;HLOOKUP(Lan,Language!$D$3:$I$211,53)&amp;", "&amp;HLOOKUP(Lan,Language!$D$3:$I$211,19)&amp;", "&amp;HLOOKUP(Lan,Language!$D$3:$I$211,20)&amp;", "&amp;HLOOKUP(Lan,Language!$D$3:$I$211,82)&amp;" "&amp;HLOOKUP(Lan,Language!$D$3:$I$211,73)</f>
        <v>#N/A</v>
      </c>
      <c r="C1335" s="38" t="s">
        <v>149</v>
      </c>
      <c r="D1335" s="44" t="s">
        <v>43</v>
      </c>
      <c r="E1335" s="415"/>
      <c r="F1335" s="415"/>
      <c r="G1335" s="415"/>
      <c r="H1335" s="415"/>
      <c r="I1335" s="169" t="s">
        <v>143</v>
      </c>
      <c r="J1335" s="138" t="e">
        <f>+J$1294*ConvFactors!#REF!</f>
        <v>#REF!</v>
      </c>
      <c r="K1335" s="71" t="e">
        <f>+K$1294*ConvFactors!#REF!</f>
        <v>#REF!</v>
      </c>
      <c r="L1335" s="50" t="e">
        <f>+L$1294*ConvFactors!#REF!</f>
        <v>#REF!</v>
      </c>
      <c r="M1335" s="50" t="e">
        <f>+M$1294*ConvFactors!#REF!</f>
        <v>#REF!</v>
      </c>
      <c r="N1335" s="49" t="e">
        <f>+N$1294*ConvFactors!#REF!</f>
        <v>#REF!</v>
      </c>
      <c r="O1335" s="85"/>
      <c r="R1335" s="50">
        <v>0</v>
      </c>
      <c r="S1335" s="50">
        <v>0</v>
      </c>
      <c r="T1335" s="50">
        <v>0</v>
      </c>
      <c r="U1335" s="50">
        <v>0</v>
      </c>
      <c r="V1335" s="50">
        <v>0</v>
      </c>
      <c r="W1335" s="50">
        <v>0</v>
      </c>
      <c r="X1335" s="50">
        <v>0</v>
      </c>
      <c r="Y1335" s="50">
        <v>0</v>
      </c>
      <c r="Z1335" s="50">
        <v>0</v>
      </c>
      <c r="AA1335" s="50">
        <v>0</v>
      </c>
      <c r="AB1335" s="50">
        <v>0</v>
      </c>
      <c r="AC1335" s="50">
        <v>0</v>
      </c>
    </row>
    <row r="1336" spans="2:29" ht="13.5" thickBot="1" x14ac:dyDescent="0.25">
      <c r="B1336" s="106" t="e">
        <f>+HLOOKUP(Lan,Language!$D$3:$I$211,45)&amp;", "&amp;HLOOKUP(Lan,Language!$D$3:$I$211,73)</f>
        <v>#N/A</v>
      </c>
      <c r="C1336" s="37" t="s">
        <v>150</v>
      </c>
      <c r="D1336" s="161" t="s">
        <v>61</v>
      </c>
      <c r="E1336" s="418"/>
      <c r="F1336" s="418"/>
      <c r="G1336" s="418"/>
      <c r="H1336" s="418"/>
      <c r="I1336" s="170" t="s">
        <v>143</v>
      </c>
      <c r="J1336" s="139" t="e">
        <f>+J1329+J1330+J1331-J1332-J1333-J1334-J1335</f>
        <v>#REF!</v>
      </c>
      <c r="K1336" s="71" t="e">
        <f>+K1329+K1330+K1331-K1332-K1333-K1334-K1335</f>
        <v>#REF!</v>
      </c>
      <c r="L1336" s="50" t="e">
        <f>+L1329+L1330+L1331-L1332-L1333-L1334-L1335</f>
        <v>#REF!</v>
      </c>
      <c r="M1336" s="50" t="e">
        <f>+M1329+M1330+M1331-M1332-M1333-M1334-M1335</f>
        <v>#REF!</v>
      </c>
      <c r="N1336" s="49" t="e">
        <f>+N1329+N1330+N1331-N1332-N1333-N1334-N1335</f>
        <v>#REF!</v>
      </c>
      <c r="O1336" s="85"/>
      <c r="R1336" s="50">
        <v>0</v>
      </c>
      <c r="S1336" s="50">
        <v>0</v>
      </c>
      <c r="T1336" s="50">
        <v>0</v>
      </c>
      <c r="U1336" s="50">
        <v>0</v>
      </c>
      <c r="V1336" s="50">
        <v>0</v>
      </c>
      <c r="W1336" s="50">
        <v>0</v>
      </c>
      <c r="X1336" s="50">
        <v>0</v>
      </c>
      <c r="Y1336" s="50">
        <v>0</v>
      </c>
      <c r="Z1336" s="50">
        <v>0</v>
      </c>
      <c r="AA1336" s="50">
        <v>0</v>
      </c>
      <c r="AB1336" s="50">
        <v>0</v>
      </c>
      <c r="AC1336" s="50">
        <v>0</v>
      </c>
    </row>
    <row r="1337" spans="2:29" x14ac:dyDescent="0.2">
      <c r="B1337" s="107"/>
      <c r="C1337" s="108"/>
      <c r="D1337" s="171"/>
      <c r="E1337" s="422"/>
      <c r="F1337" s="422"/>
      <c r="G1337" s="422"/>
      <c r="H1337" s="422"/>
      <c r="I1337" s="172"/>
      <c r="J1337" s="144"/>
      <c r="K1337" s="73"/>
      <c r="L1337" s="56"/>
      <c r="M1337" s="56"/>
      <c r="N1337" s="74"/>
      <c r="O1337" s="91"/>
      <c r="R1337" s="56"/>
      <c r="S1337" s="56"/>
      <c r="T1337" s="56"/>
      <c r="U1337" s="56"/>
      <c r="V1337" s="56"/>
      <c r="W1337" s="56"/>
      <c r="X1337" s="56"/>
      <c r="Y1337" s="56"/>
      <c r="Z1337" s="56"/>
      <c r="AA1337" s="56"/>
      <c r="AB1337" s="56"/>
      <c r="AC1337" s="56"/>
    </row>
    <row r="1338" spans="2:29" x14ac:dyDescent="0.2">
      <c r="B1338" s="107"/>
      <c r="C1338" s="108"/>
      <c r="D1338" s="171"/>
      <c r="E1338" s="422"/>
      <c r="F1338" s="422"/>
      <c r="G1338" s="422"/>
      <c r="H1338" s="422"/>
      <c r="I1338" s="172"/>
      <c r="J1338" s="144"/>
      <c r="K1338" s="73"/>
      <c r="L1338" s="56"/>
      <c r="M1338" s="56"/>
      <c r="N1338" s="74"/>
      <c r="O1338" s="91"/>
      <c r="R1338" s="56"/>
      <c r="S1338" s="56"/>
      <c r="T1338" s="56"/>
      <c r="U1338" s="56"/>
      <c r="V1338" s="56"/>
      <c r="W1338" s="56"/>
      <c r="X1338" s="56"/>
      <c r="Y1338" s="56"/>
      <c r="Z1338" s="56"/>
      <c r="AA1338" s="56"/>
      <c r="AB1338" s="56"/>
      <c r="AC1338" s="56"/>
    </row>
    <row r="1339" spans="2:29" x14ac:dyDescent="0.2">
      <c r="B1339" s="107"/>
      <c r="C1339" s="108"/>
      <c r="D1339" s="171"/>
      <c r="E1339" s="422"/>
      <c r="F1339" s="422"/>
      <c r="G1339" s="422"/>
      <c r="H1339" s="422"/>
      <c r="I1339" s="172"/>
      <c r="J1339" s="144"/>
      <c r="K1339" s="73"/>
      <c r="L1339" s="56"/>
      <c r="M1339" s="56"/>
      <c r="N1339" s="74"/>
      <c r="O1339" s="91"/>
      <c r="R1339" s="56"/>
      <c r="S1339" s="56"/>
      <c r="T1339" s="56"/>
      <c r="U1339" s="56"/>
      <c r="V1339" s="56"/>
      <c r="W1339" s="56"/>
      <c r="X1339" s="56"/>
      <c r="Y1339" s="56"/>
      <c r="Z1339" s="56"/>
      <c r="AA1339" s="56"/>
      <c r="AB1339" s="56"/>
      <c r="AC1339" s="56"/>
    </row>
    <row r="1340" spans="2:29" x14ac:dyDescent="0.2">
      <c r="B1340" s="109"/>
      <c r="C1340" s="108"/>
      <c r="D1340" s="165"/>
      <c r="E1340" s="420"/>
      <c r="F1340" s="420"/>
      <c r="G1340" s="420"/>
      <c r="H1340" s="420"/>
      <c r="I1340" s="164"/>
      <c r="J1340" s="144"/>
      <c r="K1340" s="73"/>
      <c r="L1340" s="56"/>
      <c r="M1340" s="56"/>
      <c r="N1340" s="74"/>
      <c r="O1340" s="91"/>
      <c r="R1340" s="56"/>
      <c r="S1340" s="56"/>
      <c r="T1340" s="56"/>
      <c r="U1340" s="56"/>
      <c r="V1340" s="56"/>
      <c r="W1340" s="56"/>
      <c r="X1340" s="56"/>
      <c r="Y1340" s="56"/>
      <c r="Z1340" s="56"/>
      <c r="AA1340" s="56"/>
      <c r="AB1340" s="56"/>
      <c r="AC1340" s="56"/>
    </row>
    <row r="1341" spans="2:29" ht="13.5" thickBot="1" x14ac:dyDescent="0.25">
      <c r="B1341" s="32" t="e">
        <f>+HLOOKUP(Lan,Language!$D$3:$I$211,74)</f>
        <v>#N/A</v>
      </c>
      <c r="C1341" s="101"/>
      <c r="D1341" s="171"/>
      <c r="E1341" s="422"/>
      <c r="F1341" s="422"/>
      <c r="G1341" s="422"/>
      <c r="H1341" s="422"/>
      <c r="I1341" s="166"/>
      <c r="J1341" s="144"/>
      <c r="K1341" s="73"/>
      <c r="L1341" s="56"/>
      <c r="M1341" s="56"/>
      <c r="N1341" s="74"/>
      <c r="O1341" s="91"/>
      <c r="R1341" s="56"/>
      <c r="S1341" s="56"/>
      <c r="T1341" s="56"/>
      <c r="U1341" s="56"/>
      <c r="V1341" s="56"/>
      <c r="W1341" s="56"/>
      <c r="X1341" s="56"/>
      <c r="Y1341" s="56"/>
      <c r="Z1341" s="56"/>
      <c r="AA1341" s="56"/>
      <c r="AB1341" s="56"/>
      <c r="AC1341" s="56"/>
    </row>
    <row r="1342" spans="2:29" ht="25.5" x14ac:dyDescent="0.2">
      <c r="B1342" s="36" t="e">
        <f>+HLOOKUP(Lan,Language!$D$3:$I$211,41)&amp;" "&amp;HLOOKUP(Lan,Language!$D$3:$I$211,22)&amp;", "&amp;HLOOKUP(Lan,Language!$D$3:$I$211,82)&amp;" "&amp;HLOOKUP(Lan,Language!$D$3:$I$211,74)&amp;", "&amp;HLOOKUP(Lan,Language!$D$3:$I$211,23)</f>
        <v>#N/A</v>
      </c>
      <c r="C1342" s="37" t="s">
        <v>151</v>
      </c>
      <c r="D1342" s="173" t="str">
        <f>+$D$1250</f>
        <v>gas</v>
      </c>
      <c r="E1342" s="423"/>
      <c r="F1342" s="423"/>
      <c r="G1342" s="423"/>
      <c r="H1342" s="423"/>
      <c r="I1342" s="174" t="s">
        <v>152</v>
      </c>
      <c r="J1342" s="143" t="e">
        <f>+J$1296*VLOOKUP($D1342,ConvFactors!#REF!,3)</f>
        <v>#REF!</v>
      </c>
      <c r="K1342" s="72" t="e">
        <f>+K$1296*VLOOKUP($D1342,ConvFactors!#REF!,4)</f>
        <v>#REF!</v>
      </c>
      <c r="L1342" s="51" t="e">
        <f>+L$1296*VLOOKUP($D1342,ConvFactors!#REF!,5)</f>
        <v>#REF!</v>
      </c>
      <c r="M1342" s="51" t="e">
        <f>+M$1296*VLOOKUP($D1342,ConvFactors!#REF!,6)</f>
        <v>#REF!</v>
      </c>
      <c r="N1342" s="54" t="e">
        <f>+N$1296*VLOOKUP($D1342,ConvFactors!#REF!,7)</f>
        <v>#REF!</v>
      </c>
      <c r="O1342" s="85"/>
      <c r="R1342" s="51">
        <v>0</v>
      </c>
      <c r="S1342" s="51">
        <v>0</v>
      </c>
      <c r="T1342" s="51">
        <v>0</v>
      </c>
      <c r="U1342" s="51">
        <v>0</v>
      </c>
      <c r="V1342" s="51">
        <v>0</v>
      </c>
      <c r="W1342" s="51">
        <v>0</v>
      </c>
      <c r="X1342" s="51">
        <v>0</v>
      </c>
      <c r="Y1342" s="51">
        <v>0</v>
      </c>
      <c r="Z1342" s="51">
        <v>0</v>
      </c>
      <c r="AA1342" s="51">
        <v>0</v>
      </c>
      <c r="AB1342" s="51">
        <v>0</v>
      </c>
      <c r="AC1342" s="51">
        <v>0</v>
      </c>
    </row>
    <row r="1343" spans="2:29" ht="25.5" x14ac:dyDescent="0.2">
      <c r="B1343" s="36" t="e">
        <f>+HLOOKUP(Lan,Language!$D$3:$I$211,41)&amp;" "&amp;HLOOKUP(Lan,Language!$D$3:$I$211,22)&amp;", "&amp;HLOOKUP(Lan,Language!$D$3:$I$211,82)&amp;" "&amp;HLOOKUP(Lan,Language!$D$3:$I$211,74)&amp;", "&amp;HLOOKUP(Lan,Language!$D$3:$I$211,23)</f>
        <v>#N/A</v>
      </c>
      <c r="C1343" s="37" t="s">
        <v>153</v>
      </c>
      <c r="D1343" s="153" t="str">
        <f>+$D$1251</f>
        <v>wood</v>
      </c>
      <c r="E1343" s="414"/>
      <c r="F1343" s="414"/>
      <c r="G1343" s="414"/>
      <c r="H1343" s="414"/>
      <c r="I1343" s="169" t="s">
        <v>152</v>
      </c>
      <c r="J1343" s="138" t="e">
        <f>+J$1297*VLOOKUP($D1343,ConvFactors!#REF!,3)</f>
        <v>#REF!</v>
      </c>
      <c r="K1343" s="72" t="e">
        <f>+K$1297*VLOOKUP($D1343,ConvFactors!#REF!,4)</f>
        <v>#REF!</v>
      </c>
      <c r="L1343" s="51" t="e">
        <f>+L$1297*VLOOKUP($D1343,ConvFactors!#REF!,5)</f>
        <v>#REF!</v>
      </c>
      <c r="M1343" s="51" t="e">
        <f>+M$1297*VLOOKUP($D1343,ConvFactors!#REF!,6)</f>
        <v>#REF!</v>
      </c>
      <c r="N1343" s="54" t="e">
        <f>+N$1297*VLOOKUP($D1343,ConvFactors!#REF!,7)</f>
        <v>#REF!</v>
      </c>
      <c r="O1343" s="85"/>
      <c r="R1343" s="51">
        <v>0</v>
      </c>
      <c r="S1343" s="51">
        <v>0</v>
      </c>
      <c r="T1343" s="51">
        <v>0</v>
      </c>
      <c r="U1343" s="51">
        <v>0</v>
      </c>
      <c r="V1343" s="51">
        <v>0</v>
      </c>
      <c r="W1343" s="51">
        <v>0</v>
      </c>
      <c r="X1343" s="51">
        <v>0</v>
      </c>
      <c r="Y1343" s="51">
        <v>0</v>
      </c>
      <c r="Z1343" s="51">
        <v>0</v>
      </c>
      <c r="AA1343" s="51">
        <v>0</v>
      </c>
      <c r="AB1343" s="51">
        <v>0</v>
      </c>
      <c r="AC1343" s="51">
        <v>0</v>
      </c>
    </row>
    <row r="1344" spans="2:29" ht="25.5" x14ac:dyDescent="0.2">
      <c r="B1344" s="36" t="e">
        <f>+HLOOKUP(Lan,Language!$D$3:$I$211,41)&amp;" "&amp;HLOOKUP(Lan,Language!$D$3:$I$211,22)&amp;", "&amp;HLOOKUP(Lan,Language!$D$3:$I$211,82)&amp;" "&amp;HLOOKUP(Lan,Language!$D$3:$I$211,74)&amp;", "&amp;HLOOKUP(Lan,Language!$D$3:$I$211,23)</f>
        <v>#N/A</v>
      </c>
      <c r="C1344" s="37" t="s">
        <v>154</v>
      </c>
      <c r="D1344" s="44" t="s">
        <v>43</v>
      </c>
      <c r="E1344" s="415"/>
      <c r="F1344" s="415"/>
      <c r="G1344" s="415"/>
      <c r="H1344" s="415"/>
      <c r="I1344" s="169" t="s">
        <v>152</v>
      </c>
      <c r="J1344" s="138" t="e">
        <f>+J$1298*ConvFactors!#REF!</f>
        <v>#REF!</v>
      </c>
      <c r="K1344" s="71" t="e">
        <f>+K$1298*ConvFactors!#REF!</f>
        <v>#REF!</v>
      </c>
      <c r="L1344" s="50" t="e">
        <f>+L$1298*ConvFactors!#REF!</f>
        <v>#REF!</v>
      </c>
      <c r="M1344" s="50" t="e">
        <f>+M$1298*ConvFactors!#REF!</f>
        <v>#REF!</v>
      </c>
      <c r="N1344" s="49" t="e">
        <f>+N$1298*ConvFactors!#REF!</f>
        <v>#REF!</v>
      </c>
      <c r="O1344" s="85"/>
      <c r="R1344" s="50">
        <v>0</v>
      </c>
      <c r="S1344" s="50">
        <v>0</v>
      </c>
      <c r="T1344" s="50">
        <v>0</v>
      </c>
      <c r="U1344" s="50">
        <v>0</v>
      </c>
      <c r="V1344" s="50">
        <v>0</v>
      </c>
      <c r="W1344" s="50">
        <v>0</v>
      </c>
      <c r="X1344" s="50">
        <v>0</v>
      </c>
      <c r="Y1344" s="50">
        <v>0</v>
      </c>
      <c r="Z1344" s="50">
        <v>0</v>
      </c>
      <c r="AA1344" s="50">
        <v>0</v>
      </c>
      <c r="AB1344" s="50">
        <v>0</v>
      </c>
      <c r="AC1344" s="50">
        <v>0</v>
      </c>
    </row>
    <row r="1345" spans="2:29" ht="25.5" x14ac:dyDescent="0.2">
      <c r="B1345" s="96" t="e">
        <f>+HLOOKUP(Lan,Language!$D$3:$I$211,37)&amp;" "&amp;HLOOKUP(Lan,Language!$D$3:$I$211,53)&amp;", "&amp;HLOOKUP(Lan,Language!$D$3:$I$211,30)&amp;", "&amp;HLOOKUP(Lan,Language!$D$3:$I$211,82)&amp;" "&amp;HLOOKUP(Lan,Language!$D$3:$I$211,74)</f>
        <v>#N/A</v>
      </c>
      <c r="C1345" s="37" t="s">
        <v>155</v>
      </c>
      <c r="D1345" s="44" t="s">
        <v>43</v>
      </c>
      <c r="E1345" s="415"/>
      <c r="F1345" s="415"/>
      <c r="G1345" s="415"/>
      <c r="H1345" s="415"/>
      <c r="I1345" s="169" t="s">
        <v>152</v>
      </c>
      <c r="J1345" s="138" t="e">
        <f>+J$1288*ConvFactors!#REF!</f>
        <v>#REF!</v>
      </c>
      <c r="K1345" s="71" t="e">
        <f>+K$1288*ConvFactors!#REF!</f>
        <v>#REF!</v>
      </c>
      <c r="L1345" s="50" t="e">
        <f>+L$1288*ConvFactors!#REF!</f>
        <v>#REF!</v>
      </c>
      <c r="M1345" s="50" t="e">
        <f>+M$1288*ConvFactors!#REF!</f>
        <v>#REF!</v>
      </c>
      <c r="N1345" s="49" t="e">
        <f>+N$1288*ConvFactors!#REF!</f>
        <v>#REF!</v>
      </c>
      <c r="O1345" s="85"/>
      <c r="R1345" s="50">
        <v>0</v>
      </c>
      <c r="S1345" s="50">
        <v>0</v>
      </c>
      <c r="T1345" s="50">
        <v>0</v>
      </c>
      <c r="U1345" s="50">
        <v>0</v>
      </c>
      <c r="V1345" s="50">
        <v>0</v>
      </c>
      <c r="W1345" s="50">
        <v>0</v>
      </c>
      <c r="X1345" s="50">
        <v>0</v>
      </c>
      <c r="Y1345" s="50">
        <v>0</v>
      </c>
      <c r="Z1345" s="50">
        <v>0</v>
      </c>
      <c r="AA1345" s="50">
        <v>0</v>
      </c>
      <c r="AB1345" s="50">
        <v>0</v>
      </c>
      <c r="AC1345" s="50">
        <v>0</v>
      </c>
    </row>
    <row r="1346" spans="2:29" ht="25.5" x14ac:dyDescent="0.2">
      <c r="B1346" s="96" t="e">
        <f>+HLOOKUP(Lan,Language!$D$3:$I$211,37)&amp;" "&amp;HLOOKUP(Lan,Language!$D$3:$I$211,53)&amp;", "&amp;HLOOKUP(Lan,Language!$D$3:$I$211,31)&amp;", "&amp;HLOOKUP(Lan,Language!$D$3:$I$211,82)&amp;" "&amp;HLOOKUP(Lan,Language!$D$3:$I$211,74)</f>
        <v>#N/A</v>
      </c>
      <c r="C1346" s="37" t="s">
        <v>156</v>
      </c>
      <c r="D1346" s="44" t="s">
        <v>43</v>
      </c>
      <c r="E1346" s="415"/>
      <c r="F1346" s="415"/>
      <c r="G1346" s="415"/>
      <c r="H1346" s="415"/>
      <c r="I1346" s="169" t="s">
        <v>152</v>
      </c>
      <c r="J1346" s="138" t="e">
        <f>+J$1289*ConvFactors!#REF!</f>
        <v>#REF!</v>
      </c>
      <c r="K1346" s="71" t="e">
        <f>+K$1289*ConvFactors!#REF!</f>
        <v>#REF!</v>
      </c>
      <c r="L1346" s="50" t="e">
        <f>+L$1289*ConvFactors!#REF!</f>
        <v>#REF!</v>
      </c>
      <c r="M1346" s="50" t="e">
        <f>+M$1289*ConvFactors!#REF!</f>
        <v>#REF!</v>
      </c>
      <c r="N1346" s="49" t="e">
        <f>+N$1289*ConvFactors!#REF!</f>
        <v>#REF!</v>
      </c>
      <c r="O1346" s="85"/>
      <c r="R1346" s="50">
        <v>0</v>
      </c>
      <c r="S1346" s="50">
        <v>0</v>
      </c>
      <c r="T1346" s="50">
        <v>0</v>
      </c>
      <c r="U1346" s="50">
        <v>0</v>
      </c>
      <c r="V1346" s="50">
        <v>0</v>
      </c>
      <c r="W1346" s="50">
        <v>0</v>
      </c>
      <c r="X1346" s="50">
        <v>0</v>
      </c>
      <c r="Y1346" s="50">
        <v>0</v>
      </c>
      <c r="Z1346" s="50">
        <v>0</v>
      </c>
      <c r="AA1346" s="50">
        <v>0</v>
      </c>
      <c r="AB1346" s="50">
        <v>0</v>
      </c>
      <c r="AC1346" s="50">
        <v>0</v>
      </c>
    </row>
    <row r="1347" spans="2:29" ht="25.5" x14ac:dyDescent="0.2">
      <c r="B1347" s="96" t="e">
        <f>+HLOOKUP(Lan,Language!$D$3:$I$211,28)&amp;" "&amp;HLOOKUP(Lan,Language!$D$3:$I$211,53)&amp;", "&amp;HLOOKUP(Lan,Language!$D$3:$I$211,33)&amp;", "&amp;HLOOKUP(Lan,Language!$D$3:$I$211,82)&amp;" "&amp;HLOOKUP(Lan,Language!$D$3:$I$211,74)</f>
        <v>#N/A</v>
      </c>
      <c r="C1347" s="37" t="s">
        <v>157</v>
      </c>
      <c r="D1347" s="44" t="s">
        <v>44</v>
      </c>
      <c r="E1347" s="415"/>
      <c r="F1347" s="415"/>
      <c r="G1347" s="415"/>
      <c r="H1347" s="415"/>
      <c r="I1347" s="169" t="s">
        <v>152</v>
      </c>
      <c r="J1347" s="138" t="e">
        <f>+J$1292*ConvFactors!#REF!</f>
        <v>#REF!</v>
      </c>
      <c r="K1347" s="71" t="e">
        <f>+K$1292*ConvFactors!#REF!</f>
        <v>#REF!</v>
      </c>
      <c r="L1347" s="50" t="e">
        <f>+L$1292*ConvFactors!#REF!</f>
        <v>#REF!</v>
      </c>
      <c r="M1347" s="50" t="e">
        <f>+M$1292*ConvFactors!#REF!</f>
        <v>#REF!</v>
      </c>
      <c r="N1347" s="49" t="e">
        <f>+N$1292*ConvFactors!#REF!</f>
        <v>#REF!</v>
      </c>
      <c r="O1347" s="85"/>
      <c r="R1347" s="50">
        <v>0</v>
      </c>
      <c r="S1347" s="50">
        <v>0</v>
      </c>
      <c r="T1347" s="50">
        <v>0</v>
      </c>
      <c r="U1347" s="50">
        <v>0</v>
      </c>
      <c r="V1347" s="50">
        <v>0</v>
      </c>
      <c r="W1347" s="50">
        <v>0</v>
      </c>
      <c r="X1347" s="50">
        <v>0</v>
      </c>
      <c r="Y1347" s="50">
        <v>0</v>
      </c>
      <c r="Z1347" s="50">
        <v>0</v>
      </c>
      <c r="AA1347" s="50">
        <v>0</v>
      </c>
      <c r="AB1347" s="50">
        <v>0</v>
      </c>
      <c r="AC1347" s="50">
        <v>0</v>
      </c>
    </row>
    <row r="1348" spans="2:29" ht="25.5" x14ac:dyDescent="0.2">
      <c r="B1348" s="96" t="e">
        <f>+HLOOKUP(Lan,Language!$D$3:$I$211,83)&amp;" "&amp;HLOOKUP(Lan,Language!$D$3:$I$211,21)&amp;" "&amp;HLOOKUP(Lan,Language!$D$3:$I$211,53)&amp;", "&amp;HLOOKUP(Lan,Language!$D$3:$I$211,19)&amp;", "&amp;HLOOKUP(Lan,Language!$D$3:$I$211,20)&amp;", "&amp;HLOOKUP(Lan,Language!$D$3:$I$211,82)&amp;" "&amp;HLOOKUP(Lan,Language!$D$3:$I$211,74)</f>
        <v>#N/A</v>
      </c>
      <c r="C1348" s="38" t="s">
        <v>158</v>
      </c>
      <c r="D1348" s="44" t="s">
        <v>43</v>
      </c>
      <c r="E1348" s="415"/>
      <c r="F1348" s="415"/>
      <c r="G1348" s="415"/>
      <c r="H1348" s="415"/>
      <c r="I1348" s="169" t="s">
        <v>152</v>
      </c>
      <c r="J1348" s="138" t="e">
        <f>+J$1294*ConvFactors!#REF!</f>
        <v>#REF!</v>
      </c>
      <c r="K1348" s="71" t="e">
        <f>+K$1294*ConvFactors!#REF!</f>
        <v>#REF!</v>
      </c>
      <c r="L1348" s="50" t="e">
        <f>+L$1294*ConvFactors!#REF!</f>
        <v>#REF!</v>
      </c>
      <c r="M1348" s="50" t="e">
        <f>+M$1294*ConvFactors!#REF!</f>
        <v>#REF!</v>
      </c>
      <c r="N1348" s="49" t="e">
        <f>+N$1294*ConvFactors!#REF!</f>
        <v>#REF!</v>
      </c>
      <c r="O1348" s="85"/>
      <c r="R1348" s="50">
        <v>0</v>
      </c>
      <c r="S1348" s="50">
        <v>0</v>
      </c>
      <c r="T1348" s="50">
        <v>0</v>
      </c>
      <c r="U1348" s="50">
        <v>0</v>
      </c>
      <c r="V1348" s="50">
        <v>0</v>
      </c>
      <c r="W1348" s="50">
        <v>0</v>
      </c>
      <c r="X1348" s="50">
        <v>0</v>
      </c>
      <c r="Y1348" s="50">
        <v>0</v>
      </c>
      <c r="Z1348" s="50">
        <v>0</v>
      </c>
      <c r="AA1348" s="50">
        <v>0</v>
      </c>
      <c r="AB1348" s="50">
        <v>0</v>
      </c>
      <c r="AC1348" s="50">
        <v>0</v>
      </c>
    </row>
    <row r="1349" spans="2:29" ht="26.25" thickBot="1" x14ac:dyDescent="0.25">
      <c r="B1349" s="110" t="e">
        <f>+HLOOKUP(Lan,Language!$D$3:$I$211,45)&amp;", "&amp;HLOOKUP(Lan,Language!$D$3:$I$211,74)</f>
        <v>#N/A</v>
      </c>
      <c r="C1349" s="111" t="s">
        <v>159</v>
      </c>
      <c r="D1349" s="161" t="s">
        <v>61</v>
      </c>
      <c r="E1349" s="418"/>
      <c r="F1349" s="418"/>
      <c r="G1349" s="418"/>
      <c r="H1349" s="418"/>
      <c r="I1349" s="170" t="s">
        <v>152</v>
      </c>
      <c r="J1349" s="139" t="e">
        <f>+J1342+J1343+J1344-J1345-J1346-J1347-J1348</f>
        <v>#REF!</v>
      </c>
      <c r="K1349" s="81" t="e">
        <f>+K1342+K1343+K1344-K1345-K1346-K1347-K1348</f>
        <v>#REF!</v>
      </c>
      <c r="L1349" s="82" t="e">
        <f>+L1342+L1343+L1344-L1345-L1346-L1347-L1348</f>
        <v>#REF!</v>
      </c>
      <c r="M1349" s="82" t="e">
        <f>+M1342+M1343+M1344-M1345-M1346-M1347-M1348</f>
        <v>#REF!</v>
      </c>
      <c r="N1349" s="83" t="e">
        <f>+N1342+N1343+N1344-N1345-N1346-N1347-N1348</f>
        <v>#REF!</v>
      </c>
      <c r="O1349" s="93"/>
      <c r="R1349" s="82">
        <v>0</v>
      </c>
      <c r="S1349" s="82">
        <v>0</v>
      </c>
      <c r="T1349" s="82">
        <v>0</v>
      </c>
      <c r="U1349" s="82">
        <v>0</v>
      </c>
      <c r="V1349" s="82">
        <v>0</v>
      </c>
      <c r="W1349" s="82">
        <v>0</v>
      </c>
      <c r="X1349" s="82">
        <v>0</v>
      </c>
      <c r="Y1349" s="82">
        <v>0</v>
      </c>
      <c r="Z1349" s="82">
        <v>0</v>
      </c>
      <c r="AA1349" s="82">
        <v>0</v>
      </c>
      <c r="AB1349" s="82">
        <v>0</v>
      </c>
      <c r="AC1349" s="82">
        <v>0</v>
      </c>
    </row>
    <row r="1350" spans="2:29" x14ac:dyDescent="0.2">
      <c r="D1350" s="128"/>
      <c r="E1350" s="128"/>
      <c r="F1350" s="128"/>
      <c r="G1350" s="128"/>
      <c r="H1350" s="908"/>
      <c r="I1350" s="128"/>
      <c r="J1350" s="140"/>
    </row>
  </sheetData>
  <mergeCells count="2">
    <mergeCell ref="C9:C10"/>
    <mergeCell ref="O175:O186"/>
  </mergeCells>
  <conditionalFormatting sqref="N1187">
    <cfRule type="cellIs" dxfId="1" priority="2" operator="equal">
      <formula>TRUE</formula>
    </cfRule>
  </conditionalFormatting>
  <conditionalFormatting sqref="K1187:M1187">
    <cfRule type="cellIs" dxfId="0" priority="1" operator="equal">
      <formula>TRUE</formula>
    </cfRule>
  </conditionalFormatting>
  <dataValidations count="8">
    <dataValidation type="list" allowBlank="1" showInputMessage="1" showErrorMessage="1" sqref="K277:N277 R277:AC277">
      <formula1>$K$271:$K$276</formula1>
    </dataValidation>
    <dataValidation type="list" allowBlank="1" showInputMessage="1" showErrorMessage="1" sqref="K334:M334 R334:AC334">
      <formula1>$K$332:$K$333</formula1>
    </dataValidation>
    <dataValidation type="list" allowBlank="1" showInputMessage="1" showErrorMessage="1" sqref="K410:N410 R410:AC410">
      <formula1>$K$403:$K$409</formula1>
    </dataValidation>
    <dataValidation type="list" allowBlank="1" showInputMessage="1" showErrorMessage="1" sqref="K444:N444 R444:AC444">
      <formula1>$K$441:$K$443</formula1>
    </dataValidation>
    <dataValidation type="list" allowBlank="1" showInputMessage="1" showErrorMessage="1" sqref="R640:AC642 K640:N642">
      <formula1>"0,1"</formula1>
    </dataValidation>
    <dataValidation type="list" allowBlank="1" showInputMessage="1" showErrorMessage="1" sqref="R935:AC935 K935:M936 N936">
      <formula1>$G$927:$G$934</formula1>
    </dataValidation>
    <dataValidation type="whole" allowBlank="1" showInputMessage="1" showErrorMessage="1" sqref="N16">
      <formula1>1</formula1>
      <formula2>AC16</formula2>
    </dataValidation>
    <dataValidation type="list" allowBlank="1" showDropDown="1" showInputMessage="1" showErrorMessage="1" sqref="N935">
      <formula1>$G$927:$G$934</formula1>
    </dataValidation>
  </dataValidations>
  <pageMargins left="0.75" right="0.75" top="1" bottom="1" header="0.5" footer="0.5"/>
  <pageSetup paperSize="9" scale="50" orientation="portrait" r:id="rId1"/>
  <headerFooter alignWithMargins="0"/>
  <rowBreaks count="2" manualBreakCount="2">
    <brk id="1282" max="10" man="1"/>
    <brk id="1300"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14342" r:id="rId4" name="Drop Down 6">
              <controlPr defaultSize="0" autoLine="0" autoPict="0">
                <anchor moveWithCells="1">
                  <from>
                    <xdr:col>2</xdr:col>
                    <xdr:colOff>828675</xdr:colOff>
                    <xdr:row>8</xdr:row>
                    <xdr:rowOff>76200</xdr:rowOff>
                  </from>
                  <to>
                    <xdr:col>3</xdr:col>
                    <xdr:colOff>1019175</xdr:colOff>
                    <xdr:row>9</xdr:row>
                    <xdr:rowOff>133350</xdr:rowOff>
                  </to>
                </anchor>
              </controlPr>
            </control>
          </mc:Choice>
        </mc:AlternateContent>
        <mc:AlternateContent xmlns:mc="http://schemas.openxmlformats.org/markup-compatibility/2006">
          <mc:Choice Requires="x14">
            <control shapeId="14355" r:id="rId5" name="Drop Down 19">
              <controlPr defaultSize="0" autoLine="0" autoPict="0">
                <anchor moveWithCells="1">
                  <from>
                    <xdr:col>3</xdr:col>
                    <xdr:colOff>361950</xdr:colOff>
                    <xdr:row>10</xdr:row>
                    <xdr:rowOff>95250</xdr:rowOff>
                  </from>
                  <to>
                    <xdr:col>8</xdr:col>
                    <xdr:colOff>390525</xdr:colOff>
                    <xdr:row>11</xdr:row>
                    <xdr:rowOff>133350</xdr:rowOff>
                  </to>
                </anchor>
              </controlPr>
            </control>
          </mc:Choice>
        </mc:AlternateContent>
        <mc:AlternateContent xmlns:mc="http://schemas.openxmlformats.org/markup-compatibility/2006">
          <mc:Choice Requires="x14">
            <control shapeId="15299" r:id="rId6" name="Drop Down 963">
              <controlPr defaultSize="0" autoLine="0" autoPict="0">
                <anchor moveWithCells="1">
                  <from>
                    <xdr:col>2</xdr:col>
                    <xdr:colOff>819150</xdr:colOff>
                    <xdr:row>5</xdr:row>
                    <xdr:rowOff>38100</xdr:rowOff>
                  </from>
                  <to>
                    <xdr:col>3</xdr:col>
                    <xdr:colOff>1000125</xdr:colOff>
                    <xdr:row>6</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tabColor rgb="FF00B050"/>
  </sheetPr>
  <dimension ref="A1:T68"/>
  <sheetViews>
    <sheetView workbookViewId="0">
      <selection activeCell="B45" sqref="B45"/>
    </sheetView>
  </sheetViews>
  <sheetFormatPr defaultRowHeight="12.75" x14ac:dyDescent="0.2"/>
  <cols>
    <col min="1" max="1" width="6.7109375" style="1" customWidth="1"/>
    <col min="2" max="2" width="40.5703125" style="2" customWidth="1"/>
    <col min="3" max="3" width="15.85546875" style="1" customWidth="1"/>
    <col min="4" max="4" width="6.42578125" style="1" customWidth="1"/>
    <col min="5" max="12" width="11.85546875" style="1" customWidth="1"/>
    <col min="13" max="13" width="36.28515625" style="1" customWidth="1"/>
    <col min="14" max="14" width="9.140625" style="1"/>
    <col min="15" max="15" width="16.5703125" style="1" customWidth="1"/>
    <col min="16" max="16384" width="9.140625" style="1"/>
  </cols>
  <sheetData>
    <row r="1" spans="1:20" x14ac:dyDescent="0.2">
      <c r="A1" s="1450"/>
      <c r="B1" s="1451"/>
      <c r="C1" s="1450"/>
      <c r="D1" s="1450"/>
      <c r="E1" s="1450"/>
      <c r="F1" s="1450"/>
      <c r="G1" s="1450"/>
      <c r="H1" s="1450"/>
      <c r="I1" s="1450"/>
      <c r="J1" s="1450"/>
      <c r="K1" s="1450"/>
      <c r="L1" s="1450"/>
      <c r="M1" s="1450"/>
      <c r="N1" s="1450"/>
      <c r="O1" s="1450"/>
      <c r="P1" s="1450"/>
    </row>
    <row r="2" spans="1:20" ht="30" x14ac:dyDescent="0.2">
      <c r="A2" s="1450"/>
      <c r="B2" s="179" t="s">
        <v>2162</v>
      </c>
      <c r="C2" s="1667" t="s">
        <v>2311</v>
      </c>
      <c r="D2" s="1450"/>
      <c r="E2" s="1450"/>
      <c r="F2" s="1450"/>
      <c r="G2" s="1450"/>
      <c r="H2" s="1450"/>
      <c r="I2" s="1450"/>
      <c r="J2" s="1450"/>
      <c r="K2" s="1450"/>
      <c r="L2" s="1450"/>
      <c r="M2" s="1450"/>
      <c r="N2" s="1450"/>
      <c r="O2" s="1450"/>
      <c r="P2" s="1450"/>
    </row>
    <row r="3" spans="1:20" x14ac:dyDescent="0.2">
      <c r="A3" s="1450"/>
      <c r="B3" s="1356"/>
      <c r="C3" s="1450"/>
      <c r="D3" s="1450"/>
      <c r="E3" s="1450"/>
      <c r="F3" s="1450"/>
      <c r="G3" s="1450"/>
      <c r="H3" s="1450"/>
      <c r="I3" s="1450"/>
      <c r="J3" s="1450"/>
      <c r="K3" s="1450"/>
      <c r="L3" s="1450"/>
      <c r="M3" s="1450"/>
      <c r="N3" s="1450"/>
      <c r="O3" s="1450"/>
      <c r="P3" s="1450"/>
    </row>
    <row r="4" spans="1:20" ht="13.5" thickBot="1" x14ac:dyDescent="0.25">
      <c r="A4" s="1450"/>
      <c r="B4" s="1450"/>
      <c r="C4" s="1437"/>
      <c r="D4" s="1437"/>
      <c r="E4" s="1450"/>
      <c r="F4" s="1450"/>
      <c r="G4" s="1450"/>
      <c r="H4" s="1450"/>
      <c r="I4" s="1450"/>
      <c r="J4" s="1450"/>
      <c r="K4" s="1450"/>
      <c r="L4" s="1450"/>
      <c r="M4" s="1450"/>
      <c r="N4" s="1450"/>
      <c r="O4" s="1450"/>
      <c r="P4" s="1450"/>
    </row>
    <row r="5" spans="1:20" ht="13.5" thickBot="1" x14ac:dyDescent="0.25">
      <c r="A5" s="1450"/>
      <c r="B5" s="5" t="s">
        <v>2423</v>
      </c>
      <c r="C5" s="1435"/>
      <c r="D5" s="1435"/>
      <c r="E5" s="1435"/>
      <c r="F5" s="1435"/>
      <c r="G5" s="1435"/>
      <c r="H5" s="1435"/>
      <c r="I5" s="1435"/>
      <c r="J5" s="1435"/>
      <c r="K5" s="1435"/>
      <c r="L5" s="1435"/>
      <c r="M5" s="1435"/>
      <c r="N5" s="1435"/>
      <c r="O5" s="1436"/>
      <c r="P5" s="1450"/>
    </row>
    <row r="6" spans="1:20" x14ac:dyDescent="0.2">
      <c r="A6" s="1450"/>
      <c r="B6" s="1367" t="s">
        <v>2183</v>
      </c>
      <c r="C6" s="1368"/>
      <c r="D6" s="1437"/>
      <c r="E6" s="1357" t="s">
        <v>2184</v>
      </c>
      <c r="F6" s="1358"/>
      <c r="G6" s="1358"/>
      <c r="H6" s="1358"/>
      <c r="I6" s="1358"/>
      <c r="J6" s="1358"/>
      <c r="K6" s="1358"/>
      <c r="L6" s="1358"/>
      <c r="M6" s="1359"/>
      <c r="N6" s="1437"/>
      <c r="O6" s="1438"/>
      <c r="P6" s="1450"/>
    </row>
    <row r="7" spans="1:20" ht="20.25" customHeight="1" thickBot="1" x14ac:dyDescent="0.25">
      <c r="A7" s="1450"/>
      <c r="B7" s="1355" t="s">
        <v>35</v>
      </c>
      <c r="C7" s="1353">
        <v>1</v>
      </c>
      <c r="D7" s="1437"/>
      <c r="E7" s="1360" t="s">
        <v>2306</v>
      </c>
      <c r="F7" s="1361"/>
      <c r="G7" s="1361"/>
      <c r="H7" s="1361"/>
      <c r="I7" s="1361"/>
      <c r="J7" s="1361"/>
      <c r="K7" s="1361"/>
      <c r="L7" s="1361"/>
      <c r="M7" s="1362"/>
      <c r="N7" s="1437"/>
      <c r="O7" s="1438"/>
      <c r="P7" s="1450"/>
    </row>
    <row r="8" spans="1:20" ht="13.5" thickBot="1" x14ac:dyDescent="0.25">
      <c r="A8" s="1450"/>
      <c r="B8" s="1442"/>
      <c r="C8" s="1437"/>
      <c r="D8" s="1437"/>
      <c r="E8" s="1437"/>
      <c r="F8" s="1437"/>
      <c r="G8" s="1437"/>
      <c r="H8" s="1437"/>
      <c r="I8" s="1437"/>
      <c r="J8" s="1437"/>
      <c r="K8" s="1437"/>
      <c r="L8" s="1437"/>
      <c r="M8" s="1437"/>
      <c r="N8" s="1437"/>
      <c r="O8" s="1438"/>
      <c r="P8" s="1450"/>
    </row>
    <row r="9" spans="1:20" ht="13.5" thickBot="1" x14ac:dyDescent="0.25">
      <c r="A9" s="1450"/>
      <c r="B9" s="1442"/>
      <c r="C9" s="1437"/>
      <c r="D9" s="1437"/>
      <c r="E9" s="1439" t="str">
        <f>INDEX(Language!$D$106:$N$106,1,_language)</f>
        <v>Value</v>
      </c>
      <c r="F9" s="1440" t="str">
        <f>INDEX(Language!$D$106:$N$106,1,_language)</f>
        <v>Value</v>
      </c>
      <c r="G9" s="1440" t="str">
        <f>INDEX(Language!$D$106:$N$106,1,_language)</f>
        <v>Value</v>
      </c>
      <c r="H9" s="1440" t="str">
        <f>INDEX(Language!$D$106:$N$106,1,_language)</f>
        <v>Value</v>
      </c>
      <c r="I9" s="1440" t="str">
        <f>INDEX(Language!$D$106:$N$106,1,_language)</f>
        <v>Value</v>
      </c>
      <c r="J9" s="1440" t="str">
        <f>INDEX(Language!$D$106:$N$106,1,_language)</f>
        <v>Value</v>
      </c>
      <c r="K9" s="1440" t="str">
        <f>INDEX(Language!$D$106:$N$106,1,_language)</f>
        <v>Value</v>
      </c>
      <c r="L9" s="1440" t="str">
        <f>INDEX(Language!$D$106:$N$106,1,_language)</f>
        <v>Value</v>
      </c>
      <c r="M9" s="1441" t="str">
        <f>INDEX(Language!$D$107:$N$107,1,_language)</f>
        <v>Comments</v>
      </c>
      <c r="N9" s="1437"/>
      <c r="O9" s="1438"/>
      <c r="P9" s="1450"/>
      <c r="R9" s="1648"/>
      <c r="S9" s="1649" t="s">
        <v>2309</v>
      </c>
      <c r="T9" s="1650"/>
    </row>
    <row r="10" spans="1:20" ht="34.5" thickBot="1" x14ac:dyDescent="0.25">
      <c r="A10" s="1450"/>
      <c r="B10" s="1470" t="s">
        <v>2175</v>
      </c>
      <c r="C10" s="1471" t="str">
        <f>INDEX(E10:L10,,_case_priority)</f>
        <v>prEN 15603 2015</v>
      </c>
      <c r="D10" s="1437"/>
      <c r="E10" s="1369" t="str">
        <f>+ConvFactors!I30</f>
        <v>prEN 15603 2015</v>
      </c>
      <c r="F10" s="1370" t="str">
        <f>+ConvFactors!J30</f>
        <v>DIN</v>
      </c>
      <c r="G10" s="1370" t="str">
        <f>+ConvFactors!K30</f>
        <v>EN 15603 : 2008</v>
      </c>
      <c r="H10" s="1370" t="str">
        <f>+ConvFactors!L30</f>
        <v>UNI</v>
      </c>
      <c r="I10" s="1370" t="str">
        <f>+ConvFactors!M30</f>
        <v>DIN no rdel</v>
      </c>
      <c r="J10" s="1370" t="str">
        <f>+ConvFactors!N30</f>
        <v>DIN no exp</v>
      </c>
      <c r="K10" s="1370" t="str">
        <f>+ConvFactors!O30</f>
        <v>DIN exp</v>
      </c>
      <c r="L10" s="1476" t="str">
        <f>+ConvFactors!P30</f>
        <v>Custom</v>
      </c>
      <c r="M10" s="1445"/>
      <c r="N10" s="1437"/>
      <c r="O10" s="1429" t="s">
        <v>2161</v>
      </c>
      <c r="P10" s="1450"/>
      <c r="R10" s="1651">
        <v>2</v>
      </c>
      <c r="S10" s="1652">
        <v>1</v>
      </c>
      <c r="T10" s="1653"/>
    </row>
    <row r="11" spans="1:20" ht="21.75" customHeight="1" x14ac:dyDescent="0.2">
      <c r="A11" s="1450"/>
      <c r="B11" s="1457" t="s">
        <v>2192</v>
      </c>
      <c r="C11" s="1458" t="str">
        <f>INDEX(E11:L11,,_case_priority)</f>
        <v>el_pv</v>
      </c>
      <c r="D11" s="1437"/>
      <c r="E11" s="1460" t="s">
        <v>2077</v>
      </c>
      <c r="F11" s="1461" t="s">
        <v>2278</v>
      </c>
      <c r="G11" s="1461" t="s">
        <v>2278</v>
      </c>
      <c r="H11" s="1461" t="s">
        <v>2278</v>
      </c>
      <c r="I11" s="1461" t="s">
        <v>2278</v>
      </c>
      <c r="J11" s="1461" t="s">
        <v>2278</v>
      </c>
      <c r="K11" s="1461" t="s">
        <v>2278</v>
      </c>
      <c r="L11" s="1462" t="str">
        <f>INDEX(R11:R14,R10)</f>
        <v>el_pv</v>
      </c>
      <c r="M11" s="1463" t="s">
        <v>2191</v>
      </c>
      <c r="N11" s="1437"/>
      <c r="O11" s="1430" t="str">
        <f>+E10</f>
        <v>prEN 15603 2015</v>
      </c>
      <c r="P11" s="1450"/>
      <c r="R11" s="1654" t="s">
        <v>2278</v>
      </c>
      <c r="S11" s="1655" t="str">
        <f>IF($R$10=1,R11,IF($R$10=2,R13,IF($R$10=3,R14,R12)))</f>
        <v>el_chp</v>
      </c>
      <c r="T11" s="1656" t="str">
        <f>IF(S10=1,S12,S11)</f>
        <v>el_wind</v>
      </c>
    </row>
    <row r="12" spans="1:20" ht="21.75" customHeight="1" x14ac:dyDescent="0.2">
      <c r="A12" s="1450"/>
      <c r="B12" s="1467" t="s">
        <v>2193</v>
      </c>
      <c r="C12" s="1468" t="str">
        <f>IF(C11=R11,R11,INDEX(E12:L12,,_case_priority))</f>
        <v>el_wind</v>
      </c>
      <c r="D12" s="1437"/>
      <c r="E12" s="1472" t="s">
        <v>2270</v>
      </c>
      <c r="F12" s="1473" t="s">
        <v>2278</v>
      </c>
      <c r="G12" s="1473" t="s">
        <v>2278</v>
      </c>
      <c r="H12" s="1473" t="s">
        <v>2278</v>
      </c>
      <c r="I12" s="1473" t="s">
        <v>2278</v>
      </c>
      <c r="J12" s="1473" t="s">
        <v>2278</v>
      </c>
      <c r="K12" s="1473" t="s">
        <v>2278</v>
      </c>
      <c r="L12" s="1414" t="str">
        <f>INDEX(S11:S12,S10)</f>
        <v>el_chp</v>
      </c>
      <c r="M12" s="1474"/>
      <c r="N12" s="1437"/>
      <c r="O12" s="1431" t="str">
        <f>+F10</f>
        <v>DIN</v>
      </c>
      <c r="P12" s="1450"/>
      <c r="R12" s="1657" t="s">
        <v>2077</v>
      </c>
      <c r="S12" s="1655" t="str">
        <f>IF($R$10=1,R11,IF($R$10=2,R14,IF($R$10=3,R12,R13)))</f>
        <v>el_wind</v>
      </c>
      <c r="T12" s="1656"/>
    </row>
    <row r="13" spans="1:20" ht="21.75" customHeight="1" thickBot="1" x14ac:dyDescent="0.25">
      <c r="A13" s="1450"/>
      <c r="B13" s="1459" t="s">
        <v>2194</v>
      </c>
      <c r="C13" s="1469" t="str">
        <f>IF(C11=R11,R11,INDEX(E13:L13,,_case_priority))</f>
        <v>el_chp</v>
      </c>
      <c r="D13" s="1437"/>
      <c r="E13" s="1464" t="s">
        <v>2078</v>
      </c>
      <c r="F13" s="1465" t="s">
        <v>2278</v>
      </c>
      <c r="G13" s="1465" t="s">
        <v>2278</v>
      </c>
      <c r="H13" s="1465" t="s">
        <v>2278</v>
      </c>
      <c r="I13" s="1465" t="s">
        <v>2278</v>
      </c>
      <c r="J13" s="1465" t="s">
        <v>2278</v>
      </c>
      <c r="K13" s="1465" t="s">
        <v>2278</v>
      </c>
      <c r="L13" s="1416" t="str">
        <f>T11</f>
        <v>el_wind</v>
      </c>
      <c r="M13" s="1466"/>
      <c r="N13" s="1437"/>
      <c r="O13" s="1431" t="str">
        <f>+G10</f>
        <v>EN 15603 : 2008</v>
      </c>
      <c r="P13" s="1450"/>
      <c r="R13" s="1657" t="s">
        <v>2078</v>
      </c>
      <c r="S13" s="1655"/>
      <c r="T13" s="1656"/>
    </row>
    <row r="14" spans="1:20" ht="13.5" thickBot="1" x14ac:dyDescent="0.25">
      <c r="A14" s="1450"/>
      <c r="B14" s="1448"/>
      <c r="C14" s="1437"/>
      <c r="D14" s="1437"/>
      <c r="E14" s="1437"/>
      <c r="F14" s="1437"/>
      <c r="G14" s="1437"/>
      <c r="H14" s="1437"/>
      <c r="I14" s="1437"/>
      <c r="J14" s="1437"/>
      <c r="K14" s="1437"/>
      <c r="L14" s="1437"/>
      <c r="M14" s="1437"/>
      <c r="N14" s="1437"/>
      <c r="O14" s="1431" t="str">
        <f>+H10</f>
        <v>UNI</v>
      </c>
      <c r="P14" s="1450"/>
      <c r="R14" s="1658" t="s">
        <v>2270</v>
      </c>
      <c r="S14" s="1659"/>
      <c r="T14" s="1660"/>
    </row>
    <row r="15" spans="1:20" x14ac:dyDescent="0.2">
      <c r="A15" s="1450"/>
      <c r="B15" s="1448"/>
      <c r="C15" s="1437"/>
      <c r="D15" s="1437"/>
      <c r="E15" s="1437"/>
      <c r="F15" s="1437"/>
      <c r="G15" s="1437"/>
      <c r="H15" s="1437"/>
      <c r="I15" s="1437"/>
      <c r="J15" s="1437"/>
      <c r="K15" s="1437"/>
      <c r="L15" s="1437"/>
      <c r="M15" s="1437"/>
      <c r="N15" s="1437"/>
      <c r="O15" s="1431" t="str">
        <f>+I10</f>
        <v>DIN no rdel</v>
      </c>
      <c r="P15" s="1450"/>
    </row>
    <row r="16" spans="1:20" x14ac:dyDescent="0.2">
      <c r="A16" s="1450"/>
      <c r="B16" s="1447"/>
      <c r="C16" s="1437"/>
      <c r="D16" s="1437"/>
      <c r="E16" s="1437"/>
      <c r="F16" s="1437"/>
      <c r="G16" s="1437"/>
      <c r="H16" s="1437"/>
      <c r="I16" s="1437"/>
      <c r="J16" s="1437"/>
      <c r="K16" s="1437"/>
      <c r="L16" s="1437"/>
      <c r="M16" s="1437"/>
      <c r="N16" s="1437"/>
      <c r="O16" s="1431" t="str">
        <f>+J10</f>
        <v>DIN no exp</v>
      </c>
      <c r="P16" s="1450"/>
    </row>
    <row r="17" spans="1:16" x14ac:dyDescent="0.2">
      <c r="A17" s="1450"/>
      <c r="B17" s="1447"/>
      <c r="C17" s="1437"/>
      <c r="D17" s="1437"/>
      <c r="E17" s="1437"/>
      <c r="F17" s="1437"/>
      <c r="G17" s="1437"/>
      <c r="H17" s="1437"/>
      <c r="I17" s="1437"/>
      <c r="J17" s="1437"/>
      <c r="K17" s="1437"/>
      <c r="L17" s="1437"/>
      <c r="M17" s="1437"/>
      <c r="N17" s="1437"/>
      <c r="O17" s="1431" t="str">
        <f>+K10</f>
        <v>DIN exp</v>
      </c>
      <c r="P17" s="1450"/>
    </row>
    <row r="18" spans="1:16" ht="13.5" thickBot="1" x14ac:dyDescent="0.25">
      <c r="A18" s="1450"/>
      <c r="B18" s="1449"/>
      <c r="C18" s="1443"/>
      <c r="D18" s="1443"/>
      <c r="E18" s="1443"/>
      <c r="F18" s="1443"/>
      <c r="G18" s="1443"/>
      <c r="H18" s="1443"/>
      <c r="I18" s="1443"/>
      <c r="J18" s="1443"/>
      <c r="K18" s="1443"/>
      <c r="L18" s="1443"/>
      <c r="M18" s="1443"/>
      <c r="N18" s="1443"/>
      <c r="O18" s="1433" t="str">
        <f>+L10</f>
        <v>Custom</v>
      </c>
      <c r="P18" s="1450"/>
    </row>
    <row r="19" spans="1:16" ht="13.5" thickBot="1" x14ac:dyDescent="0.25">
      <c r="A19" s="1450"/>
      <c r="B19" s="1452"/>
      <c r="C19" s="1453"/>
      <c r="D19" s="1437"/>
      <c r="E19" s="1437"/>
      <c r="F19" s="1437"/>
      <c r="G19" s="1437"/>
      <c r="H19" s="1437"/>
      <c r="I19" s="1437"/>
      <c r="J19" s="1437"/>
      <c r="K19" s="1437"/>
      <c r="L19" s="1437"/>
      <c r="M19" s="1437"/>
      <c r="N19" s="1450"/>
      <c r="O19" s="1450"/>
      <c r="P19" s="1450"/>
    </row>
    <row r="20" spans="1:16" ht="13.5" thickBot="1" x14ac:dyDescent="0.25">
      <c r="A20" s="1450"/>
      <c r="B20" s="5" t="s">
        <v>2424</v>
      </c>
      <c r="C20" s="1435"/>
      <c r="D20" s="1435"/>
      <c r="E20" s="1435"/>
      <c r="F20" s="1435"/>
      <c r="G20" s="1435"/>
      <c r="H20" s="1435"/>
      <c r="I20" s="1435"/>
      <c r="J20" s="1435"/>
      <c r="K20" s="1435"/>
      <c r="L20" s="1435"/>
      <c r="M20" s="1435"/>
      <c r="N20" s="1435"/>
      <c r="O20" s="1436"/>
      <c r="P20" s="1450"/>
    </row>
    <row r="21" spans="1:16" x14ac:dyDescent="0.2">
      <c r="A21" s="1450"/>
      <c r="B21" s="1367" t="s">
        <v>2307</v>
      </c>
      <c r="C21" s="1368"/>
      <c r="D21" s="1437"/>
      <c r="E21" s="1357" t="s">
        <v>2308</v>
      </c>
      <c r="F21" s="1358"/>
      <c r="G21" s="1358"/>
      <c r="H21" s="1358"/>
      <c r="I21" s="1358"/>
      <c r="J21" s="1358"/>
      <c r="K21" s="1358"/>
      <c r="L21" s="1358"/>
      <c r="M21" s="1359"/>
      <c r="N21" s="1437"/>
      <c r="O21" s="1438"/>
      <c r="P21" s="1450"/>
    </row>
    <row r="22" spans="1:16" ht="23.25" customHeight="1" thickBot="1" x14ac:dyDescent="0.25">
      <c r="A22" s="1450"/>
      <c r="B22" s="1355" t="s">
        <v>35</v>
      </c>
      <c r="C22" s="1353">
        <v>1</v>
      </c>
      <c r="D22" s="1437"/>
      <c r="E22" s="1360"/>
      <c r="F22" s="1361"/>
      <c r="G22" s="1361"/>
      <c r="H22" s="1361"/>
      <c r="I22" s="1361"/>
      <c r="J22" s="1361"/>
      <c r="K22" s="1361"/>
      <c r="L22" s="1361"/>
      <c r="M22" s="1362"/>
      <c r="N22" s="1437"/>
      <c r="O22" s="1438"/>
      <c r="P22" s="1450"/>
    </row>
    <row r="23" spans="1:16" ht="13.5" thickBot="1" x14ac:dyDescent="0.25">
      <c r="A23" s="1450"/>
      <c r="B23" s="1442"/>
      <c r="C23" s="1437"/>
      <c r="D23" s="1437"/>
      <c r="E23" s="1437"/>
      <c r="F23" s="1437"/>
      <c r="G23" s="1437"/>
      <c r="H23" s="1437"/>
      <c r="I23" s="1437"/>
      <c r="J23" s="1437"/>
      <c r="K23" s="1437"/>
      <c r="L23" s="1437"/>
      <c r="M23" s="1437"/>
      <c r="N23" s="1437"/>
      <c r="O23" s="1438"/>
      <c r="P23" s="1450"/>
    </row>
    <row r="24" spans="1:16" ht="13.5" thickBot="1" x14ac:dyDescent="0.25">
      <c r="A24" s="1450"/>
      <c r="B24" s="1442"/>
      <c r="C24" s="1437"/>
      <c r="D24" s="1437"/>
      <c r="E24" s="1439" t="str">
        <f>INDEX(Language!$D$106:$N$106,1,_language)</f>
        <v>Value</v>
      </c>
      <c r="F24" s="1440" t="str">
        <f>INDEX(Language!$D$106:$N$106,1,_language)</f>
        <v>Value</v>
      </c>
      <c r="G24" s="1440" t="str">
        <f>INDEX(Language!$D$106:$N$106,1,_language)</f>
        <v>Value</v>
      </c>
      <c r="H24" s="1440" t="str">
        <f>INDEX(Language!$D$106:$N$106,1,_language)</f>
        <v>Value</v>
      </c>
      <c r="I24" s="1440" t="str">
        <f>INDEX(Language!$D$106:$N$106,1,_language)</f>
        <v>Value</v>
      </c>
      <c r="J24" s="1440" t="str">
        <f>INDEX(Language!$D$106:$N$106,1,_language)</f>
        <v>Value</v>
      </c>
      <c r="K24" s="1440" t="str">
        <f>INDEX(Language!$D$106:$N$106,1,_language)</f>
        <v>Value</v>
      </c>
      <c r="L24" s="1440" t="str">
        <f>INDEX(Language!$D$106:$N$106,1,_language)</f>
        <v>Value</v>
      </c>
      <c r="M24" s="1441" t="str">
        <f>INDEX(Language!$D$107:$N$107,1,_language)</f>
        <v>Comments</v>
      </c>
      <c r="N24" s="1437"/>
      <c r="O24" s="1438"/>
      <c r="P24" s="1450"/>
    </row>
    <row r="25" spans="1:16" ht="34.5" thickBot="1" x14ac:dyDescent="0.25">
      <c r="A25" s="1450"/>
      <c r="B25" s="3" t="s">
        <v>2175</v>
      </c>
      <c r="C25" s="1387" t="str">
        <f>INDEX(E25:L25,,_case_priority)</f>
        <v>prEN 15603 2015</v>
      </c>
      <c r="D25" s="1437"/>
      <c r="E25" s="1258" t="str">
        <f>+ConvFactors!I30</f>
        <v>prEN 15603 2015</v>
      </c>
      <c r="F25" s="1259" t="str">
        <f>+ConvFactors!J30</f>
        <v>DIN</v>
      </c>
      <c r="G25" s="1259" t="str">
        <f>+ConvFactors!K30</f>
        <v>EN 15603 : 2008</v>
      </c>
      <c r="H25" s="1259" t="str">
        <f>+ConvFactors!L30</f>
        <v>UNI</v>
      </c>
      <c r="I25" s="1259" t="str">
        <f>+ConvFactors!M30</f>
        <v>DIN no rdel</v>
      </c>
      <c r="J25" s="1259" t="str">
        <f>+ConvFactors!N30</f>
        <v>DIN no exp</v>
      </c>
      <c r="K25" s="1259" t="str">
        <f>+ConvFactors!O30</f>
        <v>DIN exp</v>
      </c>
      <c r="L25" s="1259" t="str">
        <f>+ConvFactors!P30</f>
        <v>Custom</v>
      </c>
      <c r="M25" s="1250"/>
      <c r="N25" s="1437"/>
      <c r="O25" s="1429" t="s">
        <v>2161</v>
      </c>
      <c r="P25" s="1450"/>
    </row>
    <row r="26" spans="1:16" ht="15" x14ac:dyDescent="0.2">
      <c r="A26" s="1450"/>
      <c r="B26" s="1388" t="s">
        <v>2185</v>
      </c>
      <c r="C26" s="1418">
        <f>INDEX(E26:L26,,_case_k_factors)</f>
        <v>0</v>
      </c>
      <c r="D26" s="1437"/>
      <c r="E26" s="1409">
        <v>0</v>
      </c>
      <c r="F26" s="1384"/>
      <c r="G26" s="1384"/>
      <c r="H26" s="1413">
        <v>0</v>
      </c>
      <c r="I26" s="1384"/>
      <c r="J26" s="1384"/>
      <c r="K26" s="1384"/>
      <c r="L26" s="1413">
        <v>1</v>
      </c>
      <c r="M26" s="1427"/>
      <c r="N26" s="1437"/>
      <c r="O26" s="1430" t="str">
        <f>+E25</f>
        <v>prEN 15603 2015</v>
      </c>
      <c r="P26" s="1450"/>
    </row>
    <row r="27" spans="1:16" ht="15.75" thickBot="1" x14ac:dyDescent="0.25">
      <c r="A27" s="1450"/>
      <c r="B27" s="1422" t="s">
        <v>2186</v>
      </c>
      <c r="C27" s="1423">
        <f>INDEX(E27:L27,,_case_k_factors)</f>
        <v>1</v>
      </c>
      <c r="D27" s="1437"/>
      <c r="E27" s="1424">
        <v>1</v>
      </c>
      <c r="F27" s="1425"/>
      <c r="G27" s="1425"/>
      <c r="H27" s="1426">
        <v>0</v>
      </c>
      <c r="I27" s="1425"/>
      <c r="J27" s="1425"/>
      <c r="K27" s="1425"/>
      <c r="L27" s="1426">
        <v>0</v>
      </c>
      <c r="M27" s="1428"/>
      <c r="N27" s="1437"/>
      <c r="O27" s="1431" t="str">
        <f>+F25</f>
        <v>DIN</v>
      </c>
      <c r="P27" s="1450"/>
    </row>
    <row r="28" spans="1:16" x14ac:dyDescent="0.2">
      <c r="A28" s="1450"/>
      <c r="B28" s="1447"/>
      <c r="C28" s="1437"/>
      <c r="D28" s="1437"/>
      <c r="E28" s="823"/>
      <c r="F28" s="823"/>
      <c r="G28" s="823"/>
      <c r="H28" s="823"/>
      <c r="I28" s="823"/>
      <c r="J28" s="823"/>
      <c r="K28" s="823"/>
      <c r="L28" s="823"/>
      <c r="M28" s="1446"/>
      <c r="N28" s="1437"/>
      <c r="O28" s="1431" t="str">
        <f>+G25</f>
        <v>EN 15603 : 2008</v>
      </c>
      <c r="P28" s="1450"/>
    </row>
    <row r="29" spans="1:16" x14ac:dyDescent="0.2">
      <c r="A29" s="1450"/>
      <c r="B29" s="1447"/>
      <c r="C29" s="1437"/>
      <c r="D29" s="1437"/>
      <c r="E29" s="823"/>
      <c r="F29" s="823"/>
      <c r="G29" s="823"/>
      <c r="H29" s="823"/>
      <c r="I29" s="823"/>
      <c r="J29" s="823"/>
      <c r="K29" s="823"/>
      <c r="L29" s="823"/>
      <c r="M29" s="1446"/>
      <c r="N29" s="1437"/>
      <c r="O29" s="1431" t="str">
        <f>+H25</f>
        <v>UNI</v>
      </c>
      <c r="P29" s="1450"/>
    </row>
    <row r="30" spans="1:16" x14ac:dyDescent="0.2">
      <c r="A30" s="1450"/>
      <c r="B30" s="1448"/>
      <c r="C30" s="1437"/>
      <c r="D30" s="1437"/>
      <c r="E30" s="1437"/>
      <c r="F30" s="1437"/>
      <c r="G30" s="1437"/>
      <c r="H30" s="1437"/>
      <c r="I30" s="1437"/>
      <c r="J30" s="1437"/>
      <c r="K30" s="1437"/>
      <c r="L30" s="1437"/>
      <c r="M30" s="1437"/>
      <c r="N30" s="1437"/>
      <c r="O30" s="1431" t="str">
        <f>+I25</f>
        <v>DIN no rdel</v>
      </c>
      <c r="P30" s="1450"/>
    </row>
    <row r="31" spans="1:16" x14ac:dyDescent="0.2">
      <c r="A31" s="1450"/>
      <c r="B31" s="1447"/>
      <c r="C31" s="1437"/>
      <c r="D31" s="1437"/>
      <c r="E31" s="1437"/>
      <c r="F31" s="1437"/>
      <c r="G31" s="1437"/>
      <c r="H31" s="1437"/>
      <c r="I31" s="1437"/>
      <c r="J31" s="1437"/>
      <c r="K31" s="1437"/>
      <c r="L31" s="1437"/>
      <c r="M31" s="1437"/>
      <c r="N31" s="1437"/>
      <c r="O31" s="1431" t="str">
        <f>+J25</f>
        <v>DIN no exp</v>
      </c>
      <c r="P31" s="1450"/>
    </row>
    <row r="32" spans="1:16" x14ac:dyDescent="0.2">
      <c r="A32" s="1450"/>
      <c r="B32" s="1447"/>
      <c r="C32" s="1437"/>
      <c r="D32" s="1437"/>
      <c r="E32" s="1437"/>
      <c r="F32" s="1437"/>
      <c r="G32" s="1437"/>
      <c r="H32" s="1437"/>
      <c r="I32" s="1437"/>
      <c r="J32" s="1437"/>
      <c r="K32" s="1437"/>
      <c r="L32" s="1437"/>
      <c r="M32" s="1437"/>
      <c r="N32" s="1437"/>
      <c r="O32" s="1431" t="str">
        <f>+K25</f>
        <v>DIN exp</v>
      </c>
      <c r="P32" s="1450"/>
    </row>
    <row r="33" spans="1:16" ht="13.5" thickBot="1" x14ac:dyDescent="0.25">
      <c r="A33" s="1450"/>
      <c r="B33" s="1449"/>
      <c r="C33" s="1443"/>
      <c r="D33" s="1443"/>
      <c r="E33" s="1443"/>
      <c r="F33" s="1443"/>
      <c r="G33" s="1443"/>
      <c r="H33" s="1443"/>
      <c r="I33" s="1443"/>
      <c r="J33" s="1443"/>
      <c r="K33" s="1443"/>
      <c r="L33" s="1443"/>
      <c r="M33" s="1443"/>
      <c r="N33" s="1443"/>
      <c r="O33" s="1433" t="str">
        <f>+L25</f>
        <v>Custom</v>
      </c>
      <c r="P33" s="1450"/>
    </row>
    <row r="34" spans="1:16" x14ac:dyDescent="0.2">
      <c r="A34" s="1450"/>
      <c r="B34" s="1451"/>
      <c r="C34" s="1450"/>
      <c r="D34" s="1450"/>
      <c r="E34" s="1450"/>
      <c r="F34" s="1450"/>
      <c r="G34" s="1450"/>
      <c r="H34" s="1450"/>
      <c r="I34" s="1450"/>
      <c r="J34" s="1450"/>
      <c r="K34" s="1450"/>
      <c r="L34" s="1450"/>
      <c r="M34" s="1450"/>
      <c r="N34" s="1450"/>
      <c r="O34" s="1450"/>
      <c r="P34" s="1450"/>
    </row>
    <row r="35" spans="1:16" ht="13.5" thickBot="1" x14ac:dyDescent="0.25">
      <c r="A35" s="1450"/>
      <c r="B35" s="1451"/>
      <c r="C35" s="1450"/>
      <c r="D35" s="1450"/>
      <c r="E35" s="1450"/>
      <c r="F35" s="1450"/>
      <c r="G35" s="1450"/>
      <c r="H35" s="1450"/>
      <c r="I35" s="1450"/>
      <c r="J35" s="1450"/>
      <c r="K35" s="1450"/>
      <c r="L35" s="1450"/>
      <c r="M35" s="1450"/>
      <c r="N35" s="1450"/>
      <c r="O35" s="1450"/>
      <c r="P35" s="1450"/>
    </row>
    <row r="36" spans="1:16" ht="13.5" thickBot="1" x14ac:dyDescent="0.25">
      <c r="A36" s="1450"/>
      <c r="B36" s="5" t="s">
        <v>2425</v>
      </c>
      <c r="C36" s="1435"/>
      <c r="D36" s="1435"/>
      <c r="E36" s="1435"/>
      <c r="F36" s="1435"/>
      <c r="G36" s="1435"/>
      <c r="H36" s="1435"/>
      <c r="I36" s="1435"/>
      <c r="J36" s="1435"/>
      <c r="K36" s="1435"/>
      <c r="L36" s="1435"/>
      <c r="M36" s="1435"/>
      <c r="N36" s="1435"/>
      <c r="O36" s="1436"/>
      <c r="P36" s="1450"/>
    </row>
    <row r="37" spans="1:16" x14ac:dyDescent="0.2">
      <c r="A37" s="1450"/>
      <c r="B37" s="1367" t="s">
        <v>2203</v>
      </c>
      <c r="C37" s="1368"/>
      <c r="D37" s="1437"/>
      <c r="E37" s="1357" t="s">
        <v>2204</v>
      </c>
      <c r="F37" s="1358"/>
      <c r="G37" s="1358"/>
      <c r="H37" s="1358"/>
      <c r="I37" s="1358"/>
      <c r="J37" s="1358"/>
      <c r="K37" s="1358"/>
      <c r="L37" s="1358"/>
      <c r="M37" s="1359"/>
      <c r="N37" s="1437"/>
      <c r="O37" s="1492" t="s">
        <v>14</v>
      </c>
      <c r="P37" s="1450"/>
    </row>
    <row r="38" spans="1:16" ht="23.25" customHeight="1" thickBot="1" x14ac:dyDescent="0.25">
      <c r="A38" s="1450"/>
      <c r="B38" s="1491" t="s">
        <v>35</v>
      </c>
      <c r="C38" s="1353">
        <v>2</v>
      </c>
      <c r="D38" s="1437"/>
      <c r="E38" s="1496"/>
      <c r="F38" s="1495"/>
      <c r="G38"/>
      <c r="H38" s="1495"/>
      <c r="I38" s="1494" t="s">
        <v>2205</v>
      </c>
      <c r="K38" s="1495"/>
      <c r="L38" s="1495"/>
      <c r="M38" s="1497"/>
      <c r="N38" s="1437"/>
      <c r="O38" s="1493" t="s">
        <v>15</v>
      </c>
      <c r="P38" s="1450"/>
    </row>
    <row r="39" spans="1:16" x14ac:dyDescent="0.2">
      <c r="A39" s="1450"/>
      <c r="B39" s="1442"/>
      <c r="C39" s="1437"/>
      <c r="D39" s="1437"/>
      <c r="E39" s="1498"/>
      <c r="F39" s="1437"/>
      <c r="G39" s="1437"/>
      <c r="H39" s="1437"/>
      <c r="I39" s="1437"/>
      <c r="J39" s="1437"/>
      <c r="K39" s="1437"/>
      <c r="L39" s="1437"/>
      <c r="M39" s="1438"/>
      <c r="N39" s="1437"/>
      <c r="O39" s="1438"/>
      <c r="P39" s="1450"/>
    </row>
    <row r="40" spans="1:16" x14ac:dyDescent="0.2">
      <c r="A40" s="1450"/>
      <c r="B40" s="1447"/>
      <c r="C40" s="1437"/>
      <c r="D40" s="1437"/>
      <c r="E40" s="1501" t="s">
        <v>2206</v>
      </c>
      <c r="F40" s="823"/>
      <c r="G40" s="823"/>
      <c r="H40" s="823"/>
      <c r="I40" s="823"/>
      <c r="J40" s="823"/>
      <c r="K40" s="823"/>
      <c r="L40" s="823"/>
      <c r="M40" s="1499"/>
      <c r="N40" s="1437"/>
      <c r="O40" s="1438"/>
      <c r="P40" s="1450"/>
    </row>
    <row r="41" spans="1:16" ht="13.5" thickBot="1" x14ac:dyDescent="0.25">
      <c r="A41" s="1450"/>
      <c r="B41" s="1490"/>
      <c r="C41" s="1443"/>
      <c r="D41" s="1443"/>
      <c r="E41" s="1500"/>
      <c r="F41" s="1443"/>
      <c r="G41" s="1443"/>
      <c r="H41" s="1443"/>
      <c r="I41" s="1443"/>
      <c r="J41" s="1443"/>
      <c r="K41" s="1443"/>
      <c r="L41" s="1443"/>
      <c r="M41" s="1444"/>
      <c r="N41" s="1443"/>
      <c r="O41" s="1444"/>
      <c r="P41" s="1450"/>
    </row>
    <row r="42" spans="1:16" x14ac:dyDescent="0.2">
      <c r="A42" s="1450"/>
      <c r="B42" s="1451"/>
      <c r="C42" s="1450"/>
      <c r="D42" s="1450"/>
      <c r="E42" s="1450"/>
      <c r="F42" s="1450"/>
      <c r="G42" s="1450"/>
      <c r="H42" s="1450"/>
      <c r="I42" s="1450"/>
      <c r="J42" s="1450"/>
      <c r="K42" s="1450"/>
      <c r="L42" s="1450"/>
      <c r="M42" s="1450"/>
      <c r="N42" s="1450"/>
      <c r="O42" s="1450"/>
      <c r="P42" s="1450"/>
    </row>
    <row r="43" spans="1:16" ht="13.5" thickBot="1" x14ac:dyDescent="0.25">
      <c r="A43" s="1450"/>
      <c r="B43" s="1451"/>
      <c r="C43" s="1450"/>
      <c r="D43" s="1450"/>
      <c r="E43" s="1450"/>
      <c r="F43" s="1450"/>
      <c r="G43" s="1450"/>
      <c r="H43" s="1450"/>
      <c r="I43" s="1450"/>
      <c r="J43" s="1450"/>
      <c r="K43" s="1450"/>
      <c r="L43" s="1450"/>
      <c r="M43" s="1450"/>
      <c r="N43" s="1450"/>
      <c r="O43" s="1450"/>
      <c r="P43" s="1450"/>
    </row>
    <row r="44" spans="1:16" ht="15.75" thickBot="1" x14ac:dyDescent="0.25">
      <c r="A44" s="1450"/>
      <c r="B44" s="1434" t="s">
        <v>2426</v>
      </c>
      <c r="C44" s="1435"/>
      <c r="D44" s="1435"/>
      <c r="E44" s="1435"/>
      <c r="F44" s="1435"/>
      <c r="G44" s="1435"/>
      <c r="H44" s="1435"/>
      <c r="I44" s="1435"/>
      <c r="J44" s="1435"/>
      <c r="K44" s="1435"/>
      <c r="L44" s="1435"/>
      <c r="M44" s="1435"/>
      <c r="N44" s="1435"/>
      <c r="O44" s="1436"/>
      <c r="P44" s="1450"/>
    </row>
    <row r="45" spans="1:16" x14ac:dyDescent="0.2">
      <c r="A45" s="1450"/>
      <c r="B45" s="1367" t="s">
        <v>2176</v>
      </c>
      <c r="C45" s="1368"/>
      <c r="D45" s="1437"/>
      <c r="E45" s="1357" t="s">
        <v>2305</v>
      </c>
      <c r="F45" s="1358"/>
      <c r="G45" s="1358"/>
      <c r="H45" s="1358"/>
      <c r="I45" s="1358"/>
      <c r="J45" s="1358"/>
      <c r="K45" s="1358"/>
      <c r="L45" s="1358"/>
      <c r="M45" s="1359"/>
      <c r="N45" s="1437"/>
      <c r="O45" s="1438"/>
      <c r="P45" s="1450"/>
    </row>
    <row r="46" spans="1:16" ht="18.75" customHeight="1" thickBot="1" x14ac:dyDescent="0.25">
      <c r="A46" s="1450"/>
      <c r="B46" s="1355" t="s">
        <v>35</v>
      </c>
      <c r="C46" s="1353">
        <v>1</v>
      </c>
      <c r="D46" s="1437"/>
      <c r="E46" s="1647" t="s">
        <v>2304</v>
      </c>
      <c r="F46" s="1361"/>
      <c r="G46" s="1361"/>
      <c r="H46" s="1361"/>
      <c r="I46" s="1361"/>
      <c r="J46" s="1361"/>
      <c r="K46" s="1361"/>
      <c r="L46" s="1361"/>
      <c r="M46" s="1362"/>
      <c r="N46" s="1437"/>
      <c r="O46" s="1438"/>
      <c r="P46" s="1450"/>
    </row>
    <row r="47" spans="1:16" ht="13.5" thickBot="1" x14ac:dyDescent="0.25">
      <c r="A47" s="1450"/>
      <c r="B47" s="1442"/>
      <c r="C47" s="1437"/>
      <c r="D47" s="1437"/>
      <c r="E47" s="1437"/>
      <c r="F47" s="1437"/>
      <c r="G47" s="1437"/>
      <c r="H47" s="1437"/>
      <c r="I47" s="1437"/>
      <c r="J47" s="1437"/>
      <c r="K47" s="1437"/>
      <c r="L47" s="1437"/>
      <c r="M47" s="1437"/>
      <c r="N47" s="1437"/>
      <c r="O47" s="1438"/>
      <c r="P47" s="1450"/>
    </row>
    <row r="48" spans="1:16" ht="13.5" thickBot="1" x14ac:dyDescent="0.25">
      <c r="A48" s="1450"/>
      <c r="B48" s="1442"/>
      <c r="C48" s="1437"/>
      <c r="D48" s="1437"/>
      <c r="E48" s="1439" t="str">
        <f>INDEX(Language!$D$106:$N$106,1,_language)</f>
        <v>Value</v>
      </c>
      <c r="F48" s="1440" t="str">
        <f>INDEX(Language!$D$106:$N$106,1,_language)</f>
        <v>Value</v>
      </c>
      <c r="G48" s="1440" t="str">
        <f>INDEX(Language!$D$106:$N$106,1,_language)</f>
        <v>Value</v>
      </c>
      <c r="H48" s="1440" t="str">
        <f>INDEX(Language!$D$106:$N$106,1,_language)</f>
        <v>Value</v>
      </c>
      <c r="I48" s="1440" t="str">
        <f>INDEX(Language!$D$106:$N$106,1,_language)</f>
        <v>Value</v>
      </c>
      <c r="J48" s="1440" t="str">
        <f>INDEX(Language!$D$106:$N$106,1,_language)</f>
        <v>Value</v>
      </c>
      <c r="K48" s="1440" t="str">
        <f>INDEX(Language!$D$106:$N$106,1,_language)</f>
        <v>Value</v>
      </c>
      <c r="L48" s="1440" t="str">
        <f>INDEX(Language!$D$106:$N$106,1,_language)</f>
        <v>Value</v>
      </c>
      <c r="M48" s="1441" t="str">
        <f>INDEX(Language!$D$107:$N$107,1,_language)</f>
        <v>Comments</v>
      </c>
      <c r="N48" s="1437"/>
      <c r="O48" s="1438"/>
      <c r="P48" s="1450"/>
    </row>
    <row r="49" spans="1:16" ht="30.75" customHeight="1" thickBot="1" x14ac:dyDescent="0.25">
      <c r="A49" s="1450"/>
      <c r="B49" s="3" t="s">
        <v>2175</v>
      </c>
      <c r="C49" s="1417" t="str">
        <f>INDEX(E49:L49,,_case_perimeter)</f>
        <v>prEN 15603 2015</v>
      </c>
      <c r="D49" s="1437"/>
      <c r="E49" s="1369" t="str">
        <f>+ConvFactors!I30</f>
        <v>prEN 15603 2015</v>
      </c>
      <c r="F49" s="1370" t="str">
        <f>+ConvFactors!J30</f>
        <v>DIN</v>
      </c>
      <c r="G49" s="1370" t="str">
        <f>+ConvFactors!K30</f>
        <v>EN 15603 : 2008</v>
      </c>
      <c r="H49" s="1370" t="str">
        <f>+ConvFactors!L30</f>
        <v>UNI</v>
      </c>
      <c r="I49" s="1370" t="str">
        <f>+ConvFactors!M30</f>
        <v>DIN no rdel</v>
      </c>
      <c r="J49" s="1370" t="str">
        <f>+ConvFactors!N30</f>
        <v>DIN no exp</v>
      </c>
      <c r="K49" s="1370" t="str">
        <f>+ConvFactors!O30</f>
        <v>DIN exp</v>
      </c>
      <c r="L49" s="1370" t="str">
        <f>+ConvFactors!P30</f>
        <v>Custom</v>
      </c>
      <c r="M49" s="1371"/>
      <c r="N49" s="1437"/>
      <c r="O49" s="1429" t="s">
        <v>2161</v>
      </c>
      <c r="P49" s="1450"/>
    </row>
    <row r="50" spans="1:16" ht="28.5" customHeight="1" x14ac:dyDescent="0.2">
      <c r="A50" s="1450"/>
      <c r="B50" s="1388" t="s">
        <v>2173</v>
      </c>
      <c r="C50" s="1418"/>
      <c r="D50" s="1437"/>
      <c r="E50" s="1372"/>
      <c r="F50" s="1373"/>
      <c r="G50" s="1373"/>
      <c r="H50" s="1373"/>
      <c r="I50" s="1373"/>
      <c r="J50" s="1373"/>
      <c r="K50" s="1373"/>
      <c r="L50" s="1373"/>
      <c r="M50" s="1374"/>
      <c r="N50" s="1437"/>
      <c r="O50" s="1430" t="str">
        <f>+E49</f>
        <v>prEN 15603 2015</v>
      </c>
      <c r="P50" s="1450"/>
    </row>
    <row r="51" spans="1:16" ht="15" x14ac:dyDescent="0.2">
      <c r="A51" s="1450"/>
      <c r="B51" s="1385" t="s">
        <v>2174</v>
      </c>
      <c r="C51" s="1419">
        <f>INDEX(E51:L51,,_case_perimeter)</f>
        <v>1</v>
      </c>
      <c r="D51" s="1437"/>
      <c r="E51" s="1409">
        <v>1</v>
      </c>
      <c r="F51" s="1384"/>
      <c r="G51" s="1384"/>
      <c r="H51" s="1413">
        <v>1</v>
      </c>
      <c r="I51" s="1384"/>
      <c r="J51" s="1384"/>
      <c r="K51" s="1384"/>
      <c r="L51" s="1413">
        <v>1</v>
      </c>
      <c r="M51" s="1375"/>
      <c r="N51" s="1437"/>
      <c r="O51" s="1431" t="str">
        <f>+F49</f>
        <v>DIN</v>
      </c>
      <c r="P51" s="1450"/>
    </row>
    <row r="52" spans="1:16" ht="15" x14ac:dyDescent="0.2">
      <c r="A52" s="1450"/>
      <c r="B52" s="1385" t="s">
        <v>2171</v>
      </c>
      <c r="C52" s="1419">
        <f>INDEX(E52:L52,,_case_perimeter)</f>
        <v>1</v>
      </c>
      <c r="D52" s="1437"/>
      <c r="E52" s="1409">
        <v>1</v>
      </c>
      <c r="F52" s="1384"/>
      <c r="G52" s="1384"/>
      <c r="H52" s="1413">
        <v>1</v>
      </c>
      <c r="I52" s="1384"/>
      <c r="J52" s="1384"/>
      <c r="K52" s="1384"/>
      <c r="L52" s="1413">
        <v>1</v>
      </c>
      <c r="M52" s="1375"/>
      <c r="N52" s="1437"/>
      <c r="O52" s="1431" t="str">
        <f>+G49</f>
        <v>EN 15603 : 2008</v>
      </c>
      <c r="P52" s="1450"/>
    </row>
    <row r="53" spans="1:16" ht="15.75" thickBot="1" x14ac:dyDescent="0.25">
      <c r="A53" s="1450"/>
      <c r="B53" s="1386" t="s">
        <v>2172</v>
      </c>
      <c r="C53" s="1420">
        <f>INDEX(E53:L53,,_case_perimeter)</f>
        <v>0</v>
      </c>
      <c r="D53" s="1437"/>
      <c r="E53" s="1409">
        <v>0</v>
      </c>
      <c r="F53" s="1384"/>
      <c r="G53" s="1384"/>
      <c r="H53" s="1413">
        <v>1</v>
      </c>
      <c r="I53" s="1384"/>
      <c r="J53" s="1384"/>
      <c r="K53" s="1384"/>
      <c r="L53" s="1413">
        <v>1</v>
      </c>
      <c r="M53" s="1375"/>
      <c r="N53" s="1437"/>
      <c r="O53" s="1431" t="str">
        <f>+H49</f>
        <v>UNI</v>
      </c>
      <c r="P53" s="1450"/>
    </row>
    <row r="54" spans="1:16" x14ac:dyDescent="0.2">
      <c r="A54" s="1450"/>
      <c r="B54" s="1388" t="s">
        <v>2177</v>
      </c>
      <c r="C54" s="1421"/>
      <c r="D54" s="1437"/>
      <c r="E54" s="1382"/>
      <c r="F54" s="1383"/>
      <c r="G54" s="1383"/>
      <c r="H54" s="1383"/>
      <c r="I54" s="1383"/>
      <c r="J54" s="1383"/>
      <c r="K54" s="1383"/>
      <c r="L54" s="1383"/>
      <c r="M54" s="1377"/>
      <c r="N54" s="1437"/>
      <c r="O54" s="1431" t="str">
        <f>+I49</f>
        <v>DIN no rdel</v>
      </c>
      <c r="P54" s="1450"/>
    </row>
    <row r="55" spans="1:16" ht="15" x14ac:dyDescent="0.2">
      <c r="A55" s="1450"/>
      <c r="B55" s="1385" t="s">
        <v>2174</v>
      </c>
      <c r="C55" s="1419">
        <f>INDEX(E55:L55,,_case_perimeter)</f>
        <v>1</v>
      </c>
      <c r="D55" s="1437"/>
      <c r="E55" s="1410">
        <v>1</v>
      </c>
      <c r="F55" s="1376"/>
      <c r="G55" s="1376"/>
      <c r="H55" s="1414">
        <v>1</v>
      </c>
      <c r="I55" s="1376"/>
      <c r="J55" s="1376"/>
      <c r="K55" s="1376"/>
      <c r="L55" s="1414">
        <v>1</v>
      </c>
      <c r="M55" s="1377"/>
      <c r="N55" s="1437"/>
      <c r="O55" s="1431" t="str">
        <f>+J49</f>
        <v>DIN no exp</v>
      </c>
      <c r="P55" s="1450"/>
    </row>
    <row r="56" spans="1:16" ht="15" x14ac:dyDescent="0.2">
      <c r="A56" s="1450"/>
      <c r="B56" s="1385" t="s">
        <v>2171</v>
      </c>
      <c r="C56" s="1419">
        <f>INDEX(E56:L56,,_case_perimeter)</f>
        <v>1</v>
      </c>
      <c r="D56" s="1437"/>
      <c r="E56" s="1410">
        <v>1</v>
      </c>
      <c r="F56" s="1376"/>
      <c r="G56" s="1376"/>
      <c r="H56" s="1414">
        <v>1</v>
      </c>
      <c r="I56" s="1376"/>
      <c r="J56" s="1376"/>
      <c r="K56" s="1376"/>
      <c r="L56" s="1414">
        <v>1</v>
      </c>
      <c r="M56" s="1377"/>
      <c r="N56" s="1437"/>
      <c r="O56" s="1431" t="str">
        <f>+K49</f>
        <v>DIN exp</v>
      </c>
      <c r="P56" s="1450"/>
    </row>
    <row r="57" spans="1:16" ht="15.75" thickBot="1" x14ac:dyDescent="0.25">
      <c r="A57" s="1450"/>
      <c r="B57" s="1386" t="s">
        <v>2172</v>
      </c>
      <c r="C57" s="1420">
        <f>INDEX(E57:L57,,_case_perimeter)</f>
        <v>1</v>
      </c>
      <c r="D57" s="1437"/>
      <c r="E57" s="1410">
        <v>1</v>
      </c>
      <c r="F57" s="1376"/>
      <c r="G57" s="1376"/>
      <c r="H57" s="1414">
        <v>1</v>
      </c>
      <c r="I57" s="1376"/>
      <c r="J57" s="1376"/>
      <c r="K57" s="1376"/>
      <c r="L57" s="1414">
        <v>1</v>
      </c>
      <c r="M57" s="1377"/>
      <c r="N57" s="1437"/>
      <c r="O57" s="1432" t="str">
        <f>+L49</f>
        <v>Custom</v>
      </c>
      <c r="P57" s="1450"/>
    </row>
    <row r="58" spans="1:16" x14ac:dyDescent="0.2">
      <c r="A58" s="1450"/>
      <c r="B58" s="1388" t="s">
        <v>2178</v>
      </c>
      <c r="C58" s="1418"/>
      <c r="D58" s="1437"/>
      <c r="E58" s="1382"/>
      <c r="F58" s="1383"/>
      <c r="G58" s="1383"/>
      <c r="H58" s="1383"/>
      <c r="I58" s="1383"/>
      <c r="J58" s="1383"/>
      <c r="K58" s="1383"/>
      <c r="L58" s="1383"/>
      <c r="M58" s="1377"/>
      <c r="N58" s="1437"/>
      <c r="O58" s="1438"/>
      <c r="P58" s="1450"/>
    </row>
    <row r="59" spans="1:16" ht="15" x14ac:dyDescent="0.2">
      <c r="A59" s="1450"/>
      <c r="B59" s="1385" t="s">
        <v>2174</v>
      </c>
      <c r="C59" s="1419">
        <f>INDEX(E59:L59,,_case_perimeter)</f>
        <v>1</v>
      </c>
      <c r="D59" s="1437"/>
      <c r="E59" s="1410">
        <v>1</v>
      </c>
      <c r="F59" s="1376"/>
      <c r="G59" s="1376"/>
      <c r="H59" s="1414">
        <v>1</v>
      </c>
      <c r="I59" s="1376"/>
      <c r="J59" s="1376"/>
      <c r="K59" s="1376"/>
      <c r="L59" s="1414">
        <v>1</v>
      </c>
      <c r="M59" s="1377"/>
      <c r="N59" s="1437"/>
      <c r="O59" s="1438"/>
      <c r="P59" s="1450"/>
    </row>
    <row r="60" spans="1:16" ht="15" x14ac:dyDescent="0.2">
      <c r="A60" s="1450"/>
      <c r="B60" s="1385" t="s">
        <v>2171</v>
      </c>
      <c r="C60" s="1419">
        <f>INDEX(E60:L60,,_case_perimeter)</f>
        <v>1</v>
      </c>
      <c r="D60" s="1437"/>
      <c r="E60" s="1411">
        <v>1</v>
      </c>
      <c r="F60" s="1380"/>
      <c r="G60" s="1380"/>
      <c r="H60" s="1415">
        <v>1</v>
      </c>
      <c r="I60" s="1380"/>
      <c r="J60" s="1380"/>
      <c r="K60" s="1380"/>
      <c r="L60" s="1415">
        <v>1</v>
      </c>
      <c r="M60" s="1381"/>
      <c r="N60" s="1437"/>
      <c r="O60" s="1438"/>
      <c r="P60" s="1450"/>
    </row>
    <row r="61" spans="1:16" ht="15.75" thickBot="1" x14ac:dyDescent="0.25">
      <c r="A61" s="1450"/>
      <c r="B61" s="1386" t="s">
        <v>2172</v>
      </c>
      <c r="C61" s="1420">
        <f>INDEX(E61:L61,,_case_perimeter)</f>
        <v>1</v>
      </c>
      <c r="D61" s="1443"/>
      <c r="E61" s="1412">
        <v>1</v>
      </c>
      <c r="F61" s="1378"/>
      <c r="G61" s="1378"/>
      <c r="H61" s="1416">
        <v>1</v>
      </c>
      <c r="I61" s="1378"/>
      <c r="J61" s="1378"/>
      <c r="K61" s="1378"/>
      <c r="L61" s="1416">
        <v>1</v>
      </c>
      <c r="M61" s="1379"/>
      <c r="N61" s="1443"/>
      <c r="O61" s="1444"/>
      <c r="P61" s="1450"/>
    </row>
    <row r="62" spans="1:16" x14ac:dyDescent="0.2">
      <c r="A62" s="1450"/>
      <c r="B62" s="1451"/>
      <c r="C62" s="1450"/>
      <c r="D62" s="1450"/>
      <c r="E62" s="1450"/>
      <c r="F62" s="1450"/>
      <c r="G62" s="1450"/>
      <c r="H62" s="1450"/>
      <c r="I62" s="1450"/>
      <c r="J62" s="1450"/>
      <c r="K62" s="1450"/>
      <c r="L62" s="1450"/>
      <c r="M62" s="1450"/>
      <c r="N62" s="1450"/>
      <c r="O62" s="1450"/>
      <c r="P62" s="1450"/>
    </row>
    <row r="63" spans="1:16" x14ac:dyDescent="0.2">
      <c r="A63" s="1450"/>
      <c r="B63" s="1451"/>
      <c r="C63" s="1450"/>
      <c r="D63" s="1450"/>
      <c r="E63" s="1450"/>
      <c r="F63" s="1450"/>
      <c r="G63" s="1450"/>
      <c r="H63" s="1450"/>
      <c r="I63" s="1450"/>
      <c r="J63" s="1450"/>
      <c r="K63" s="1450"/>
      <c r="L63" s="1450"/>
      <c r="M63" s="1450"/>
      <c r="N63" s="1450"/>
      <c r="O63" s="1450"/>
      <c r="P63" s="1450"/>
    </row>
    <row r="64" spans="1:16" x14ac:dyDescent="0.2">
      <c r="A64" s="1450"/>
      <c r="B64" s="1451"/>
      <c r="C64" s="1450"/>
      <c r="D64" s="1450"/>
      <c r="E64" s="1450"/>
      <c r="F64" s="1450"/>
      <c r="G64" s="1450"/>
      <c r="H64" s="1450"/>
      <c r="I64" s="1450"/>
      <c r="J64" s="1450"/>
      <c r="K64" s="1450"/>
      <c r="L64" s="1450"/>
      <c r="M64" s="1450"/>
      <c r="N64" s="1450"/>
      <c r="O64" s="1450"/>
      <c r="P64" s="1450"/>
    </row>
    <row r="65" spans="1:16" x14ac:dyDescent="0.2">
      <c r="A65" s="1450"/>
      <c r="B65" s="1451"/>
      <c r="C65" s="1450"/>
      <c r="D65" s="1450"/>
      <c r="E65" s="1450"/>
      <c r="F65" s="1450"/>
      <c r="G65" s="1450"/>
      <c r="H65" s="1450"/>
      <c r="I65" s="1450"/>
      <c r="J65" s="1450"/>
      <c r="K65" s="1450"/>
      <c r="L65" s="1450"/>
      <c r="M65" s="1450"/>
      <c r="N65" s="1450"/>
      <c r="O65" s="1450"/>
      <c r="P65" s="1450"/>
    </row>
    <row r="66" spans="1:16" x14ac:dyDescent="0.2">
      <c r="A66" s="1450"/>
      <c r="B66" s="1451"/>
      <c r="C66" s="1450"/>
      <c r="D66" s="1450"/>
      <c r="E66" s="1450"/>
      <c r="F66" s="1450"/>
      <c r="G66" s="1450"/>
      <c r="H66" s="1450"/>
      <c r="I66" s="1450"/>
      <c r="J66" s="1450"/>
      <c r="K66" s="1450"/>
      <c r="L66" s="1450"/>
      <c r="M66" s="1450"/>
      <c r="N66" s="1450"/>
      <c r="O66" s="1450"/>
      <c r="P66" s="1450"/>
    </row>
    <row r="67" spans="1:16" x14ac:dyDescent="0.2">
      <c r="A67" s="1450"/>
      <c r="B67" s="1451"/>
      <c r="C67" s="1450"/>
      <c r="D67" s="1450"/>
      <c r="E67" s="1450"/>
      <c r="F67" s="1450"/>
      <c r="G67" s="1450"/>
      <c r="H67" s="1450"/>
      <c r="I67" s="1450"/>
      <c r="J67" s="1450"/>
      <c r="K67" s="1450"/>
      <c r="L67" s="1450"/>
      <c r="M67" s="1450"/>
      <c r="N67" s="1450"/>
      <c r="O67" s="1450"/>
      <c r="P67" s="1450"/>
    </row>
    <row r="68" spans="1:16" x14ac:dyDescent="0.2">
      <c r="A68" s="1450"/>
      <c r="B68" s="1451"/>
      <c r="C68" s="1450"/>
      <c r="D68" s="1450"/>
      <c r="E68" s="1450"/>
      <c r="F68" s="1450"/>
      <c r="G68" s="1450"/>
      <c r="H68" s="1450"/>
      <c r="I68" s="1450"/>
      <c r="J68" s="1450"/>
      <c r="K68" s="1450"/>
      <c r="L68" s="1450"/>
      <c r="M68" s="1450"/>
      <c r="N68" s="1450"/>
      <c r="O68" s="1450"/>
    </row>
  </sheetData>
  <dataValidations count="2">
    <dataValidation type="list" allowBlank="1" showInputMessage="1" showErrorMessage="1" sqref="E59:L61 E55:L57 E51:L53 E26:L27">
      <formula1>"0,1"</formula1>
    </dataValidation>
    <dataValidation type="list" allowBlank="1" showInputMessage="1" showErrorMessage="1" sqref="E11:K13">
      <formula1>$R$11:$R$14</formula1>
    </dataValidation>
  </dataValidation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11286" r:id="rId4">
          <objectPr defaultSize="0" autoPict="0" r:id="rId5">
            <anchor moveWithCells="1">
              <from>
                <xdr:col>6</xdr:col>
                <xdr:colOff>0</xdr:colOff>
                <xdr:row>36</xdr:row>
                <xdr:rowOff>57150</xdr:rowOff>
              </from>
              <to>
                <xdr:col>7</xdr:col>
                <xdr:colOff>428625</xdr:colOff>
                <xdr:row>40</xdr:row>
                <xdr:rowOff>38100</xdr:rowOff>
              </to>
            </anchor>
          </objectPr>
        </oleObject>
      </mc:Choice>
      <mc:Fallback>
        <oleObject progId="Equation.3" shapeId="11286" r:id="rId4"/>
      </mc:Fallback>
    </mc:AlternateContent>
  </oleObjects>
  <mc:AlternateContent xmlns:mc="http://schemas.openxmlformats.org/markup-compatibility/2006">
    <mc:Choice Requires="x14">
      <controls>
        <mc:AlternateContent xmlns:mc="http://schemas.openxmlformats.org/markup-compatibility/2006">
          <mc:Choice Requires="x14">
            <control shapeId="11275" r:id="rId6" name="Drop Down 11">
              <controlPr defaultSize="0" autoLine="0" autoPict="0">
                <anchor moveWithCells="1">
                  <from>
                    <xdr:col>1</xdr:col>
                    <xdr:colOff>857250</xdr:colOff>
                    <xdr:row>45</xdr:row>
                    <xdr:rowOff>28575</xdr:rowOff>
                  </from>
                  <to>
                    <xdr:col>1</xdr:col>
                    <xdr:colOff>2667000</xdr:colOff>
                    <xdr:row>45</xdr:row>
                    <xdr:rowOff>209550</xdr:rowOff>
                  </to>
                </anchor>
              </controlPr>
            </control>
          </mc:Choice>
        </mc:AlternateContent>
        <mc:AlternateContent xmlns:mc="http://schemas.openxmlformats.org/markup-compatibility/2006">
          <mc:Choice Requires="x14">
            <control shapeId="11277" r:id="rId7" name="Drop Down 13">
              <controlPr defaultSize="0" autoLine="0" autoPict="0">
                <anchor moveWithCells="1">
                  <from>
                    <xdr:col>1</xdr:col>
                    <xdr:colOff>857250</xdr:colOff>
                    <xdr:row>6</xdr:row>
                    <xdr:rowOff>28575</xdr:rowOff>
                  </from>
                  <to>
                    <xdr:col>1</xdr:col>
                    <xdr:colOff>2667000</xdr:colOff>
                    <xdr:row>6</xdr:row>
                    <xdr:rowOff>219075</xdr:rowOff>
                  </to>
                </anchor>
              </controlPr>
            </control>
          </mc:Choice>
        </mc:AlternateContent>
        <mc:AlternateContent xmlns:mc="http://schemas.openxmlformats.org/markup-compatibility/2006">
          <mc:Choice Requires="x14">
            <control shapeId="11280" r:id="rId8" name="Drop Down 16">
              <controlPr defaultSize="0" autoLine="0" autoPict="0">
                <anchor moveWithCells="1">
                  <from>
                    <xdr:col>1</xdr:col>
                    <xdr:colOff>857250</xdr:colOff>
                    <xdr:row>21</xdr:row>
                    <xdr:rowOff>28575</xdr:rowOff>
                  </from>
                  <to>
                    <xdr:col>1</xdr:col>
                    <xdr:colOff>2667000</xdr:colOff>
                    <xdr:row>21</xdr:row>
                    <xdr:rowOff>209550</xdr:rowOff>
                  </to>
                </anchor>
              </controlPr>
            </control>
          </mc:Choice>
        </mc:AlternateContent>
        <mc:AlternateContent xmlns:mc="http://schemas.openxmlformats.org/markup-compatibility/2006">
          <mc:Choice Requires="x14">
            <control shapeId="11282" r:id="rId9" name="Drop Down 18">
              <controlPr defaultSize="0" autoLine="0" autoPict="0">
                <anchor moveWithCells="1">
                  <from>
                    <xdr:col>11</xdr:col>
                    <xdr:colOff>9525</xdr:colOff>
                    <xdr:row>10</xdr:row>
                    <xdr:rowOff>57150</xdr:rowOff>
                  </from>
                  <to>
                    <xdr:col>12</xdr:col>
                    <xdr:colOff>9525</xdr:colOff>
                    <xdr:row>10</xdr:row>
                    <xdr:rowOff>228600</xdr:rowOff>
                  </to>
                </anchor>
              </controlPr>
            </control>
          </mc:Choice>
        </mc:AlternateContent>
        <mc:AlternateContent xmlns:mc="http://schemas.openxmlformats.org/markup-compatibility/2006">
          <mc:Choice Requires="x14">
            <control shapeId="11283" r:id="rId10" name="Drop Down 19">
              <controlPr defaultSize="0" autoLine="0" autoPict="0">
                <anchor moveWithCells="1">
                  <from>
                    <xdr:col>11</xdr:col>
                    <xdr:colOff>9525</xdr:colOff>
                    <xdr:row>11</xdr:row>
                    <xdr:rowOff>57150</xdr:rowOff>
                  </from>
                  <to>
                    <xdr:col>12</xdr:col>
                    <xdr:colOff>9525</xdr:colOff>
                    <xdr:row>11</xdr:row>
                    <xdr:rowOff>228600</xdr:rowOff>
                  </to>
                </anchor>
              </controlPr>
            </control>
          </mc:Choice>
        </mc:AlternateContent>
        <mc:AlternateContent xmlns:mc="http://schemas.openxmlformats.org/markup-compatibility/2006">
          <mc:Choice Requires="x14">
            <control shapeId="11285" r:id="rId11" name="Drop Down 21">
              <controlPr defaultSize="0" autoLine="0" autoPict="0">
                <anchor moveWithCells="1">
                  <from>
                    <xdr:col>1</xdr:col>
                    <xdr:colOff>1323975</xdr:colOff>
                    <xdr:row>37</xdr:row>
                    <xdr:rowOff>28575</xdr:rowOff>
                  </from>
                  <to>
                    <xdr:col>1</xdr:col>
                    <xdr:colOff>2667000</xdr:colOff>
                    <xdr:row>37</xdr:row>
                    <xdr:rowOff>257175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tabColor rgb="FF00B050"/>
  </sheetPr>
  <dimension ref="B1:U132"/>
  <sheetViews>
    <sheetView topLeftCell="G10" workbookViewId="0">
      <selection activeCell="M41" sqref="M41"/>
    </sheetView>
  </sheetViews>
  <sheetFormatPr defaultColWidth="18.85546875" defaultRowHeight="12.75" x14ac:dyDescent="0.2"/>
  <cols>
    <col min="1" max="1" width="6" style="180" customWidth="1"/>
    <col min="2" max="2" width="53.42578125" style="23" customWidth="1"/>
    <col min="3" max="3" width="18.85546875" style="180" customWidth="1"/>
    <col min="4" max="4" width="11" style="182" customWidth="1"/>
    <col min="5" max="5" width="10.140625" style="182" customWidth="1"/>
    <col min="6" max="16" width="10.5703125" style="41" customWidth="1"/>
    <col min="17" max="17" width="35.5703125" style="23" customWidth="1"/>
    <col min="18" max="18" width="12.7109375" style="180" customWidth="1"/>
    <col min="19" max="19" width="23.140625" style="180" customWidth="1"/>
    <col min="20" max="21" width="12.7109375" style="180" customWidth="1"/>
    <col min="22" max="16384" width="18.85546875" style="180"/>
  </cols>
  <sheetData>
    <row r="1" spans="2:17" ht="19.5" customHeight="1" x14ac:dyDescent="0.2">
      <c r="B1" s="179" t="s">
        <v>2162</v>
      </c>
      <c r="C1" s="1667" t="s">
        <v>2311</v>
      </c>
      <c r="D1" s="1666"/>
      <c r="E1" s="1666"/>
      <c r="F1" s="1631"/>
      <c r="G1" s="1631"/>
    </row>
    <row r="2" spans="2:17" s="1393" customFormat="1" ht="26.25" customHeight="1" x14ac:dyDescent="0.2">
      <c r="B2" s="1527"/>
      <c r="C2" s="1668" t="s">
        <v>2312</v>
      </c>
      <c r="D2" s="1664"/>
      <c r="E2" s="1665"/>
      <c r="F2" s="1495"/>
      <c r="G2" s="1495"/>
      <c r="H2" s="1354"/>
      <c r="I2" s="1392"/>
      <c r="J2" s="1354"/>
      <c r="K2" s="1354"/>
      <c r="L2" s="1354"/>
      <c r="M2" s="1354"/>
      <c r="N2" s="1354"/>
      <c r="O2" s="1354"/>
      <c r="P2" s="1354"/>
      <c r="Q2" s="1391"/>
    </row>
    <row r="3" spans="2:17" s="1393" customFormat="1" ht="13.5" thickBot="1" x14ac:dyDescent="0.25">
      <c r="B3" s="1391" t="s">
        <v>2231</v>
      </c>
      <c r="C3" s="1528"/>
      <c r="D3" s="1529"/>
      <c r="E3" s="1530"/>
      <c r="F3" s="1354"/>
      <c r="G3" s="1354"/>
      <c r="H3" s="1354"/>
      <c r="I3" s="1392"/>
      <c r="J3" s="1354"/>
      <c r="K3" s="1354"/>
      <c r="L3" s="1354"/>
      <c r="M3" s="1354"/>
      <c r="N3" s="1354"/>
      <c r="O3" s="1354"/>
      <c r="P3" s="1354"/>
      <c r="Q3" s="1391"/>
    </row>
    <row r="4" spans="2:17" s="1393" customFormat="1" ht="13.5" thickBot="1" x14ac:dyDescent="0.25">
      <c r="B4" s="1857" t="s">
        <v>345</v>
      </c>
      <c r="C4" s="1856" t="s">
        <v>2233</v>
      </c>
      <c r="D4" s="1855" t="s">
        <v>2234</v>
      </c>
      <c r="E4" s="1530"/>
      <c r="F4" s="1354"/>
      <c r="G4" s="1354"/>
      <c r="H4" s="1354"/>
      <c r="I4" s="1392"/>
      <c r="J4" s="1354"/>
      <c r="K4" s="1354"/>
      <c r="L4" s="1354"/>
      <c r="M4" s="1354"/>
      <c r="N4" s="1354"/>
      <c r="O4" s="1354"/>
      <c r="P4" s="1354"/>
      <c r="Q4" s="1391"/>
    </row>
    <row r="5" spans="2:17" s="1393" customFormat="1" ht="36.75" thickBot="1" x14ac:dyDescent="0.25">
      <c r="B5" s="1854" t="s">
        <v>2235</v>
      </c>
      <c r="C5" s="1853" t="s">
        <v>2236</v>
      </c>
      <c r="D5" s="1852" t="s">
        <v>2237</v>
      </c>
      <c r="E5" s="1530"/>
      <c r="F5" s="1354"/>
      <c r="G5" s="1354"/>
      <c r="H5" s="1354"/>
      <c r="I5" s="1392"/>
      <c r="J5" s="1354"/>
      <c r="K5" s="1354"/>
      <c r="L5" s="1354"/>
      <c r="M5" s="1354"/>
      <c r="N5" s="1354"/>
      <c r="O5" s="1354"/>
      <c r="P5" s="1354"/>
      <c r="Q5" s="1391"/>
    </row>
    <row r="6" spans="2:17" s="1393" customFormat="1" x14ac:dyDescent="0.2">
      <c r="B6" s="1532" t="s">
        <v>36</v>
      </c>
      <c r="C6" s="1538" t="s">
        <v>36</v>
      </c>
      <c r="D6" s="1533" t="s">
        <v>2180</v>
      </c>
      <c r="E6" s="1530"/>
      <c r="F6" s="1354"/>
      <c r="G6" s="1354"/>
      <c r="H6" s="1354"/>
      <c r="I6" s="1392"/>
      <c r="J6" s="1354"/>
      <c r="K6" s="1354"/>
      <c r="L6" s="1354"/>
      <c r="M6" s="1354"/>
      <c r="N6" s="1354"/>
      <c r="O6" s="1354"/>
      <c r="P6" s="1354"/>
      <c r="Q6" s="1391"/>
    </row>
    <row r="7" spans="2:17" s="1393" customFormat="1" x14ac:dyDescent="0.2">
      <c r="B7" s="1534" t="s">
        <v>37</v>
      </c>
      <c r="C7" s="1539" t="s">
        <v>37</v>
      </c>
      <c r="D7" s="1535" t="s">
        <v>2180</v>
      </c>
      <c r="E7" s="1530"/>
      <c r="F7" s="1354"/>
      <c r="G7" s="1354"/>
      <c r="H7" s="1354"/>
      <c r="I7" s="1392"/>
      <c r="J7" s="1354"/>
      <c r="K7" s="1354"/>
      <c r="L7" s="1354"/>
      <c r="M7" s="1354"/>
      <c r="N7" s="1354"/>
      <c r="O7" s="1354"/>
      <c r="P7" s="1354"/>
      <c r="Q7" s="1391"/>
    </row>
    <row r="8" spans="2:17" s="1393" customFormat="1" x14ac:dyDescent="0.2">
      <c r="B8" s="1534" t="s">
        <v>38</v>
      </c>
      <c r="C8" s="1539" t="s">
        <v>38</v>
      </c>
      <c r="D8" s="1535" t="s">
        <v>2180</v>
      </c>
      <c r="E8" s="1530"/>
      <c r="F8" s="1354"/>
      <c r="G8" s="1354"/>
      <c r="H8" s="1354"/>
      <c r="I8" s="1392"/>
      <c r="J8" s="1354"/>
      <c r="K8" s="1354"/>
      <c r="L8" s="1354"/>
      <c r="M8" s="1354"/>
      <c r="N8" s="1354"/>
      <c r="O8" s="1354"/>
      <c r="P8" s="1354"/>
      <c r="Q8" s="1391"/>
    </row>
    <row r="9" spans="2:17" s="1393" customFormat="1" x14ac:dyDescent="0.2">
      <c r="B9" s="1534" t="s">
        <v>39</v>
      </c>
      <c r="C9" s="1539" t="s">
        <v>39</v>
      </c>
      <c r="D9" s="1535" t="s">
        <v>2180</v>
      </c>
      <c r="E9" s="1530"/>
      <c r="F9" s="1354"/>
      <c r="G9" s="1354"/>
      <c r="H9" s="1354"/>
      <c r="I9" s="1392"/>
      <c r="J9" s="1354"/>
      <c r="K9" s="1354"/>
      <c r="L9" s="1354"/>
      <c r="M9" s="1354"/>
      <c r="N9" s="1354"/>
      <c r="O9" s="1354"/>
      <c r="P9" s="1354"/>
      <c r="Q9" s="1391"/>
    </row>
    <row r="10" spans="2:17" s="1393" customFormat="1" x14ac:dyDescent="0.2">
      <c r="B10" s="1534" t="s">
        <v>610</v>
      </c>
      <c r="C10" s="1539" t="s">
        <v>610</v>
      </c>
      <c r="D10" s="1535" t="s">
        <v>2180</v>
      </c>
      <c r="E10" s="1530"/>
      <c r="F10" s="1354"/>
      <c r="G10" s="1354"/>
      <c r="H10" s="1354"/>
      <c r="I10" s="1392"/>
      <c r="J10" s="1354"/>
      <c r="K10" s="1354"/>
      <c r="L10" s="1354"/>
      <c r="M10" s="1354"/>
      <c r="N10" s="1354"/>
      <c r="O10" s="1354"/>
      <c r="P10" s="1354"/>
      <c r="Q10" s="1391"/>
    </row>
    <row r="11" spans="2:17" s="1393" customFormat="1" x14ac:dyDescent="0.2">
      <c r="B11" s="1534" t="s">
        <v>40</v>
      </c>
      <c r="C11" s="1539" t="s">
        <v>40</v>
      </c>
      <c r="D11" s="1535" t="s">
        <v>2180</v>
      </c>
      <c r="E11" s="1530"/>
      <c r="F11" s="1354"/>
      <c r="G11" s="1354"/>
      <c r="H11" s="1354"/>
      <c r="I11" s="1392"/>
      <c r="J11" s="1354"/>
      <c r="K11" s="1354"/>
      <c r="L11" s="1354"/>
      <c r="M11" s="1354"/>
      <c r="N11" s="1354"/>
      <c r="O11" s="1354"/>
      <c r="P11" s="1354"/>
      <c r="Q11" s="1391"/>
    </row>
    <row r="12" spans="2:17" s="1393" customFormat="1" x14ac:dyDescent="0.2">
      <c r="B12" s="1534" t="s">
        <v>375</v>
      </c>
      <c r="C12" s="1539" t="s">
        <v>1874</v>
      </c>
      <c r="D12" s="1535" t="s">
        <v>2181</v>
      </c>
      <c r="E12" s="1530"/>
      <c r="F12" s="1354"/>
      <c r="G12" s="1354"/>
      <c r="H12" s="1354"/>
      <c r="I12" s="1392"/>
      <c r="J12" s="1354"/>
      <c r="K12" s="1354"/>
      <c r="L12" s="1354"/>
      <c r="M12" s="1354"/>
      <c r="N12" s="1354"/>
      <c r="O12" s="1354"/>
      <c r="P12" s="1354"/>
      <c r="Q12" s="1391"/>
    </row>
    <row r="13" spans="2:17" s="1393" customFormat="1" x14ac:dyDescent="0.2">
      <c r="B13" s="1534" t="s">
        <v>376</v>
      </c>
      <c r="C13" s="1539" t="s">
        <v>1875</v>
      </c>
      <c r="D13" s="1535" t="s">
        <v>2181</v>
      </c>
      <c r="E13" s="1530"/>
      <c r="F13" s="1354"/>
      <c r="G13" s="1354"/>
      <c r="H13" s="1354"/>
      <c r="I13" s="1392"/>
      <c r="J13" s="1354"/>
      <c r="K13" s="1354"/>
      <c r="L13" s="1354"/>
      <c r="M13" s="1354"/>
      <c r="N13" s="1354"/>
      <c r="O13" s="1354"/>
      <c r="P13" s="1354"/>
      <c r="Q13" s="1391"/>
    </row>
    <row r="14" spans="2:17" s="1393" customFormat="1" x14ac:dyDescent="0.2">
      <c r="B14" s="1534" t="s">
        <v>2169</v>
      </c>
      <c r="C14" s="1539" t="s">
        <v>2239</v>
      </c>
      <c r="D14" s="1535" t="s">
        <v>2181</v>
      </c>
      <c r="E14" s="1530"/>
      <c r="F14" s="1354"/>
      <c r="G14" s="1354"/>
      <c r="H14" s="1354"/>
      <c r="I14" s="1392"/>
      <c r="J14" s="1354"/>
      <c r="K14" s="1354"/>
      <c r="L14" s="1354"/>
      <c r="M14" s="1354"/>
      <c r="N14" s="1354"/>
      <c r="O14" s="1354"/>
      <c r="P14" s="1354"/>
      <c r="Q14" s="1391"/>
    </row>
    <row r="15" spans="2:17" s="1393" customFormat="1" x14ac:dyDescent="0.2">
      <c r="B15" s="1534" t="s">
        <v>1286</v>
      </c>
      <c r="C15" s="1539" t="s">
        <v>1160</v>
      </c>
      <c r="D15" s="1535" t="s">
        <v>2182</v>
      </c>
      <c r="E15" s="1530"/>
      <c r="F15" s="1354"/>
      <c r="G15" s="1354"/>
      <c r="H15" s="1354"/>
      <c r="I15" s="1392"/>
      <c r="J15" s="1354"/>
      <c r="K15" s="1354"/>
      <c r="L15" s="1354"/>
      <c r="M15" s="1354"/>
      <c r="N15" s="1354"/>
      <c r="O15" s="1354"/>
      <c r="P15" s="1354"/>
      <c r="Q15" s="1391"/>
    </row>
    <row r="16" spans="2:17" s="1393" customFormat="1" x14ac:dyDescent="0.2">
      <c r="B16" s="1534" t="s">
        <v>1288</v>
      </c>
      <c r="C16" s="1539" t="s">
        <v>1895</v>
      </c>
      <c r="D16" s="1535" t="s">
        <v>2182</v>
      </c>
      <c r="E16" s="1530"/>
      <c r="F16" s="1354"/>
      <c r="G16" s="1354"/>
      <c r="H16" s="1354"/>
      <c r="I16" s="1392"/>
      <c r="J16" s="1354"/>
      <c r="K16" s="1354"/>
      <c r="L16" s="1354"/>
      <c r="M16" s="1354"/>
      <c r="N16" s="1354"/>
      <c r="O16" s="1354"/>
      <c r="P16" s="1354"/>
      <c r="Q16" s="1391"/>
    </row>
    <row r="17" spans="2:19" s="1393" customFormat="1" x14ac:dyDescent="0.2">
      <c r="B17" s="1534" t="s">
        <v>377</v>
      </c>
      <c r="C17" s="1539" t="s">
        <v>784</v>
      </c>
      <c r="D17" s="1535" t="s">
        <v>2182</v>
      </c>
      <c r="E17" s="1530"/>
      <c r="F17" s="1354"/>
      <c r="G17" s="1354"/>
      <c r="H17" s="1354"/>
      <c r="I17" s="1392"/>
      <c r="J17" s="1354"/>
      <c r="K17" s="1354"/>
      <c r="L17" s="1354"/>
      <c r="M17" s="1354"/>
      <c r="N17" s="1354"/>
      <c r="O17" s="1354"/>
      <c r="P17" s="1354"/>
      <c r="Q17" s="1391"/>
    </row>
    <row r="18" spans="2:19" s="1393" customFormat="1" x14ac:dyDescent="0.2">
      <c r="B18" s="1534" t="s">
        <v>1691</v>
      </c>
      <c r="C18" s="1539" t="s">
        <v>43</v>
      </c>
      <c r="D18" s="1535" t="s">
        <v>2180</v>
      </c>
      <c r="E18" s="1530"/>
      <c r="F18" s="1354"/>
      <c r="G18" s="1354"/>
      <c r="H18" s="1354"/>
      <c r="I18" s="1392"/>
      <c r="J18" s="1354"/>
      <c r="K18" s="1354"/>
      <c r="L18" s="1354"/>
      <c r="M18" s="1354"/>
      <c r="N18" s="1354"/>
      <c r="O18" s="1354"/>
      <c r="P18" s="1354"/>
      <c r="Q18" s="1391"/>
    </row>
    <row r="19" spans="2:19" s="1393" customFormat="1" x14ac:dyDescent="0.2">
      <c r="B19" s="1534" t="s">
        <v>1876</v>
      </c>
      <c r="C19" s="1539" t="s">
        <v>1144</v>
      </c>
      <c r="D19" s="1535" t="s">
        <v>2180</v>
      </c>
      <c r="E19" s="1530"/>
      <c r="F19" s="1354"/>
      <c r="G19" s="1354"/>
      <c r="H19" s="1354"/>
      <c r="I19" s="1392"/>
      <c r="J19" s="1354"/>
      <c r="K19" s="1354"/>
      <c r="L19" s="1354"/>
      <c r="M19" s="1354"/>
      <c r="N19" s="1354"/>
      <c r="O19" s="1354"/>
      <c r="P19" s="1354"/>
      <c r="Q19" s="1391"/>
    </row>
    <row r="20" spans="2:19" s="1393" customFormat="1" x14ac:dyDescent="0.2">
      <c r="B20" s="1534" t="s">
        <v>1880</v>
      </c>
      <c r="C20" s="1539" t="s">
        <v>1879</v>
      </c>
      <c r="D20" s="1535" t="s">
        <v>2180</v>
      </c>
      <c r="E20" s="1530"/>
      <c r="F20" s="1354"/>
      <c r="G20" s="1354"/>
      <c r="H20" s="1354"/>
      <c r="I20" s="1392"/>
      <c r="J20" s="1354"/>
      <c r="K20" s="1354"/>
      <c r="L20" s="1354"/>
      <c r="M20" s="1354"/>
      <c r="N20" s="1354"/>
      <c r="O20" s="1354"/>
      <c r="P20" s="1354"/>
      <c r="Q20" s="1391"/>
    </row>
    <row r="21" spans="2:19" s="1393" customFormat="1" ht="13.5" thickBot="1" x14ac:dyDescent="0.25">
      <c r="B21" s="1536" t="s">
        <v>1881</v>
      </c>
      <c r="C21" s="1540" t="s">
        <v>1883</v>
      </c>
      <c r="D21" s="1537" t="s">
        <v>2180</v>
      </c>
      <c r="E21" s="1530"/>
      <c r="F21" s="1354"/>
      <c r="G21" s="1354"/>
      <c r="H21" s="1354"/>
      <c r="I21" s="1392"/>
      <c r="J21" s="1354"/>
      <c r="K21" s="1354"/>
      <c r="L21" s="1354"/>
      <c r="M21" s="1354"/>
      <c r="N21" s="1354"/>
      <c r="O21" s="1354"/>
      <c r="P21" s="1354"/>
      <c r="Q21" s="1391"/>
    </row>
    <row r="22" spans="2:19" s="1393" customFormat="1" x14ac:dyDescent="0.2">
      <c r="B22" s="1391"/>
      <c r="C22" s="1528"/>
      <c r="D22" s="1529"/>
      <c r="E22" s="1530"/>
      <c r="F22" s="1354"/>
      <c r="G22" s="1354"/>
      <c r="H22" s="1354"/>
      <c r="I22" s="1392"/>
      <c r="J22" s="1354"/>
      <c r="K22" s="1354"/>
      <c r="L22" s="1354"/>
      <c r="M22" s="1354"/>
      <c r="N22" s="1354"/>
      <c r="O22" s="1354"/>
      <c r="P22" s="1354"/>
      <c r="Q22" s="1391"/>
    </row>
    <row r="23" spans="2:19" s="1393" customFormat="1" ht="13.5" thickBot="1" x14ac:dyDescent="0.25">
      <c r="B23" s="1391"/>
      <c r="C23" s="1528"/>
      <c r="D23" s="1529"/>
      <c r="E23" s="1530"/>
      <c r="F23" s="1354"/>
      <c r="G23" s="1354"/>
      <c r="H23" s="1354"/>
      <c r="I23" s="1392"/>
      <c r="J23" s="1354"/>
      <c r="K23" s="1354"/>
      <c r="L23" s="1354"/>
      <c r="M23" s="1354"/>
      <c r="N23" s="1354"/>
      <c r="O23" s="1354"/>
      <c r="P23" s="1354"/>
      <c r="Q23" s="1391"/>
    </row>
    <row r="24" spans="2:19" ht="19.5" customHeight="1" x14ac:dyDescent="0.2">
      <c r="B24" s="180"/>
      <c r="C24" s="1350"/>
      <c r="D24" s="1351" t="s">
        <v>2164</v>
      </c>
      <c r="E24" s="1351"/>
      <c r="F24" s="1352"/>
      <c r="I24" s="1357" t="s">
        <v>2166</v>
      </c>
      <c r="J24" s="1358"/>
      <c r="K24" s="1358"/>
      <c r="L24" s="1358"/>
      <c r="M24" s="1358"/>
      <c r="N24" s="1358"/>
      <c r="O24" s="1358"/>
      <c r="P24" s="1358"/>
      <c r="Q24" s="1359"/>
    </row>
    <row r="25" spans="2:19" ht="26.25" customHeight="1" thickBot="1" x14ac:dyDescent="0.25">
      <c r="C25" s="1355" t="s">
        <v>35</v>
      </c>
      <c r="D25" s="1541"/>
      <c r="E25" s="1542"/>
      <c r="F25" s="1353">
        <v>1</v>
      </c>
      <c r="I25" s="1360" t="s">
        <v>2165</v>
      </c>
      <c r="J25" s="1361"/>
      <c r="K25" s="1361"/>
      <c r="L25" s="1361"/>
      <c r="M25" s="1361"/>
      <c r="N25" s="1361"/>
      <c r="O25" s="1361"/>
      <c r="P25" s="1361"/>
      <c r="Q25" s="1362"/>
    </row>
    <row r="26" spans="2:19" s="1393" customFormat="1" x14ac:dyDescent="0.2">
      <c r="B26" s="1391"/>
      <c r="C26" s="1528"/>
      <c r="D26" s="1529"/>
      <c r="E26" s="1530"/>
      <c r="F26" s="1354"/>
      <c r="G26" s="1354"/>
      <c r="H26" s="1354"/>
      <c r="I26" s="1392"/>
      <c r="J26" s="1354"/>
      <c r="K26" s="1354"/>
      <c r="L26" s="1354"/>
      <c r="M26" s="1354"/>
      <c r="N26" s="1354"/>
      <c r="O26" s="1354"/>
      <c r="P26" s="1354"/>
      <c r="Q26" s="1391"/>
    </row>
    <row r="27" spans="2:19" s="1393" customFormat="1" ht="50.25" customHeight="1" thickBot="1" x14ac:dyDescent="0.25">
      <c r="B27" s="1531" t="s">
        <v>2238</v>
      </c>
      <c r="C27" s="1528"/>
      <c r="D27" s="1529"/>
      <c r="E27" s="1530"/>
      <c r="F27" s="1354"/>
      <c r="G27" s="1354"/>
      <c r="H27" s="1354"/>
      <c r="I27" s="1392"/>
      <c r="J27" s="1354"/>
      <c r="K27" s="1354"/>
      <c r="L27" s="1354"/>
      <c r="M27" s="1354"/>
      <c r="N27" s="1354"/>
      <c r="O27" s="1354"/>
      <c r="P27" s="1354"/>
      <c r="Q27" s="1391"/>
    </row>
    <row r="28" spans="2:19" s="1393" customFormat="1" ht="26.25" customHeight="1" thickBot="1" x14ac:dyDescent="0.25">
      <c r="B28" s="1398" t="s">
        <v>2232</v>
      </c>
      <c r="C28" s="1399"/>
      <c r="D28" s="1400"/>
      <c r="E28" s="1401"/>
      <c r="F28" s="1402"/>
      <c r="G28" s="1354"/>
      <c r="H28" s="1354"/>
      <c r="I28" s="1392"/>
      <c r="J28" s="1354"/>
      <c r="K28" s="1354"/>
      <c r="L28" s="1354"/>
      <c r="M28" s="1354"/>
      <c r="N28" s="1354"/>
      <c r="O28" s="1354"/>
      <c r="P28" s="1354"/>
      <c r="Q28" s="1391"/>
    </row>
    <row r="29" spans="2:19" ht="28.5" customHeight="1" x14ac:dyDescent="0.2">
      <c r="B29" s="1394" t="str">
        <f>INDEX(Language!$D$102:$N$102,1,_language)</f>
        <v>Description</v>
      </c>
      <c r="C29" s="1394" t="str">
        <f>INDEX(Language!$D$103:$N$103,1,_language)</f>
        <v>Symbol</v>
      </c>
      <c r="D29" s="1395" t="str">
        <f>INDEX(Language!$D$110:$N$110,1,_language)</f>
        <v>Energy carrier</v>
      </c>
      <c r="E29" s="1396" t="str">
        <f>INDEX(Language!$D$105:$N$105,1,_language)</f>
        <v>Unit</v>
      </c>
      <c r="F29" s="1397" t="str">
        <f>INDEX(Language!$D$106:$N$106,1,_language)</f>
        <v>Value</v>
      </c>
      <c r="G29" s="1403" t="s">
        <v>2179</v>
      </c>
      <c r="H29" s="1181"/>
      <c r="I29" s="1256" t="str">
        <f>INDEX(Language!$D$106:$N$106,1,_language)</f>
        <v>Value</v>
      </c>
      <c r="J29" s="1257" t="str">
        <f>INDEX(Language!$D$106:$N$106,1,_language)</f>
        <v>Value</v>
      </c>
      <c r="K29" s="1257" t="str">
        <f>INDEX(Language!$D$106:$N$106,1,_language)</f>
        <v>Value</v>
      </c>
      <c r="L29" s="1257" t="str">
        <f>INDEX(Language!$D$106:$N$106,1,_language)</f>
        <v>Value</v>
      </c>
      <c r="M29" s="1257" t="str">
        <f>INDEX(Language!$D$106:$N$106,1,_language)</f>
        <v>Value</v>
      </c>
      <c r="N29" s="1257" t="str">
        <f>INDEX(Language!$D$106:$N$106,1,_language)</f>
        <v>Value</v>
      </c>
      <c r="O29" s="1257" t="str">
        <f>INDEX(Language!$D$106:$N$106,1,_language)</f>
        <v>Value</v>
      </c>
      <c r="P29" s="1257" t="str">
        <f>INDEX(Language!$D$106:$N$106,1,_language)</f>
        <v>Value</v>
      </c>
      <c r="Q29" s="1249" t="str">
        <f>INDEX(Language!$D$107:$N$107,1,_language)</f>
        <v>Comments</v>
      </c>
    </row>
    <row r="30" spans="2:19" ht="34.5" customHeight="1" x14ac:dyDescent="0.2">
      <c r="B30" s="25"/>
      <c r="C30" s="37" t="s">
        <v>2045</v>
      </c>
      <c r="D30" s="1169"/>
      <c r="E30" s="1171"/>
      <c r="F30" s="1179" t="str">
        <f>INDEX(I30:P30,,_case_factor)</f>
        <v>prEN 15603 2015</v>
      </c>
      <c r="G30" s="1179"/>
      <c r="H30" s="1182"/>
      <c r="I30" s="1258" t="s">
        <v>1926</v>
      </c>
      <c r="J30" s="1259" t="s">
        <v>388</v>
      </c>
      <c r="K30" s="1259" t="s">
        <v>2046</v>
      </c>
      <c r="L30" s="1259" t="s">
        <v>387</v>
      </c>
      <c r="M30" s="1259" t="s">
        <v>1356</v>
      </c>
      <c r="N30" s="1259" t="s">
        <v>1355</v>
      </c>
      <c r="O30" s="1259" t="s">
        <v>1357</v>
      </c>
      <c r="P30" s="1259" t="s">
        <v>1358</v>
      </c>
      <c r="Q30" s="1250" t="s">
        <v>2050</v>
      </c>
      <c r="S30" s="1349" t="s">
        <v>2161</v>
      </c>
    </row>
    <row r="31" spans="2:19" ht="18" customHeight="1" x14ac:dyDescent="0.2">
      <c r="B31" s="306" t="str">
        <f>INDEX(Language!$D$138:$N$138,1,_language)</f>
        <v>Non renewable primary energy factor</v>
      </c>
      <c r="C31" s="38" t="s">
        <v>2163</v>
      </c>
      <c r="D31" s="183"/>
      <c r="E31" s="800"/>
      <c r="F31" s="1172"/>
      <c r="G31" s="1404"/>
      <c r="H31" s="1180"/>
      <c r="I31" s="1260" t="s">
        <v>1925</v>
      </c>
      <c r="J31" s="1261"/>
      <c r="K31" s="1261"/>
      <c r="L31" s="1261"/>
      <c r="M31" s="1261"/>
      <c r="N31" s="1261"/>
      <c r="O31" s="1261"/>
      <c r="P31" s="1261"/>
      <c r="Q31" s="1250"/>
      <c r="S31" s="1346" t="str">
        <f>+I30</f>
        <v>prEN 15603 2015</v>
      </c>
    </row>
    <row r="32" spans="2:19" ht="15" x14ac:dyDescent="0.2">
      <c r="B32" s="34" t="str">
        <f>INDEX(Language!D145:N145,1,_language)</f>
        <v>gas</v>
      </c>
      <c r="C32" s="37" t="s">
        <v>1912</v>
      </c>
      <c r="D32" s="186" t="str">
        <f t="shared" ref="D32:D47" si="0">+C6</f>
        <v>gas</v>
      </c>
      <c r="E32" s="797" t="str">
        <f t="shared" ref="E32:E39" si="1">_En_unit&amp;"/"&amp;_En_unit</f>
        <v>kWh/kWh</v>
      </c>
      <c r="F32" s="1175">
        <f t="shared" ref="F32:F39" si="2">INDEX(I32:P32,,_case_factor)</f>
        <v>1.1000000000000001</v>
      </c>
      <c r="G32" s="1405" t="str">
        <f t="shared" ref="G32:G47" si="3">+D6</f>
        <v>dist</v>
      </c>
      <c r="H32" s="1183"/>
      <c r="I32" s="1262">
        <v>1.1000000000000001</v>
      </c>
      <c r="J32" s="1263">
        <v>1.1000000000000001</v>
      </c>
      <c r="K32" s="1263">
        <v>1.36</v>
      </c>
      <c r="L32" s="1263">
        <v>1</v>
      </c>
      <c r="M32" s="1264">
        <v>1.1000000000000001</v>
      </c>
      <c r="N32" s="1264">
        <v>1.1000000000000001</v>
      </c>
      <c r="O32" s="1264">
        <v>1.36</v>
      </c>
      <c r="P32" s="1264">
        <v>1</v>
      </c>
      <c r="Q32" s="1251" t="s">
        <v>2113</v>
      </c>
      <c r="S32" s="1347" t="str">
        <f>+J30</f>
        <v>DIN</v>
      </c>
    </row>
    <row r="33" spans="2:19" ht="15" x14ac:dyDescent="0.2">
      <c r="B33" s="34" t="str">
        <f>INDEX(Language!D146:N146,1,_language)</f>
        <v>oil</v>
      </c>
      <c r="C33" s="37" t="s">
        <v>2170</v>
      </c>
      <c r="D33" s="186" t="str">
        <f t="shared" si="0"/>
        <v>oil</v>
      </c>
      <c r="E33" s="797" t="str">
        <f t="shared" si="1"/>
        <v>kWh/kWh</v>
      </c>
      <c r="F33" s="1175">
        <f t="shared" si="2"/>
        <v>1.1000000000000001</v>
      </c>
      <c r="G33" s="1405" t="str">
        <f t="shared" si="3"/>
        <v>dist</v>
      </c>
      <c r="H33" s="1183"/>
      <c r="I33" s="1262">
        <v>1.1000000000000001</v>
      </c>
      <c r="J33" s="1263">
        <v>1.1000000000000001</v>
      </c>
      <c r="K33" s="1263">
        <v>1.35</v>
      </c>
      <c r="L33" s="1263">
        <v>1</v>
      </c>
      <c r="M33" s="1264">
        <v>1.1000000000000001</v>
      </c>
      <c r="N33" s="1264">
        <v>1.1000000000000001</v>
      </c>
      <c r="O33" s="1264">
        <v>1.35</v>
      </c>
      <c r="P33" s="1264">
        <v>1</v>
      </c>
      <c r="Q33" s="1251" t="s">
        <v>2114</v>
      </c>
      <c r="S33" s="1347" t="str">
        <f>+K30</f>
        <v>EN 15603 : 2008</v>
      </c>
    </row>
    <row r="34" spans="2:19" ht="15" x14ac:dyDescent="0.2">
      <c r="B34" s="34" t="str">
        <f>INDEX(Language!D147:N147,1,_language)</f>
        <v>coal</v>
      </c>
      <c r="C34" s="37" t="s">
        <v>396</v>
      </c>
      <c r="D34" s="186" t="str">
        <f t="shared" si="0"/>
        <v>coal</v>
      </c>
      <c r="E34" s="797" t="str">
        <f t="shared" si="1"/>
        <v>kWh/kWh</v>
      </c>
      <c r="F34" s="1175">
        <f t="shared" si="2"/>
        <v>1.1000000000000001</v>
      </c>
      <c r="G34" s="1405" t="str">
        <f t="shared" si="3"/>
        <v>dist</v>
      </c>
      <c r="H34" s="1183"/>
      <c r="I34" s="1262">
        <v>1.1000000000000001</v>
      </c>
      <c r="J34" s="1265">
        <v>1.2</v>
      </c>
      <c r="K34" s="1265">
        <v>1.4</v>
      </c>
      <c r="L34" s="1263">
        <v>1</v>
      </c>
      <c r="M34" s="1264">
        <v>1.2</v>
      </c>
      <c r="N34" s="1264">
        <v>1.2</v>
      </c>
      <c r="O34" s="1264">
        <v>1.4</v>
      </c>
      <c r="P34" s="1264">
        <v>1</v>
      </c>
      <c r="Q34" s="1251" t="s">
        <v>2115</v>
      </c>
      <c r="S34" s="1347" t="str">
        <f>+L30</f>
        <v>UNI</v>
      </c>
    </row>
    <row r="35" spans="2:19" ht="15" x14ac:dyDescent="0.2">
      <c r="B35" s="34" t="str">
        <f>INDEX(Language!D148:N148,1,_language)</f>
        <v>wood</v>
      </c>
      <c r="C35" s="1389" t="s">
        <v>397</v>
      </c>
      <c r="D35" s="186" t="str">
        <f t="shared" si="0"/>
        <v>wood</v>
      </c>
      <c r="E35" s="1390" t="str">
        <f t="shared" si="1"/>
        <v>kWh/kWh</v>
      </c>
      <c r="F35" s="1175">
        <f t="shared" si="2"/>
        <v>0.2</v>
      </c>
      <c r="G35" s="1405" t="str">
        <f t="shared" si="3"/>
        <v>dist</v>
      </c>
      <c r="H35" s="1183"/>
      <c r="I35" s="1262">
        <v>0.2</v>
      </c>
      <c r="J35" s="1263">
        <v>0.2</v>
      </c>
      <c r="K35" s="1265">
        <v>0.09</v>
      </c>
      <c r="L35" s="1263">
        <v>0</v>
      </c>
      <c r="M35" s="1264">
        <v>0.2</v>
      </c>
      <c r="N35" s="1264">
        <v>0.2</v>
      </c>
      <c r="O35" s="1264">
        <v>0.08</v>
      </c>
      <c r="P35" s="1264">
        <v>0</v>
      </c>
      <c r="Q35" s="1251"/>
      <c r="S35" s="1347" t="str">
        <f>+M30</f>
        <v>DIN no rdel</v>
      </c>
    </row>
    <row r="36" spans="2:19" ht="15" x14ac:dyDescent="0.2">
      <c r="B36" s="34" t="str">
        <f>INDEX(Language!D149:N149,1,_language)</f>
        <v>biomass</v>
      </c>
      <c r="C36" s="37" t="s">
        <v>611</v>
      </c>
      <c r="D36" s="186" t="str">
        <f t="shared" si="0"/>
        <v>biomass</v>
      </c>
      <c r="E36" s="797" t="str">
        <f t="shared" si="1"/>
        <v>kWh/kWh</v>
      </c>
      <c r="F36" s="1175">
        <f t="shared" si="2"/>
        <v>0.2</v>
      </c>
      <c r="G36" s="1405" t="str">
        <f t="shared" si="3"/>
        <v>dist</v>
      </c>
      <c r="H36" s="1183"/>
      <c r="I36" s="1262">
        <v>0.2</v>
      </c>
      <c r="J36" s="1264">
        <v>0.2</v>
      </c>
      <c r="K36" s="1264">
        <v>0.2</v>
      </c>
      <c r="L36" s="1263">
        <v>0</v>
      </c>
      <c r="M36" s="1264">
        <v>0.2</v>
      </c>
      <c r="N36" s="1264">
        <v>0.2</v>
      </c>
      <c r="O36" s="1264">
        <v>0.08</v>
      </c>
      <c r="P36" s="1264">
        <v>0</v>
      </c>
      <c r="Q36" s="1251"/>
      <c r="S36" s="1347" t="str">
        <f>+N30</f>
        <v>DIN no exp</v>
      </c>
    </row>
    <row r="37" spans="2:19" ht="15" x14ac:dyDescent="0.2">
      <c r="B37" s="34" t="str">
        <f>INDEX(Language!D150:N150,1,_language)</f>
        <v>custom</v>
      </c>
      <c r="C37" s="37" t="s">
        <v>398</v>
      </c>
      <c r="D37" s="186" t="str">
        <f t="shared" si="0"/>
        <v>custom</v>
      </c>
      <c r="E37" s="797" t="str">
        <f t="shared" si="1"/>
        <v>kWh/kWh</v>
      </c>
      <c r="F37" s="1175">
        <f t="shared" si="2"/>
        <v>1</v>
      </c>
      <c r="G37" s="1405" t="str">
        <f t="shared" si="3"/>
        <v>dist</v>
      </c>
      <c r="H37" s="1183"/>
      <c r="I37" s="1262">
        <v>1</v>
      </c>
      <c r="J37" s="1264">
        <v>1</v>
      </c>
      <c r="K37" s="1264">
        <v>1</v>
      </c>
      <c r="L37" s="1264">
        <v>1</v>
      </c>
      <c r="M37" s="1264">
        <v>1</v>
      </c>
      <c r="N37" s="1264">
        <v>1</v>
      </c>
      <c r="O37" s="1264">
        <v>1</v>
      </c>
      <c r="P37" s="1264">
        <v>1</v>
      </c>
      <c r="Q37" s="1251"/>
      <c r="S37" s="1347" t="str">
        <f>+O30</f>
        <v>DIN exp</v>
      </c>
    </row>
    <row r="38" spans="2:19" ht="15" x14ac:dyDescent="0.2">
      <c r="B38" s="34" t="str">
        <f>INDEX(Language!D151:N151,1,_language)</f>
        <v>District heating</v>
      </c>
      <c r="C38" s="37" t="s">
        <v>399</v>
      </c>
      <c r="D38" s="186" t="str">
        <f t="shared" si="0"/>
        <v>dh</v>
      </c>
      <c r="E38" s="797" t="str">
        <f t="shared" si="1"/>
        <v>kWh/kWh</v>
      </c>
      <c r="F38" s="1175">
        <f t="shared" si="2"/>
        <v>1.3</v>
      </c>
      <c r="G38" s="1405" t="str">
        <f t="shared" si="3"/>
        <v>nrby</v>
      </c>
      <c r="H38" s="1183"/>
      <c r="I38" s="1262">
        <v>1.3</v>
      </c>
      <c r="J38" s="1265">
        <v>1.3</v>
      </c>
      <c r="K38" s="1264">
        <v>1.3</v>
      </c>
      <c r="L38" s="1264">
        <v>1.5</v>
      </c>
      <c r="M38" s="1264">
        <v>1.3</v>
      </c>
      <c r="N38" s="1264">
        <v>1.3</v>
      </c>
      <c r="O38" s="1264">
        <v>1.5</v>
      </c>
      <c r="P38" s="1264">
        <v>1.5</v>
      </c>
      <c r="Q38" s="1251"/>
      <c r="S38" s="1348" t="str">
        <f>+P30</f>
        <v>Custom</v>
      </c>
    </row>
    <row r="39" spans="2:19" ht="15" x14ac:dyDescent="0.2">
      <c r="B39" s="34" t="str">
        <f>INDEX(Language!D152:N152,1,_language)</f>
        <v>District cooling</v>
      </c>
      <c r="C39" s="37" t="s">
        <v>400</v>
      </c>
      <c r="D39" s="186" t="str">
        <f t="shared" si="0"/>
        <v>dc</v>
      </c>
      <c r="E39" s="797" t="str">
        <f t="shared" si="1"/>
        <v>kWh/kWh</v>
      </c>
      <c r="F39" s="1175">
        <f t="shared" si="2"/>
        <v>1.3</v>
      </c>
      <c r="G39" s="1405" t="str">
        <f t="shared" si="3"/>
        <v>nrby</v>
      </c>
      <c r="H39" s="1183"/>
      <c r="I39" s="1262">
        <v>1.3</v>
      </c>
      <c r="J39" s="1264">
        <v>1.3</v>
      </c>
      <c r="K39" s="1264">
        <v>1.3</v>
      </c>
      <c r="L39" s="1264">
        <v>1.5</v>
      </c>
      <c r="M39" s="1264">
        <v>1.3</v>
      </c>
      <c r="N39" s="1264">
        <v>1.3</v>
      </c>
      <c r="O39" s="1264">
        <v>1.5</v>
      </c>
      <c r="P39" s="1264">
        <v>1.5</v>
      </c>
      <c r="Q39" s="1251"/>
    </row>
    <row r="40" spans="2:19" ht="15" x14ac:dyDescent="0.2">
      <c r="B40" s="34" t="s">
        <v>2240</v>
      </c>
      <c r="C40" s="37"/>
      <c r="D40" s="186" t="str">
        <f t="shared" si="0"/>
        <v>el_nrby</v>
      </c>
      <c r="E40" s="797"/>
      <c r="F40" s="1175"/>
      <c r="G40" s="1405" t="str">
        <f t="shared" si="3"/>
        <v>nrby</v>
      </c>
      <c r="H40" s="1183"/>
      <c r="I40" s="1262"/>
      <c r="J40" s="1264"/>
      <c r="K40" s="1264"/>
      <c r="L40" s="1264"/>
      <c r="M40" s="1264"/>
      <c r="N40" s="1264"/>
      <c r="O40" s="1264"/>
      <c r="P40" s="1264"/>
      <c r="Q40" s="1251"/>
    </row>
    <row r="41" spans="2:19" ht="15" x14ac:dyDescent="0.2">
      <c r="B41" s="34" t="s">
        <v>1286</v>
      </c>
      <c r="C41" s="37" t="s">
        <v>1162</v>
      </c>
      <c r="D41" s="186" t="str">
        <f t="shared" si="0"/>
        <v>sol</v>
      </c>
      <c r="E41" s="797" t="str">
        <f t="shared" ref="E41:E48" si="4">_En_unit&amp;"/"&amp;_En_unit</f>
        <v>kWh/kWh</v>
      </c>
      <c r="F41" s="1175">
        <v>0</v>
      </c>
      <c r="G41" s="1405" t="str">
        <f t="shared" si="3"/>
        <v>onst</v>
      </c>
      <c r="H41" s="1183"/>
      <c r="I41" s="1262">
        <v>0</v>
      </c>
      <c r="J41" s="1263">
        <v>0</v>
      </c>
      <c r="K41" s="1263">
        <v>0</v>
      </c>
      <c r="L41" s="1263">
        <v>0</v>
      </c>
      <c r="M41" s="1264">
        <v>0</v>
      </c>
      <c r="N41" s="1264">
        <v>0</v>
      </c>
      <c r="O41" s="1264">
        <v>0</v>
      </c>
      <c r="P41" s="1264">
        <v>0</v>
      </c>
      <c r="Q41" s="1251"/>
    </row>
    <row r="42" spans="2:19" ht="15" x14ac:dyDescent="0.2">
      <c r="B42" s="34" t="s">
        <v>1288</v>
      </c>
      <c r="C42" s="37" t="s">
        <v>1896</v>
      </c>
      <c r="D42" s="186" t="str">
        <f t="shared" si="0"/>
        <v>pv</v>
      </c>
      <c r="E42" s="797" t="str">
        <f t="shared" si="4"/>
        <v>kWh/kWh</v>
      </c>
      <c r="F42" s="1175">
        <v>0</v>
      </c>
      <c r="G42" s="1405" t="str">
        <f t="shared" si="3"/>
        <v>onst</v>
      </c>
      <c r="H42" s="1183"/>
      <c r="I42" s="1262">
        <v>0</v>
      </c>
      <c r="J42" s="1263">
        <v>0</v>
      </c>
      <c r="K42" s="1263">
        <v>0</v>
      </c>
      <c r="L42" s="1263">
        <v>0</v>
      </c>
      <c r="M42" s="1264">
        <v>0</v>
      </c>
      <c r="N42" s="1264">
        <v>0</v>
      </c>
      <c r="O42" s="1264">
        <v>0</v>
      </c>
      <c r="P42" s="1264">
        <v>0</v>
      </c>
      <c r="Q42" s="1251"/>
    </row>
    <row r="43" spans="2:19" ht="15" x14ac:dyDescent="0.2">
      <c r="B43" s="34" t="str">
        <f>INDEX(Language!D153:N153,1,_language)</f>
        <v>Environment heat</v>
      </c>
      <c r="C43" s="37" t="s">
        <v>401</v>
      </c>
      <c r="D43" s="186" t="str">
        <f t="shared" si="0"/>
        <v>env</v>
      </c>
      <c r="E43" s="797" t="str">
        <f t="shared" si="4"/>
        <v>kWh/kWh</v>
      </c>
      <c r="F43" s="1175">
        <f t="shared" ref="F43:F48" si="5">INDEX(I43:P43,,_case_factor)</f>
        <v>0</v>
      </c>
      <c r="G43" s="1405" t="str">
        <f t="shared" si="3"/>
        <v>onst</v>
      </c>
      <c r="H43" s="1183"/>
      <c r="I43" s="1262">
        <v>0</v>
      </c>
      <c r="J43" s="1263">
        <v>0</v>
      </c>
      <c r="K43" s="1263">
        <v>0</v>
      </c>
      <c r="L43" s="1263">
        <v>0</v>
      </c>
      <c r="M43" s="1264">
        <v>0</v>
      </c>
      <c r="N43" s="1264">
        <v>0</v>
      </c>
      <c r="O43" s="1264">
        <v>0</v>
      </c>
      <c r="P43" s="1264">
        <v>0</v>
      </c>
      <c r="Q43" s="1251"/>
    </row>
    <row r="44" spans="2:19" ht="15" x14ac:dyDescent="0.2">
      <c r="B44" s="34" t="s">
        <v>1691</v>
      </c>
      <c r="C44" s="38" t="s">
        <v>1726</v>
      </c>
      <c r="D44" s="186" t="str">
        <f t="shared" si="0"/>
        <v>el</v>
      </c>
      <c r="E44" s="797" t="str">
        <f t="shared" si="4"/>
        <v>kWh/kWh</v>
      </c>
      <c r="F44" s="1175">
        <f t="shared" si="5"/>
        <v>2.2999999999999998</v>
      </c>
      <c r="G44" s="1405" t="str">
        <f t="shared" si="3"/>
        <v>dist</v>
      </c>
      <c r="H44" s="1183"/>
      <c r="I44" s="1262">
        <v>2.2999999999999998</v>
      </c>
      <c r="J44" s="1263">
        <v>2.7</v>
      </c>
      <c r="K44" s="1263">
        <v>3.14</v>
      </c>
      <c r="L44" s="1263">
        <v>2.1800000000000002</v>
      </c>
      <c r="M44" s="1264">
        <v>2.7</v>
      </c>
      <c r="N44" s="1264">
        <v>2.7</v>
      </c>
      <c r="O44" s="1264">
        <v>3.14</v>
      </c>
      <c r="P44" s="1264">
        <v>2.1800000000000002</v>
      </c>
      <c r="Q44" s="1251"/>
    </row>
    <row r="45" spans="2:19" ht="15" x14ac:dyDescent="0.2">
      <c r="B45" s="34" t="s">
        <v>1876</v>
      </c>
      <c r="C45" s="38" t="s">
        <v>1877</v>
      </c>
      <c r="D45" s="186" t="str">
        <f t="shared" si="0"/>
        <v>el_exp</v>
      </c>
      <c r="E45" s="797" t="str">
        <f t="shared" si="4"/>
        <v>kWh/kWh</v>
      </c>
      <c r="F45" s="1175">
        <f t="shared" si="5"/>
        <v>2.2999999999999998</v>
      </c>
      <c r="G45" s="1405" t="str">
        <f t="shared" si="3"/>
        <v>dist</v>
      </c>
      <c r="H45" s="1183"/>
      <c r="I45" s="1262">
        <v>2.2999999999999998</v>
      </c>
      <c r="J45" s="1263">
        <v>2.7</v>
      </c>
      <c r="K45" s="1263">
        <v>3.14</v>
      </c>
      <c r="L45" s="1263">
        <v>2.1800000000000002</v>
      </c>
      <c r="M45" s="1264">
        <v>2.7</v>
      </c>
      <c r="N45" s="1264">
        <v>2.7</v>
      </c>
      <c r="O45" s="1264">
        <v>3.14</v>
      </c>
      <c r="P45" s="1264">
        <v>2.1800000000000002</v>
      </c>
      <c r="Q45" s="1251"/>
    </row>
    <row r="46" spans="2:19" ht="15" x14ac:dyDescent="0.2">
      <c r="B46" s="34" t="s">
        <v>1880</v>
      </c>
      <c r="C46" s="38" t="s">
        <v>1878</v>
      </c>
      <c r="D46" s="186" t="str">
        <f t="shared" si="0"/>
        <v>el_tmp</v>
      </c>
      <c r="E46" s="797" t="str">
        <f t="shared" si="4"/>
        <v>kWh/kWh</v>
      </c>
      <c r="F46" s="1175">
        <f t="shared" si="5"/>
        <v>2.2999999999999998</v>
      </c>
      <c r="G46" s="1405" t="str">
        <f t="shared" si="3"/>
        <v>dist</v>
      </c>
      <c r="H46" s="1183"/>
      <c r="I46" s="1262">
        <v>2.2999999999999998</v>
      </c>
      <c r="J46" s="1263">
        <v>2.7</v>
      </c>
      <c r="K46" s="1263">
        <v>3.14</v>
      </c>
      <c r="L46" s="1263">
        <v>2.1800000000000002</v>
      </c>
      <c r="M46" s="1264">
        <v>2.7</v>
      </c>
      <c r="N46" s="1264">
        <v>2.7</v>
      </c>
      <c r="O46" s="1264">
        <v>3.14</v>
      </c>
      <c r="P46" s="1264">
        <v>2.1800000000000002</v>
      </c>
      <c r="Q46" s="1251"/>
    </row>
    <row r="47" spans="2:19" ht="15" x14ac:dyDescent="0.2">
      <c r="B47" s="34" t="s">
        <v>1881</v>
      </c>
      <c r="C47" s="38" t="s">
        <v>1882</v>
      </c>
      <c r="D47" s="186" t="str">
        <f t="shared" si="0"/>
        <v>el_nep</v>
      </c>
      <c r="E47" s="797" t="str">
        <f t="shared" si="4"/>
        <v>kWh/kWh</v>
      </c>
      <c r="F47" s="1175">
        <f t="shared" si="5"/>
        <v>2.2999999999999998</v>
      </c>
      <c r="G47" s="1405" t="str">
        <f t="shared" si="3"/>
        <v>dist</v>
      </c>
      <c r="H47" s="1183"/>
      <c r="I47" s="1262">
        <v>2.2999999999999998</v>
      </c>
      <c r="J47" s="1263">
        <v>2.7</v>
      </c>
      <c r="K47" s="1263">
        <v>3.14</v>
      </c>
      <c r="L47" s="1263">
        <v>2.1800000000000002</v>
      </c>
      <c r="M47" s="1264">
        <v>2.7</v>
      </c>
      <c r="N47" s="1264">
        <v>2.7</v>
      </c>
      <c r="O47" s="1264">
        <v>3.14</v>
      </c>
      <c r="P47" s="1264">
        <v>2.1800000000000002</v>
      </c>
      <c r="Q47" s="1251"/>
    </row>
    <row r="48" spans="2:19" ht="15" x14ac:dyDescent="0.2">
      <c r="B48" s="957" t="s">
        <v>1116</v>
      </c>
      <c r="C48" s="1100" t="s">
        <v>1117</v>
      </c>
      <c r="D48" s="1101"/>
      <c r="E48" s="1102" t="str">
        <f t="shared" si="4"/>
        <v>kWh/kWh</v>
      </c>
      <c r="F48" s="1103">
        <f t="shared" si="5"/>
        <v>1</v>
      </c>
      <c r="G48" s="1405"/>
      <c r="H48" s="1183"/>
      <c r="I48" s="1266">
        <v>1</v>
      </c>
      <c r="J48" s="1267">
        <v>1</v>
      </c>
      <c r="K48" s="1267">
        <v>1</v>
      </c>
      <c r="L48" s="1267">
        <v>1</v>
      </c>
      <c r="M48" s="1267">
        <v>1</v>
      </c>
      <c r="N48" s="1267">
        <v>1</v>
      </c>
      <c r="O48" s="1267">
        <v>1</v>
      </c>
      <c r="P48" s="1267">
        <v>1</v>
      </c>
      <c r="Q48" s="1252"/>
    </row>
    <row r="49" spans="2:17" x14ac:dyDescent="0.2">
      <c r="B49" s="181"/>
      <c r="C49" s="181"/>
      <c r="D49" s="181"/>
      <c r="E49" s="1170"/>
      <c r="F49" s="1173"/>
      <c r="G49" s="1406"/>
      <c r="H49" s="1184"/>
      <c r="I49" s="1268"/>
      <c r="J49" s="1269"/>
      <c r="K49" s="1269"/>
      <c r="L49" s="1269"/>
      <c r="M49" s="1269"/>
      <c r="N49" s="1269"/>
      <c r="O49" s="1269"/>
      <c r="P49" s="1269"/>
      <c r="Q49" s="1253"/>
    </row>
    <row r="50" spans="2:17" ht="18" customHeight="1" x14ac:dyDescent="0.2">
      <c r="B50" s="306" t="s">
        <v>373</v>
      </c>
      <c r="C50" s="38" t="s">
        <v>1733</v>
      </c>
      <c r="D50" s="183"/>
      <c r="E50" s="800"/>
      <c r="F50" s="1172"/>
      <c r="G50" s="1404"/>
      <c r="H50" s="1180"/>
      <c r="I50" s="1270"/>
      <c r="J50" s="1261"/>
      <c r="K50" s="1261"/>
      <c r="L50" s="1261"/>
      <c r="M50" s="1261"/>
      <c r="N50" s="1261"/>
      <c r="O50" s="1261"/>
      <c r="P50" s="1261"/>
      <c r="Q50" s="1250"/>
    </row>
    <row r="51" spans="2:17" ht="15" x14ac:dyDescent="0.2">
      <c r="B51" s="34" t="str">
        <f t="shared" ref="B51:B66" si="6">+B32</f>
        <v>gas</v>
      </c>
      <c r="C51" s="37" t="s">
        <v>1734</v>
      </c>
      <c r="D51" s="186" t="str">
        <f t="shared" ref="D51:D66" si="7">+D32</f>
        <v>gas</v>
      </c>
      <c r="E51" s="797" t="str">
        <f t="shared" ref="E51:E58" si="8">_En_unit&amp;"/"&amp;_En_unit</f>
        <v>kWh/kWh</v>
      </c>
      <c r="F51" s="1175">
        <f t="shared" ref="F51:F58" si="9">INDEX(I51:P51,,_case_factor)</f>
        <v>0</v>
      </c>
      <c r="G51" s="1405" t="str">
        <f t="shared" ref="G51:G66" si="10">+G32</f>
        <v>dist</v>
      </c>
      <c r="H51" s="1183"/>
      <c r="I51" s="1262">
        <v>0</v>
      </c>
      <c r="J51" s="1271">
        <v>0</v>
      </c>
      <c r="K51" s="1271">
        <v>0</v>
      </c>
      <c r="L51" s="1271">
        <v>0</v>
      </c>
      <c r="M51" s="1271">
        <v>0</v>
      </c>
      <c r="N51" s="1271">
        <v>0</v>
      </c>
      <c r="O51" s="1271">
        <v>0</v>
      </c>
      <c r="P51" s="1271">
        <v>0</v>
      </c>
      <c r="Q51" s="1251"/>
    </row>
    <row r="52" spans="2:17" ht="15" x14ac:dyDescent="0.2">
      <c r="B52" s="34" t="str">
        <f t="shared" si="6"/>
        <v>oil</v>
      </c>
      <c r="C52" s="37" t="s">
        <v>1735</v>
      </c>
      <c r="D52" s="186" t="str">
        <f t="shared" si="7"/>
        <v>oil</v>
      </c>
      <c r="E52" s="797" t="str">
        <f t="shared" si="8"/>
        <v>kWh/kWh</v>
      </c>
      <c r="F52" s="1175">
        <f t="shared" si="9"/>
        <v>0</v>
      </c>
      <c r="G52" s="1405" t="str">
        <f t="shared" si="10"/>
        <v>dist</v>
      </c>
      <c r="H52" s="1183"/>
      <c r="I52" s="1262">
        <v>0</v>
      </c>
      <c r="J52" s="1271">
        <v>0</v>
      </c>
      <c r="K52" s="1271">
        <v>0</v>
      </c>
      <c r="L52" s="1271">
        <v>0</v>
      </c>
      <c r="M52" s="1271">
        <v>0</v>
      </c>
      <c r="N52" s="1271">
        <v>0</v>
      </c>
      <c r="O52" s="1271">
        <v>0</v>
      </c>
      <c r="P52" s="1271">
        <v>0</v>
      </c>
      <c r="Q52" s="1251"/>
    </row>
    <row r="53" spans="2:17" ht="15" x14ac:dyDescent="0.2">
      <c r="B53" s="34" t="str">
        <f t="shared" si="6"/>
        <v>coal</v>
      </c>
      <c r="C53" s="37" t="s">
        <v>1736</v>
      </c>
      <c r="D53" s="186" t="str">
        <f t="shared" si="7"/>
        <v>coal</v>
      </c>
      <c r="E53" s="797" t="str">
        <f t="shared" si="8"/>
        <v>kWh/kWh</v>
      </c>
      <c r="F53" s="1175">
        <f t="shared" si="9"/>
        <v>0</v>
      </c>
      <c r="G53" s="1405" t="str">
        <f t="shared" si="10"/>
        <v>dist</v>
      </c>
      <c r="H53" s="1183"/>
      <c r="I53" s="1262">
        <v>0</v>
      </c>
      <c r="J53" s="1271">
        <v>0</v>
      </c>
      <c r="K53" s="1271">
        <v>0</v>
      </c>
      <c r="L53" s="1271">
        <v>0</v>
      </c>
      <c r="M53" s="1271">
        <v>0</v>
      </c>
      <c r="N53" s="1271">
        <v>0</v>
      </c>
      <c r="O53" s="1271">
        <v>0</v>
      </c>
      <c r="P53" s="1271">
        <v>0</v>
      </c>
      <c r="Q53" s="1251"/>
    </row>
    <row r="54" spans="2:17" ht="15" x14ac:dyDescent="0.2">
      <c r="B54" s="34" t="str">
        <f t="shared" si="6"/>
        <v>wood</v>
      </c>
      <c r="C54" s="37" t="s">
        <v>1737</v>
      </c>
      <c r="D54" s="186" t="str">
        <f t="shared" si="7"/>
        <v>wood</v>
      </c>
      <c r="E54" s="797" t="str">
        <f t="shared" si="8"/>
        <v>kWh/kWh</v>
      </c>
      <c r="F54" s="1175">
        <f t="shared" si="9"/>
        <v>1</v>
      </c>
      <c r="G54" s="1405" t="str">
        <f t="shared" si="10"/>
        <v>dist</v>
      </c>
      <c r="H54" s="1183"/>
      <c r="I54" s="1272">
        <v>1</v>
      </c>
      <c r="J54" s="1271">
        <v>0</v>
      </c>
      <c r="K54" s="1271">
        <v>0</v>
      </c>
      <c r="L54" s="1271">
        <v>0</v>
      </c>
      <c r="M54" s="1271">
        <v>0</v>
      </c>
      <c r="N54" s="1271">
        <v>0</v>
      </c>
      <c r="O54" s="1271">
        <v>0</v>
      </c>
      <c r="P54" s="1271">
        <v>0</v>
      </c>
      <c r="Q54" s="1251"/>
    </row>
    <row r="55" spans="2:17" ht="15" x14ac:dyDescent="0.2">
      <c r="B55" s="34" t="str">
        <f t="shared" si="6"/>
        <v>biomass</v>
      </c>
      <c r="C55" s="37" t="s">
        <v>1752</v>
      </c>
      <c r="D55" s="186" t="str">
        <f t="shared" si="7"/>
        <v>biomass</v>
      </c>
      <c r="E55" s="797" t="str">
        <f t="shared" si="8"/>
        <v>kWh/kWh</v>
      </c>
      <c r="F55" s="1175">
        <f t="shared" si="9"/>
        <v>1</v>
      </c>
      <c r="G55" s="1405" t="str">
        <f t="shared" si="10"/>
        <v>dist</v>
      </c>
      <c r="H55" s="1183"/>
      <c r="I55" s="1272">
        <v>1</v>
      </c>
      <c r="J55" s="1271">
        <v>1</v>
      </c>
      <c r="K55" s="1271">
        <v>1</v>
      </c>
      <c r="L55" s="1271">
        <v>1</v>
      </c>
      <c r="M55" s="1271">
        <v>1</v>
      </c>
      <c r="N55" s="1271">
        <v>1</v>
      </c>
      <c r="O55" s="1271">
        <v>1</v>
      </c>
      <c r="P55" s="1271">
        <v>1</v>
      </c>
      <c r="Q55" s="1251"/>
    </row>
    <row r="56" spans="2:17" ht="15" x14ac:dyDescent="0.2">
      <c r="B56" s="34" t="str">
        <f t="shared" si="6"/>
        <v>custom</v>
      </c>
      <c r="C56" s="37" t="s">
        <v>1738</v>
      </c>
      <c r="D56" s="186" t="str">
        <f t="shared" si="7"/>
        <v>custom</v>
      </c>
      <c r="E56" s="797" t="str">
        <f t="shared" si="8"/>
        <v>kWh/kWh</v>
      </c>
      <c r="F56" s="1175">
        <f t="shared" si="9"/>
        <v>0</v>
      </c>
      <c r="G56" s="1405" t="str">
        <f t="shared" si="10"/>
        <v>dist</v>
      </c>
      <c r="H56" s="1183"/>
      <c r="I56" s="1272">
        <v>0</v>
      </c>
      <c r="J56" s="1271">
        <v>0</v>
      </c>
      <c r="K56" s="1271">
        <v>0</v>
      </c>
      <c r="L56" s="1271">
        <v>0</v>
      </c>
      <c r="M56" s="1271">
        <v>0</v>
      </c>
      <c r="N56" s="1271">
        <v>0</v>
      </c>
      <c r="O56" s="1271">
        <v>0</v>
      </c>
      <c r="P56" s="1271">
        <v>0</v>
      </c>
      <c r="Q56" s="1251"/>
    </row>
    <row r="57" spans="2:17" ht="15" x14ac:dyDescent="0.2">
      <c r="B57" s="34" t="str">
        <f t="shared" si="6"/>
        <v>District heating</v>
      </c>
      <c r="C57" s="37" t="s">
        <v>1753</v>
      </c>
      <c r="D57" s="186" t="str">
        <f t="shared" si="7"/>
        <v>dh</v>
      </c>
      <c r="E57" s="797" t="str">
        <f t="shared" si="8"/>
        <v>kWh/kWh</v>
      </c>
      <c r="F57" s="1175">
        <f t="shared" si="9"/>
        <v>0</v>
      </c>
      <c r="G57" s="1405" t="str">
        <f t="shared" si="10"/>
        <v>nrby</v>
      </c>
      <c r="H57" s="1183"/>
      <c r="I57" s="1262">
        <v>0</v>
      </c>
      <c r="J57" s="1271">
        <v>1.3</v>
      </c>
      <c r="K57" s="1271">
        <v>1.3</v>
      </c>
      <c r="L57" s="1271">
        <v>1.5</v>
      </c>
      <c r="M57" s="1271">
        <v>1.3</v>
      </c>
      <c r="N57" s="1271">
        <v>1.3</v>
      </c>
      <c r="O57" s="1271">
        <v>1.5</v>
      </c>
      <c r="P57" s="1271">
        <v>1.5</v>
      </c>
      <c r="Q57" s="1251"/>
    </row>
    <row r="58" spans="2:17" ht="15" x14ac:dyDescent="0.2">
      <c r="B58" s="34" t="str">
        <f t="shared" si="6"/>
        <v>District cooling</v>
      </c>
      <c r="C58" s="37" t="s">
        <v>1739</v>
      </c>
      <c r="D58" s="186" t="str">
        <f t="shared" si="7"/>
        <v>dc</v>
      </c>
      <c r="E58" s="797" t="str">
        <f t="shared" si="8"/>
        <v>kWh/kWh</v>
      </c>
      <c r="F58" s="1175">
        <f t="shared" si="9"/>
        <v>0</v>
      </c>
      <c r="G58" s="1405" t="str">
        <f t="shared" si="10"/>
        <v>nrby</v>
      </c>
      <c r="H58" s="1183"/>
      <c r="I58" s="1262">
        <v>0</v>
      </c>
      <c r="J58" s="1271">
        <v>1.3</v>
      </c>
      <c r="K58" s="1271">
        <v>1.3</v>
      </c>
      <c r="L58" s="1271">
        <v>1.5</v>
      </c>
      <c r="M58" s="1271">
        <v>1.3</v>
      </c>
      <c r="N58" s="1271">
        <v>1.3</v>
      </c>
      <c r="O58" s="1271">
        <v>1.5</v>
      </c>
      <c r="P58" s="1271">
        <v>1.5</v>
      </c>
      <c r="Q58" s="1251"/>
    </row>
    <row r="59" spans="2:17" ht="15" x14ac:dyDescent="0.2">
      <c r="B59" s="34" t="str">
        <f t="shared" si="6"/>
        <v>Electricity from nearby (to be used as an example)</v>
      </c>
      <c r="C59" s="37"/>
      <c r="D59" s="186" t="str">
        <f t="shared" si="7"/>
        <v>el_nrby</v>
      </c>
      <c r="E59" s="797"/>
      <c r="F59" s="1175"/>
      <c r="G59" s="1405" t="str">
        <f t="shared" si="10"/>
        <v>nrby</v>
      </c>
      <c r="H59" s="1183"/>
      <c r="I59" s="1262"/>
      <c r="J59" s="1271"/>
      <c r="K59" s="1271"/>
      <c r="L59" s="1271"/>
      <c r="M59" s="1271"/>
      <c r="N59" s="1271"/>
      <c r="O59" s="1271"/>
      <c r="P59" s="1271"/>
      <c r="Q59" s="1251"/>
    </row>
    <row r="60" spans="2:17" ht="15" x14ac:dyDescent="0.2">
      <c r="B60" s="34" t="str">
        <f t="shared" si="6"/>
        <v>Thermal solar</v>
      </c>
      <c r="C60" s="37" t="s">
        <v>1897</v>
      </c>
      <c r="D60" s="186" t="str">
        <f t="shared" si="7"/>
        <v>sol</v>
      </c>
      <c r="E60" s="797" t="str">
        <f t="shared" ref="E60:E67" si="11">_En_unit&amp;"/"&amp;_En_unit</f>
        <v>kWh/kWh</v>
      </c>
      <c r="F60" s="1175">
        <f t="shared" ref="F60:F67" si="12">INDEX(I60:P60,,_case_factor)</f>
        <v>1</v>
      </c>
      <c r="G60" s="1405" t="str">
        <f t="shared" si="10"/>
        <v>onst</v>
      </c>
      <c r="H60" s="1183"/>
      <c r="I60" s="1262">
        <v>1</v>
      </c>
      <c r="J60" s="1271">
        <v>1</v>
      </c>
      <c r="K60" s="1271">
        <v>1</v>
      </c>
      <c r="L60" s="1271">
        <v>1</v>
      </c>
      <c r="M60" s="1271">
        <v>1</v>
      </c>
      <c r="N60" s="1271">
        <v>1</v>
      </c>
      <c r="O60" s="1271">
        <v>1</v>
      </c>
      <c r="P60" s="1271">
        <v>1</v>
      </c>
      <c r="Q60" s="1251"/>
    </row>
    <row r="61" spans="2:17" ht="15" x14ac:dyDescent="0.2">
      <c r="B61" s="34" t="str">
        <f t="shared" si="6"/>
        <v>Photovoltaic</v>
      </c>
      <c r="C61" s="37" t="s">
        <v>1898</v>
      </c>
      <c r="D61" s="186" t="str">
        <f t="shared" si="7"/>
        <v>pv</v>
      </c>
      <c r="E61" s="797" t="str">
        <f t="shared" si="11"/>
        <v>kWh/kWh</v>
      </c>
      <c r="F61" s="1175">
        <f t="shared" si="12"/>
        <v>1</v>
      </c>
      <c r="G61" s="1405" t="str">
        <f t="shared" si="10"/>
        <v>onst</v>
      </c>
      <c r="H61" s="1183"/>
      <c r="I61" s="1262">
        <v>1</v>
      </c>
      <c r="J61" s="1271">
        <v>1</v>
      </c>
      <c r="K61" s="1271">
        <v>1</v>
      </c>
      <c r="L61" s="1271">
        <v>1</v>
      </c>
      <c r="M61" s="1271">
        <v>1</v>
      </c>
      <c r="N61" s="1271">
        <v>1</v>
      </c>
      <c r="O61" s="1271">
        <v>1</v>
      </c>
      <c r="P61" s="1271">
        <v>1</v>
      </c>
      <c r="Q61" s="1251"/>
    </row>
    <row r="62" spans="2:17" ht="15" x14ac:dyDescent="0.2">
      <c r="B62" s="34" t="str">
        <f t="shared" si="6"/>
        <v>Environment heat</v>
      </c>
      <c r="C62" s="37" t="s">
        <v>1754</v>
      </c>
      <c r="D62" s="186" t="str">
        <f t="shared" si="7"/>
        <v>env</v>
      </c>
      <c r="E62" s="797" t="str">
        <f t="shared" si="11"/>
        <v>kWh/kWh</v>
      </c>
      <c r="F62" s="1175">
        <f t="shared" si="12"/>
        <v>1</v>
      </c>
      <c r="G62" s="1405" t="str">
        <f t="shared" si="10"/>
        <v>onst</v>
      </c>
      <c r="H62" s="1183"/>
      <c r="I62" s="1262">
        <v>1</v>
      </c>
      <c r="J62" s="1271">
        <v>1</v>
      </c>
      <c r="K62" s="1271">
        <v>1</v>
      </c>
      <c r="L62" s="1271">
        <v>1</v>
      </c>
      <c r="M62" s="1271">
        <v>1</v>
      </c>
      <c r="N62" s="1271">
        <v>1</v>
      </c>
      <c r="O62" s="1271">
        <v>1</v>
      </c>
      <c r="P62" s="1271">
        <v>1</v>
      </c>
      <c r="Q62" s="1251"/>
    </row>
    <row r="63" spans="2:17" ht="15" x14ac:dyDescent="0.2">
      <c r="B63" s="34" t="str">
        <f t="shared" si="6"/>
        <v>Grid delivered electricity</v>
      </c>
      <c r="C63" s="38" t="s">
        <v>1741</v>
      </c>
      <c r="D63" s="186" t="str">
        <f t="shared" si="7"/>
        <v>el</v>
      </c>
      <c r="E63" s="797" t="str">
        <f t="shared" si="11"/>
        <v>kWh/kWh</v>
      </c>
      <c r="F63" s="1175">
        <f t="shared" si="12"/>
        <v>0.2</v>
      </c>
      <c r="G63" s="1405" t="str">
        <f t="shared" si="10"/>
        <v>dist</v>
      </c>
      <c r="H63" s="1183"/>
      <c r="I63" s="1262">
        <v>0.2</v>
      </c>
      <c r="J63" s="1271">
        <v>0.5</v>
      </c>
      <c r="K63" s="1271">
        <v>0.5</v>
      </c>
      <c r="L63" s="1271">
        <v>0.5</v>
      </c>
      <c r="M63" s="1271">
        <v>0.5</v>
      </c>
      <c r="N63" s="1271">
        <v>0.5</v>
      </c>
      <c r="O63" s="1271">
        <v>0.5</v>
      </c>
      <c r="P63" s="1271">
        <v>0.5</v>
      </c>
      <c r="Q63" s="1251"/>
    </row>
    <row r="64" spans="2:17" ht="15" x14ac:dyDescent="0.2">
      <c r="B64" s="34" t="str">
        <f t="shared" si="6"/>
        <v xml:space="preserve">Grid exported electricity </v>
      </c>
      <c r="C64" s="38" t="s">
        <v>1884</v>
      </c>
      <c r="D64" s="186" t="str">
        <f t="shared" si="7"/>
        <v>el_exp</v>
      </c>
      <c r="E64" s="797" t="str">
        <f t="shared" si="11"/>
        <v>kWh/kWh</v>
      </c>
      <c r="F64" s="1175">
        <f t="shared" si="12"/>
        <v>0.2</v>
      </c>
      <c r="G64" s="1405" t="str">
        <f t="shared" si="10"/>
        <v>dist</v>
      </c>
      <c r="H64" s="1183"/>
      <c r="I64" s="1262">
        <v>0.2</v>
      </c>
      <c r="J64" s="1271">
        <v>0.5</v>
      </c>
      <c r="K64" s="1271">
        <v>0.5</v>
      </c>
      <c r="L64" s="1271">
        <v>0.5</v>
      </c>
      <c r="M64" s="1271">
        <v>0.5</v>
      </c>
      <c r="N64" s="1271">
        <v>0.5</v>
      </c>
      <c r="O64" s="1271">
        <v>0.5</v>
      </c>
      <c r="P64" s="1271">
        <v>0.5</v>
      </c>
      <c r="Q64" s="1251"/>
    </row>
    <row r="65" spans="2:17" ht="15" x14ac:dyDescent="0.2">
      <c r="B65" s="34" t="str">
        <f t="shared" si="6"/>
        <v>Temp. exported electricity</v>
      </c>
      <c r="C65" s="38" t="s">
        <v>1885</v>
      </c>
      <c r="D65" s="186" t="str">
        <f t="shared" si="7"/>
        <v>el_tmp</v>
      </c>
      <c r="E65" s="797" t="str">
        <f t="shared" si="11"/>
        <v>kWh/kWh</v>
      </c>
      <c r="F65" s="1175">
        <f t="shared" si="12"/>
        <v>0.2</v>
      </c>
      <c r="G65" s="1405" t="str">
        <f t="shared" si="10"/>
        <v>dist</v>
      </c>
      <c r="H65" s="1183"/>
      <c r="I65" s="1272">
        <v>0.2</v>
      </c>
      <c r="J65" s="1271">
        <v>0.5</v>
      </c>
      <c r="K65" s="1271">
        <v>0.5</v>
      </c>
      <c r="L65" s="1271">
        <v>0.5</v>
      </c>
      <c r="M65" s="1271">
        <v>0.5</v>
      </c>
      <c r="N65" s="1271">
        <v>0.5</v>
      </c>
      <c r="O65" s="1271">
        <v>0.5</v>
      </c>
      <c r="P65" s="1271">
        <v>0.5</v>
      </c>
      <c r="Q65" s="1251"/>
    </row>
    <row r="66" spans="2:17" ht="15" x14ac:dyDescent="0.2">
      <c r="B66" s="34" t="str">
        <f t="shared" si="6"/>
        <v>Exp to non EPB uses</v>
      </c>
      <c r="C66" s="38" t="s">
        <v>1886</v>
      </c>
      <c r="D66" s="186" t="str">
        <f t="shared" si="7"/>
        <v>el_nep</v>
      </c>
      <c r="E66" s="797" t="str">
        <f t="shared" si="11"/>
        <v>kWh/kWh</v>
      </c>
      <c r="F66" s="1175">
        <f t="shared" si="12"/>
        <v>0.2</v>
      </c>
      <c r="G66" s="1405" t="str">
        <f t="shared" si="10"/>
        <v>dist</v>
      </c>
      <c r="H66" s="1183"/>
      <c r="I66" s="1272">
        <v>0.2</v>
      </c>
      <c r="J66" s="1271">
        <v>0.5</v>
      </c>
      <c r="K66" s="1271">
        <v>0.5</v>
      </c>
      <c r="L66" s="1271">
        <v>0.5</v>
      </c>
      <c r="M66" s="1271">
        <v>0.5</v>
      </c>
      <c r="N66" s="1271">
        <v>0.5</v>
      </c>
      <c r="O66" s="1271">
        <v>0.5</v>
      </c>
      <c r="P66" s="1271">
        <v>0.5</v>
      </c>
      <c r="Q66" s="1251"/>
    </row>
    <row r="67" spans="2:17" ht="15" x14ac:dyDescent="0.2">
      <c r="B67" s="957" t="s">
        <v>1116</v>
      </c>
      <c r="C67" s="1100" t="s">
        <v>1117</v>
      </c>
      <c r="D67" s="1101"/>
      <c r="E67" s="1102" t="str">
        <f t="shared" si="11"/>
        <v>kWh/kWh</v>
      </c>
      <c r="F67" s="1103">
        <f t="shared" si="12"/>
        <v>0</v>
      </c>
      <c r="G67" s="1405"/>
      <c r="H67" s="1183"/>
      <c r="I67" s="1266">
        <v>0</v>
      </c>
      <c r="J67" s="1273">
        <v>1</v>
      </c>
      <c r="K67" s="1273">
        <v>1</v>
      </c>
      <c r="L67" s="1273">
        <v>1</v>
      </c>
      <c r="M67" s="1273">
        <v>1</v>
      </c>
      <c r="N67" s="1273">
        <v>1</v>
      </c>
      <c r="O67" s="1273">
        <v>1</v>
      </c>
      <c r="P67" s="1273">
        <v>1</v>
      </c>
      <c r="Q67" s="1252"/>
    </row>
    <row r="68" spans="2:17" x14ac:dyDescent="0.2">
      <c r="B68" s="25"/>
      <c r="C68" s="25"/>
      <c r="D68" s="53"/>
      <c r="E68" s="799"/>
      <c r="F68" s="801"/>
      <c r="G68" s="1407"/>
      <c r="H68" s="1185"/>
      <c r="I68" s="1274"/>
      <c r="J68" s="1275"/>
      <c r="K68" s="1275"/>
      <c r="L68" s="1275"/>
      <c r="M68" s="1275"/>
      <c r="N68" s="1275"/>
      <c r="O68" s="1275"/>
      <c r="P68" s="1275"/>
      <c r="Q68" s="1253"/>
    </row>
    <row r="69" spans="2:17" ht="18" customHeight="1" x14ac:dyDescent="0.2">
      <c r="B69" s="306" t="str">
        <f>INDEX(Language!$D$140:$N$140,1,_language)</f>
        <v>Total primary energy factor</v>
      </c>
      <c r="C69" s="38" t="s">
        <v>408</v>
      </c>
      <c r="D69" s="53"/>
      <c r="E69" s="799"/>
      <c r="F69" s="801"/>
      <c r="G69" s="1407"/>
      <c r="H69" s="1185"/>
      <c r="I69" s="1274"/>
      <c r="J69" s="1275"/>
      <c r="K69" s="1275"/>
      <c r="L69" s="1275"/>
      <c r="M69" s="1275"/>
      <c r="N69" s="1275"/>
      <c r="O69" s="1275"/>
      <c r="P69" s="1275"/>
      <c r="Q69" s="1253" t="s">
        <v>1907</v>
      </c>
    </row>
    <row r="70" spans="2:17" ht="15" x14ac:dyDescent="0.2">
      <c r="B70" s="34" t="str">
        <f t="shared" ref="B70:B85" si="13">+B32</f>
        <v>gas</v>
      </c>
      <c r="C70" s="37" t="s">
        <v>1118</v>
      </c>
      <c r="D70" s="186" t="str">
        <f t="shared" ref="D70:D85" si="14">+D51</f>
        <v>gas</v>
      </c>
      <c r="E70" s="797" t="str">
        <f t="shared" ref="E70:E77" si="15">_En_unit&amp;"/"&amp;_En_unit</f>
        <v>kWh/kWh</v>
      </c>
      <c r="F70" s="1175">
        <f t="shared" ref="F70:F77" si="16">INDEX(I70:P70,,_case_factor)</f>
        <v>1.1000000000000001</v>
      </c>
      <c r="G70" s="1405" t="str">
        <f t="shared" ref="G70:G85" si="17">+G32</f>
        <v>dist</v>
      </c>
      <c r="H70" s="1183"/>
      <c r="I70" s="1262">
        <f t="shared" ref="I70:P77" si="18">+I51+I32</f>
        <v>1.1000000000000001</v>
      </c>
      <c r="J70" s="1276">
        <f t="shared" si="18"/>
        <v>1.1000000000000001</v>
      </c>
      <c r="K70" s="1276">
        <f t="shared" si="18"/>
        <v>1.36</v>
      </c>
      <c r="L70" s="1276">
        <f t="shared" si="18"/>
        <v>1</v>
      </c>
      <c r="M70" s="1277">
        <f t="shared" si="18"/>
        <v>1.1000000000000001</v>
      </c>
      <c r="N70" s="1277">
        <f t="shared" si="18"/>
        <v>1.1000000000000001</v>
      </c>
      <c r="O70" s="1277">
        <f t="shared" si="18"/>
        <v>1.36</v>
      </c>
      <c r="P70" s="1277">
        <f t="shared" si="18"/>
        <v>1</v>
      </c>
      <c r="Q70" s="1253"/>
    </row>
    <row r="71" spans="2:17" ht="15" x14ac:dyDescent="0.2">
      <c r="B71" s="34" t="str">
        <f t="shared" si="13"/>
        <v>oil</v>
      </c>
      <c r="C71" s="37" t="s">
        <v>1119</v>
      </c>
      <c r="D71" s="186" t="str">
        <f t="shared" si="14"/>
        <v>oil</v>
      </c>
      <c r="E71" s="797" t="str">
        <f t="shared" si="15"/>
        <v>kWh/kWh</v>
      </c>
      <c r="F71" s="1175">
        <f t="shared" si="16"/>
        <v>1.1000000000000001</v>
      </c>
      <c r="G71" s="1405" t="str">
        <f t="shared" si="17"/>
        <v>dist</v>
      </c>
      <c r="H71" s="1183"/>
      <c r="I71" s="1262">
        <f t="shared" si="18"/>
        <v>1.1000000000000001</v>
      </c>
      <c r="J71" s="1276">
        <f t="shared" si="18"/>
        <v>1.1000000000000001</v>
      </c>
      <c r="K71" s="1276">
        <f t="shared" si="18"/>
        <v>1.35</v>
      </c>
      <c r="L71" s="1276">
        <f t="shared" si="18"/>
        <v>1</v>
      </c>
      <c r="M71" s="1277">
        <f t="shared" si="18"/>
        <v>1.1000000000000001</v>
      </c>
      <c r="N71" s="1277">
        <f t="shared" si="18"/>
        <v>1.1000000000000001</v>
      </c>
      <c r="O71" s="1277">
        <f t="shared" si="18"/>
        <v>1.35</v>
      </c>
      <c r="P71" s="1277">
        <f t="shared" si="18"/>
        <v>1</v>
      </c>
      <c r="Q71" s="1253"/>
    </row>
    <row r="72" spans="2:17" ht="15" x14ac:dyDescent="0.2">
      <c r="B72" s="34" t="str">
        <f t="shared" si="13"/>
        <v>coal</v>
      </c>
      <c r="C72" s="37" t="s">
        <v>1120</v>
      </c>
      <c r="D72" s="186" t="str">
        <f t="shared" si="14"/>
        <v>coal</v>
      </c>
      <c r="E72" s="797" t="str">
        <f t="shared" si="15"/>
        <v>kWh/kWh</v>
      </c>
      <c r="F72" s="1175">
        <f t="shared" si="16"/>
        <v>1.1000000000000001</v>
      </c>
      <c r="G72" s="1405" t="str">
        <f t="shared" si="17"/>
        <v>dist</v>
      </c>
      <c r="H72" s="1183"/>
      <c r="I72" s="1262">
        <f t="shared" si="18"/>
        <v>1.1000000000000001</v>
      </c>
      <c r="J72" s="1276">
        <f t="shared" si="18"/>
        <v>1.2</v>
      </c>
      <c r="K72" s="1278">
        <f t="shared" si="18"/>
        <v>1.4</v>
      </c>
      <c r="L72" s="1276">
        <f t="shared" si="18"/>
        <v>1</v>
      </c>
      <c r="M72" s="1277">
        <f t="shared" si="18"/>
        <v>1.2</v>
      </c>
      <c r="N72" s="1277">
        <f t="shared" si="18"/>
        <v>1.2</v>
      </c>
      <c r="O72" s="1277">
        <f t="shared" si="18"/>
        <v>1.4</v>
      </c>
      <c r="P72" s="1277">
        <f t="shared" si="18"/>
        <v>1</v>
      </c>
      <c r="Q72" s="1253"/>
    </row>
    <row r="73" spans="2:17" ht="15" x14ac:dyDescent="0.2">
      <c r="B73" s="34" t="str">
        <f t="shared" si="13"/>
        <v>wood</v>
      </c>
      <c r="C73" s="37" t="s">
        <v>1121</v>
      </c>
      <c r="D73" s="186" t="str">
        <f t="shared" si="14"/>
        <v>wood</v>
      </c>
      <c r="E73" s="797" t="str">
        <f t="shared" si="15"/>
        <v>kWh/kWh</v>
      </c>
      <c r="F73" s="1175">
        <f t="shared" si="16"/>
        <v>1.2</v>
      </c>
      <c r="G73" s="1405" t="str">
        <f t="shared" si="17"/>
        <v>dist</v>
      </c>
      <c r="H73" s="1183"/>
      <c r="I73" s="1272">
        <f t="shared" si="18"/>
        <v>1.2</v>
      </c>
      <c r="J73" s="1276">
        <f t="shared" si="18"/>
        <v>0.2</v>
      </c>
      <c r="K73" s="1278">
        <f t="shared" si="18"/>
        <v>0.09</v>
      </c>
      <c r="L73" s="1276">
        <f t="shared" si="18"/>
        <v>0</v>
      </c>
      <c r="M73" s="1277">
        <f t="shared" si="18"/>
        <v>0.2</v>
      </c>
      <c r="N73" s="1277">
        <f t="shared" si="18"/>
        <v>0.2</v>
      </c>
      <c r="O73" s="1277">
        <f t="shared" si="18"/>
        <v>0.08</v>
      </c>
      <c r="P73" s="1277">
        <f t="shared" si="18"/>
        <v>0</v>
      </c>
      <c r="Q73" s="1253"/>
    </row>
    <row r="74" spans="2:17" ht="15" x14ac:dyDescent="0.2">
      <c r="B74" s="34" t="str">
        <f t="shared" si="13"/>
        <v>biomass</v>
      </c>
      <c r="C74" s="37" t="s">
        <v>1122</v>
      </c>
      <c r="D74" s="186" t="str">
        <f t="shared" si="14"/>
        <v>biomass</v>
      </c>
      <c r="E74" s="797" t="str">
        <f t="shared" si="15"/>
        <v>kWh/kWh</v>
      </c>
      <c r="F74" s="1175">
        <f t="shared" si="16"/>
        <v>1.2</v>
      </c>
      <c r="G74" s="1405" t="str">
        <f t="shared" si="17"/>
        <v>dist</v>
      </c>
      <c r="H74" s="1183"/>
      <c r="I74" s="1272">
        <f t="shared" si="18"/>
        <v>1.2</v>
      </c>
      <c r="J74" s="1277">
        <f t="shared" si="18"/>
        <v>1.2</v>
      </c>
      <c r="K74" s="1277">
        <f t="shared" si="18"/>
        <v>1.2</v>
      </c>
      <c r="L74" s="1276">
        <f t="shared" si="18"/>
        <v>1</v>
      </c>
      <c r="M74" s="1277">
        <f t="shared" si="18"/>
        <v>1.2</v>
      </c>
      <c r="N74" s="1277">
        <f t="shared" si="18"/>
        <v>1.2</v>
      </c>
      <c r="O74" s="1277">
        <f t="shared" si="18"/>
        <v>1.08</v>
      </c>
      <c r="P74" s="1277">
        <f t="shared" si="18"/>
        <v>1</v>
      </c>
      <c r="Q74" s="1253"/>
    </row>
    <row r="75" spans="2:17" ht="15" x14ac:dyDescent="0.2">
      <c r="B75" s="34" t="str">
        <f t="shared" si="13"/>
        <v>custom</v>
      </c>
      <c r="C75" s="37" t="s">
        <v>1123</v>
      </c>
      <c r="D75" s="186" t="str">
        <f t="shared" si="14"/>
        <v>custom</v>
      </c>
      <c r="E75" s="797" t="str">
        <f t="shared" si="15"/>
        <v>kWh/kWh</v>
      </c>
      <c r="F75" s="1175">
        <f t="shared" si="16"/>
        <v>1</v>
      </c>
      <c r="G75" s="1405" t="str">
        <f t="shared" si="17"/>
        <v>dist</v>
      </c>
      <c r="H75" s="1183"/>
      <c r="I75" s="1272">
        <f t="shared" si="18"/>
        <v>1</v>
      </c>
      <c r="J75" s="1277">
        <f t="shared" si="18"/>
        <v>1</v>
      </c>
      <c r="K75" s="1277">
        <f t="shared" si="18"/>
        <v>1</v>
      </c>
      <c r="L75" s="1277">
        <f t="shared" si="18"/>
        <v>1</v>
      </c>
      <c r="M75" s="1277">
        <f t="shared" si="18"/>
        <v>1</v>
      </c>
      <c r="N75" s="1277">
        <f t="shared" si="18"/>
        <v>1</v>
      </c>
      <c r="O75" s="1277">
        <f t="shared" si="18"/>
        <v>1</v>
      </c>
      <c r="P75" s="1277">
        <f t="shared" si="18"/>
        <v>1</v>
      </c>
      <c r="Q75" s="1253"/>
    </row>
    <row r="76" spans="2:17" ht="15" x14ac:dyDescent="0.2">
      <c r="B76" s="34" t="str">
        <f t="shared" si="13"/>
        <v>District heating</v>
      </c>
      <c r="C76" s="37" t="s">
        <v>1124</v>
      </c>
      <c r="D76" s="186" t="str">
        <f t="shared" si="14"/>
        <v>dh</v>
      </c>
      <c r="E76" s="797" t="str">
        <f t="shared" si="15"/>
        <v>kWh/kWh</v>
      </c>
      <c r="F76" s="1175">
        <f t="shared" si="16"/>
        <v>1.3</v>
      </c>
      <c r="G76" s="1405" t="str">
        <f t="shared" si="17"/>
        <v>nrby</v>
      </c>
      <c r="H76" s="1183"/>
      <c r="I76" s="1262">
        <f t="shared" si="18"/>
        <v>1.3</v>
      </c>
      <c r="J76" s="1276">
        <f t="shared" si="18"/>
        <v>2.6</v>
      </c>
      <c r="K76" s="1277">
        <f t="shared" si="18"/>
        <v>2.6</v>
      </c>
      <c r="L76" s="1277">
        <f t="shared" si="18"/>
        <v>3</v>
      </c>
      <c r="M76" s="1277">
        <f t="shared" si="18"/>
        <v>2.6</v>
      </c>
      <c r="N76" s="1277">
        <f t="shared" si="18"/>
        <v>2.6</v>
      </c>
      <c r="O76" s="1277">
        <f t="shared" si="18"/>
        <v>3</v>
      </c>
      <c r="P76" s="1277">
        <f t="shared" si="18"/>
        <v>3</v>
      </c>
      <c r="Q76" s="1253"/>
    </row>
    <row r="77" spans="2:17" ht="15" x14ac:dyDescent="0.2">
      <c r="B77" s="34" t="str">
        <f t="shared" si="13"/>
        <v>District cooling</v>
      </c>
      <c r="C77" s="37" t="s">
        <v>1125</v>
      </c>
      <c r="D77" s="186" t="str">
        <f t="shared" si="14"/>
        <v>dc</v>
      </c>
      <c r="E77" s="797" t="str">
        <f t="shared" si="15"/>
        <v>kWh/kWh</v>
      </c>
      <c r="F77" s="1175">
        <f t="shared" si="16"/>
        <v>1.3</v>
      </c>
      <c r="G77" s="1405" t="str">
        <f t="shared" si="17"/>
        <v>nrby</v>
      </c>
      <c r="H77" s="1183"/>
      <c r="I77" s="1262">
        <f t="shared" si="18"/>
        <v>1.3</v>
      </c>
      <c r="J77" s="1277">
        <f t="shared" si="18"/>
        <v>2.6</v>
      </c>
      <c r="K77" s="1277">
        <f t="shared" si="18"/>
        <v>2.6</v>
      </c>
      <c r="L77" s="1277">
        <f t="shared" si="18"/>
        <v>3</v>
      </c>
      <c r="M77" s="1277">
        <f t="shared" si="18"/>
        <v>2.6</v>
      </c>
      <c r="N77" s="1277">
        <f t="shared" si="18"/>
        <v>2.6</v>
      </c>
      <c r="O77" s="1277">
        <f t="shared" si="18"/>
        <v>3</v>
      </c>
      <c r="P77" s="1277">
        <f t="shared" si="18"/>
        <v>3</v>
      </c>
      <c r="Q77" s="1253"/>
    </row>
    <row r="78" spans="2:17" ht="15" x14ac:dyDescent="0.2">
      <c r="B78" s="34" t="str">
        <f t="shared" si="13"/>
        <v>Electricity from nearby (to be used as an example)</v>
      </c>
      <c r="C78" s="37"/>
      <c r="D78" s="186" t="str">
        <f t="shared" si="14"/>
        <v>el_nrby</v>
      </c>
      <c r="E78" s="797"/>
      <c r="F78" s="1175"/>
      <c r="G78" s="1405" t="str">
        <f t="shared" si="17"/>
        <v>nrby</v>
      </c>
      <c r="H78" s="1183"/>
      <c r="I78" s="1262"/>
      <c r="J78" s="1277"/>
      <c r="K78" s="1277"/>
      <c r="L78" s="1277"/>
      <c r="M78" s="1277"/>
      <c r="N78" s="1277"/>
      <c r="O78" s="1277"/>
      <c r="P78" s="1277"/>
      <c r="Q78" s="1253"/>
    </row>
    <row r="79" spans="2:17" ht="15" x14ac:dyDescent="0.2">
      <c r="B79" s="34" t="str">
        <f t="shared" si="13"/>
        <v>Thermal solar</v>
      </c>
      <c r="C79" s="37" t="s">
        <v>1161</v>
      </c>
      <c r="D79" s="186" t="str">
        <f t="shared" si="14"/>
        <v>sol</v>
      </c>
      <c r="E79" s="797" t="str">
        <f t="shared" ref="E79:E86" si="19">_En_unit&amp;"/"&amp;_En_unit</f>
        <v>kWh/kWh</v>
      </c>
      <c r="F79" s="1175">
        <f t="shared" ref="F79:F86" si="20">INDEX(I79:P79,,_case_factor)</f>
        <v>1</v>
      </c>
      <c r="G79" s="1405" t="str">
        <f t="shared" si="17"/>
        <v>onst</v>
      </c>
      <c r="H79" s="1183"/>
      <c r="I79" s="1262">
        <f t="shared" ref="I79:P85" si="21">+I60+I41</f>
        <v>1</v>
      </c>
      <c r="J79" s="1276">
        <f t="shared" si="21"/>
        <v>1</v>
      </c>
      <c r="K79" s="1276">
        <f t="shared" si="21"/>
        <v>1</v>
      </c>
      <c r="L79" s="1276">
        <f t="shared" si="21"/>
        <v>1</v>
      </c>
      <c r="M79" s="1277">
        <f t="shared" si="21"/>
        <v>1</v>
      </c>
      <c r="N79" s="1277">
        <f t="shared" si="21"/>
        <v>1</v>
      </c>
      <c r="O79" s="1277">
        <f t="shared" si="21"/>
        <v>1</v>
      </c>
      <c r="P79" s="1277">
        <f t="shared" si="21"/>
        <v>1</v>
      </c>
      <c r="Q79" s="1253"/>
    </row>
    <row r="80" spans="2:17" ht="15" x14ac:dyDescent="0.2">
      <c r="B80" s="34" t="str">
        <f t="shared" si="13"/>
        <v>Photovoltaic</v>
      </c>
      <c r="C80" s="37" t="s">
        <v>1899</v>
      </c>
      <c r="D80" s="186" t="str">
        <f t="shared" si="14"/>
        <v>pv</v>
      </c>
      <c r="E80" s="797" t="str">
        <f t="shared" si="19"/>
        <v>kWh/kWh</v>
      </c>
      <c r="F80" s="1175">
        <f t="shared" si="20"/>
        <v>1</v>
      </c>
      <c r="G80" s="1405" t="str">
        <f t="shared" si="17"/>
        <v>onst</v>
      </c>
      <c r="H80" s="1183"/>
      <c r="I80" s="1262">
        <f t="shared" si="21"/>
        <v>1</v>
      </c>
      <c r="J80" s="1276">
        <f t="shared" si="21"/>
        <v>1</v>
      </c>
      <c r="K80" s="1276">
        <f t="shared" si="21"/>
        <v>1</v>
      </c>
      <c r="L80" s="1276">
        <f t="shared" si="21"/>
        <v>1</v>
      </c>
      <c r="M80" s="1277">
        <f t="shared" si="21"/>
        <v>1</v>
      </c>
      <c r="N80" s="1277">
        <f t="shared" si="21"/>
        <v>1</v>
      </c>
      <c r="O80" s="1277">
        <f t="shared" si="21"/>
        <v>1</v>
      </c>
      <c r="P80" s="1277">
        <f t="shared" si="21"/>
        <v>1</v>
      </c>
      <c r="Q80" s="1253"/>
    </row>
    <row r="81" spans="2:21" ht="15" x14ac:dyDescent="0.2">
      <c r="B81" s="34" t="str">
        <f t="shared" si="13"/>
        <v>Environment heat</v>
      </c>
      <c r="C81" s="37" t="s">
        <v>1126</v>
      </c>
      <c r="D81" s="186" t="str">
        <f t="shared" si="14"/>
        <v>env</v>
      </c>
      <c r="E81" s="797" t="str">
        <f t="shared" si="19"/>
        <v>kWh/kWh</v>
      </c>
      <c r="F81" s="1175">
        <f t="shared" si="20"/>
        <v>1</v>
      </c>
      <c r="G81" s="1405" t="str">
        <f t="shared" si="17"/>
        <v>onst</v>
      </c>
      <c r="H81" s="1183"/>
      <c r="I81" s="1262">
        <f t="shared" si="21"/>
        <v>1</v>
      </c>
      <c r="J81" s="1276">
        <f t="shared" si="21"/>
        <v>1</v>
      </c>
      <c r="K81" s="1276">
        <f t="shared" si="21"/>
        <v>1</v>
      </c>
      <c r="L81" s="1276">
        <f t="shared" si="21"/>
        <v>1</v>
      </c>
      <c r="M81" s="1277">
        <f t="shared" si="21"/>
        <v>1</v>
      </c>
      <c r="N81" s="1277">
        <f t="shared" si="21"/>
        <v>1</v>
      </c>
      <c r="O81" s="1277">
        <f t="shared" si="21"/>
        <v>1</v>
      </c>
      <c r="P81" s="1277">
        <f t="shared" si="21"/>
        <v>1</v>
      </c>
      <c r="Q81" s="1253"/>
    </row>
    <row r="82" spans="2:21" ht="15" x14ac:dyDescent="0.2">
      <c r="B82" s="34" t="str">
        <f t="shared" si="13"/>
        <v>Grid delivered electricity</v>
      </c>
      <c r="C82" s="38" t="s">
        <v>1887</v>
      </c>
      <c r="D82" s="186" t="str">
        <f t="shared" si="14"/>
        <v>el</v>
      </c>
      <c r="E82" s="797" t="str">
        <f t="shared" si="19"/>
        <v>kWh/kWh</v>
      </c>
      <c r="F82" s="1175">
        <f t="shared" si="20"/>
        <v>2.5</v>
      </c>
      <c r="G82" s="1405" t="str">
        <f t="shared" si="17"/>
        <v>dist</v>
      </c>
      <c r="H82" s="1183"/>
      <c r="I82" s="1262">
        <f t="shared" si="21"/>
        <v>2.5</v>
      </c>
      <c r="J82" s="1276">
        <f t="shared" si="21"/>
        <v>3.2</v>
      </c>
      <c r="K82" s="1276">
        <f t="shared" si="21"/>
        <v>3.64</v>
      </c>
      <c r="L82" s="1276">
        <f t="shared" si="21"/>
        <v>2.68</v>
      </c>
      <c r="M82" s="1277">
        <f t="shared" si="21"/>
        <v>3.2</v>
      </c>
      <c r="N82" s="1277">
        <f t="shared" si="21"/>
        <v>3.2</v>
      </c>
      <c r="O82" s="1277">
        <f t="shared" si="21"/>
        <v>3.64</v>
      </c>
      <c r="P82" s="1277">
        <f t="shared" si="21"/>
        <v>2.68</v>
      </c>
      <c r="Q82" s="1253"/>
    </row>
    <row r="83" spans="2:21" ht="15" x14ac:dyDescent="0.2">
      <c r="B83" s="34" t="str">
        <f t="shared" si="13"/>
        <v xml:space="preserve">Grid exported electricity </v>
      </c>
      <c r="C83" s="38" t="s">
        <v>1888</v>
      </c>
      <c r="D83" s="186" t="str">
        <f t="shared" si="14"/>
        <v>el_exp</v>
      </c>
      <c r="E83" s="797" t="str">
        <f t="shared" si="19"/>
        <v>kWh/kWh</v>
      </c>
      <c r="F83" s="1175">
        <f t="shared" si="20"/>
        <v>2.5</v>
      </c>
      <c r="G83" s="1405" t="str">
        <f t="shared" si="17"/>
        <v>dist</v>
      </c>
      <c r="H83" s="1183"/>
      <c r="I83" s="1262">
        <f t="shared" si="21"/>
        <v>2.5</v>
      </c>
      <c r="J83" s="1276">
        <f t="shared" si="21"/>
        <v>3.2</v>
      </c>
      <c r="K83" s="1276">
        <f t="shared" si="21"/>
        <v>3.64</v>
      </c>
      <c r="L83" s="1276">
        <f t="shared" si="21"/>
        <v>2.68</v>
      </c>
      <c r="M83" s="1277">
        <f t="shared" si="21"/>
        <v>3.2</v>
      </c>
      <c r="N83" s="1277">
        <f t="shared" si="21"/>
        <v>3.2</v>
      </c>
      <c r="O83" s="1277">
        <f t="shared" si="21"/>
        <v>3.64</v>
      </c>
      <c r="P83" s="1277">
        <f t="shared" si="21"/>
        <v>2.68</v>
      </c>
      <c r="Q83" s="1253"/>
    </row>
    <row r="84" spans="2:21" ht="15" x14ac:dyDescent="0.2">
      <c r="B84" s="34" t="str">
        <f t="shared" si="13"/>
        <v>Temp. exported electricity</v>
      </c>
      <c r="C84" s="38" t="s">
        <v>1889</v>
      </c>
      <c r="D84" s="186" t="str">
        <f t="shared" si="14"/>
        <v>el_tmp</v>
      </c>
      <c r="E84" s="797" t="str">
        <f t="shared" si="19"/>
        <v>kWh/kWh</v>
      </c>
      <c r="F84" s="1175">
        <f t="shared" si="20"/>
        <v>2.5</v>
      </c>
      <c r="G84" s="1405" t="str">
        <f t="shared" si="17"/>
        <v>dist</v>
      </c>
      <c r="H84" s="1183"/>
      <c r="I84" s="1272">
        <f t="shared" si="21"/>
        <v>2.5</v>
      </c>
      <c r="J84" s="1276">
        <f t="shared" si="21"/>
        <v>3.2</v>
      </c>
      <c r="K84" s="1276">
        <f t="shared" si="21"/>
        <v>3.64</v>
      </c>
      <c r="L84" s="1276">
        <f t="shared" si="21"/>
        <v>2.68</v>
      </c>
      <c r="M84" s="1277">
        <f t="shared" si="21"/>
        <v>3.2</v>
      </c>
      <c r="N84" s="1277">
        <f t="shared" si="21"/>
        <v>3.2</v>
      </c>
      <c r="O84" s="1277">
        <f t="shared" si="21"/>
        <v>3.64</v>
      </c>
      <c r="P84" s="1277">
        <f t="shared" si="21"/>
        <v>2.68</v>
      </c>
      <c r="Q84" s="1253"/>
    </row>
    <row r="85" spans="2:21" ht="15" x14ac:dyDescent="0.2">
      <c r="B85" s="34" t="str">
        <f t="shared" si="13"/>
        <v>Exp to non EPB uses</v>
      </c>
      <c r="C85" s="38" t="s">
        <v>1890</v>
      </c>
      <c r="D85" s="186" t="str">
        <f t="shared" si="14"/>
        <v>el_nep</v>
      </c>
      <c r="E85" s="797" t="str">
        <f t="shared" si="19"/>
        <v>kWh/kWh</v>
      </c>
      <c r="F85" s="1175">
        <f t="shared" si="20"/>
        <v>2.5</v>
      </c>
      <c r="G85" s="1405" t="str">
        <f t="shared" si="17"/>
        <v>dist</v>
      </c>
      <c r="H85" s="1183"/>
      <c r="I85" s="1272">
        <f t="shared" si="21"/>
        <v>2.5</v>
      </c>
      <c r="J85" s="1276">
        <f t="shared" si="21"/>
        <v>3.2</v>
      </c>
      <c r="K85" s="1276">
        <f t="shared" si="21"/>
        <v>3.64</v>
      </c>
      <c r="L85" s="1276">
        <f t="shared" si="21"/>
        <v>2.68</v>
      </c>
      <c r="M85" s="1277">
        <f t="shared" si="21"/>
        <v>3.2</v>
      </c>
      <c r="N85" s="1277">
        <f t="shared" si="21"/>
        <v>3.2</v>
      </c>
      <c r="O85" s="1277">
        <f t="shared" si="21"/>
        <v>3.64</v>
      </c>
      <c r="P85" s="1277">
        <f t="shared" si="21"/>
        <v>2.68</v>
      </c>
      <c r="Q85" s="1253"/>
    </row>
    <row r="86" spans="2:21" ht="15" x14ac:dyDescent="0.2">
      <c r="B86" s="957" t="s">
        <v>1116</v>
      </c>
      <c r="C86" s="1100" t="s">
        <v>1135</v>
      </c>
      <c r="D86" s="1101"/>
      <c r="E86" s="1102" t="str">
        <f t="shared" si="19"/>
        <v>kWh/kWh</v>
      </c>
      <c r="F86" s="1103">
        <f t="shared" si="20"/>
        <v>1</v>
      </c>
      <c r="G86" s="1405"/>
      <c r="H86" s="1183"/>
      <c r="I86" s="1279">
        <f>+I67+I48</f>
        <v>1</v>
      </c>
      <c r="J86" s="1267">
        <v>1</v>
      </c>
      <c r="K86" s="1267">
        <v>1</v>
      </c>
      <c r="L86" s="1267">
        <v>1</v>
      </c>
      <c r="M86" s="1267">
        <v>1</v>
      </c>
      <c r="N86" s="1267">
        <v>1</v>
      </c>
      <c r="O86" s="1267">
        <v>1</v>
      </c>
      <c r="P86" s="1267">
        <v>1</v>
      </c>
      <c r="Q86" s="1253"/>
    </row>
    <row r="87" spans="2:21" x14ac:dyDescent="0.2">
      <c r="B87" s="181"/>
      <c r="C87" s="181"/>
      <c r="D87" s="181"/>
      <c r="E87" s="1170"/>
      <c r="F87" s="1173"/>
      <c r="G87" s="1406"/>
      <c r="H87" s="1184"/>
      <c r="I87" s="1268"/>
      <c r="J87" s="1269"/>
      <c r="K87" s="1269"/>
      <c r="L87" s="1269"/>
      <c r="M87" s="1269"/>
      <c r="N87" s="1269"/>
      <c r="O87" s="1269"/>
      <c r="P87" s="1269"/>
      <c r="Q87" s="1253"/>
    </row>
    <row r="88" spans="2:21" x14ac:dyDescent="0.2">
      <c r="B88" s="25"/>
      <c r="C88" s="25"/>
      <c r="D88" s="53"/>
      <c r="E88" s="799"/>
      <c r="F88" s="801"/>
      <c r="G88" s="1407"/>
      <c r="H88" s="1185"/>
      <c r="I88" s="1274"/>
      <c r="J88" s="1275"/>
      <c r="K88" s="1275"/>
      <c r="L88" s="1275"/>
      <c r="M88" s="1275"/>
      <c r="N88" s="1275"/>
      <c r="O88" s="1275"/>
      <c r="P88" s="1275"/>
      <c r="Q88" s="1253"/>
    </row>
    <row r="89" spans="2:21" x14ac:dyDescent="0.2">
      <c r="B89" s="25"/>
      <c r="C89" s="25"/>
      <c r="D89" s="53"/>
      <c r="E89" s="799"/>
      <c r="F89" s="801"/>
      <c r="G89" s="1407"/>
      <c r="H89" s="1185"/>
      <c r="I89" s="1274"/>
      <c r="J89" s="1275"/>
      <c r="K89" s="1275"/>
      <c r="L89" s="1275"/>
      <c r="M89" s="1275"/>
      <c r="N89" s="1275"/>
      <c r="O89" s="1275"/>
      <c r="P89" s="1275"/>
      <c r="Q89" s="1253"/>
    </row>
    <row r="90" spans="2:21" ht="15" x14ac:dyDescent="0.2">
      <c r="B90" s="34" t="str">
        <f>INDEX(Language!$D$174:$N$174,1,_language)</f>
        <v>Raw CO2 conversion factors</v>
      </c>
      <c r="C90" s="25" t="s">
        <v>390</v>
      </c>
      <c r="D90" s="53"/>
      <c r="E90" s="799"/>
      <c r="F90" s="801"/>
      <c r="G90" s="1407"/>
      <c r="H90" s="1185"/>
      <c r="I90" s="1280" t="s">
        <v>391</v>
      </c>
      <c r="J90" s="1281" t="s">
        <v>391</v>
      </c>
      <c r="K90" s="1281" t="s">
        <v>391</v>
      </c>
      <c r="L90" s="1281" t="s">
        <v>391</v>
      </c>
      <c r="M90" s="1281" t="s">
        <v>391</v>
      </c>
      <c r="N90" s="1281" t="s">
        <v>391</v>
      </c>
      <c r="O90" s="1281" t="s">
        <v>391</v>
      </c>
      <c r="P90" s="1281" t="s">
        <v>391</v>
      </c>
      <c r="Q90" s="1253"/>
      <c r="R90" s="195"/>
      <c r="S90" s="195" t="str">
        <f>INDEX(Language!$D$176:$N$176,1,_language)</f>
        <v>CO2 Unit conversion table</v>
      </c>
      <c r="T90" s="196"/>
    </row>
    <row r="91" spans="2:21" ht="15" x14ac:dyDescent="0.2">
      <c r="B91" s="25" t="str">
        <f t="shared" ref="B91:B106" si="22">+B32</f>
        <v>gas</v>
      </c>
      <c r="C91" s="37" t="s">
        <v>45</v>
      </c>
      <c r="D91" s="186" t="str">
        <f t="shared" ref="D91:D106" si="23">+D70</f>
        <v>gas</v>
      </c>
      <c r="E91" s="797" t="s">
        <v>391</v>
      </c>
      <c r="F91" s="1175">
        <f t="shared" ref="F91:F98" si="24">INDEX(I91:P91,,_case_factor)*$F$109</f>
        <v>0.22</v>
      </c>
      <c r="G91" s="1405" t="str">
        <f t="shared" ref="G91:G106" si="25">+G32</f>
        <v>dist</v>
      </c>
      <c r="H91" s="1183"/>
      <c r="I91" s="1282">
        <v>0.22</v>
      </c>
      <c r="J91" s="1281">
        <v>0.27700000000000002</v>
      </c>
      <c r="K91" s="1281">
        <v>0.27700000000000002</v>
      </c>
      <c r="L91" s="1281">
        <v>0.27700000000000002</v>
      </c>
      <c r="M91" s="1281">
        <v>0.27700000000000002</v>
      </c>
      <c r="N91" s="1281">
        <v>0.27700000000000002</v>
      </c>
      <c r="O91" s="1281">
        <v>0.27700000000000002</v>
      </c>
      <c r="P91" s="1281">
        <v>0.27700000000000002</v>
      </c>
      <c r="Q91" s="1253" t="s">
        <v>1906</v>
      </c>
      <c r="R91" s="1168" t="str">
        <f>INDEX(Language!$D$177:$N$177,1,_language)</f>
        <v xml:space="preserve">From    to --&gt; </v>
      </c>
      <c r="S91" s="183" t="s">
        <v>46</v>
      </c>
      <c r="T91" s="183" t="s">
        <v>391</v>
      </c>
      <c r="U91" s="183" t="str">
        <f>+B108</f>
        <v>Unit index</v>
      </c>
    </row>
    <row r="92" spans="2:21" ht="15" x14ac:dyDescent="0.2">
      <c r="B92" s="25" t="str">
        <f t="shared" si="22"/>
        <v>oil</v>
      </c>
      <c r="C92" s="37" t="s">
        <v>47</v>
      </c>
      <c r="D92" s="186" t="str">
        <f t="shared" si="23"/>
        <v>oil</v>
      </c>
      <c r="E92" s="797" t="s">
        <v>391</v>
      </c>
      <c r="F92" s="1175">
        <f t="shared" si="24"/>
        <v>0.28999999999999998</v>
      </c>
      <c r="G92" s="1405" t="str">
        <f t="shared" si="25"/>
        <v>dist</v>
      </c>
      <c r="H92" s="1183"/>
      <c r="I92" s="1282">
        <v>0.28999999999999998</v>
      </c>
      <c r="J92" s="1281">
        <v>0.33</v>
      </c>
      <c r="K92" s="1281">
        <v>0.33</v>
      </c>
      <c r="L92" s="1281">
        <v>0.33</v>
      </c>
      <c r="M92" s="1281">
        <v>0.33</v>
      </c>
      <c r="N92" s="1281">
        <v>0.33</v>
      </c>
      <c r="O92" s="1281">
        <v>0.33</v>
      </c>
      <c r="P92" s="1281">
        <v>0.33</v>
      </c>
      <c r="Q92" s="1253" t="s">
        <v>1906</v>
      </c>
      <c r="R92" s="324" t="s">
        <v>391</v>
      </c>
      <c r="S92" s="198">
        <f>1/3.6</f>
        <v>0.27777777777777779</v>
      </c>
      <c r="T92" s="198">
        <v>1</v>
      </c>
      <c r="U92" s="183">
        <v>1</v>
      </c>
    </row>
    <row r="93" spans="2:21" ht="15" x14ac:dyDescent="0.2">
      <c r="B93" s="25" t="str">
        <f t="shared" si="22"/>
        <v>coal</v>
      </c>
      <c r="C93" s="37" t="s">
        <v>48</v>
      </c>
      <c r="D93" s="186" t="str">
        <f t="shared" si="23"/>
        <v>coal</v>
      </c>
      <c r="E93" s="797" t="s">
        <v>391</v>
      </c>
      <c r="F93" s="1175">
        <f t="shared" si="24"/>
        <v>0.36</v>
      </c>
      <c r="G93" s="1405" t="str">
        <f t="shared" si="25"/>
        <v>dist</v>
      </c>
      <c r="H93" s="1183"/>
      <c r="I93" s="1282">
        <v>0.36</v>
      </c>
      <c r="J93" s="1281">
        <v>0.433</v>
      </c>
      <c r="K93" s="1281">
        <v>0.433</v>
      </c>
      <c r="L93" s="1281">
        <v>0.433</v>
      </c>
      <c r="M93" s="1281">
        <v>0.433</v>
      </c>
      <c r="N93" s="1281">
        <v>0.433</v>
      </c>
      <c r="O93" s="1281">
        <v>0.433</v>
      </c>
      <c r="P93" s="1281">
        <v>0.433</v>
      </c>
      <c r="Q93" s="1253" t="s">
        <v>1906</v>
      </c>
      <c r="R93" s="324" t="s">
        <v>46</v>
      </c>
      <c r="S93" s="198">
        <v>1</v>
      </c>
      <c r="T93" s="198">
        <v>3.6</v>
      </c>
      <c r="U93" s="183">
        <v>2</v>
      </c>
    </row>
    <row r="94" spans="2:21" ht="15" x14ac:dyDescent="0.2">
      <c r="B94" s="25" t="str">
        <f t="shared" si="22"/>
        <v>wood</v>
      </c>
      <c r="C94" s="37" t="s">
        <v>49</v>
      </c>
      <c r="D94" s="186" t="str">
        <f t="shared" si="23"/>
        <v>wood</v>
      </c>
      <c r="E94" s="797" t="s">
        <v>391</v>
      </c>
      <c r="F94" s="1175">
        <f t="shared" si="24"/>
        <v>1.2E-2</v>
      </c>
      <c r="G94" s="1405" t="str">
        <f t="shared" si="25"/>
        <v>dist</v>
      </c>
      <c r="H94" s="1183"/>
      <c r="I94" s="1280">
        <v>1.2E-2</v>
      </c>
      <c r="J94" s="1281">
        <v>1.2E-2</v>
      </c>
      <c r="K94" s="1281">
        <v>1.2E-2</v>
      </c>
      <c r="L94" s="1281">
        <v>1.2E-2</v>
      </c>
      <c r="M94" s="1281">
        <v>1.2E-2</v>
      </c>
      <c r="N94" s="1281">
        <v>1.2E-2</v>
      </c>
      <c r="O94" s="1281">
        <v>1.2E-2</v>
      </c>
      <c r="P94" s="1281">
        <v>1.2E-2</v>
      </c>
      <c r="Q94" s="1253" t="s">
        <v>1906</v>
      </c>
      <c r="R94" s="325" t="s">
        <v>410</v>
      </c>
      <c r="S94" s="198">
        <v>1</v>
      </c>
      <c r="T94" s="198">
        <v>3.6</v>
      </c>
      <c r="U94" s="183">
        <v>3</v>
      </c>
    </row>
    <row r="95" spans="2:21" ht="15" x14ac:dyDescent="0.2">
      <c r="B95" s="25" t="str">
        <f t="shared" si="22"/>
        <v>biomass</v>
      </c>
      <c r="C95" s="37" t="s">
        <v>612</v>
      </c>
      <c r="D95" s="186" t="str">
        <f t="shared" si="23"/>
        <v>biomass</v>
      </c>
      <c r="E95" s="797" t="s">
        <v>391</v>
      </c>
      <c r="F95" s="1175">
        <f t="shared" si="24"/>
        <v>1.2E-2</v>
      </c>
      <c r="G95" s="1405" t="str">
        <f t="shared" si="25"/>
        <v>dist</v>
      </c>
      <c r="H95" s="1183"/>
      <c r="I95" s="1280">
        <v>1.2E-2</v>
      </c>
      <c r="J95" s="1281">
        <v>1.2E-2</v>
      </c>
      <c r="K95" s="1281">
        <v>1.2E-2</v>
      </c>
      <c r="L95" s="1281">
        <v>1.2E-2</v>
      </c>
      <c r="M95" s="1281">
        <v>1.2E-2</v>
      </c>
      <c r="N95" s="1281">
        <v>1.2E-2</v>
      </c>
      <c r="O95" s="1281">
        <v>1.2E-2</v>
      </c>
      <c r="P95" s="1281">
        <v>1.2E-2</v>
      </c>
      <c r="Q95" s="1253" t="s">
        <v>1906</v>
      </c>
      <c r="R95" s="325" t="s">
        <v>411</v>
      </c>
      <c r="S95" s="198">
        <v>1</v>
      </c>
      <c r="T95" s="198">
        <v>3.6</v>
      </c>
      <c r="U95" s="183">
        <v>4</v>
      </c>
    </row>
    <row r="96" spans="2:21" ht="15" x14ac:dyDescent="0.2">
      <c r="B96" s="25" t="str">
        <f t="shared" si="22"/>
        <v>custom</v>
      </c>
      <c r="C96" s="37" t="s">
        <v>50</v>
      </c>
      <c r="D96" s="186" t="str">
        <f t="shared" si="23"/>
        <v>custom</v>
      </c>
      <c r="E96" s="797" t="s">
        <v>391</v>
      </c>
      <c r="F96" s="1175">
        <f t="shared" si="24"/>
        <v>0.3</v>
      </c>
      <c r="G96" s="1405" t="str">
        <f t="shared" si="25"/>
        <v>dist</v>
      </c>
      <c r="H96" s="1183"/>
      <c r="I96" s="1280">
        <v>0.3</v>
      </c>
      <c r="J96" s="1281">
        <v>0.3</v>
      </c>
      <c r="K96" s="1281">
        <v>0.3</v>
      </c>
      <c r="L96" s="1281">
        <v>0.3</v>
      </c>
      <c r="M96" s="1281">
        <v>0.3</v>
      </c>
      <c r="N96" s="1281">
        <v>0.3</v>
      </c>
      <c r="O96" s="1281">
        <v>0.3</v>
      </c>
      <c r="P96" s="1281">
        <v>0.3</v>
      </c>
      <c r="Q96" s="1253" t="s">
        <v>1906</v>
      </c>
    </row>
    <row r="97" spans="2:17" ht="15" x14ac:dyDescent="0.2">
      <c r="B97" s="25" t="str">
        <f t="shared" si="22"/>
        <v>District heating</v>
      </c>
      <c r="C97" s="37" t="s">
        <v>51</v>
      </c>
      <c r="D97" s="186" t="str">
        <f t="shared" si="23"/>
        <v>dh</v>
      </c>
      <c r="E97" s="797" t="s">
        <v>391</v>
      </c>
      <c r="F97" s="1175">
        <f t="shared" si="24"/>
        <v>0.26</v>
      </c>
      <c r="G97" s="1405" t="str">
        <f t="shared" si="25"/>
        <v>nrby</v>
      </c>
      <c r="H97" s="1183"/>
      <c r="I97" s="1282">
        <v>0.26</v>
      </c>
      <c r="J97" s="1281">
        <v>0.4</v>
      </c>
      <c r="K97" s="1281">
        <v>0.4</v>
      </c>
      <c r="L97" s="1281">
        <v>0.4</v>
      </c>
      <c r="M97" s="1281">
        <v>0.4</v>
      </c>
      <c r="N97" s="1281">
        <v>0.4</v>
      </c>
      <c r="O97" s="1271">
        <v>0.4</v>
      </c>
      <c r="P97" s="1281">
        <v>0.4</v>
      </c>
      <c r="Q97" s="1253" t="s">
        <v>1906</v>
      </c>
    </row>
    <row r="98" spans="2:17" ht="15" x14ac:dyDescent="0.2">
      <c r="B98" s="25" t="str">
        <f t="shared" si="22"/>
        <v>District cooling</v>
      </c>
      <c r="C98" s="37" t="s">
        <v>1900</v>
      </c>
      <c r="D98" s="186" t="str">
        <f t="shared" si="23"/>
        <v>dc</v>
      </c>
      <c r="E98" s="797" t="s">
        <v>391</v>
      </c>
      <c r="F98" s="1175">
        <f t="shared" si="24"/>
        <v>0.26</v>
      </c>
      <c r="G98" s="1405" t="str">
        <f t="shared" si="25"/>
        <v>nrby</v>
      </c>
      <c r="H98" s="1183"/>
      <c r="I98" s="1282">
        <v>0.26</v>
      </c>
      <c r="J98" s="1281">
        <v>0.4</v>
      </c>
      <c r="K98" s="1281">
        <v>0.4</v>
      </c>
      <c r="L98" s="1281">
        <v>0.4</v>
      </c>
      <c r="M98" s="1281">
        <v>0.4</v>
      </c>
      <c r="N98" s="1281">
        <v>0.4</v>
      </c>
      <c r="O98" s="1271">
        <v>0.4</v>
      </c>
      <c r="P98" s="1281">
        <v>0.4</v>
      </c>
      <c r="Q98" s="1253" t="s">
        <v>1906</v>
      </c>
    </row>
    <row r="99" spans="2:17" ht="15" x14ac:dyDescent="0.2">
      <c r="B99" s="25" t="str">
        <f t="shared" si="22"/>
        <v>Electricity from nearby (to be used as an example)</v>
      </c>
      <c r="C99" s="37"/>
      <c r="D99" s="186" t="str">
        <f t="shared" si="23"/>
        <v>el_nrby</v>
      </c>
      <c r="E99" s="797"/>
      <c r="F99" s="1175"/>
      <c r="G99" s="1405" t="str">
        <f t="shared" si="25"/>
        <v>nrby</v>
      </c>
      <c r="H99" s="1183"/>
      <c r="I99" s="1282"/>
      <c r="J99" s="1281"/>
      <c r="K99" s="1281"/>
      <c r="L99" s="1281"/>
      <c r="M99" s="1281"/>
      <c r="N99" s="1281"/>
      <c r="O99" s="1271"/>
      <c r="P99" s="1281"/>
      <c r="Q99" s="1253"/>
    </row>
    <row r="100" spans="2:17" ht="15" x14ac:dyDescent="0.2">
      <c r="B100" s="25" t="str">
        <f t="shared" si="22"/>
        <v>Thermal solar</v>
      </c>
      <c r="C100" s="37" t="s">
        <v>1901</v>
      </c>
      <c r="D100" s="186" t="str">
        <f t="shared" si="23"/>
        <v>sol</v>
      </c>
      <c r="E100" s="797" t="s">
        <v>391</v>
      </c>
      <c r="F100" s="1175">
        <f t="shared" ref="F100:F106" si="26">INDEX(I100:P100,,_case_factor)*$F$109</f>
        <v>0</v>
      </c>
      <c r="G100" s="1405" t="str">
        <f t="shared" si="25"/>
        <v>onst</v>
      </c>
      <c r="H100" s="1183"/>
      <c r="I100" s="1282">
        <v>0</v>
      </c>
      <c r="J100" s="1281">
        <v>0</v>
      </c>
      <c r="K100" s="1281">
        <v>0</v>
      </c>
      <c r="L100" s="1281">
        <v>0</v>
      </c>
      <c r="M100" s="1281">
        <v>0</v>
      </c>
      <c r="N100" s="1281">
        <v>0</v>
      </c>
      <c r="O100" s="1271">
        <v>0</v>
      </c>
      <c r="P100" s="1281">
        <v>0</v>
      </c>
      <c r="Q100" s="1253" t="s">
        <v>1906</v>
      </c>
    </row>
    <row r="101" spans="2:17" ht="15" x14ac:dyDescent="0.2">
      <c r="B101" s="25" t="str">
        <f t="shared" si="22"/>
        <v>Photovoltaic</v>
      </c>
      <c r="C101" s="37" t="s">
        <v>1902</v>
      </c>
      <c r="D101" s="186" t="str">
        <f t="shared" si="23"/>
        <v>pv</v>
      </c>
      <c r="E101" s="797" t="s">
        <v>391</v>
      </c>
      <c r="F101" s="1175">
        <f t="shared" si="26"/>
        <v>0</v>
      </c>
      <c r="G101" s="1405" t="str">
        <f t="shared" si="25"/>
        <v>onst</v>
      </c>
      <c r="H101" s="1183"/>
      <c r="I101" s="1282">
        <v>0</v>
      </c>
      <c r="J101" s="1281">
        <v>0</v>
      </c>
      <c r="K101" s="1281">
        <v>0</v>
      </c>
      <c r="L101" s="1281">
        <v>0</v>
      </c>
      <c r="M101" s="1281">
        <v>0</v>
      </c>
      <c r="N101" s="1281">
        <v>0</v>
      </c>
      <c r="O101" s="1271">
        <v>0</v>
      </c>
      <c r="P101" s="1281">
        <v>0</v>
      </c>
      <c r="Q101" s="1253" t="s">
        <v>1906</v>
      </c>
    </row>
    <row r="102" spans="2:17" ht="15" x14ac:dyDescent="0.2">
      <c r="B102" s="25" t="str">
        <f t="shared" si="22"/>
        <v>Environment heat</v>
      </c>
      <c r="C102" s="38" t="s">
        <v>1891</v>
      </c>
      <c r="D102" s="186" t="str">
        <f t="shared" si="23"/>
        <v>env</v>
      </c>
      <c r="E102" s="797" t="s">
        <v>391</v>
      </c>
      <c r="F102" s="1175">
        <f t="shared" si="26"/>
        <v>0</v>
      </c>
      <c r="G102" s="1405" t="str">
        <f t="shared" si="25"/>
        <v>onst</v>
      </c>
      <c r="H102" s="1183"/>
      <c r="I102" s="1282">
        <v>0</v>
      </c>
      <c r="J102" s="1281">
        <v>0.61699999999999999</v>
      </c>
      <c r="K102" s="1281">
        <v>0.61699999999999999</v>
      </c>
      <c r="L102" s="1281">
        <v>0.61699999999999999</v>
      </c>
      <c r="M102" s="1281">
        <v>0.61699999999999999</v>
      </c>
      <c r="N102" s="1281">
        <v>0.61699999999999999</v>
      </c>
      <c r="O102" s="1281">
        <v>0.61699999999999999</v>
      </c>
      <c r="P102" s="1281">
        <v>0.61699999999999999</v>
      </c>
      <c r="Q102" s="1253" t="s">
        <v>1906</v>
      </c>
    </row>
    <row r="103" spans="2:17" ht="15" x14ac:dyDescent="0.2">
      <c r="B103" s="25" t="str">
        <f t="shared" si="22"/>
        <v>Grid delivered electricity</v>
      </c>
      <c r="C103" s="38" t="s">
        <v>52</v>
      </c>
      <c r="D103" s="186" t="str">
        <f t="shared" si="23"/>
        <v>el</v>
      </c>
      <c r="E103" s="797" t="s">
        <v>391</v>
      </c>
      <c r="F103" s="1175">
        <f t="shared" si="26"/>
        <v>0.42</v>
      </c>
      <c r="G103" s="1405" t="str">
        <f t="shared" si="25"/>
        <v>dist</v>
      </c>
      <c r="H103" s="1183"/>
      <c r="I103" s="1282">
        <v>0.42</v>
      </c>
      <c r="J103" s="1281">
        <v>0.4</v>
      </c>
      <c r="K103" s="1281">
        <v>0.4</v>
      </c>
      <c r="L103" s="1281">
        <v>0.4</v>
      </c>
      <c r="M103" s="1281">
        <v>0.4</v>
      </c>
      <c r="N103" s="1281">
        <v>0.4</v>
      </c>
      <c r="O103" s="1281">
        <v>0.4</v>
      </c>
      <c r="P103" s="1281">
        <v>0.4</v>
      </c>
      <c r="Q103" s="1253" t="s">
        <v>1906</v>
      </c>
    </row>
    <row r="104" spans="2:17" ht="15" x14ac:dyDescent="0.2">
      <c r="B104" s="25" t="str">
        <f t="shared" si="22"/>
        <v xml:space="preserve">Grid exported electricity </v>
      </c>
      <c r="C104" s="38" t="s">
        <v>1892</v>
      </c>
      <c r="D104" s="186" t="str">
        <f t="shared" si="23"/>
        <v>el_exp</v>
      </c>
      <c r="E104" s="797" t="s">
        <v>391</v>
      </c>
      <c r="F104" s="1175">
        <f t="shared" si="26"/>
        <v>0.42</v>
      </c>
      <c r="G104" s="1405" t="str">
        <f t="shared" si="25"/>
        <v>dist</v>
      </c>
      <c r="H104" s="1183"/>
      <c r="I104" s="1282">
        <v>0.42</v>
      </c>
      <c r="J104" s="1281">
        <v>0.4</v>
      </c>
      <c r="K104" s="1281">
        <v>0.4</v>
      </c>
      <c r="L104" s="1281">
        <v>0.4</v>
      </c>
      <c r="M104" s="1281">
        <v>0.4</v>
      </c>
      <c r="N104" s="1281">
        <v>0.4</v>
      </c>
      <c r="O104" s="1281">
        <v>0.4</v>
      </c>
      <c r="P104" s="1281">
        <v>0.4</v>
      </c>
      <c r="Q104" s="1253" t="s">
        <v>1906</v>
      </c>
    </row>
    <row r="105" spans="2:17" ht="15" x14ac:dyDescent="0.2">
      <c r="B105" s="25" t="str">
        <f t="shared" si="22"/>
        <v>Temp. exported electricity</v>
      </c>
      <c r="C105" s="38" t="s">
        <v>1893</v>
      </c>
      <c r="D105" s="186" t="str">
        <f t="shared" si="23"/>
        <v>el_tmp</v>
      </c>
      <c r="E105" s="797" t="s">
        <v>391</v>
      </c>
      <c r="F105" s="1175">
        <f t="shared" si="26"/>
        <v>0.42</v>
      </c>
      <c r="G105" s="1405" t="str">
        <f t="shared" si="25"/>
        <v>dist</v>
      </c>
      <c r="H105" s="1183"/>
      <c r="I105" s="1280">
        <v>0.42</v>
      </c>
      <c r="J105" s="1281">
        <v>0.4</v>
      </c>
      <c r="K105" s="1281">
        <v>0.4</v>
      </c>
      <c r="L105" s="1281">
        <v>0.4</v>
      </c>
      <c r="M105" s="1281">
        <v>0.4</v>
      </c>
      <c r="N105" s="1281">
        <v>0.4</v>
      </c>
      <c r="O105" s="1281">
        <v>0.4</v>
      </c>
      <c r="P105" s="1281">
        <v>0.4</v>
      </c>
      <c r="Q105" s="1253" t="s">
        <v>1906</v>
      </c>
    </row>
    <row r="106" spans="2:17" ht="15" x14ac:dyDescent="0.2">
      <c r="B106" s="25" t="str">
        <f t="shared" si="22"/>
        <v>Exp to non EPB uses</v>
      </c>
      <c r="C106" s="38" t="s">
        <v>1894</v>
      </c>
      <c r="D106" s="186" t="str">
        <f t="shared" si="23"/>
        <v>el_nep</v>
      </c>
      <c r="E106" s="797" t="s">
        <v>391</v>
      </c>
      <c r="F106" s="1175">
        <f t="shared" si="26"/>
        <v>0.42</v>
      </c>
      <c r="G106" s="1405" t="str">
        <f t="shared" si="25"/>
        <v>dist</v>
      </c>
      <c r="H106" s="1183"/>
      <c r="I106" s="1280">
        <v>0.42</v>
      </c>
      <c r="J106" s="1281">
        <v>0.4</v>
      </c>
      <c r="K106" s="1281">
        <v>0.4</v>
      </c>
      <c r="L106" s="1281">
        <v>0.4</v>
      </c>
      <c r="M106" s="1281">
        <v>0.4</v>
      </c>
      <c r="N106" s="1281">
        <v>0.4</v>
      </c>
      <c r="O106" s="1281">
        <v>0.4</v>
      </c>
      <c r="P106" s="1281">
        <v>0.4</v>
      </c>
      <c r="Q106" s="1253" t="s">
        <v>1906</v>
      </c>
    </row>
    <row r="107" spans="2:17" x14ac:dyDescent="0.2">
      <c r="B107" s="957" t="s">
        <v>1116</v>
      </c>
      <c r="C107" s="1104"/>
      <c r="D107" s="1101"/>
      <c r="E107" s="1106"/>
      <c r="F107" s="1105"/>
      <c r="G107" s="1407"/>
      <c r="H107" s="1185"/>
      <c r="I107" s="1283"/>
      <c r="J107" s="1284"/>
      <c r="K107" s="1284"/>
      <c r="L107" s="1284"/>
      <c r="M107" s="1284"/>
      <c r="N107" s="1284"/>
      <c r="O107" s="1284"/>
      <c r="P107" s="1284"/>
      <c r="Q107" s="1253"/>
    </row>
    <row r="108" spans="2:17" s="126" customFormat="1" x14ac:dyDescent="0.2">
      <c r="B108" s="1187" t="str">
        <f>INDEX(Language!$D$178:$N$178,1,_language)</f>
        <v>Unit index</v>
      </c>
      <c r="C108" s="1188"/>
      <c r="D108" s="1189"/>
      <c r="E108" s="1190"/>
      <c r="F108" s="1191">
        <f>INDEX(I108:P108,,_case_factor)</f>
        <v>1</v>
      </c>
      <c r="G108" s="1408"/>
      <c r="H108" s="1186"/>
      <c r="I108" s="1285">
        <f t="shared" ref="I108:P108" si="27">VLOOKUP(I90,$R$92:$U$95,4)</f>
        <v>1</v>
      </c>
      <c r="J108" s="1286">
        <f t="shared" si="27"/>
        <v>1</v>
      </c>
      <c r="K108" s="1286">
        <f t="shared" si="27"/>
        <v>1</v>
      </c>
      <c r="L108" s="1286">
        <f t="shared" si="27"/>
        <v>1</v>
      </c>
      <c r="M108" s="1286">
        <f t="shared" si="27"/>
        <v>1</v>
      </c>
      <c r="N108" s="1286">
        <f t="shared" si="27"/>
        <v>1</v>
      </c>
      <c r="O108" s="1286">
        <f t="shared" si="27"/>
        <v>1</v>
      </c>
      <c r="P108" s="1286">
        <f t="shared" si="27"/>
        <v>1</v>
      </c>
      <c r="Q108" s="1254"/>
    </row>
    <row r="109" spans="2:17" s="795" customFormat="1" x14ac:dyDescent="0.2">
      <c r="B109" s="1192" t="s">
        <v>2067</v>
      </c>
      <c r="C109" s="1193"/>
      <c r="D109" s="1194"/>
      <c r="E109" s="1195"/>
      <c r="F109" s="1196">
        <f>INDEX(T92:T95,F108)</f>
        <v>1</v>
      </c>
      <c r="G109" s="1407"/>
      <c r="H109" s="1185"/>
      <c r="I109" s="1274"/>
      <c r="J109" s="1275"/>
      <c r="K109" s="1275"/>
      <c r="L109" s="1275"/>
      <c r="M109" s="1275"/>
      <c r="N109" s="1275"/>
      <c r="O109" s="1275"/>
      <c r="P109" s="1275"/>
      <c r="Q109" s="1253"/>
    </row>
    <row r="110" spans="2:17" s="795" customFormat="1" ht="15" x14ac:dyDescent="0.2">
      <c r="B110" s="25" t="s">
        <v>2167</v>
      </c>
      <c r="C110" s="25"/>
      <c r="D110" s="53"/>
      <c r="E110" s="797" t="str">
        <f>$F$110&amp;"/kWh"</f>
        <v>€/kWh</v>
      </c>
      <c r="F110" s="1363" t="str">
        <f>INDEX(I110:P110,,_case_factor)</f>
        <v>€</v>
      </c>
      <c r="G110" s="1407"/>
      <c r="H110" s="1185"/>
      <c r="I110" s="1364" t="s">
        <v>2168</v>
      </c>
      <c r="J110" s="1365" t="s">
        <v>2168</v>
      </c>
      <c r="K110" s="1365" t="s">
        <v>2168</v>
      </c>
      <c r="L110" s="1365" t="s">
        <v>2168</v>
      </c>
      <c r="M110" s="1366" t="s">
        <v>2168</v>
      </c>
      <c r="N110" s="1366" t="s">
        <v>2168</v>
      </c>
      <c r="O110" s="1366" t="s">
        <v>2168</v>
      </c>
      <c r="P110" s="1366" t="s">
        <v>2168</v>
      </c>
      <c r="Q110" s="1253"/>
    </row>
    <row r="111" spans="2:17" s="795" customFormat="1" x14ac:dyDescent="0.2">
      <c r="B111" s="34" t="s">
        <v>2051</v>
      </c>
      <c r="C111" s="25" t="s">
        <v>390</v>
      </c>
      <c r="D111" s="53"/>
      <c r="E111" s="799"/>
      <c r="F111" s="801"/>
      <c r="G111" s="1407"/>
      <c r="H111" s="1185"/>
      <c r="I111" s="1274"/>
      <c r="J111" s="1275"/>
      <c r="K111" s="1275"/>
      <c r="L111" s="1275"/>
      <c r="M111" s="1275"/>
      <c r="N111" s="1275"/>
      <c r="O111" s="1275"/>
      <c r="P111" s="1275"/>
      <c r="Q111" s="1253"/>
    </row>
    <row r="112" spans="2:17" s="795" customFormat="1" ht="15" x14ac:dyDescent="0.2">
      <c r="B112" s="25" t="str">
        <f t="shared" ref="B112:B127" si="28">+B32</f>
        <v>gas</v>
      </c>
      <c r="C112" s="37" t="s">
        <v>2052</v>
      </c>
      <c r="D112" s="186" t="str">
        <f t="shared" ref="D112:D127" si="29">+D91</f>
        <v>gas</v>
      </c>
      <c r="E112" s="797" t="str">
        <f t="shared" ref="E112:E119" si="30">$F$110&amp;"/kWh"</f>
        <v>€/kWh</v>
      </c>
      <c r="F112" s="1175">
        <f t="shared" ref="F112:F119" si="31">INDEX(I112:P112,,_case_factor)</f>
        <v>0.22</v>
      </c>
      <c r="G112" s="1405" t="str">
        <f t="shared" ref="G112:G127" si="32">+G32</f>
        <v>dist</v>
      </c>
      <c r="H112" s="1183"/>
      <c r="I112" s="1282">
        <v>0.22</v>
      </c>
      <c r="J112" s="1281">
        <v>0.27700000000000002</v>
      </c>
      <c r="K112" s="1281">
        <v>0.27700000000000002</v>
      </c>
      <c r="L112" s="1281">
        <v>0.27700000000000002</v>
      </c>
      <c r="M112" s="1281">
        <v>0.27700000000000002</v>
      </c>
      <c r="N112" s="1281">
        <v>0.27700000000000002</v>
      </c>
      <c r="O112" s="1281">
        <v>0.27700000000000002</v>
      </c>
      <c r="P112" s="1281">
        <v>0.27700000000000002</v>
      </c>
      <c r="Q112" s="1253" t="s">
        <v>1906</v>
      </c>
    </row>
    <row r="113" spans="2:17" s="795" customFormat="1" ht="15" x14ac:dyDescent="0.2">
      <c r="B113" s="25" t="str">
        <f t="shared" si="28"/>
        <v>oil</v>
      </c>
      <c r="C113" s="37" t="s">
        <v>2053</v>
      </c>
      <c r="D113" s="186" t="str">
        <f t="shared" si="29"/>
        <v>oil</v>
      </c>
      <c r="E113" s="797" t="str">
        <f t="shared" si="30"/>
        <v>€/kWh</v>
      </c>
      <c r="F113" s="1175">
        <f t="shared" si="31"/>
        <v>0.28999999999999998</v>
      </c>
      <c r="G113" s="1405" t="str">
        <f t="shared" si="32"/>
        <v>dist</v>
      </c>
      <c r="H113" s="1183"/>
      <c r="I113" s="1282">
        <v>0.28999999999999998</v>
      </c>
      <c r="J113" s="1281">
        <v>0.33</v>
      </c>
      <c r="K113" s="1281">
        <v>0.33</v>
      </c>
      <c r="L113" s="1281">
        <v>0.33</v>
      </c>
      <c r="M113" s="1281">
        <v>0.33</v>
      </c>
      <c r="N113" s="1281">
        <v>0.33</v>
      </c>
      <c r="O113" s="1281">
        <v>0.33</v>
      </c>
      <c r="P113" s="1281">
        <v>0.33</v>
      </c>
      <c r="Q113" s="1253" t="s">
        <v>1906</v>
      </c>
    </row>
    <row r="114" spans="2:17" s="795" customFormat="1" ht="15" x14ac:dyDescent="0.2">
      <c r="B114" s="25" t="str">
        <f t="shared" si="28"/>
        <v>coal</v>
      </c>
      <c r="C114" s="37" t="s">
        <v>2054</v>
      </c>
      <c r="D114" s="186" t="str">
        <f t="shared" si="29"/>
        <v>coal</v>
      </c>
      <c r="E114" s="797" t="str">
        <f t="shared" si="30"/>
        <v>€/kWh</v>
      </c>
      <c r="F114" s="1175">
        <f t="shared" si="31"/>
        <v>0.36</v>
      </c>
      <c r="G114" s="1405" t="str">
        <f t="shared" si="32"/>
        <v>dist</v>
      </c>
      <c r="H114" s="1183"/>
      <c r="I114" s="1282">
        <v>0.36</v>
      </c>
      <c r="J114" s="1281">
        <v>0.433</v>
      </c>
      <c r="K114" s="1281">
        <v>0.433</v>
      </c>
      <c r="L114" s="1281">
        <v>0.433</v>
      </c>
      <c r="M114" s="1281">
        <v>0.433</v>
      </c>
      <c r="N114" s="1281">
        <v>0.433</v>
      </c>
      <c r="O114" s="1281">
        <v>0.433</v>
      </c>
      <c r="P114" s="1281">
        <v>0.433</v>
      </c>
      <c r="Q114" s="1253" t="s">
        <v>1906</v>
      </c>
    </row>
    <row r="115" spans="2:17" s="795" customFormat="1" ht="15" x14ac:dyDescent="0.2">
      <c r="B115" s="25" t="str">
        <f t="shared" si="28"/>
        <v>wood</v>
      </c>
      <c r="C115" s="37" t="s">
        <v>2055</v>
      </c>
      <c r="D115" s="186" t="str">
        <f t="shared" si="29"/>
        <v>wood</v>
      </c>
      <c r="E115" s="797" t="str">
        <f t="shared" si="30"/>
        <v>€/kWh</v>
      </c>
      <c r="F115" s="1175">
        <f t="shared" si="31"/>
        <v>1.2E-2</v>
      </c>
      <c r="G115" s="1405" t="str">
        <f t="shared" si="32"/>
        <v>dist</v>
      </c>
      <c r="H115" s="1183"/>
      <c r="I115" s="1280">
        <v>1.2E-2</v>
      </c>
      <c r="J115" s="1281">
        <v>1.2E-2</v>
      </c>
      <c r="K115" s="1281">
        <v>1.2E-2</v>
      </c>
      <c r="L115" s="1281">
        <v>1.2E-2</v>
      </c>
      <c r="M115" s="1281">
        <v>1.2E-2</v>
      </c>
      <c r="N115" s="1281">
        <v>1.2E-2</v>
      </c>
      <c r="O115" s="1281">
        <v>1.2E-2</v>
      </c>
      <c r="P115" s="1281">
        <v>1.2E-2</v>
      </c>
      <c r="Q115" s="1253" t="s">
        <v>1906</v>
      </c>
    </row>
    <row r="116" spans="2:17" s="795" customFormat="1" ht="15" x14ac:dyDescent="0.2">
      <c r="B116" s="25" t="str">
        <f t="shared" si="28"/>
        <v>biomass</v>
      </c>
      <c r="C116" s="37" t="s">
        <v>2056</v>
      </c>
      <c r="D116" s="186" t="str">
        <f t="shared" si="29"/>
        <v>biomass</v>
      </c>
      <c r="E116" s="797" t="str">
        <f t="shared" si="30"/>
        <v>€/kWh</v>
      </c>
      <c r="F116" s="1175">
        <f t="shared" si="31"/>
        <v>1.2E-2</v>
      </c>
      <c r="G116" s="1405" t="str">
        <f t="shared" si="32"/>
        <v>dist</v>
      </c>
      <c r="H116" s="1183"/>
      <c r="I116" s="1280">
        <v>1.2E-2</v>
      </c>
      <c r="J116" s="1281">
        <v>1.2E-2</v>
      </c>
      <c r="K116" s="1281">
        <v>1.2E-2</v>
      </c>
      <c r="L116" s="1281">
        <v>1.2E-2</v>
      </c>
      <c r="M116" s="1281">
        <v>1.2E-2</v>
      </c>
      <c r="N116" s="1281">
        <v>1.2E-2</v>
      </c>
      <c r="O116" s="1281">
        <v>1.2E-2</v>
      </c>
      <c r="P116" s="1281">
        <v>1.2E-2</v>
      </c>
      <c r="Q116" s="1253" t="s">
        <v>1906</v>
      </c>
    </row>
    <row r="117" spans="2:17" s="795" customFormat="1" ht="15" x14ac:dyDescent="0.2">
      <c r="B117" s="25" t="str">
        <f t="shared" si="28"/>
        <v>custom</v>
      </c>
      <c r="C117" s="37" t="s">
        <v>2057</v>
      </c>
      <c r="D117" s="186" t="str">
        <f t="shared" si="29"/>
        <v>custom</v>
      </c>
      <c r="E117" s="797" t="str">
        <f t="shared" si="30"/>
        <v>€/kWh</v>
      </c>
      <c r="F117" s="1175">
        <f t="shared" si="31"/>
        <v>0.3</v>
      </c>
      <c r="G117" s="1405" t="str">
        <f t="shared" si="32"/>
        <v>dist</v>
      </c>
      <c r="H117" s="1183"/>
      <c r="I117" s="1280">
        <v>0.3</v>
      </c>
      <c r="J117" s="1281">
        <v>0.3</v>
      </c>
      <c r="K117" s="1281">
        <v>0.3</v>
      </c>
      <c r="L117" s="1281">
        <v>0.3</v>
      </c>
      <c r="M117" s="1281">
        <v>0.3</v>
      </c>
      <c r="N117" s="1281">
        <v>0.3</v>
      </c>
      <c r="O117" s="1281">
        <v>0.3</v>
      </c>
      <c r="P117" s="1281">
        <v>0.3</v>
      </c>
      <c r="Q117" s="1253" t="s">
        <v>1906</v>
      </c>
    </row>
    <row r="118" spans="2:17" s="795" customFormat="1" ht="15" x14ac:dyDescent="0.2">
      <c r="B118" s="25" t="str">
        <f t="shared" si="28"/>
        <v>District heating</v>
      </c>
      <c r="C118" s="37" t="s">
        <v>2058</v>
      </c>
      <c r="D118" s="186" t="str">
        <f t="shared" si="29"/>
        <v>dh</v>
      </c>
      <c r="E118" s="797" t="str">
        <f t="shared" si="30"/>
        <v>€/kWh</v>
      </c>
      <c r="F118" s="1175">
        <f t="shared" si="31"/>
        <v>0.26</v>
      </c>
      <c r="G118" s="1405" t="str">
        <f t="shared" si="32"/>
        <v>nrby</v>
      </c>
      <c r="H118" s="1183"/>
      <c r="I118" s="1282">
        <v>0.26</v>
      </c>
      <c r="J118" s="1281">
        <v>0.4</v>
      </c>
      <c r="K118" s="1281">
        <v>0.4</v>
      </c>
      <c r="L118" s="1281">
        <v>0.4</v>
      </c>
      <c r="M118" s="1281">
        <v>0.4</v>
      </c>
      <c r="N118" s="1281">
        <v>0.4</v>
      </c>
      <c r="O118" s="1271">
        <v>0.4</v>
      </c>
      <c r="P118" s="1281">
        <v>0.4</v>
      </c>
      <c r="Q118" s="1253" t="s">
        <v>1906</v>
      </c>
    </row>
    <row r="119" spans="2:17" s="795" customFormat="1" ht="15" x14ac:dyDescent="0.2">
      <c r="B119" s="25" t="str">
        <f t="shared" si="28"/>
        <v>District cooling</v>
      </c>
      <c r="C119" s="37" t="s">
        <v>2059</v>
      </c>
      <c r="D119" s="186" t="str">
        <f t="shared" si="29"/>
        <v>dc</v>
      </c>
      <c r="E119" s="797" t="str">
        <f t="shared" si="30"/>
        <v>€/kWh</v>
      </c>
      <c r="F119" s="1175">
        <f t="shared" si="31"/>
        <v>0.26</v>
      </c>
      <c r="G119" s="1405" t="str">
        <f t="shared" si="32"/>
        <v>nrby</v>
      </c>
      <c r="H119" s="1183"/>
      <c r="I119" s="1282">
        <v>0.26</v>
      </c>
      <c r="J119" s="1281">
        <v>0.4</v>
      </c>
      <c r="K119" s="1281">
        <v>0.4</v>
      </c>
      <c r="L119" s="1281">
        <v>0.4</v>
      </c>
      <c r="M119" s="1281">
        <v>0.4</v>
      </c>
      <c r="N119" s="1281">
        <v>0.4</v>
      </c>
      <c r="O119" s="1271">
        <v>0.4</v>
      </c>
      <c r="P119" s="1281">
        <v>0.4</v>
      </c>
      <c r="Q119" s="1253" t="s">
        <v>1906</v>
      </c>
    </row>
    <row r="120" spans="2:17" s="795" customFormat="1" ht="15" x14ac:dyDescent="0.2">
      <c r="B120" s="25" t="str">
        <f t="shared" si="28"/>
        <v>Electricity from nearby (to be used as an example)</v>
      </c>
      <c r="C120" s="37"/>
      <c r="D120" s="186" t="str">
        <f t="shared" si="29"/>
        <v>el_nrby</v>
      </c>
      <c r="E120" s="797"/>
      <c r="F120" s="1175"/>
      <c r="G120" s="1405" t="str">
        <f t="shared" si="32"/>
        <v>nrby</v>
      </c>
      <c r="H120" s="1183"/>
      <c r="I120" s="1282"/>
      <c r="J120" s="1281"/>
      <c r="K120" s="1281"/>
      <c r="L120" s="1281"/>
      <c r="M120" s="1281"/>
      <c r="N120" s="1281"/>
      <c r="O120" s="1271"/>
      <c r="P120" s="1281"/>
      <c r="Q120" s="1253"/>
    </row>
    <row r="121" spans="2:17" s="795" customFormat="1" ht="15" x14ac:dyDescent="0.2">
      <c r="B121" s="25" t="str">
        <f t="shared" si="28"/>
        <v>Thermal solar</v>
      </c>
      <c r="C121" s="37" t="s">
        <v>2060</v>
      </c>
      <c r="D121" s="186" t="str">
        <f t="shared" si="29"/>
        <v>sol</v>
      </c>
      <c r="E121" s="797" t="str">
        <f t="shared" ref="E121:E127" si="33">$F$110&amp;"/kWh"</f>
        <v>€/kWh</v>
      </c>
      <c r="F121" s="1175">
        <f t="shared" ref="F121:F127" si="34">INDEX(I121:P121,,_case_factor)</f>
        <v>0</v>
      </c>
      <c r="G121" s="1405" t="str">
        <f t="shared" si="32"/>
        <v>onst</v>
      </c>
      <c r="H121" s="1183"/>
      <c r="I121" s="1282">
        <v>0</v>
      </c>
      <c r="J121" s="1281">
        <v>0</v>
      </c>
      <c r="K121" s="1281">
        <v>0</v>
      </c>
      <c r="L121" s="1281">
        <v>0</v>
      </c>
      <c r="M121" s="1281">
        <v>0</v>
      </c>
      <c r="N121" s="1281">
        <v>0</v>
      </c>
      <c r="O121" s="1271">
        <v>0</v>
      </c>
      <c r="P121" s="1281">
        <v>0</v>
      </c>
      <c r="Q121" s="1253" t="s">
        <v>1906</v>
      </c>
    </row>
    <row r="122" spans="2:17" s="795" customFormat="1" ht="15" x14ac:dyDescent="0.2">
      <c r="B122" s="25" t="str">
        <f t="shared" si="28"/>
        <v>Photovoltaic</v>
      </c>
      <c r="C122" s="37" t="s">
        <v>2061</v>
      </c>
      <c r="D122" s="186" t="str">
        <f t="shared" si="29"/>
        <v>pv</v>
      </c>
      <c r="E122" s="797" t="str">
        <f t="shared" si="33"/>
        <v>€/kWh</v>
      </c>
      <c r="F122" s="1175">
        <f t="shared" si="34"/>
        <v>0</v>
      </c>
      <c r="G122" s="1405" t="str">
        <f t="shared" si="32"/>
        <v>onst</v>
      </c>
      <c r="H122" s="1183"/>
      <c r="I122" s="1282">
        <v>0</v>
      </c>
      <c r="J122" s="1281">
        <v>0</v>
      </c>
      <c r="K122" s="1281">
        <v>0</v>
      </c>
      <c r="L122" s="1281">
        <v>0</v>
      </c>
      <c r="M122" s="1281">
        <v>0</v>
      </c>
      <c r="N122" s="1281">
        <v>0</v>
      </c>
      <c r="O122" s="1271">
        <v>0</v>
      </c>
      <c r="P122" s="1281">
        <v>0</v>
      </c>
      <c r="Q122" s="1253" t="s">
        <v>1906</v>
      </c>
    </row>
    <row r="123" spans="2:17" s="795" customFormat="1" ht="15" x14ac:dyDescent="0.2">
      <c r="B123" s="25" t="str">
        <f t="shared" si="28"/>
        <v>Environment heat</v>
      </c>
      <c r="C123" s="38" t="s">
        <v>2062</v>
      </c>
      <c r="D123" s="186" t="str">
        <f t="shared" si="29"/>
        <v>env</v>
      </c>
      <c r="E123" s="797" t="str">
        <f t="shared" si="33"/>
        <v>€/kWh</v>
      </c>
      <c r="F123" s="1175">
        <f t="shared" si="34"/>
        <v>0</v>
      </c>
      <c r="G123" s="1405" t="str">
        <f t="shared" si="32"/>
        <v>onst</v>
      </c>
      <c r="H123" s="1183"/>
      <c r="I123" s="1282">
        <v>0</v>
      </c>
      <c r="J123" s="1281">
        <v>0.61699999999999999</v>
      </c>
      <c r="K123" s="1281">
        <v>0.61699999999999999</v>
      </c>
      <c r="L123" s="1281">
        <v>0.61699999999999999</v>
      </c>
      <c r="M123" s="1281">
        <v>0.61699999999999999</v>
      </c>
      <c r="N123" s="1281">
        <v>0.61699999999999999</v>
      </c>
      <c r="O123" s="1281">
        <v>0.61699999999999999</v>
      </c>
      <c r="P123" s="1281">
        <v>0.61699999999999999</v>
      </c>
      <c r="Q123" s="1253" t="s">
        <v>1906</v>
      </c>
    </row>
    <row r="124" spans="2:17" s="795" customFormat="1" ht="15" x14ac:dyDescent="0.2">
      <c r="B124" s="25" t="str">
        <f t="shared" si="28"/>
        <v>Grid delivered electricity</v>
      </c>
      <c r="C124" s="38" t="s">
        <v>2063</v>
      </c>
      <c r="D124" s="186" t="str">
        <f t="shared" si="29"/>
        <v>el</v>
      </c>
      <c r="E124" s="797" t="str">
        <f t="shared" si="33"/>
        <v>€/kWh</v>
      </c>
      <c r="F124" s="1175">
        <f t="shared" si="34"/>
        <v>0.42</v>
      </c>
      <c r="G124" s="1405" t="str">
        <f t="shared" si="32"/>
        <v>dist</v>
      </c>
      <c r="H124" s="1183"/>
      <c r="I124" s="1282">
        <v>0.42</v>
      </c>
      <c r="J124" s="1281">
        <v>0.4</v>
      </c>
      <c r="K124" s="1281">
        <v>0.4</v>
      </c>
      <c r="L124" s="1281">
        <v>0.4</v>
      </c>
      <c r="M124" s="1281">
        <v>0.4</v>
      </c>
      <c r="N124" s="1281">
        <v>0.4</v>
      </c>
      <c r="O124" s="1281">
        <v>0.4</v>
      </c>
      <c r="P124" s="1281">
        <v>0.4</v>
      </c>
      <c r="Q124" s="1253" t="s">
        <v>1906</v>
      </c>
    </row>
    <row r="125" spans="2:17" s="795" customFormat="1" ht="15" x14ac:dyDescent="0.2">
      <c r="B125" s="25" t="str">
        <f t="shared" si="28"/>
        <v xml:space="preserve">Grid exported electricity </v>
      </c>
      <c r="C125" s="38" t="s">
        <v>2064</v>
      </c>
      <c r="D125" s="186" t="str">
        <f t="shared" si="29"/>
        <v>el_exp</v>
      </c>
      <c r="E125" s="797" t="str">
        <f t="shared" si="33"/>
        <v>€/kWh</v>
      </c>
      <c r="F125" s="1175">
        <f t="shared" si="34"/>
        <v>0.42</v>
      </c>
      <c r="G125" s="1405" t="str">
        <f t="shared" si="32"/>
        <v>dist</v>
      </c>
      <c r="H125" s="1183"/>
      <c r="I125" s="1282">
        <v>0.42</v>
      </c>
      <c r="J125" s="1281">
        <v>0.4</v>
      </c>
      <c r="K125" s="1281">
        <v>0.4</v>
      </c>
      <c r="L125" s="1281">
        <v>0.4</v>
      </c>
      <c r="M125" s="1281">
        <v>0.4</v>
      </c>
      <c r="N125" s="1281">
        <v>0.4</v>
      </c>
      <c r="O125" s="1281">
        <v>0.4</v>
      </c>
      <c r="P125" s="1281">
        <v>0.4</v>
      </c>
      <c r="Q125" s="1253" t="s">
        <v>1906</v>
      </c>
    </row>
    <row r="126" spans="2:17" s="795" customFormat="1" ht="15" x14ac:dyDescent="0.2">
      <c r="B126" s="25" t="str">
        <f t="shared" si="28"/>
        <v>Temp. exported electricity</v>
      </c>
      <c r="C126" s="38" t="s">
        <v>2065</v>
      </c>
      <c r="D126" s="186" t="str">
        <f t="shared" si="29"/>
        <v>el_tmp</v>
      </c>
      <c r="E126" s="797" t="str">
        <f t="shared" si="33"/>
        <v>€/kWh</v>
      </c>
      <c r="F126" s="1175">
        <f t="shared" si="34"/>
        <v>0.42</v>
      </c>
      <c r="G126" s="1405" t="str">
        <f t="shared" si="32"/>
        <v>dist</v>
      </c>
      <c r="H126" s="1183"/>
      <c r="I126" s="1280">
        <v>0.42</v>
      </c>
      <c r="J126" s="1281">
        <v>0.4</v>
      </c>
      <c r="K126" s="1281">
        <v>0.4</v>
      </c>
      <c r="L126" s="1281">
        <v>0.4</v>
      </c>
      <c r="M126" s="1281">
        <v>0.4</v>
      </c>
      <c r="N126" s="1281">
        <v>0.4</v>
      </c>
      <c r="O126" s="1281">
        <v>0.4</v>
      </c>
      <c r="P126" s="1281">
        <v>0.4</v>
      </c>
      <c r="Q126" s="1253" t="s">
        <v>1906</v>
      </c>
    </row>
    <row r="127" spans="2:17" s="795" customFormat="1" ht="15" x14ac:dyDescent="0.2">
      <c r="B127" s="25" t="str">
        <f t="shared" si="28"/>
        <v>Exp to non EPB uses</v>
      </c>
      <c r="C127" s="38" t="s">
        <v>2066</v>
      </c>
      <c r="D127" s="186" t="str">
        <f t="shared" si="29"/>
        <v>el_nep</v>
      </c>
      <c r="E127" s="797" t="str">
        <f t="shared" si="33"/>
        <v>€/kWh</v>
      </c>
      <c r="F127" s="1175">
        <f t="shared" si="34"/>
        <v>0.42</v>
      </c>
      <c r="G127" s="1405" t="str">
        <f t="shared" si="32"/>
        <v>dist</v>
      </c>
      <c r="H127" s="1183"/>
      <c r="I127" s="1280">
        <v>0.42</v>
      </c>
      <c r="J127" s="1281">
        <v>0.4</v>
      </c>
      <c r="K127" s="1281">
        <v>0.4</v>
      </c>
      <c r="L127" s="1281">
        <v>0.4</v>
      </c>
      <c r="M127" s="1281">
        <v>0.4</v>
      </c>
      <c r="N127" s="1281">
        <v>0.4</v>
      </c>
      <c r="O127" s="1281">
        <v>0.4</v>
      </c>
      <c r="P127" s="1281">
        <v>0.4</v>
      </c>
      <c r="Q127" s="1253" t="s">
        <v>1906</v>
      </c>
    </row>
    <row r="128" spans="2:17" s="795" customFormat="1" x14ac:dyDescent="0.2">
      <c r="B128" s="957" t="s">
        <v>1116</v>
      </c>
      <c r="C128" s="1104"/>
      <c r="D128" s="1101"/>
      <c r="E128" s="1106"/>
      <c r="F128" s="1105"/>
      <c r="G128" s="1407"/>
      <c r="H128" s="1185"/>
      <c r="I128" s="1283"/>
      <c r="J128" s="1284"/>
      <c r="K128" s="1284"/>
      <c r="L128" s="1284"/>
      <c r="M128" s="1284"/>
      <c r="N128" s="1284"/>
      <c r="O128" s="1284"/>
      <c r="P128" s="1284"/>
      <c r="Q128" s="1253"/>
    </row>
    <row r="129" spans="2:17" s="795" customFormat="1" ht="13.5" thickBot="1" x14ac:dyDescent="0.25">
      <c r="B129" s="38"/>
      <c r="C129" s="38"/>
      <c r="D129" s="1169"/>
      <c r="E129" s="1171"/>
      <c r="F129" s="1174"/>
      <c r="G129" s="1174"/>
      <c r="H129" s="1186"/>
      <c r="I129" s="1287"/>
      <c r="J129" s="1288"/>
      <c r="K129" s="1288"/>
      <c r="L129" s="1288"/>
      <c r="M129" s="1288"/>
      <c r="N129" s="1288"/>
      <c r="O129" s="1288"/>
      <c r="P129" s="1288"/>
      <c r="Q129" s="1255"/>
    </row>
    <row r="130" spans="2:17" s="795" customFormat="1" x14ac:dyDescent="0.2">
      <c r="B130" s="26"/>
      <c r="C130" s="26"/>
      <c r="D130" s="42"/>
      <c r="E130" s="42"/>
      <c r="F130" s="796"/>
      <c r="G130" s="796"/>
      <c r="H130" s="796"/>
      <c r="I130" s="796"/>
      <c r="J130" s="796"/>
      <c r="K130" s="796"/>
      <c r="L130" s="796"/>
      <c r="M130" s="796"/>
      <c r="N130" s="796"/>
      <c r="O130" s="796"/>
      <c r="P130" s="796"/>
      <c r="Q130" s="26"/>
    </row>
    <row r="131" spans="2:17" s="795" customFormat="1" x14ac:dyDescent="0.2">
      <c r="B131" s="26"/>
      <c r="C131" s="26"/>
      <c r="D131" s="42"/>
      <c r="E131" s="42"/>
      <c r="F131" s="796"/>
      <c r="G131" s="796"/>
      <c r="H131" s="796"/>
      <c r="I131" s="796"/>
      <c r="J131" s="796"/>
      <c r="K131" s="796"/>
      <c r="L131" s="796"/>
      <c r="M131" s="796"/>
      <c r="N131" s="796"/>
      <c r="O131" s="796"/>
      <c r="P131" s="796"/>
      <c r="Q131" s="26"/>
    </row>
    <row r="132" spans="2:17" s="795" customFormat="1" x14ac:dyDescent="0.2">
      <c r="B132" s="26"/>
      <c r="C132" s="26"/>
      <c r="D132" s="42"/>
      <c r="E132" s="42"/>
      <c r="F132" s="796"/>
      <c r="G132" s="796"/>
      <c r="H132" s="796"/>
      <c r="I132" s="796"/>
      <c r="J132" s="796"/>
      <c r="K132" s="796"/>
      <c r="L132" s="796"/>
      <c r="M132" s="796"/>
      <c r="N132" s="796"/>
      <c r="O132" s="796"/>
      <c r="P132" s="796"/>
      <c r="Q132" s="26"/>
    </row>
  </sheetData>
  <dataValidations count="1">
    <dataValidation type="list" allowBlank="1" showInputMessage="1" showErrorMessage="1" sqref="I90:P90">
      <formula1>$R$92:$R$95</formula1>
    </dataValidation>
  </dataValidations>
  <pageMargins left="0.75" right="0.75" top="1" bottom="1" header="0.5" footer="0.5"/>
  <pageSetup paperSize="9" scale="70" fitToHeight="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9894" r:id="rId4" name="Drop Down 22">
              <controlPr defaultSize="0" autoLine="0" autoPict="0">
                <anchor moveWithCells="1">
                  <from>
                    <xdr:col>2</xdr:col>
                    <xdr:colOff>1095375</xdr:colOff>
                    <xdr:row>24</xdr:row>
                    <xdr:rowOff>57150</xdr:rowOff>
                  </from>
                  <to>
                    <xdr:col>4</xdr:col>
                    <xdr:colOff>666750</xdr:colOff>
                    <xdr:row>24</xdr:row>
                    <xdr:rowOff>257175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66FF66"/>
  </sheetPr>
  <dimension ref="A1:Y132"/>
  <sheetViews>
    <sheetView topLeftCell="C4" zoomScale="85" zoomScaleNormal="85" workbookViewId="0">
      <pane ySplit="2" topLeftCell="A6" activePane="bottomLeft" state="frozen"/>
      <selection activeCell="A4" sqref="A4"/>
      <selection pane="bottomLeft" activeCell="G75" sqref="G75"/>
    </sheetView>
  </sheetViews>
  <sheetFormatPr defaultRowHeight="12.75" outlineLevelCol="1" x14ac:dyDescent="0.2"/>
  <cols>
    <col min="1" max="1" width="45" style="997" customWidth="1"/>
    <col min="2" max="2" width="23.85546875" style="996" customWidth="1"/>
    <col min="3" max="3" width="19" style="996" customWidth="1"/>
    <col min="4" max="4" width="9.140625" style="996"/>
    <col min="5" max="6" width="11.42578125" style="996" hidden="1" customWidth="1" outlineLevel="1"/>
    <col min="7" max="7" width="7.85546875" style="996" customWidth="1" collapsed="1"/>
    <col min="8" max="18" width="6.5703125" style="996" customWidth="1"/>
    <col min="19" max="19" width="8.7109375" style="996" customWidth="1"/>
    <col min="20" max="20" width="11.5703125" style="996" customWidth="1"/>
    <col min="21" max="21" width="9.28515625" style="996" customWidth="1"/>
    <col min="22" max="23" width="9.140625" style="996"/>
    <col min="24" max="24" width="39.28515625" style="996" customWidth="1"/>
    <col min="25" max="16384" width="9.140625" style="996"/>
  </cols>
  <sheetData>
    <row r="1" spans="1:25" ht="76.5" customHeight="1" thickBot="1" x14ac:dyDescent="0.25">
      <c r="A1" s="1865" t="s">
        <v>1765</v>
      </c>
      <c r="B1" s="1866"/>
      <c r="C1" s="1866"/>
      <c r="D1" s="1866"/>
      <c r="E1" s="1866"/>
      <c r="F1" s="1866"/>
      <c r="G1" s="1866"/>
      <c r="H1" s="1866"/>
      <c r="I1" s="1866"/>
      <c r="J1" s="1866"/>
      <c r="K1" s="1866"/>
      <c r="L1" s="1866"/>
      <c r="M1" s="1866"/>
      <c r="N1" s="1866"/>
      <c r="O1" s="1866"/>
      <c r="P1" s="1866"/>
      <c r="Q1" s="1866"/>
      <c r="R1" s="1866"/>
      <c r="S1" s="1866"/>
      <c r="T1" s="1866"/>
      <c r="U1" s="1866"/>
      <c r="V1" s="1866"/>
      <c r="W1" s="1866"/>
      <c r="X1" s="1867"/>
    </row>
    <row r="2" spans="1:25" ht="30" customHeight="1" x14ac:dyDescent="0.2">
      <c r="A2" s="996"/>
    </row>
    <row r="3" spans="1:25" ht="30" customHeight="1" x14ac:dyDescent="0.2"/>
    <row r="4" spans="1:25" ht="30" customHeight="1" thickBot="1" x14ac:dyDescent="0.25">
      <c r="A4" s="1522" t="s">
        <v>2229</v>
      </c>
      <c r="B4" s="1523"/>
      <c r="C4" s="1524" t="str">
        <f>+Base_calc!J15</f>
        <v>Boiler + thermal solar + cooling</v>
      </c>
      <c r="D4" s="1523"/>
      <c r="E4" s="1525"/>
      <c r="F4" s="1525"/>
      <c r="G4" s="1523"/>
      <c r="H4" s="1523"/>
      <c r="I4" s="1523"/>
      <c r="J4" s="1523"/>
      <c r="K4" s="1523"/>
      <c r="L4" s="1526"/>
      <c r="M4" s="1523"/>
      <c r="N4" s="1523"/>
      <c r="O4" s="1523"/>
      <c r="P4" s="1523"/>
      <c r="Q4" s="1523"/>
      <c r="R4" s="1523"/>
      <c r="S4" s="1523"/>
      <c r="T4" s="1523"/>
      <c r="U4" s="1523"/>
      <c r="V4" s="1523"/>
      <c r="W4" s="1523"/>
      <c r="X4" s="1523"/>
      <c r="Y4" s="1009"/>
    </row>
    <row r="5" spans="1:25" ht="30" customHeight="1" thickBot="1" x14ac:dyDescent="0.25">
      <c r="A5" s="998" t="s">
        <v>3</v>
      </c>
      <c r="B5" s="999" t="s">
        <v>7</v>
      </c>
      <c r="C5" s="999" t="s">
        <v>1766</v>
      </c>
      <c r="D5" s="999" t="s">
        <v>0</v>
      </c>
      <c r="E5" s="1066" t="s">
        <v>1804</v>
      </c>
      <c r="F5" s="1066" t="s">
        <v>1805</v>
      </c>
      <c r="G5" s="1040"/>
      <c r="H5" s="1041"/>
      <c r="I5" s="1041"/>
      <c r="J5" s="1041"/>
      <c r="K5" s="1041"/>
      <c r="L5" s="1043" t="s">
        <v>1797</v>
      </c>
      <c r="M5" s="1041"/>
      <c r="N5" s="1041"/>
      <c r="O5" s="1041"/>
      <c r="P5" s="1041"/>
      <c r="Q5" s="1041"/>
      <c r="R5" s="1041"/>
      <c r="S5" s="1042"/>
      <c r="T5" s="1042" t="s">
        <v>2044</v>
      </c>
      <c r="U5" s="999" t="s">
        <v>11</v>
      </c>
      <c r="V5" s="999" t="s">
        <v>1</v>
      </c>
      <c r="W5" s="999" t="s">
        <v>13</v>
      </c>
      <c r="X5" s="1000" t="s">
        <v>6</v>
      </c>
    </row>
    <row r="6" spans="1:25" ht="30" customHeight="1" x14ac:dyDescent="0.2">
      <c r="A6" s="1001" t="s">
        <v>1767</v>
      </c>
      <c r="B6" s="1002"/>
      <c r="C6" s="1002"/>
      <c r="D6" s="1002"/>
      <c r="E6" s="1067" t="s">
        <v>1806</v>
      </c>
      <c r="F6" s="1002"/>
      <c r="G6" s="1064"/>
      <c r="H6" s="1064"/>
      <c r="I6" s="1064"/>
      <c r="J6" s="1064"/>
      <c r="K6" s="1064"/>
      <c r="L6" s="1064"/>
      <c r="M6" s="1064"/>
      <c r="N6" s="1064"/>
      <c r="O6" s="1064"/>
      <c r="P6" s="1064"/>
      <c r="Q6" s="1064"/>
      <c r="R6" s="1064"/>
      <c r="S6" s="1064"/>
      <c r="T6" s="1064"/>
      <c r="U6" s="1064"/>
      <c r="V6" s="1064"/>
      <c r="W6" s="1551"/>
      <c r="X6" s="1064"/>
    </row>
    <row r="7" spans="1:25" ht="25.5" x14ac:dyDescent="0.2">
      <c r="A7" s="1004" t="s">
        <v>1798</v>
      </c>
      <c r="B7" s="1005"/>
      <c r="C7" s="1005"/>
      <c r="D7" s="1006"/>
      <c r="E7" s="1068" t="s">
        <v>1807</v>
      </c>
      <c r="F7" s="1661" t="s">
        <v>1808</v>
      </c>
      <c r="G7" s="1663">
        <v>1</v>
      </c>
      <c r="H7" s="1663">
        <v>2</v>
      </c>
      <c r="I7" s="1663">
        <v>3</v>
      </c>
      <c r="J7" s="1663">
        <v>4</v>
      </c>
      <c r="K7" s="1663">
        <v>5</v>
      </c>
      <c r="L7" s="1663">
        <v>6</v>
      </c>
      <c r="M7" s="1663">
        <v>7</v>
      </c>
      <c r="N7" s="1663">
        <v>8</v>
      </c>
      <c r="O7" s="1663">
        <v>9</v>
      </c>
      <c r="P7" s="1663">
        <v>10</v>
      </c>
      <c r="Q7" s="1663">
        <v>11</v>
      </c>
      <c r="R7" s="1663">
        <v>12</v>
      </c>
      <c r="S7" s="1663" t="s">
        <v>1803</v>
      </c>
      <c r="T7" s="1663"/>
      <c r="U7" s="1663"/>
      <c r="V7" s="1663"/>
      <c r="W7" s="1663"/>
      <c r="X7" s="1663" t="s">
        <v>2266</v>
      </c>
      <c r="Y7" s="1009"/>
    </row>
    <row r="8" spans="1:25" ht="38.25" x14ac:dyDescent="0.2">
      <c r="A8" s="1071" t="s">
        <v>1773</v>
      </c>
      <c r="B8" s="1005" t="s">
        <v>1776</v>
      </c>
      <c r="C8" s="1005"/>
      <c r="D8" s="1006" t="s">
        <v>8</v>
      </c>
      <c r="E8" s="1006"/>
      <c r="F8" s="1006"/>
      <c r="G8" s="1662"/>
      <c r="H8" s="1662"/>
      <c r="I8" s="1662"/>
      <c r="J8" s="1662"/>
      <c r="K8" s="1662"/>
      <c r="L8" s="1662"/>
      <c r="M8" s="1662"/>
      <c r="N8" s="1662"/>
      <c r="O8" s="1662"/>
      <c r="P8" s="1662"/>
      <c r="Q8" s="1662"/>
      <c r="R8" s="1662"/>
      <c r="S8" s="1662"/>
      <c r="T8" s="1662"/>
      <c r="U8" s="1003" t="s">
        <v>12</v>
      </c>
      <c r="V8" s="1003" t="s">
        <v>1772</v>
      </c>
      <c r="W8" s="1003" t="s">
        <v>14</v>
      </c>
      <c r="X8" s="1002"/>
      <c r="Y8" s="1009"/>
    </row>
    <row r="9" spans="1:25" x14ac:dyDescent="0.2">
      <c r="A9" s="1454" t="str">
        <f>+Base_calc!B349</f>
        <v>Heat pump input</v>
      </c>
      <c r="B9" s="1008" t="str">
        <f>+Base_calc!C349</f>
        <v>EHW,HP,in</v>
      </c>
      <c r="C9" s="1008"/>
      <c r="D9" s="1008" t="s">
        <v>8</v>
      </c>
      <c r="E9" s="1006">
        <f>ROW(Base_calc!J349)</f>
        <v>349</v>
      </c>
      <c r="F9" s="1006">
        <f>COLUMN(Base_calc!J317)</f>
        <v>10</v>
      </c>
      <c r="G9" s="1065">
        <f ca="1">IF($T$9="el",INDIRECT(ADDRESS($E9+1,$F9,,,$E$7)),"")</f>
        <v>16.666666666666668</v>
      </c>
      <c r="H9" s="1065">
        <f t="shared" ref="H9:R9" ca="1" si="0">IF($T$9="el",INDIRECT(ADDRESS($E9+1,$F9,,,$E$7)),"")</f>
        <v>16.666666666666668</v>
      </c>
      <c r="I9" s="1065">
        <f t="shared" ca="1" si="0"/>
        <v>16.666666666666668</v>
      </c>
      <c r="J9" s="1065">
        <f t="shared" ca="1" si="0"/>
        <v>16.666666666666668</v>
      </c>
      <c r="K9" s="1065">
        <f t="shared" ca="1" si="0"/>
        <v>16.666666666666668</v>
      </c>
      <c r="L9" s="1065">
        <f t="shared" ca="1" si="0"/>
        <v>16.666666666666668</v>
      </c>
      <c r="M9" s="1065">
        <f t="shared" ca="1" si="0"/>
        <v>16.666666666666668</v>
      </c>
      <c r="N9" s="1065">
        <f t="shared" ca="1" si="0"/>
        <v>16.666666666666668</v>
      </c>
      <c r="O9" s="1065">
        <f t="shared" ca="1" si="0"/>
        <v>16.666666666666668</v>
      </c>
      <c r="P9" s="1065">
        <f t="shared" ca="1" si="0"/>
        <v>16.666666666666668</v>
      </c>
      <c r="Q9" s="1065">
        <f t="shared" ca="1" si="0"/>
        <v>16.666666666666668</v>
      </c>
      <c r="R9" s="1065">
        <f t="shared" ca="1" si="0"/>
        <v>16.666666666666668</v>
      </c>
      <c r="S9" s="1065">
        <f ca="1">SUM(G9:R9)</f>
        <v>199.99999999999997</v>
      </c>
      <c r="T9" s="1199" t="str">
        <f ca="1">+G10</f>
        <v>el</v>
      </c>
      <c r="U9" s="1006" t="s">
        <v>12</v>
      </c>
      <c r="V9" s="1006" t="s">
        <v>2212</v>
      </c>
      <c r="W9" s="1006" t="s">
        <v>14</v>
      </c>
      <c r="X9" s="1008" t="s">
        <v>2047</v>
      </c>
      <c r="Y9" s="1009"/>
    </row>
    <row r="10" spans="1:25" x14ac:dyDescent="0.2">
      <c r="A10" s="1454" t="str">
        <f>+Base_calc!B334</f>
        <v>Heat pump fuel</v>
      </c>
      <c r="B10" s="1005"/>
      <c r="C10" s="1008"/>
      <c r="D10" s="1008" t="s">
        <v>2218</v>
      </c>
      <c r="E10" s="1006">
        <f>ROW(Base_calc!J334)</f>
        <v>334</v>
      </c>
      <c r="F10" s="1006">
        <f>COLUMN(Base_calc!J302)</f>
        <v>10</v>
      </c>
      <c r="G10" s="1065" t="str">
        <f t="shared" ref="G10:R14" ca="1" si="1">INDIRECT(ADDRESS($E10,$F10,,,$E$7))</f>
        <v>el</v>
      </c>
      <c r="H10" s="1065"/>
      <c r="I10" s="1065"/>
      <c r="J10" s="1065"/>
      <c r="K10" s="1065"/>
      <c r="L10" s="1065"/>
      <c r="M10" s="1065"/>
      <c r="N10" s="1065"/>
      <c r="O10" s="1065"/>
      <c r="P10" s="1065"/>
      <c r="Q10" s="1065"/>
      <c r="R10" s="1065"/>
      <c r="S10" s="1108"/>
      <c r="T10" s="1198"/>
      <c r="U10" s="1006" t="s">
        <v>2217</v>
      </c>
      <c r="V10" s="1006" t="s">
        <v>2212</v>
      </c>
      <c r="W10" s="1006" t="s">
        <v>1787</v>
      </c>
      <c r="X10" s="1008" t="s">
        <v>2048</v>
      </c>
      <c r="Y10" s="1009"/>
    </row>
    <row r="11" spans="1:25" x14ac:dyDescent="0.2">
      <c r="A11" s="1004" t="str">
        <f>+A52</f>
        <v>Chiller input</v>
      </c>
      <c r="B11" s="1005" t="str">
        <f>+B52</f>
        <v>EC,chllr,in</v>
      </c>
      <c r="C11" s="1005"/>
      <c r="D11" s="1008" t="s">
        <v>8</v>
      </c>
      <c r="E11" s="1006">
        <f>ROW(Base_calc!J445)</f>
        <v>445</v>
      </c>
      <c r="F11" s="1006">
        <f>COLUMN(Base_calc!J319)</f>
        <v>10</v>
      </c>
      <c r="G11" s="1065">
        <f ca="1">IF($T$11="el",INDIRECT(ADDRESS($E11+1,$F11,,,$E$7)),"")</f>
        <v>0</v>
      </c>
      <c r="H11" s="1065">
        <f t="shared" ref="H11:R11" ca="1" si="2">IF($T$11="el",INDIRECT(ADDRESS($E11+1,$F11,,,$E$7)),"")</f>
        <v>0</v>
      </c>
      <c r="I11" s="1065">
        <f t="shared" ca="1" si="2"/>
        <v>0</v>
      </c>
      <c r="J11" s="1065">
        <f t="shared" ca="1" si="2"/>
        <v>0</v>
      </c>
      <c r="K11" s="1065">
        <f t="shared" ca="1" si="2"/>
        <v>0</v>
      </c>
      <c r="L11" s="1065">
        <f t="shared" ca="1" si="2"/>
        <v>0</v>
      </c>
      <c r="M11" s="1065">
        <f t="shared" ca="1" si="2"/>
        <v>0</v>
      </c>
      <c r="N11" s="1065">
        <f t="shared" ca="1" si="2"/>
        <v>0</v>
      </c>
      <c r="O11" s="1065">
        <f t="shared" ca="1" si="2"/>
        <v>0</v>
      </c>
      <c r="P11" s="1065">
        <f t="shared" ca="1" si="2"/>
        <v>0</v>
      </c>
      <c r="Q11" s="1065">
        <f t="shared" ca="1" si="2"/>
        <v>0</v>
      </c>
      <c r="R11" s="1065">
        <f t="shared" ca="1" si="2"/>
        <v>0</v>
      </c>
      <c r="S11" s="1065">
        <f ca="1">SUM(G11:R11)</f>
        <v>0</v>
      </c>
      <c r="T11" s="1199" t="str">
        <f ca="1">+G12</f>
        <v>el</v>
      </c>
      <c r="U11" s="1006" t="s">
        <v>12</v>
      </c>
      <c r="V11" s="1006" t="s">
        <v>2219</v>
      </c>
      <c r="W11" s="1006" t="s">
        <v>14</v>
      </c>
      <c r="X11" s="1008" t="s">
        <v>2047</v>
      </c>
      <c r="Y11" s="1009"/>
    </row>
    <row r="12" spans="1:25" x14ac:dyDescent="0.2">
      <c r="A12" s="1004" t="str">
        <f>+A53</f>
        <v>Chiller energy carrier</v>
      </c>
      <c r="B12" s="1005"/>
      <c r="C12" s="1005"/>
      <c r="D12" s="1006" t="s">
        <v>2218</v>
      </c>
      <c r="E12" s="1006">
        <f>ROW(Base_calc!J444)</f>
        <v>444</v>
      </c>
      <c r="F12" s="1006">
        <f>COLUMN(Base_calc!J304)</f>
        <v>10</v>
      </c>
      <c r="G12" s="1065" t="str">
        <f t="shared" ca="1" si="1"/>
        <v>el</v>
      </c>
      <c r="H12" s="1065"/>
      <c r="I12" s="1065"/>
      <c r="J12" s="1065"/>
      <c r="K12" s="1065"/>
      <c r="L12" s="1065"/>
      <c r="M12" s="1065"/>
      <c r="N12" s="1065"/>
      <c r="O12" s="1065"/>
      <c r="P12" s="1065"/>
      <c r="Q12" s="1065"/>
      <c r="R12" s="1065"/>
      <c r="S12" s="1108"/>
      <c r="T12" s="1198"/>
      <c r="U12" s="1006" t="s">
        <v>2217</v>
      </c>
      <c r="V12" s="1006" t="s">
        <v>2219</v>
      </c>
      <c r="W12" s="1006" t="s">
        <v>1787</v>
      </c>
      <c r="X12" s="1008" t="s">
        <v>2048</v>
      </c>
      <c r="Y12" s="1009"/>
    </row>
    <row r="13" spans="1:25" x14ac:dyDescent="0.2">
      <c r="A13" s="1004" t="str">
        <f>+A50</f>
        <v>Boiler input</v>
      </c>
      <c r="B13" s="1005" t="str">
        <f>+B50</f>
        <v>EHW,boil,in</v>
      </c>
      <c r="C13" s="1005"/>
      <c r="D13" s="1008" t="s">
        <v>8</v>
      </c>
      <c r="E13" s="1006">
        <f>ROW(Base_calc!J412)</f>
        <v>412</v>
      </c>
      <c r="F13" s="1006">
        <f>COLUMN(Base_calc!J321)</f>
        <v>10</v>
      </c>
      <c r="G13" s="1065" t="str">
        <f ca="1">IF(G14="el",INDIRECT(ADDRESS($E13+1,$F13,,,$E$7)),"")</f>
        <v/>
      </c>
      <c r="H13" s="1065" t="str">
        <f ca="1">IF(H14="el",INDIRECT(ADDRESS($E13+2,$F13,,,$E$7)),"")</f>
        <v/>
      </c>
      <c r="I13" s="1065" t="str">
        <f ca="1">IF(I14="el",INDIRECT(ADDRESS($E13+3,$F13,,,$E$7)),"")</f>
        <v/>
      </c>
      <c r="J13" s="1065" t="str">
        <f ca="1">IF(J14="el",INDIRECT(ADDRESS($E13+4,$F13,,,$E$7)),"")</f>
        <v/>
      </c>
      <c r="K13" s="1065" t="str">
        <f ca="1">IF(K14="el",INDIRECT(ADDRESS($E13+5,$F13,,,$E$7)),"")</f>
        <v/>
      </c>
      <c r="L13" s="1065" t="str">
        <f ca="1">IF(L14="el",INDIRECT(ADDRESS($E13+6,$F13,,,$E$7)),"")</f>
        <v/>
      </c>
      <c r="M13" s="1065" t="str">
        <f ca="1">IF(M14="el",INDIRECT(ADDRESS($E13+7,$F13,,,$E$7)),"")</f>
        <v/>
      </c>
      <c r="N13" s="1065" t="str">
        <f ca="1">IF(N14="el",INDIRECT(ADDRESS($E13+8,$F13,,,$E$7)),"")</f>
        <v/>
      </c>
      <c r="O13" s="1065" t="str">
        <f ca="1">IF(O14="el",INDIRECT(ADDRESS($E13+9,$F13,,,$E$7)),"")</f>
        <v/>
      </c>
      <c r="P13" s="1065" t="str">
        <f ca="1">IF(P14="el",INDIRECT(ADDRESS($E13+10,$F13,,,$E$7)),"")</f>
        <v/>
      </c>
      <c r="Q13" s="1065" t="str">
        <f ca="1">IF(Q14="el",INDIRECT(ADDRESS($E13+11,$F13,,,$E$7)),"")</f>
        <v/>
      </c>
      <c r="R13" s="1065" t="str">
        <f ca="1">IF(R14="el",INDIRECT(ADDRESS($E13+12,$F13,,,$E$7)),"")</f>
        <v/>
      </c>
      <c r="S13" s="1065">
        <f ca="1">SUM(G13:R13)</f>
        <v>0</v>
      </c>
      <c r="T13" s="1065" t="str">
        <f ca="1">INDIRECT(ADDRESS($E14,$F14,,,$E$7))</f>
        <v>gas</v>
      </c>
      <c r="U13" s="1006" t="s">
        <v>12</v>
      </c>
      <c r="V13" s="1006" t="s">
        <v>2214</v>
      </c>
      <c r="W13" s="1006" t="s">
        <v>14</v>
      </c>
      <c r="X13" s="1008" t="s">
        <v>2047</v>
      </c>
      <c r="Y13" s="1009"/>
    </row>
    <row r="14" spans="1:25" x14ac:dyDescent="0.2">
      <c r="A14" s="1004" t="str">
        <f>+A51</f>
        <v>Boiler fuel</v>
      </c>
      <c r="B14" s="1005"/>
      <c r="C14" s="1005"/>
      <c r="D14" s="1006" t="s">
        <v>2218</v>
      </c>
      <c r="E14" s="1006">
        <f>ROW(Base_calc!J410)</f>
        <v>410</v>
      </c>
      <c r="F14" s="1006">
        <f>COLUMN(Base_calc!J306)</f>
        <v>10</v>
      </c>
      <c r="G14" s="1065" t="str">
        <f t="shared" ca="1" si="1"/>
        <v>gas</v>
      </c>
      <c r="H14" s="1065" t="str">
        <f t="shared" ca="1" si="1"/>
        <v>gas</v>
      </c>
      <c r="I14" s="1065" t="str">
        <f t="shared" ca="1" si="1"/>
        <v>gas</v>
      </c>
      <c r="J14" s="1065" t="str">
        <f t="shared" ca="1" si="1"/>
        <v>gas</v>
      </c>
      <c r="K14" s="1065" t="str">
        <f t="shared" ca="1" si="1"/>
        <v>gas</v>
      </c>
      <c r="L14" s="1065" t="str">
        <f t="shared" ca="1" si="1"/>
        <v>gas</v>
      </c>
      <c r="M14" s="1065" t="str">
        <f t="shared" ca="1" si="1"/>
        <v>gas</v>
      </c>
      <c r="N14" s="1065" t="str">
        <f t="shared" ca="1" si="1"/>
        <v>gas</v>
      </c>
      <c r="O14" s="1065" t="str">
        <f t="shared" ca="1" si="1"/>
        <v>gas</v>
      </c>
      <c r="P14" s="1065" t="str">
        <f t="shared" ca="1" si="1"/>
        <v>gas</v>
      </c>
      <c r="Q14" s="1065" t="str">
        <f t="shared" ca="1" si="1"/>
        <v>gas</v>
      </c>
      <c r="R14" s="1065" t="str">
        <f t="shared" ca="1" si="1"/>
        <v>gas</v>
      </c>
      <c r="S14" s="1108"/>
      <c r="T14" s="1198"/>
      <c r="U14" s="1006" t="s">
        <v>2217</v>
      </c>
      <c r="V14" s="1006" t="s">
        <v>2214</v>
      </c>
      <c r="W14" s="1006" t="s">
        <v>1787</v>
      </c>
      <c r="X14" s="1008" t="s">
        <v>2048</v>
      </c>
      <c r="Y14" s="1009"/>
    </row>
    <row r="15" spans="1:25" x14ac:dyDescent="0.2">
      <c r="A15" s="1039"/>
      <c r="B15" s="1005"/>
      <c r="C15" s="1005"/>
      <c r="D15" s="1006"/>
      <c r="E15" s="1006"/>
      <c r="F15" s="1006"/>
      <c r="G15" s="1065"/>
      <c r="H15" s="1065"/>
      <c r="I15" s="1065"/>
      <c r="J15" s="1065"/>
      <c r="K15" s="1065"/>
      <c r="L15" s="1065"/>
      <c r="M15" s="1065"/>
      <c r="N15" s="1065"/>
      <c r="O15" s="1065"/>
      <c r="P15" s="1065"/>
      <c r="Q15" s="1065"/>
      <c r="R15" s="1065"/>
      <c r="S15" s="1108"/>
      <c r="T15" s="1108"/>
      <c r="U15" s="1006"/>
      <c r="V15" s="1006"/>
      <c r="W15" s="1006"/>
      <c r="X15" s="1008"/>
      <c r="Y15" s="1009"/>
    </row>
    <row r="16" spans="1:25" x14ac:dyDescent="0.2">
      <c r="A16" s="1039"/>
      <c r="B16" s="1005"/>
      <c r="C16" s="1005"/>
      <c r="D16" s="1006"/>
      <c r="E16" s="1006"/>
      <c r="F16" s="1006"/>
      <c r="G16" s="1065"/>
      <c r="H16" s="1065"/>
      <c r="I16" s="1065"/>
      <c r="J16" s="1065"/>
      <c r="K16" s="1065"/>
      <c r="L16" s="1065"/>
      <c r="M16" s="1065"/>
      <c r="N16" s="1065"/>
      <c r="O16" s="1065"/>
      <c r="P16" s="1065"/>
      <c r="Q16" s="1065"/>
      <c r="R16" s="1065"/>
      <c r="S16" s="1108"/>
      <c r="T16" s="1108"/>
      <c r="U16" s="1006"/>
      <c r="V16" s="1006"/>
      <c r="W16" s="1006"/>
      <c r="X16" s="1008"/>
      <c r="Y16" s="1009"/>
    </row>
    <row r="17" spans="1:25" x14ac:dyDescent="0.2">
      <c r="A17" s="1039"/>
      <c r="B17" s="1005"/>
      <c r="C17" s="1005"/>
      <c r="D17" s="1006"/>
      <c r="E17" s="1006"/>
      <c r="F17" s="1006"/>
      <c r="G17" s="1007"/>
      <c r="H17" s="1007"/>
      <c r="I17" s="1007"/>
      <c r="J17" s="1007"/>
      <c r="K17" s="1007"/>
      <c r="L17" s="1007"/>
      <c r="M17" s="1007"/>
      <c r="N17" s="1007"/>
      <c r="O17" s="1007"/>
      <c r="P17" s="1007"/>
      <c r="Q17" s="1007"/>
      <c r="R17" s="1007"/>
      <c r="S17" s="1007"/>
      <c r="T17" s="1007"/>
      <c r="U17" s="1006"/>
      <c r="V17" s="1006"/>
      <c r="W17" s="1006"/>
      <c r="X17" s="1008"/>
      <c r="Y17" s="1009"/>
    </row>
    <row r="18" spans="1:25" ht="44.25" customHeight="1" x14ac:dyDescent="0.2">
      <c r="A18" s="1071" t="s">
        <v>1774</v>
      </c>
      <c r="B18" s="1005" t="s">
        <v>1775</v>
      </c>
      <c r="C18" s="1005"/>
      <c r="D18" s="1006" t="s">
        <v>8</v>
      </c>
      <c r="E18" s="1006"/>
      <c r="F18" s="1006"/>
      <c r="G18" s="1007"/>
      <c r="H18" s="1007"/>
      <c r="I18" s="1007"/>
      <c r="J18" s="1007"/>
      <c r="K18" s="1007"/>
      <c r="L18" s="1007"/>
      <c r="M18" s="1007"/>
      <c r="N18" s="1007"/>
      <c r="O18" s="1007"/>
      <c r="P18" s="1007"/>
      <c r="Q18" s="1007"/>
      <c r="R18" s="1007"/>
      <c r="S18" s="1007"/>
      <c r="T18" s="1007"/>
      <c r="U18" s="1006" t="s">
        <v>1777</v>
      </c>
      <c r="V18" s="1006" t="s">
        <v>1772</v>
      </c>
      <c r="W18" s="1006" t="s">
        <v>14</v>
      </c>
      <c r="X18" s="1008"/>
      <c r="Y18" s="1009"/>
    </row>
    <row r="19" spans="1:25" x14ac:dyDescent="0.2">
      <c r="A19" s="1455" t="str">
        <f>+Base_calc!B105</f>
        <v>Heating system auxiliaries except generation</v>
      </c>
      <c r="B19" s="1069" t="str">
        <f>+Base_calc!C106</f>
        <v>WH,ngen,aux</v>
      </c>
      <c r="C19" s="1005"/>
      <c r="D19" s="1006" t="s">
        <v>8</v>
      </c>
      <c r="E19" s="1006">
        <f>ROW(Base_calc!J106)</f>
        <v>106</v>
      </c>
      <c r="F19" s="1006">
        <f>COLUMN(Base_calc!J106)</f>
        <v>10</v>
      </c>
      <c r="G19" s="1065">
        <f t="shared" ref="G19:G29" ca="1" si="3">INDIRECT(ADDRESS($E19+1,$F19,,,$E$7))</f>
        <v>75</v>
      </c>
      <c r="H19" s="1065">
        <f t="shared" ref="H19:H29" ca="1" si="4">INDIRECT(ADDRESS($E19+2,$F19,,,$E$7))</f>
        <v>56.25</v>
      </c>
      <c r="I19" s="1065">
        <f t="shared" ref="I19:I29" ca="1" si="5">INDIRECT(ADDRESS($E19+3,$F19,,,$E$7))</f>
        <v>37.5</v>
      </c>
      <c r="J19" s="1065">
        <f t="shared" ref="J19:J29" ca="1" si="6">INDIRECT(ADDRESS($E19+4,$F19,,,$E$7))</f>
        <v>18.75</v>
      </c>
      <c r="K19" s="1065">
        <f t="shared" ref="K19:K29" ca="1" si="7">INDIRECT(ADDRESS($E19+5,$F19,,,$E$7))</f>
        <v>0</v>
      </c>
      <c r="L19" s="1065">
        <f t="shared" ref="L19:L29" ca="1" si="8">INDIRECT(ADDRESS($E19+6,$F19,,,$E$7))</f>
        <v>0</v>
      </c>
      <c r="M19" s="1065">
        <f t="shared" ref="M19:M29" ca="1" si="9">INDIRECT(ADDRESS($E19+7,$F19,,,$E$7))</f>
        <v>0</v>
      </c>
      <c r="N19" s="1065">
        <f t="shared" ref="N19:N29" ca="1" si="10">INDIRECT(ADDRESS($E19+8,$F19,,,$E$7))</f>
        <v>0</v>
      </c>
      <c r="O19" s="1065">
        <f t="shared" ref="O19:O29" ca="1" si="11">INDIRECT(ADDRESS($E19+9,$F19,,,$E$7))</f>
        <v>0</v>
      </c>
      <c r="P19" s="1065">
        <f t="shared" ref="P19:P29" ca="1" si="12">INDIRECT(ADDRESS($E19+10,$F19,,,$E$7))</f>
        <v>22.5</v>
      </c>
      <c r="Q19" s="1065">
        <f t="shared" ref="Q19:Q29" ca="1" si="13">INDIRECT(ADDRESS($E19+11,$F19,,,$E$7))</f>
        <v>48.75</v>
      </c>
      <c r="R19" s="1065">
        <f t="shared" ref="R19:R29" ca="1" si="14">INDIRECT(ADDRESS($E19+12,$F19,,,$E$7))</f>
        <v>60</v>
      </c>
      <c r="S19" s="1065">
        <f t="shared" ref="S19:S29" ca="1" si="15">SUM(G19:R19)</f>
        <v>318.75</v>
      </c>
      <c r="T19" s="1162" t="s">
        <v>2049</v>
      </c>
      <c r="U19" s="1006"/>
      <c r="V19" s="1006" t="s">
        <v>2220</v>
      </c>
      <c r="W19" s="1006" t="s">
        <v>14</v>
      </c>
      <c r="X19" s="1008" t="s">
        <v>2047</v>
      </c>
      <c r="Y19" s="1009"/>
    </row>
    <row r="20" spans="1:25" x14ac:dyDescent="0.2">
      <c r="A20" s="1455" t="str">
        <f>+Base_calc!B132</f>
        <v>Dhw system auxiliaries except generation</v>
      </c>
      <c r="B20" s="1069" t="str">
        <f>+Base_calc!C133</f>
        <v>WW,ngen,aux</v>
      </c>
      <c r="C20" s="1005"/>
      <c r="D20" s="1006" t="s">
        <v>8</v>
      </c>
      <c r="E20" s="1006">
        <f>ROW(Base_calc!J133)</f>
        <v>133</v>
      </c>
      <c r="F20" s="1006">
        <f>COLUMN(Base_calc!J133)</f>
        <v>10</v>
      </c>
      <c r="G20" s="1065">
        <f t="shared" ca="1" si="3"/>
        <v>4</v>
      </c>
      <c r="H20" s="1065">
        <f t="shared" ca="1" si="4"/>
        <v>4</v>
      </c>
      <c r="I20" s="1065">
        <f t="shared" ca="1" si="5"/>
        <v>4</v>
      </c>
      <c r="J20" s="1065">
        <f t="shared" ca="1" si="6"/>
        <v>4</v>
      </c>
      <c r="K20" s="1065">
        <f t="shared" ca="1" si="7"/>
        <v>4</v>
      </c>
      <c r="L20" s="1065">
        <f t="shared" ca="1" si="8"/>
        <v>4</v>
      </c>
      <c r="M20" s="1065">
        <f t="shared" ca="1" si="9"/>
        <v>4</v>
      </c>
      <c r="N20" s="1065">
        <f t="shared" ca="1" si="10"/>
        <v>4</v>
      </c>
      <c r="O20" s="1065">
        <f t="shared" ca="1" si="11"/>
        <v>4</v>
      </c>
      <c r="P20" s="1065">
        <f t="shared" ca="1" si="12"/>
        <v>4</v>
      </c>
      <c r="Q20" s="1065">
        <f t="shared" ca="1" si="13"/>
        <v>4</v>
      </c>
      <c r="R20" s="1065">
        <f t="shared" ca="1" si="14"/>
        <v>4</v>
      </c>
      <c r="S20" s="1065">
        <f t="shared" ca="1" si="15"/>
        <v>48</v>
      </c>
      <c r="T20" s="1162" t="s">
        <v>2049</v>
      </c>
      <c r="U20" s="1006"/>
      <c r="V20" s="1006" t="s">
        <v>2221</v>
      </c>
      <c r="W20" s="1006" t="s">
        <v>14</v>
      </c>
      <c r="X20" s="1008" t="s">
        <v>2047</v>
      </c>
      <c r="Y20" s="1009"/>
    </row>
    <row r="21" spans="1:25" x14ac:dyDescent="0.2">
      <c r="A21" s="1455" t="str">
        <f>+Base_calc!B159</f>
        <v>Cooling system auxiliaries except generation</v>
      </c>
      <c r="B21" s="1069" t="str">
        <f>+Base_calc!C160</f>
        <v>WC,ngen,aux</v>
      </c>
      <c r="C21" s="1005"/>
      <c r="D21" s="1006" t="s">
        <v>8</v>
      </c>
      <c r="E21" s="1006">
        <f>ROW(Base_calc!J160)</f>
        <v>160</v>
      </c>
      <c r="F21" s="1006">
        <f>COLUMN(Base_calc!J160)</f>
        <v>10</v>
      </c>
      <c r="G21" s="1065">
        <f t="shared" ca="1" si="3"/>
        <v>0</v>
      </c>
      <c r="H21" s="1065">
        <f t="shared" ca="1" si="4"/>
        <v>0</v>
      </c>
      <c r="I21" s="1065">
        <f t="shared" ca="1" si="5"/>
        <v>0</v>
      </c>
      <c r="J21" s="1065">
        <f t="shared" ca="1" si="6"/>
        <v>0</v>
      </c>
      <c r="K21" s="1065">
        <f t="shared" ca="1" si="7"/>
        <v>1.4285714285714286</v>
      </c>
      <c r="L21" s="1065">
        <f t="shared" ca="1" si="8"/>
        <v>5.7142857142857144</v>
      </c>
      <c r="M21" s="1065">
        <f t="shared" ca="1" si="9"/>
        <v>8.5714285714285712</v>
      </c>
      <c r="N21" s="1065">
        <f t="shared" ca="1" si="10"/>
        <v>7.1428571428571432</v>
      </c>
      <c r="O21" s="1065">
        <f t="shared" ca="1" si="11"/>
        <v>4.2857142857142856</v>
      </c>
      <c r="P21" s="1065">
        <f t="shared" ca="1" si="12"/>
        <v>0</v>
      </c>
      <c r="Q21" s="1065">
        <f t="shared" ca="1" si="13"/>
        <v>0</v>
      </c>
      <c r="R21" s="1065">
        <f t="shared" ca="1" si="14"/>
        <v>0</v>
      </c>
      <c r="S21" s="1065">
        <f t="shared" ca="1" si="15"/>
        <v>27.142857142857142</v>
      </c>
      <c r="T21" s="1162" t="s">
        <v>2049</v>
      </c>
      <c r="U21" s="1006"/>
      <c r="V21" s="1006" t="s">
        <v>2222</v>
      </c>
      <c r="W21" s="1006" t="s">
        <v>14</v>
      </c>
      <c r="X21" s="1008" t="s">
        <v>2047</v>
      </c>
      <c r="Y21" s="1009"/>
    </row>
    <row r="22" spans="1:25" x14ac:dyDescent="0.2">
      <c r="A22" s="1455" t="str">
        <f>+Base_calc!B213</f>
        <v>Thermal solar auxiliaries</v>
      </c>
      <c r="B22" s="1069" t="str">
        <f>+Base_calc!C215</f>
        <v>WW,sol,aux</v>
      </c>
      <c r="C22" s="1005"/>
      <c r="D22" s="1006" t="s">
        <v>8</v>
      </c>
      <c r="E22" s="1006">
        <f>ROW(Base_calc!J215)</f>
        <v>215</v>
      </c>
      <c r="F22" s="1006">
        <f>COLUMN(Base_calc!J215)</f>
        <v>10</v>
      </c>
      <c r="G22" s="1065">
        <f t="shared" ca="1" si="3"/>
        <v>0.3</v>
      </c>
      <c r="H22" s="1065">
        <f t="shared" ca="1" si="4"/>
        <v>0.6</v>
      </c>
      <c r="I22" s="1065">
        <f t="shared" ca="1" si="5"/>
        <v>1.2</v>
      </c>
      <c r="J22" s="1065">
        <f t="shared" ca="1" si="6"/>
        <v>2.4</v>
      </c>
      <c r="K22" s="1065">
        <f t="shared" ca="1" si="7"/>
        <v>4.2</v>
      </c>
      <c r="L22" s="1065">
        <f t="shared" ca="1" si="8"/>
        <v>4.8</v>
      </c>
      <c r="M22" s="1065">
        <f t="shared" ca="1" si="9"/>
        <v>4.5</v>
      </c>
      <c r="N22" s="1065">
        <f t="shared" ca="1" si="10"/>
        <v>4.2</v>
      </c>
      <c r="O22" s="1065">
        <f t="shared" ca="1" si="11"/>
        <v>2.7</v>
      </c>
      <c r="P22" s="1065">
        <f t="shared" ca="1" si="12"/>
        <v>0.9</v>
      </c>
      <c r="Q22" s="1065">
        <f t="shared" ca="1" si="13"/>
        <v>0.48</v>
      </c>
      <c r="R22" s="1065">
        <f t="shared" ca="1" si="14"/>
        <v>0.3</v>
      </c>
      <c r="S22" s="1065">
        <f t="shared" ca="1" si="15"/>
        <v>26.58</v>
      </c>
      <c r="T22" s="1162" t="s">
        <v>2049</v>
      </c>
      <c r="U22" s="1006"/>
      <c r="V22" s="1006" t="s">
        <v>2211</v>
      </c>
      <c r="W22" s="1006" t="s">
        <v>14</v>
      </c>
      <c r="X22" s="1008" t="s">
        <v>2047</v>
      </c>
      <c r="Y22" s="1009"/>
    </row>
    <row r="23" spans="1:25" x14ac:dyDescent="0.2">
      <c r="A23" s="1455" t="str">
        <f>+Base_calc!B362</f>
        <v>Heat pump auxiliaries</v>
      </c>
      <c r="B23" s="1069" t="str">
        <f>+Base_calc!C363</f>
        <v>WHW,HP,aux</v>
      </c>
      <c r="C23" s="1005"/>
      <c r="D23" s="1006" t="s">
        <v>8</v>
      </c>
      <c r="E23" s="1006">
        <f>ROW(Base_calc!J363)</f>
        <v>363</v>
      </c>
      <c r="F23" s="1006">
        <f>COLUMN(Base_calc!J363)</f>
        <v>10</v>
      </c>
      <c r="G23" s="1065">
        <f t="shared" ca="1" si="3"/>
        <v>2.5</v>
      </c>
      <c r="H23" s="1065">
        <f t="shared" ca="1" si="4"/>
        <v>2.5</v>
      </c>
      <c r="I23" s="1065">
        <f t="shared" ca="1" si="5"/>
        <v>2.5</v>
      </c>
      <c r="J23" s="1065">
        <f t="shared" ca="1" si="6"/>
        <v>2.5</v>
      </c>
      <c r="K23" s="1065">
        <f t="shared" ca="1" si="7"/>
        <v>0</v>
      </c>
      <c r="L23" s="1065">
        <f t="shared" ca="1" si="8"/>
        <v>0</v>
      </c>
      <c r="M23" s="1065">
        <f t="shared" ca="1" si="9"/>
        <v>0</v>
      </c>
      <c r="N23" s="1065">
        <f t="shared" ca="1" si="10"/>
        <v>0</v>
      </c>
      <c r="O23" s="1065">
        <f t="shared" ca="1" si="11"/>
        <v>0.5</v>
      </c>
      <c r="P23" s="1065">
        <f t="shared" ca="1" si="12"/>
        <v>2.5</v>
      </c>
      <c r="Q23" s="1065">
        <f t="shared" ca="1" si="13"/>
        <v>2.5</v>
      </c>
      <c r="R23" s="1065">
        <f t="shared" ca="1" si="14"/>
        <v>2.5</v>
      </c>
      <c r="S23" s="1065">
        <f t="shared" ca="1" si="15"/>
        <v>18</v>
      </c>
      <c r="T23" s="1162" t="s">
        <v>2049</v>
      </c>
      <c r="U23" s="1006"/>
      <c r="V23" s="1006" t="s">
        <v>2212</v>
      </c>
      <c r="W23" s="1006" t="s">
        <v>14</v>
      </c>
      <c r="X23" s="1008" t="s">
        <v>2047</v>
      </c>
      <c r="Y23" s="1009"/>
    </row>
    <row r="24" spans="1:25" x14ac:dyDescent="0.2">
      <c r="A24" s="1455" t="str">
        <f>+Base_calc!B425</f>
        <v>Boiler auxiliary energy</v>
      </c>
      <c r="B24" s="1069" t="str">
        <f>+Base_calc!C426</f>
        <v>WHW,boil,aux</v>
      </c>
      <c r="C24" s="1005"/>
      <c r="D24" s="1006" t="s">
        <v>8</v>
      </c>
      <c r="E24" s="1006">
        <f>ROW(Base_calc!J426)</f>
        <v>426</v>
      </c>
      <c r="F24" s="1006">
        <f>COLUMN(Base_calc!J426)</f>
        <v>10</v>
      </c>
      <c r="G24" s="1065">
        <f t="shared" ca="1" si="3"/>
        <v>84.666666666666657</v>
      </c>
      <c r="H24" s="1065">
        <f t="shared" ca="1" si="4"/>
        <v>63.5</v>
      </c>
      <c r="I24" s="1065">
        <f t="shared" ca="1" si="5"/>
        <v>42</v>
      </c>
      <c r="J24" s="1065">
        <f t="shared" ca="1" si="6"/>
        <v>19.833333333333332</v>
      </c>
      <c r="K24" s="1065">
        <f t="shared" ca="1" si="7"/>
        <v>0</v>
      </c>
      <c r="L24" s="1065">
        <f t="shared" ca="1" si="8"/>
        <v>0</v>
      </c>
      <c r="M24" s="1065">
        <f t="shared" ca="1" si="9"/>
        <v>0</v>
      </c>
      <c r="N24" s="1065">
        <f t="shared" ca="1" si="10"/>
        <v>0</v>
      </c>
      <c r="O24" s="1065">
        <f t="shared" ca="1" si="11"/>
        <v>0</v>
      </c>
      <c r="P24" s="1065">
        <f t="shared" ca="1" si="12"/>
        <v>25.666666666666664</v>
      </c>
      <c r="Q24" s="1065">
        <f t="shared" ca="1" si="13"/>
        <v>55.3</v>
      </c>
      <c r="R24" s="1065">
        <f t="shared" ca="1" si="14"/>
        <v>68</v>
      </c>
      <c r="S24" s="1065">
        <f t="shared" ca="1" si="15"/>
        <v>358.96666666666664</v>
      </c>
      <c r="T24" s="1162" t="s">
        <v>2049</v>
      </c>
      <c r="U24" s="1006"/>
      <c r="V24" s="1006" t="s">
        <v>2214</v>
      </c>
      <c r="W24" s="1006" t="s">
        <v>14</v>
      </c>
      <c r="X24" s="1008" t="s">
        <v>2047</v>
      </c>
      <c r="Y24" s="1009"/>
    </row>
    <row r="25" spans="1:25" x14ac:dyDescent="0.2">
      <c r="A25" s="1455" t="str">
        <f>+Base_calc!B458</f>
        <v>Chiller auxiliary energy</v>
      </c>
      <c r="B25" s="1069" t="str">
        <f>+Base_calc!C458</f>
        <v>WC,chllr,aux</v>
      </c>
      <c r="C25" s="1005"/>
      <c r="D25" s="1006" t="s">
        <v>8</v>
      </c>
      <c r="E25" s="1006">
        <f>ROW(Base_calc!J459)</f>
        <v>459</v>
      </c>
      <c r="F25" s="1006">
        <f>COLUMN(Base_calc!J459)</f>
        <v>10</v>
      </c>
      <c r="G25" s="1065">
        <f t="shared" ca="1" si="3"/>
        <v>0</v>
      </c>
      <c r="H25" s="1065">
        <f t="shared" ca="1" si="4"/>
        <v>0</v>
      </c>
      <c r="I25" s="1065">
        <f t="shared" ca="1" si="5"/>
        <v>0</v>
      </c>
      <c r="J25" s="1065">
        <f t="shared" ca="1" si="6"/>
        <v>0</v>
      </c>
      <c r="K25" s="1065">
        <f t="shared" ca="1" si="7"/>
        <v>1.4285714285714286</v>
      </c>
      <c r="L25" s="1065">
        <f t="shared" ca="1" si="8"/>
        <v>5.7142857142857144</v>
      </c>
      <c r="M25" s="1065">
        <f t="shared" ca="1" si="9"/>
        <v>8.5714285714285712</v>
      </c>
      <c r="N25" s="1065">
        <f t="shared" ca="1" si="10"/>
        <v>7.1428571428571432</v>
      </c>
      <c r="O25" s="1065">
        <f t="shared" ca="1" si="11"/>
        <v>4.2857142857142856</v>
      </c>
      <c r="P25" s="1065">
        <f t="shared" ca="1" si="12"/>
        <v>0</v>
      </c>
      <c r="Q25" s="1065">
        <f t="shared" ca="1" si="13"/>
        <v>0</v>
      </c>
      <c r="R25" s="1065">
        <f t="shared" ca="1" si="14"/>
        <v>0</v>
      </c>
      <c r="S25" s="1065">
        <f t="shared" ca="1" si="15"/>
        <v>27.142857142857142</v>
      </c>
      <c r="T25" s="1162" t="s">
        <v>2049</v>
      </c>
      <c r="U25" s="1006"/>
      <c r="V25" s="1006" t="s">
        <v>2219</v>
      </c>
      <c r="W25" s="1006" t="s">
        <v>14</v>
      </c>
      <c r="X25" s="1008" t="s">
        <v>2047</v>
      </c>
      <c r="Y25" s="1009"/>
    </row>
    <row r="26" spans="1:25" x14ac:dyDescent="0.2">
      <c r="A26" s="1455" t="s">
        <v>2127</v>
      </c>
      <c r="B26" s="1069" t="s">
        <v>2128</v>
      </c>
      <c r="C26" s="1005"/>
      <c r="D26" s="1006" t="s">
        <v>8</v>
      </c>
      <c r="E26" s="1006"/>
      <c r="F26" s="1006"/>
      <c r="G26" s="1065">
        <v>0</v>
      </c>
      <c r="H26" s="1065">
        <v>0</v>
      </c>
      <c r="I26" s="1065">
        <v>0</v>
      </c>
      <c r="J26" s="1065">
        <v>0</v>
      </c>
      <c r="K26" s="1065">
        <v>0</v>
      </c>
      <c r="L26" s="1065">
        <v>0</v>
      </c>
      <c r="M26" s="1065">
        <v>0</v>
      </c>
      <c r="N26" s="1065">
        <v>0</v>
      </c>
      <c r="O26" s="1065">
        <v>0</v>
      </c>
      <c r="P26" s="1065">
        <v>0</v>
      </c>
      <c r="Q26" s="1065">
        <v>0</v>
      </c>
      <c r="R26" s="1065">
        <v>0</v>
      </c>
      <c r="S26" s="1065">
        <v>0</v>
      </c>
      <c r="T26" s="1162" t="s">
        <v>2049</v>
      </c>
      <c r="U26" s="1006"/>
      <c r="V26" s="1006" t="s">
        <v>2213</v>
      </c>
      <c r="W26" s="1006" t="s">
        <v>14</v>
      </c>
      <c r="X26" s="1008" t="s">
        <v>2047</v>
      </c>
      <c r="Y26" s="1009"/>
    </row>
    <row r="27" spans="1:25" x14ac:dyDescent="0.2">
      <c r="A27" s="1455" t="str">
        <f>+Base_calc!B485</f>
        <v>Ventilation electricity use</v>
      </c>
      <c r="B27" s="1069" t="str">
        <f>+Base_calc!C485</f>
        <v>EV,el</v>
      </c>
      <c r="C27" s="1005"/>
      <c r="D27" s="1006" t="s">
        <v>8</v>
      </c>
      <c r="E27" s="1006">
        <f>ROW(Base_calc!J485)</f>
        <v>485</v>
      </c>
      <c r="F27" s="1006">
        <f>COLUMN(Base_calc!J485)</f>
        <v>10</v>
      </c>
      <c r="G27" s="1065">
        <f t="shared" ca="1" si="3"/>
        <v>50</v>
      </c>
      <c r="H27" s="1065">
        <f t="shared" ca="1" si="4"/>
        <v>50</v>
      </c>
      <c r="I27" s="1065">
        <f t="shared" ca="1" si="5"/>
        <v>50</v>
      </c>
      <c r="J27" s="1065">
        <f t="shared" ca="1" si="6"/>
        <v>50</v>
      </c>
      <c r="K27" s="1065">
        <f t="shared" ca="1" si="7"/>
        <v>50</v>
      </c>
      <c r="L27" s="1065">
        <f t="shared" ca="1" si="8"/>
        <v>50</v>
      </c>
      <c r="M27" s="1065">
        <f t="shared" ca="1" si="9"/>
        <v>50</v>
      </c>
      <c r="N27" s="1065">
        <f t="shared" ca="1" si="10"/>
        <v>50</v>
      </c>
      <c r="O27" s="1065">
        <f t="shared" ca="1" si="11"/>
        <v>50</v>
      </c>
      <c r="P27" s="1065">
        <f t="shared" ca="1" si="12"/>
        <v>50</v>
      </c>
      <c r="Q27" s="1065">
        <f t="shared" ca="1" si="13"/>
        <v>50</v>
      </c>
      <c r="R27" s="1065">
        <f t="shared" ca="1" si="14"/>
        <v>50</v>
      </c>
      <c r="S27" s="1065">
        <f t="shared" ca="1" si="15"/>
        <v>600</v>
      </c>
      <c r="T27" s="1162" t="s">
        <v>2049</v>
      </c>
      <c r="U27" s="1006"/>
      <c r="V27" s="1006" t="s">
        <v>2225</v>
      </c>
      <c r="W27" s="1006" t="s">
        <v>14</v>
      </c>
      <c r="X27" s="1008" t="s">
        <v>2047</v>
      </c>
      <c r="Y27" s="1009"/>
    </row>
    <row r="28" spans="1:25" x14ac:dyDescent="0.2">
      <c r="A28" s="1455" t="str">
        <f>+Base_calc!B498</f>
        <v>Lighting electricity use</v>
      </c>
      <c r="B28" s="1069" t="str">
        <f>+Base_calc!C498</f>
        <v>EL,el</v>
      </c>
      <c r="C28" s="1005"/>
      <c r="D28" s="1006" t="s">
        <v>8</v>
      </c>
      <c r="E28" s="1006">
        <f>ROW(Base_calc!J498)</f>
        <v>498</v>
      </c>
      <c r="F28" s="1006">
        <f>COLUMN(Base_calc!J498)</f>
        <v>10</v>
      </c>
      <c r="G28" s="1065">
        <f t="shared" ca="1" si="3"/>
        <v>20</v>
      </c>
      <c r="H28" s="1065">
        <f t="shared" ca="1" si="4"/>
        <v>20</v>
      </c>
      <c r="I28" s="1065">
        <f t="shared" ca="1" si="5"/>
        <v>20</v>
      </c>
      <c r="J28" s="1065">
        <f t="shared" ca="1" si="6"/>
        <v>20</v>
      </c>
      <c r="K28" s="1065">
        <f t="shared" ca="1" si="7"/>
        <v>20</v>
      </c>
      <c r="L28" s="1065">
        <f t="shared" ca="1" si="8"/>
        <v>20</v>
      </c>
      <c r="M28" s="1065">
        <f t="shared" ca="1" si="9"/>
        <v>20</v>
      </c>
      <c r="N28" s="1065">
        <f t="shared" ca="1" si="10"/>
        <v>20</v>
      </c>
      <c r="O28" s="1065">
        <f t="shared" ca="1" si="11"/>
        <v>20</v>
      </c>
      <c r="P28" s="1065">
        <f t="shared" ca="1" si="12"/>
        <v>20</v>
      </c>
      <c r="Q28" s="1065">
        <f t="shared" ca="1" si="13"/>
        <v>20</v>
      </c>
      <c r="R28" s="1065">
        <f t="shared" ca="1" si="14"/>
        <v>20</v>
      </c>
      <c r="S28" s="1065">
        <f t="shared" ca="1" si="15"/>
        <v>240</v>
      </c>
      <c r="T28" s="1162" t="s">
        <v>2049</v>
      </c>
      <c r="U28" s="1006"/>
      <c r="V28" s="1006" t="s">
        <v>2223</v>
      </c>
      <c r="W28" s="1006" t="s">
        <v>14</v>
      </c>
      <c r="X28" s="1008" t="s">
        <v>2047</v>
      </c>
      <c r="Y28" s="1009"/>
    </row>
    <row r="29" spans="1:25" x14ac:dyDescent="0.2">
      <c r="A29" s="1455" t="str">
        <f>+Base_calc!B511</f>
        <v>appliances if part of EP</v>
      </c>
      <c r="B29" s="1069" t="str">
        <f>+Base_calc!C511</f>
        <v>EA,el</v>
      </c>
      <c r="C29" s="1005"/>
      <c r="D29" s="1006" t="s">
        <v>8</v>
      </c>
      <c r="E29" s="1006">
        <f>ROW(Base_calc!J511)</f>
        <v>511</v>
      </c>
      <c r="F29" s="1006">
        <f>COLUMN(Base_calc!J511)</f>
        <v>10</v>
      </c>
      <c r="G29" s="1065">
        <f t="shared" ca="1" si="3"/>
        <v>0</v>
      </c>
      <c r="H29" s="1065">
        <f t="shared" ca="1" si="4"/>
        <v>0</v>
      </c>
      <c r="I29" s="1065">
        <f t="shared" ca="1" si="5"/>
        <v>0</v>
      </c>
      <c r="J29" s="1065">
        <f t="shared" ca="1" si="6"/>
        <v>0</v>
      </c>
      <c r="K29" s="1065">
        <f t="shared" ca="1" si="7"/>
        <v>0</v>
      </c>
      <c r="L29" s="1065">
        <f t="shared" ca="1" si="8"/>
        <v>0</v>
      </c>
      <c r="M29" s="1065">
        <f t="shared" ca="1" si="9"/>
        <v>0</v>
      </c>
      <c r="N29" s="1065">
        <f t="shared" ca="1" si="10"/>
        <v>0</v>
      </c>
      <c r="O29" s="1065">
        <f t="shared" ca="1" si="11"/>
        <v>0</v>
      </c>
      <c r="P29" s="1065">
        <f t="shared" ca="1" si="12"/>
        <v>0</v>
      </c>
      <c r="Q29" s="1065">
        <f t="shared" ca="1" si="13"/>
        <v>0</v>
      </c>
      <c r="R29" s="1065">
        <f t="shared" ca="1" si="14"/>
        <v>0</v>
      </c>
      <c r="S29" s="1065">
        <f t="shared" ca="1" si="15"/>
        <v>0</v>
      </c>
      <c r="T29" s="1162" t="s">
        <v>2049</v>
      </c>
      <c r="U29" s="1006"/>
      <c r="V29" s="1006" t="s">
        <v>2224</v>
      </c>
      <c r="W29" s="1006" t="s">
        <v>14</v>
      </c>
      <c r="X29" s="1008" t="s">
        <v>2047</v>
      </c>
      <c r="Y29" s="1009"/>
    </row>
    <row r="30" spans="1:25" x14ac:dyDescent="0.2">
      <c r="A30" s="1039"/>
      <c r="B30" s="1005"/>
      <c r="C30" s="1005"/>
      <c r="D30" s="1006"/>
      <c r="E30" s="1006"/>
      <c r="F30" s="1006"/>
      <c r="G30" s="1007"/>
      <c r="H30" s="1007"/>
      <c r="I30" s="1007"/>
      <c r="J30" s="1007"/>
      <c r="K30" s="1007"/>
      <c r="L30" s="1007"/>
      <c r="M30" s="1007"/>
      <c r="N30" s="1007"/>
      <c r="O30" s="1007"/>
      <c r="P30" s="1007"/>
      <c r="Q30" s="1007"/>
      <c r="R30" s="1007"/>
      <c r="S30" s="1007"/>
      <c r="T30" s="1007"/>
      <c r="U30" s="1006"/>
      <c r="V30" s="1006"/>
      <c r="W30" s="1006"/>
      <c r="X30" s="1008"/>
      <c r="Y30" s="1009"/>
    </row>
    <row r="31" spans="1:25" ht="57.75" customHeight="1" x14ac:dyDescent="0.2">
      <c r="A31" s="1071" t="s">
        <v>1779</v>
      </c>
      <c r="B31" s="1005" t="s">
        <v>1778</v>
      </c>
      <c r="C31" s="1005"/>
      <c r="D31" s="1006" t="s">
        <v>8</v>
      </c>
      <c r="E31" s="1006"/>
      <c r="F31" s="1006"/>
      <c r="G31" s="1007"/>
      <c r="H31" s="1007"/>
      <c r="I31" s="1007"/>
      <c r="J31" s="1007"/>
      <c r="K31" s="1007"/>
      <c r="L31" s="1007"/>
      <c r="M31" s="1007"/>
      <c r="N31" s="1007"/>
      <c r="O31" s="1007"/>
      <c r="P31" s="1007"/>
      <c r="Q31" s="1007"/>
      <c r="R31" s="1007"/>
      <c r="S31" s="1007"/>
      <c r="T31" s="1007"/>
      <c r="U31" s="1006" t="s">
        <v>1777</v>
      </c>
      <c r="V31" s="1006" t="s">
        <v>1772</v>
      </c>
      <c r="W31" s="1006" t="s">
        <v>14</v>
      </c>
      <c r="X31" s="1008"/>
      <c r="Y31" s="1009"/>
    </row>
    <row r="32" spans="1:25" ht="15" customHeight="1" x14ac:dyDescent="0.2">
      <c r="A32" s="1080" t="str">
        <f>+Base_calc!B304</f>
        <v xml:space="preserve">    Cogenerator electric output</v>
      </c>
      <c r="B32" s="1008" t="str">
        <f>+Base_calc!C304</f>
        <v>Eel,pr,CHP</v>
      </c>
      <c r="C32" s="1008"/>
      <c r="D32" s="1008" t="s">
        <v>8</v>
      </c>
      <c r="E32" s="1006">
        <f>ROW(Base_calc!J304)</f>
        <v>304</v>
      </c>
      <c r="F32" s="1006">
        <f>COLUMN(Base_calc!J304)</f>
        <v>10</v>
      </c>
      <c r="G32" s="1065">
        <f ca="1">INDIRECT(ADDRESS($E32+1,$F32,,,$E$7))</f>
        <v>63.636363636363633</v>
      </c>
      <c r="H32" s="1065">
        <f ca="1">INDIRECT(ADDRESS($E32+2,$F32,,,$E$7))</f>
        <v>63.636363636363633</v>
      </c>
      <c r="I32" s="1065">
        <f ca="1">INDIRECT(ADDRESS($E32+3,$F32,,,$E$7))</f>
        <v>63.636363636363633</v>
      </c>
      <c r="J32" s="1065">
        <f ca="1">INDIRECT(ADDRESS($E32+4,$F32,,,$E$7))</f>
        <v>63.636363636363633</v>
      </c>
      <c r="K32" s="1065">
        <f ca="1">INDIRECT(ADDRESS($E32+5,$F32,,,$E$7))</f>
        <v>38.181818181818187</v>
      </c>
      <c r="L32" s="1065">
        <f ca="1">INDIRECT(ADDRESS($E32+6,$F32,,,$E$7))</f>
        <v>25.454545454545453</v>
      </c>
      <c r="M32" s="1065">
        <f ca="1">INDIRECT(ADDRESS($E32+7,$F32,,,$E$7))</f>
        <v>31.818181818181817</v>
      </c>
      <c r="N32" s="1065">
        <f ca="1">INDIRECT(ADDRESS($E32+8,$F32,,,$E$7))</f>
        <v>38.181818181818187</v>
      </c>
      <c r="O32" s="1065">
        <f ca="1">INDIRECT(ADDRESS($E32+9,$F32,,,$E$7))</f>
        <v>63.636363636363633</v>
      </c>
      <c r="P32" s="1065">
        <f ca="1">INDIRECT(ADDRESS($E32+10,$F32,,,$E$7))</f>
        <v>63.636363636363633</v>
      </c>
      <c r="Q32" s="1065">
        <f ca="1">INDIRECT(ADDRESS($E32+11,$F32,,,$E$7))</f>
        <v>63.636363636363633</v>
      </c>
      <c r="R32" s="1065">
        <f ca="1">INDIRECT(ADDRESS($E32+12,$F32,,,$E$7))</f>
        <v>63.636363636363633</v>
      </c>
      <c r="S32" s="1065">
        <f ca="1">SUM(G32:R32)</f>
        <v>642.72727272727275</v>
      </c>
      <c r="T32" s="1065" t="s">
        <v>2078</v>
      </c>
      <c r="U32" s="1008"/>
      <c r="V32" s="1006" t="s">
        <v>2213</v>
      </c>
      <c r="W32" s="1008" t="s">
        <v>14</v>
      </c>
      <c r="X32" s="1008"/>
    </row>
    <row r="33" spans="1:25" ht="15" customHeight="1" x14ac:dyDescent="0.2">
      <c r="A33" s="1454" t="str">
        <f>+Base_calc!B552</f>
        <v>PV electric generation</v>
      </c>
      <c r="B33" s="1008" t="str">
        <f>+Base_calc!C552</f>
        <v>QPV,out</v>
      </c>
      <c r="C33" s="1008"/>
      <c r="D33" s="1008" t="s">
        <v>8</v>
      </c>
      <c r="E33" s="1006">
        <f>ROW(Base_calc!J552)</f>
        <v>552</v>
      </c>
      <c r="F33" s="1006">
        <f>COLUMN(Base_calc!J552)</f>
        <v>10</v>
      </c>
      <c r="G33" s="1065">
        <f ca="1">INDIRECT(ADDRESS($E33+1,$F33,,,$E$7))</f>
        <v>45</v>
      </c>
      <c r="H33" s="1065">
        <f ca="1">INDIRECT(ADDRESS($E33+2,$F33,,,$E$7))</f>
        <v>60</v>
      </c>
      <c r="I33" s="1065">
        <f ca="1">INDIRECT(ADDRESS($E33+3,$F33,,,$E$7))</f>
        <v>150</v>
      </c>
      <c r="J33" s="1065">
        <f ca="1">INDIRECT(ADDRESS($E33+4,$F33,,,$E$7))</f>
        <v>210</v>
      </c>
      <c r="K33" s="1065">
        <f ca="1">INDIRECT(ADDRESS($E33+5,$F33,,,$E$7))</f>
        <v>255</v>
      </c>
      <c r="L33" s="1065">
        <f ca="1">INDIRECT(ADDRESS($E33+6,$F33,,,$E$7))</f>
        <v>285</v>
      </c>
      <c r="M33" s="1065">
        <f ca="1">INDIRECT(ADDRESS($E33+7,$F33,,,$E$7))</f>
        <v>300</v>
      </c>
      <c r="N33" s="1065">
        <f ca="1">INDIRECT(ADDRESS($E33+8,$F33,,,$E$7))</f>
        <v>270</v>
      </c>
      <c r="O33" s="1065">
        <f ca="1">INDIRECT(ADDRESS($E33+9,$F33,,,$E$7))</f>
        <v>240</v>
      </c>
      <c r="P33" s="1065">
        <f ca="1">INDIRECT(ADDRESS($E33+10,$F33,,,$E$7))</f>
        <v>180</v>
      </c>
      <c r="Q33" s="1065">
        <f ca="1">INDIRECT(ADDRESS($E33+11,$F33,,,$E$7))</f>
        <v>120</v>
      </c>
      <c r="R33" s="1065">
        <f ca="1">INDIRECT(ADDRESS($E33+12,$F33,,,$E$7))</f>
        <v>90</v>
      </c>
      <c r="S33" s="1065">
        <f ca="1">SUM(G33:R33)</f>
        <v>2205</v>
      </c>
      <c r="T33" s="1065" t="s">
        <v>2077</v>
      </c>
      <c r="U33" s="1008"/>
      <c r="V33" s="1006" t="s">
        <v>2211</v>
      </c>
      <c r="W33" s="1008" t="s">
        <v>14</v>
      </c>
      <c r="X33" s="1008"/>
    </row>
    <row r="34" spans="1:25" x14ac:dyDescent="0.2">
      <c r="A34" s="1004" t="s">
        <v>2272</v>
      </c>
      <c r="B34" s="1005"/>
      <c r="C34" s="1005"/>
      <c r="D34" s="1006"/>
      <c r="E34" s="1006"/>
      <c r="F34" s="1006"/>
      <c r="G34" s="1007"/>
      <c r="H34" s="1007"/>
      <c r="I34" s="1007"/>
      <c r="J34" s="1007"/>
      <c r="K34" s="1007"/>
      <c r="L34" s="1007"/>
      <c r="M34" s="1007"/>
      <c r="N34" s="1007"/>
      <c r="O34" s="1007"/>
      <c r="P34" s="1007"/>
      <c r="Q34" s="1007"/>
      <c r="R34" s="1007"/>
      <c r="S34" s="1007"/>
      <c r="T34" s="1007"/>
      <c r="U34" s="1006"/>
      <c r="V34" s="1006"/>
      <c r="W34" s="1006"/>
      <c r="X34" s="1008"/>
      <c r="Y34" s="1009"/>
    </row>
    <row r="35" spans="1:25" x14ac:dyDescent="0.2">
      <c r="A35" s="1004"/>
      <c r="B35" s="1005"/>
      <c r="C35" s="1005"/>
      <c r="D35" s="1006"/>
      <c r="E35" s="1006"/>
      <c r="F35" s="1006"/>
      <c r="G35" s="1007"/>
      <c r="H35" s="1007"/>
      <c r="I35" s="1007"/>
      <c r="J35" s="1007"/>
      <c r="K35" s="1007"/>
      <c r="L35" s="1007"/>
      <c r="M35" s="1007"/>
      <c r="N35" s="1007"/>
      <c r="O35" s="1007"/>
      <c r="P35" s="1007"/>
      <c r="Q35" s="1007"/>
      <c r="R35" s="1007"/>
      <c r="S35" s="1007"/>
      <c r="T35" s="1007"/>
      <c r="U35" s="1006"/>
      <c r="V35" s="1006"/>
      <c r="W35" s="1006"/>
      <c r="X35" s="1008"/>
      <c r="Y35" s="1009"/>
    </row>
    <row r="36" spans="1:25" ht="25.5" x14ac:dyDescent="0.2">
      <c r="A36" s="1071" t="s">
        <v>1780</v>
      </c>
      <c r="B36" s="1005" t="s">
        <v>1781</v>
      </c>
      <c r="C36" s="1005"/>
      <c r="D36" s="1006" t="s">
        <v>8</v>
      </c>
      <c r="E36" s="1006"/>
      <c r="F36" s="1006"/>
      <c r="G36" s="1007"/>
      <c r="H36" s="1007"/>
      <c r="I36" s="1007"/>
      <c r="J36" s="1007"/>
      <c r="K36" s="1007"/>
      <c r="L36" s="1007"/>
      <c r="M36" s="1007"/>
      <c r="N36" s="1007"/>
      <c r="O36" s="1007"/>
      <c r="P36" s="1007"/>
      <c r="Q36" s="1007"/>
      <c r="R36" s="1007"/>
      <c r="S36" s="1007"/>
      <c r="T36" s="1007"/>
      <c r="U36" s="1006" t="s">
        <v>1777</v>
      </c>
      <c r="V36" s="1006" t="s">
        <v>1772</v>
      </c>
      <c r="W36" s="1006" t="s">
        <v>14</v>
      </c>
      <c r="X36" s="1008"/>
      <c r="Y36" s="1010"/>
    </row>
    <row r="37" spans="1:25" x14ac:dyDescent="0.2">
      <c r="A37" s="1455" t="str">
        <f>+Base_calc!B524</f>
        <v>Non EPBD electricity use</v>
      </c>
      <c r="B37" s="1069" t="str">
        <f>+Base_calc!C524</f>
        <v>EnEPus,el</v>
      </c>
      <c r="C37" s="1005"/>
      <c r="D37" s="1006" t="s">
        <v>8</v>
      </c>
      <c r="E37" s="1006">
        <f>ROW(Base_calc!J524)</f>
        <v>524</v>
      </c>
      <c r="F37" s="1006">
        <f>COLUMN(Base_calc!J524)</f>
        <v>10</v>
      </c>
      <c r="G37" s="1065">
        <f ca="1">INDIRECT(ADDRESS($E37+1,$F37,,,$E$7))</f>
        <v>0</v>
      </c>
      <c r="H37" s="1065">
        <f ca="1">INDIRECT(ADDRESS($E37+2,$F37,,,$E$7))</f>
        <v>0</v>
      </c>
      <c r="I37" s="1065">
        <f ca="1">INDIRECT(ADDRESS($E37+3,$F37,,,$E$7))</f>
        <v>0</v>
      </c>
      <c r="J37" s="1065">
        <f ca="1">INDIRECT(ADDRESS($E37+4,$F37,,,$E$7))</f>
        <v>0</v>
      </c>
      <c r="K37" s="1065">
        <f ca="1">INDIRECT(ADDRESS($E37+5,$F37,,,$E$7))</f>
        <v>0</v>
      </c>
      <c r="L37" s="1065">
        <f ca="1">INDIRECT(ADDRESS($E37+6,$F37,,,$E$7))</f>
        <v>0</v>
      </c>
      <c r="M37" s="1065">
        <f ca="1">INDIRECT(ADDRESS($E37+7,$F37,,,$E$7))</f>
        <v>0</v>
      </c>
      <c r="N37" s="1065">
        <f ca="1">INDIRECT(ADDRESS($E37+8,$F37,,,$E$7))</f>
        <v>0</v>
      </c>
      <c r="O37" s="1065">
        <f ca="1">INDIRECT(ADDRESS($E37+9,$F37,,,$E$7))</f>
        <v>0</v>
      </c>
      <c r="P37" s="1065">
        <f ca="1">INDIRECT(ADDRESS($E37+10,$F37,,,$E$7))</f>
        <v>0</v>
      </c>
      <c r="Q37" s="1065">
        <f ca="1">INDIRECT(ADDRESS($E37+11,$F37,,,$E$7))</f>
        <v>0</v>
      </c>
      <c r="R37" s="1065">
        <f ca="1">INDIRECT(ADDRESS($E37+12,$F37,,,$E$7))</f>
        <v>0</v>
      </c>
      <c r="S37" s="1065">
        <f ca="1">SUM(G37:R37)</f>
        <v>0</v>
      </c>
      <c r="T37" s="1065" t="s">
        <v>2073</v>
      </c>
      <c r="U37" s="1006"/>
      <c r="V37" s="1006"/>
      <c r="W37" s="1006" t="s">
        <v>14</v>
      </c>
      <c r="X37" s="1008"/>
      <c r="Y37" s="1009"/>
    </row>
    <row r="38" spans="1:25" x14ac:dyDescent="0.2">
      <c r="A38" s="1039"/>
      <c r="B38" s="1005"/>
      <c r="C38" s="1005"/>
      <c r="D38" s="1006"/>
      <c r="E38" s="1006"/>
      <c r="F38" s="1006"/>
      <c r="G38" s="1007"/>
      <c r="H38" s="1007"/>
      <c r="I38" s="1007"/>
      <c r="J38" s="1007"/>
      <c r="K38" s="1007"/>
      <c r="L38" s="1007"/>
      <c r="M38" s="1007"/>
      <c r="N38" s="1007"/>
      <c r="O38" s="1007"/>
      <c r="P38" s="1007"/>
      <c r="Q38" s="1007"/>
      <c r="R38" s="1007"/>
      <c r="S38" s="1007"/>
      <c r="T38" s="1007"/>
      <c r="U38" s="1006"/>
      <c r="V38" s="1006"/>
      <c r="W38" s="1006"/>
      <c r="X38" s="1008"/>
      <c r="Y38" s="1010"/>
    </row>
    <row r="39" spans="1:25" x14ac:dyDescent="0.2">
      <c r="A39" s="1039"/>
      <c r="B39" s="1005"/>
      <c r="C39" s="1005"/>
      <c r="D39" s="1006"/>
      <c r="E39" s="1006"/>
      <c r="F39" s="1006"/>
      <c r="G39" s="1007"/>
      <c r="H39" s="1007"/>
      <c r="I39" s="1007"/>
      <c r="J39" s="1007"/>
      <c r="K39" s="1007"/>
      <c r="L39" s="1007"/>
      <c r="M39" s="1007"/>
      <c r="N39" s="1007"/>
      <c r="O39" s="1007"/>
      <c r="P39" s="1007"/>
      <c r="Q39" s="1007"/>
      <c r="R39" s="1007"/>
      <c r="S39" s="1007"/>
      <c r="T39" s="1007"/>
      <c r="U39" s="1006"/>
      <c r="V39" s="1006"/>
      <c r="W39" s="1006"/>
      <c r="X39" s="1008"/>
      <c r="Y39" s="1010"/>
    </row>
    <row r="40" spans="1:25" ht="38.25" x14ac:dyDescent="0.2">
      <c r="A40" s="1071" t="s">
        <v>1782</v>
      </c>
      <c r="B40" s="1072" t="s">
        <v>1811</v>
      </c>
      <c r="C40" s="1005"/>
      <c r="D40" s="1006" t="s">
        <v>8</v>
      </c>
      <c r="E40" s="1006"/>
      <c r="F40" s="1006"/>
      <c r="G40" s="1007"/>
      <c r="H40" s="1007"/>
      <c r="I40" s="1007"/>
      <c r="J40" s="1007"/>
      <c r="K40" s="1007"/>
      <c r="L40" s="1007"/>
      <c r="M40" s="1007"/>
      <c r="N40" s="1007"/>
      <c r="O40" s="1007"/>
      <c r="P40" s="1007"/>
      <c r="Q40" s="1007"/>
      <c r="R40" s="1007"/>
      <c r="S40" s="1007"/>
      <c r="T40" s="1007"/>
      <c r="U40" s="1006" t="s">
        <v>1777</v>
      </c>
      <c r="V40" s="1006" t="s">
        <v>1772</v>
      </c>
      <c r="W40" s="1006" t="s">
        <v>14</v>
      </c>
      <c r="X40" s="1008"/>
      <c r="Y40" s="1010"/>
    </row>
    <row r="41" spans="1:25" ht="25.5" x14ac:dyDescent="0.2">
      <c r="A41" s="1071" t="s">
        <v>1785</v>
      </c>
      <c r="B41" s="1073" t="s">
        <v>1812</v>
      </c>
      <c r="C41" s="1005"/>
      <c r="D41" s="1006"/>
      <c r="E41" s="1006"/>
      <c r="F41" s="1006"/>
      <c r="G41" s="1007"/>
      <c r="H41" s="1007"/>
      <c r="I41" s="1007"/>
      <c r="J41" s="1007"/>
      <c r="K41" s="1007"/>
      <c r="L41" s="1007"/>
      <c r="M41" s="1007"/>
      <c r="N41" s="1007"/>
      <c r="O41" s="1007"/>
      <c r="P41" s="1007"/>
      <c r="Q41" s="1007"/>
      <c r="R41" s="1007"/>
      <c r="S41" s="1007"/>
      <c r="T41" s="1007"/>
      <c r="U41" s="1006" t="s">
        <v>1786</v>
      </c>
      <c r="V41" s="1006" t="s">
        <v>1772</v>
      </c>
      <c r="W41" s="1006" t="s">
        <v>1787</v>
      </c>
      <c r="X41" s="1008"/>
      <c r="Y41" s="1010"/>
    </row>
    <row r="42" spans="1:25" ht="15" customHeight="1" x14ac:dyDescent="0.2">
      <c r="A42" s="1454" t="str">
        <f>+Base_calc!B229</f>
        <v>Solar delivered energy</v>
      </c>
      <c r="B42" s="1008" t="str">
        <f>+Base_calc!C229</f>
        <v>Edel,sol,W</v>
      </c>
      <c r="C42" s="1008"/>
      <c r="D42" s="1008" t="s">
        <v>8</v>
      </c>
      <c r="E42" s="1006">
        <f>ROW(Base_calc!J229)</f>
        <v>229</v>
      </c>
      <c r="F42" s="1006">
        <f>COLUMN(Base_calc!J229)</f>
        <v>10</v>
      </c>
      <c r="G42" s="1065">
        <f ca="1">IF($T42&lt;&gt;"el",INDIRECT(ADDRESS($E42+G$7,$F42,,,$E$7)),0)</f>
        <v>11.5</v>
      </c>
      <c r="H42" s="1065">
        <f t="shared" ref="H42:S46" ca="1" si="16">IF($T42&lt;&gt;"el",INDIRECT(ADDRESS($E42+H$7,$F42,,,$E$7)),0)</f>
        <v>23</v>
      </c>
      <c r="I42" s="1065">
        <f t="shared" ca="1" si="16"/>
        <v>46</v>
      </c>
      <c r="J42" s="1065">
        <f t="shared" ca="1" si="16"/>
        <v>92</v>
      </c>
      <c r="K42" s="1065">
        <f t="shared" ca="1" si="16"/>
        <v>161</v>
      </c>
      <c r="L42" s="1065">
        <f t="shared" ca="1" si="16"/>
        <v>184</v>
      </c>
      <c r="M42" s="1065">
        <f t="shared" ca="1" si="16"/>
        <v>172.5</v>
      </c>
      <c r="N42" s="1065">
        <f t="shared" ca="1" si="16"/>
        <v>161</v>
      </c>
      <c r="O42" s="1065">
        <f t="shared" ca="1" si="16"/>
        <v>103.5</v>
      </c>
      <c r="P42" s="1065">
        <f t="shared" ca="1" si="16"/>
        <v>34.5</v>
      </c>
      <c r="Q42" s="1065">
        <f t="shared" ca="1" si="16"/>
        <v>18.399999999999999</v>
      </c>
      <c r="R42" s="1065">
        <f t="shared" ca="1" si="16"/>
        <v>11.5</v>
      </c>
      <c r="S42" s="1065">
        <f ca="1">SUM(G42:R42)</f>
        <v>1018.9</v>
      </c>
      <c r="T42" s="1199" t="str">
        <f>+G43</f>
        <v>sol</v>
      </c>
      <c r="U42" s="1006" t="s">
        <v>1777</v>
      </c>
      <c r="V42" s="1008" t="s">
        <v>2211</v>
      </c>
      <c r="W42" s="1008" t="s">
        <v>14</v>
      </c>
      <c r="X42" s="1008" t="s">
        <v>2048</v>
      </c>
    </row>
    <row r="43" spans="1:25" ht="15" customHeight="1" x14ac:dyDescent="0.2">
      <c r="A43" s="1454" t="s">
        <v>1813</v>
      </c>
      <c r="B43" s="1081"/>
      <c r="C43" s="1008"/>
      <c r="D43" s="1008"/>
      <c r="E43" s="1014"/>
      <c r="F43" s="1014"/>
      <c r="G43" s="1108" t="str">
        <f>+T74</f>
        <v>sol</v>
      </c>
      <c r="H43" s="1007"/>
      <c r="I43" s="1007"/>
      <c r="J43" s="1007"/>
      <c r="K43" s="1007"/>
      <c r="L43" s="1007"/>
      <c r="M43" s="1007"/>
      <c r="N43" s="1007"/>
      <c r="O43" s="1007"/>
      <c r="P43" s="1007"/>
      <c r="Q43" s="1007"/>
      <c r="R43" s="1007"/>
      <c r="S43" s="1007"/>
      <c r="T43" s="1007"/>
      <c r="U43" s="1006" t="s">
        <v>1786</v>
      </c>
      <c r="V43" s="1008"/>
      <c r="W43" s="1008" t="s">
        <v>1787</v>
      </c>
      <c r="X43" s="1008"/>
    </row>
    <row r="44" spans="1:25" ht="15" customHeight="1" x14ac:dyDescent="0.2">
      <c r="A44" s="1080" t="str">
        <f>+Base_calc!B291</f>
        <v xml:space="preserve">    Cogenerator input</v>
      </c>
      <c r="B44" s="1008" t="str">
        <f>+Base_calc!C291</f>
        <v>EHW,CHP,in</v>
      </c>
      <c r="C44" s="1008"/>
      <c r="D44" s="1008" t="s">
        <v>8</v>
      </c>
      <c r="E44" s="1006">
        <f>ROW(Base_calc!J291)</f>
        <v>291</v>
      </c>
      <c r="F44" s="1006">
        <f>COLUMN(Base_calc!J291)</f>
        <v>10</v>
      </c>
      <c r="G44" s="1065">
        <f ca="1">IF($T44&lt;&gt;"el",INDIRECT(ADDRESS($E44+G$7,$F44,,,$E$7)),0)</f>
        <v>181.81818181818181</v>
      </c>
      <c r="H44" s="1065">
        <f t="shared" ca="1" si="16"/>
        <v>181.81818181818181</v>
      </c>
      <c r="I44" s="1065">
        <f t="shared" ca="1" si="16"/>
        <v>181.81818181818181</v>
      </c>
      <c r="J44" s="1065">
        <f t="shared" ca="1" si="16"/>
        <v>181.81818181818181</v>
      </c>
      <c r="K44" s="1065">
        <f t="shared" ca="1" si="16"/>
        <v>109.09090909090909</v>
      </c>
      <c r="L44" s="1065">
        <f t="shared" ca="1" si="16"/>
        <v>72.727272727272734</v>
      </c>
      <c r="M44" s="1065">
        <f t="shared" ca="1" si="16"/>
        <v>90.909090909090907</v>
      </c>
      <c r="N44" s="1065">
        <f t="shared" ca="1" si="16"/>
        <v>109.09090909090909</v>
      </c>
      <c r="O44" s="1065">
        <f t="shared" ca="1" si="16"/>
        <v>181.81818181818181</v>
      </c>
      <c r="P44" s="1065">
        <f t="shared" ca="1" si="16"/>
        <v>181.81818181818181</v>
      </c>
      <c r="Q44" s="1065">
        <f t="shared" ca="1" si="16"/>
        <v>181.81818181818181</v>
      </c>
      <c r="R44" s="1065">
        <f t="shared" ca="1" si="16"/>
        <v>181.81818181818181</v>
      </c>
      <c r="S44" s="1065">
        <f ca="1">SUM(G44:R44)</f>
        <v>1836.363636363636</v>
      </c>
      <c r="T44" s="1199" t="str">
        <f ca="1">+G45</f>
        <v>gas</v>
      </c>
      <c r="U44" s="1006" t="s">
        <v>1777</v>
      </c>
      <c r="V44" s="1008" t="s">
        <v>2213</v>
      </c>
      <c r="W44" s="1008" t="s">
        <v>14</v>
      </c>
      <c r="X44" s="1008" t="s">
        <v>2048</v>
      </c>
    </row>
    <row r="45" spans="1:25" ht="15" customHeight="1" x14ac:dyDescent="0.2">
      <c r="A45" s="1454" t="str">
        <f>+Base_calc!B277</f>
        <v>Cogenerator fuel</v>
      </c>
      <c r="B45" s="1081"/>
      <c r="C45" s="1008"/>
      <c r="D45" s="1008"/>
      <c r="E45" s="1006">
        <f>ROW(Base_calc!J277)</f>
        <v>277</v>
      </c>
      <c r="F45" s="1006">
        <f>COLUMN(Base_calc!J277)</f>
        <v>10</v>
      </c>
      <c r="G45" s="1065" t="str">
        <f t="shared" ref="G45" ca="1" si="17">INDIRECT(ADDRESS($E45,$F45,,,$E$7))</f>
        <v>gas</v>
      </c>
      <c r="H45" s="1007"/>
      <c r="I45" s="1007"/>
      <c r="J45" s="1007"/>
      <c r="K45" s="1007"/>
      <c r="L45" s="1007"/>
      <c r="M45" s="1007"/>
      <c r="N45" s="1007"/>
      <c r="O45" s="1007"/>
      <c r="P45" s="1007"/>
      <c r="Q45" s="1007"/>
      <c r="R45" s="1007"/>
      <c r="S45" s="1007"/>
      <c r="T45" s="1065"/>
      <c r="U45" s="1006" t="s">
        <v>1786</v>
      </c>
      <c r="V45" s="1008"/>
      <c r="W45" s="1008" t="s">
        <v>1787</v>
      </c>
      <c r="X45" s="1008"/>
    </row>
    <row r="46" spans="1:25" ht="15" customHeight="1" x14ac:dyDescent="0.2">
      <c r="A46" s="1454" t="str">
        <f>+Base_calc!B349</f>
        <v>Heat pump input</v>
      </c>
      <c r="B46" s="1008" t="str">
        <f>+Base_calc!C349</f>
        <v>EHW,HP,in</v>
      </c>
      <c r="C46" s="1008"/>
      <c r="D46" s="1008" t="s">
        <v>8</v>
      </c>
      <c r="E46" s="1006">
        <f>ROW(Base_calc!J349)</f>
        <v>349</v>
      </c>
      <c r="F46" s="1006">
        <f>COLUMN(Base_calc!J349)</f>
        <v>10</v>
      </c>
      <c r="G46" s="1065">
        <f ca="1">IF($T46&lt;&gt;"el",INDIRECT(ADDRESS($E46+G$7,$F46,,,$E$7)),0)</f>
        <v>0</v>
      </c>
      <c r="H46" s="1065">
        <f t="shared" ca="1" si="16"/>
        <v>0</v>
      </c>
      <c r="I46" s="1065">
        <f t="shared" ca="1" si="16"/>
        <v>0</v>
      </c>
      <c r="J46" s="1065">
        <f t="shared" ca="1" si="16"/>
        <v>0</v>
      </c>
      <c r="K46" s="1065">
        <f t="shared" ca="1" si="16"/>
        <v>0</v>
      </c>
      <c r="L46" s="1065">
        <f t="shared" ca="1" si="16"/>
        <v>0</v>
      </c>
      <c r="M46" s="1065">
        <f t="shared" ca="1" si="16"/>
        <v>0</v>
      </c>
      <c r="N46" s="1065">
        <f t="shared" ca="1" si="16"/>
        <v>0</v>
      </c>
      <c r="O46" s="1065">
        <f t="shared" ca="1" si="16"/>
        <v>0</v>
      </c>
      <c r="P46" s="1065">
        <f t="shared" ca="1" si="16"/>
        <v>0</v>
      </c>
      <c r="Q46" s="1065">
        <f t="shared" ca="1" si="16"/>
        <v>0</v>
      </c>
      <c r="R46" s="1065">
        <f t="shared" ca="1" si="16"/>
        <v>0</v>
      </c>
      <c r="S46" s="1065">
        <f t="shared" ca="1" si="16"/>
        <v>0</v>
      </c>
      <c r="T46" s="1199" t="str">
        <f ca="1">+G47</f>
        <v>el</v>
      </c>
      <c r="U46" s="1006" t="s">
        <v>1777</v>
      </c>
      <c r="V46" s="1008" t="s">
        <v>2212</v>
      </c>
      <c r="W46" s="1008" t="s">
        <v>14</v>
      </c>
      <c r="X46" s="1008" t="s">
        <v>2048</v>
      </c>
    </row>
    <row r="47" spans="1:25" ht="15" customHeight="1" x14ac:dyDescent="0.2">
      <c r="A47" s="1454" t="str">
        <f>+Base_calc!B334</f>
        <v>Heat pump fuel</v>
      </c>
      <c r="B47" s="1081"/>
      <c r="C47" s="1008"/>
      <c r="D47" s="1008"/>
      <c r="E47" s="1006">
        <f>ROW(Base_calc!J334)</f>
        <v>334</v>
      </c>
      <c r="F47" s="1006">
        <f>COLUMN(Base_calc!J334)</f>
        <v>10</v>
      </c>
      <c r="G47" s="1065" t="str">
        <f t="shared" ref="G47" ca="1" si="18">INDIRECT(ADDRESS($E47,$F47,,,$E$7))</f>
        <v>el</v>
      </c>
      <c r="H47" s="1065"/>
      <c r="I47" s="1065"/>
      <c r="J47" s="1065"/>
      <c r="K47" s="1065"/>
      <c r="L47" s="1065"/>
      <c r="M47" s="1065"/>
      <c r="N47" s="1065"/>
      <c r="O47" s="1065"/>
      <c r="P47" s="1065"/>
      <c r="Q47" s="1065"/>
      <c r="R47" s="1065"/>
      <c r="S47" s="1065"/>
      <c r="T47" s="1065"/>
      <c r="U47" s="1008"/>
      <c r="V47" s="1008"/>
      <c r="W47" s="1008" t="s">
        <v>1787</v>
      </c>
      <c r="X47" s="1008"/>
    </row>
    <row r="48" spans="1:25" ht="15" customHeight="1" x14ac:dyDescent="0.2">
      <c r="A48" s="1454" t="str">
        <f>+Base_calc!B376</f>
        <v>Environmental heat</v>
      </c>
      <c r="B48" s="1008" t="str">
        <f>+Base_calc!C376</f>
        <v>EHP,env</v>
      </c>
      <c r="C48" s="1008"/>
      <c r="D48" s="1008" t="s">
        <v>8</v>
      </c>
      <c r="E48" s="1006">
        <f>ROW(Base_calc!J376)</f>
        <v>376</v>
      </c>
      <c r="F48" s="1006">
        <f>COLUMN(Base_calc!J376)</f>
        <v>10</v>
      </c>
      <c r="G48" s="1065">
        <f ca="1">IF($T48&lt;&gt;"el",INDIRECT(ADDRESS($E48+G$7,$F48,,,$E$7)),0)</f>
        <v>33.333333333333329</v>
      </c>
      <c r="H48" s="1065">
        <f t="shared" ref="H48:R50" ca="1" si="19">IF($T48&lt;&gt;"el",INDIRECT(ADDRESS($E48+H$7,$F48,,,$E$7)),0)</f>
        <v>33.333333333333329</v>
      </c>
      <c r="I48" s="1065">
        <f t="shared" ca="1" si="19"/>
        <v>33.333333333333329</v>
      </c>
      <c r="J48" s="1065">
        <f t="shared" ca="1" si="19"/>
        <v>33.333333333333329</v>
      </c>
      <c r="K48" s="1065">
        <f t="shared" ca="1" si="19"/>
        <v>0</v>
      </c>
      <c r="L48" s="1065">
        <f t="shared" ca="1" si="19"/>
        <v>0</v>
      </c>
      <c r="M48" s="1065">
        <f t="shared" ca="1" si="19"/>
        <v>0</v>
      </c>
      <c r="N48" s="1065">
        <f t="shared" ca="1" si="19"/>
        <v>0</v>
      </c>
      <c r="O48" s="1065">
        <f t="shared" ca="1" si="19"/>
        <v>6.6666666666666661</v>
      </c>
      <c r="P48" s="1065">
        <f t="shared" ca="1" si="19"/>
        <v>33.333333333333329</v>
      </c>
      <c r="Q48" s="1065">
        <f t="shared" ca="1" si="19"/>
        <v>33.333333333333329</v>
      </c>
      <c r="R48" s="1065">
        <f t="shared" ca="1" si="19"/>
        <v>33.333333333333329</v>
      </c>
      <c r="S48" s="1065">
        <f ca="1">SUM(G48:R48)</f>
        <v>239.99999999999994</v>
      </c>
      <c r="T48" s="1199" t="str">
        <f>+G49</f>
        <v>env</v>
      </c>
      <c r="U48" s="1006" t="s">
        <v>1777</v>
      </c>
      <c r="V48" s="1008" t="s">
        <v>2212</v>
      </c>
      <c r="W48" s="1008" t="s">
        <v>14</v>
      </c>
      <c r="X48" s="1008" t="s">
        <v>2048</v>
      </c>
    </row>
    <row r="49" spans="1:24" ht="15" customHeight="1" x14ac:dyDescent="0.2">
      <c r="A49" s="1454" t="s">
        <v>1816</v>
      </c>
      <c r="B49" s="1081"/>
      <c r="C49" s="1008"/>
      <c r="D49" s="1008"/>
      <c r="E49" s="1006"/>
      <c r="F49" s="1006"/>
      <c r="G49" s="1197" t="str">
        <f>+T76</f>
        <v>env</v>
      </c>
      <c r="H49" s="1065"/>
      <c r="I49" s="1065"/>
      <c r="J49" s="1065"/>
      <c r="K49" s="1065"/>
      <c r="L49" s="1065"/>
      <c r="M49" s="1065"/>
      <c r="N49" s="1065"/>
      <c r="O49" s="1065"/>
      <c r="P49" s="1065"/>
      <c r="Q49" s="1065"/>
      <c r="R49" s="1065"/>
      <c r="S49" s="1065"/>
      <c r="T49" s="1065"/>
      <c r="U49" s="1008"/>
      <c r="V49" s="1008"/>
      <c r="W49" s="1008" t="s">
        <v>1787</v>
      </c>
      <c r="X49" s="1008"/>
    </row>
    <row r="50" spans="1:24" ht="15" customHeight="1" x14ac:dyDescent="0.2">
      <c r="A50" s="1454" t="str">
        <f>+Base_calc!B412</f>
        <v>Boiler input</v>
      </c>
      <c r="B50" s="1008" t="str">
        <f>+Base_calc!C412</f>
        <v>EHW,boil,in</v>
      </c>
      <c r="C50" s="1008"/>
      <c r="D50" s="1008" t="s">
        <v>8</v>
      </c>
      <c r="E50" s="1006">
        <f>ROW(Base_calc!J412)</f>
        <v>412</v>
      </c>
      <c r="F50" s="1006">
        <f>COLUMN(Base_calc!J412)</f>
        <v>10</v>
      </c>
      <c r="G50" s="1065">
        <f ca="1">IF($T50&lt;&gt;"el",INDIRECT(ADDRESS($E50+G$7,$F50,,,$E$7)),0)</f>
        <v>2822.2222222222222</v>
      </c>
      <c r="H50" s="1065">
        <f t="shared" ca="1" si="19"/>
        <v>2116.6666666666665</v>
      </c>
      <c r="I50" s="1065">
        <f t="shared" ca="1" si="19"/>
        <v>1400</v>
      </c>
      <c r="J50" s="1065">
        <f t="shared" ca="1" si="19"/>
        <v>661.11111111111109</v>
      </c>
      <c r="K50" s="1065">
        <f t="shared" ca="1" si="19"/>
        <v>0</v>
      </c>
      <c r="L50" s="1065">
        <f t="shared" ca="1" si="19"/>
        <v>0</v>
      </c>
      <c r="M50" s="1065">
        <f t="shared" ca="1" si="19"/>
        <v>0</v>
      </c>
      <c r="N50" s="1065">
        <f t="shared" ca="1" si="19"/>
        <v>0</v>
      </c>
      <c r="O50" s="1065">
        <f t="shared" ca="1" si="19"/>
        <v>0</v>
      </c>
      <c r="P50" s="1065">
        <f t="shared" ca="1" si="19"/>
        <v>855.55555555555554</v>
      </c>
      <c r="Q50" s="1065">
        <f t="shared" ca="1" si="19"/>
        <v>1843.3333333333333</v>
      </c>
      <c r="R50" s="1065">
        <f t="shared" ca="1" si="19"/>
        <v>2266.6666666666665</v>
      </c>
      <c r="S50" s="1065">
        <f ca="1">SUM(G50:R50)</f>
        <v>11965.555555555555</v>
      </c>
      <c r="T50" s="1199" t="str">
        <f ca="1">+G51</f>
        <v>gas</v>
      </c>
      <c r="U50" s="1006" t="s">
        <v>1777</v>
      </c>
      <c r="V50" s="1008" t="s">
        <v>2214</v>
      </c>
      <c r="W50" s="1008" t="s">
        <v>14</v>
      </c>
      <c r="X50" s="1008" t="s">
        <v>2048</v>
      </c>
    </row>
    <row r="51" spans="1:24" ht="15" customHeight="1" x14ac:dyDescent="0.2">
      <c r="A51" s="1454" t="str">
        <f>+Base_calc!B410</f>
        <v>Boiler fuel</v>
      </c>
      <c r="B51" s="1081"/>
      <c r="C51" s="1008"/>
      <c r="D51" s="1008"/>
      <c r="E51" s="1006">
        <f>ROW(Base_calc!J410)</f>
        <v>410</v>
      </c>
      <c r="F51" s="1006">
        <f>COLUMN(Base_calc!J410)</f>
        <v>10</v>
      </c>
      <c r="G51" s="1711" t="str">
        <f t="shared" ref="G51:G53" ca="1" si="20">INDIRECT(ADDRESS($E51,$F51,,,$E$7))</f>
        <v>gas</v>
      </c>
      <c r="H51" s="1065"/>
      <c r="I51" s="1065"/>
      <c r="J51" s="1065"/>
      <c r="K51" s="1065"/>
      <c r="L51" s="1065"/>
      <c r="M51" s="1065"/>
      <c r="N51" s="1065"/>
      <c r="O51" s="1065"/>
      <c r="P51" s="1065"/>
      <c r="Q51" s="1065"/>
      <c r="R51" s="1065"/>
      <c r="S51" s="1065"/>
      <c r="T51" s="1065"/>
      <c r="U51" s="1008"/>
      <c r="V51" s="1008"/>
      <c r="W51" s="1008" t="s">
        <v>1787</v>
      </c>
      <c r="X51" s="1008"/>
    </row>
    <row r="52" spans="1:24" ht="15" customHeight="1" x14ac:dyDescent="0.2">
      <c r="A52" s="1454" t="str">
        <f>+Base_calc!B445</f>
        <v>Chiller input</v>
      </c>
      <c r="B52" s="1008" t="str">
        <f>+Base_calc!C445</f>
        <v>EC,chllr,in</v>
      </c>
      <c r="C52" s="1008"/>
      <c r="D52" s="1008" t="s">
        <v>8</v>
      </c>
      <c r="E52" s="1006">
        <f>ROW(Base_calc!J445)</f>
        <v>445</v>
      </c>
      <c r="F52" s="1006">
        <f>COLUMN(Base_calc!J445)</f>
        <v>10</v>
      </c>
      <c r="G52" s="1065">
        <f ca="1">IF($T52&lt;&gt;"el",INDIRECT(ADDRESS($E52+G$7,$F52,,,$E$7)),0)</f>
        <v>0</v>
      </c>
      <c r="H52" s="1065">
        <f t="shared" ref="H52:R52" ca="1" si="21">IF($T52&lt;&gt;"el",INDIRECT(ADDRESS($E52+H$7,$F52,,,$E$7)),0)</f>
        <v>0</v>
      </c>
      <c r="I52" s="1065">
        <f t="shared" ca="1" si="21"/>
        <v>0</v>
      </c>
      <c r="J52" s="1065">
        <f t="shared" ca="1" si="21"/>
        <v>0</v>
      </c>
      <c r="K52" s="1065">
        <f t="shared" ca="1" si="21"/>
        <v>0</v>
      </c>
      <c r="L52" s="1065">
        <f t="shared" ca="1" si="21"/>
        <v>0</v>
      </c>
      <c r="M52" s="1065">
        <f t="shared" ca="1" si="21"/>
        <v>0</v>
      </c>
      <c r="N52" s="1065">
        <f t="shared" ca="1" si="21"/>
        <v>0</v>
      </c>
      <c r="O52" s="1065">
        <f t="shared" ca="1" si="21"/>
        <v>0</v>
      </c>
      <c r="P52" s="1065">
        <f t="shared" ca="1" si="21"/>
        <v>0</v>
      </c>
      <c r="Q52" s="1065">
        <f t="shared" ca="1" si="21"/>
        <v>0</v>
      </c>
      <c r="R52" s="1065">
        <f t="shared" ca="1" si="21"/>
        <v>0</v>
      </c>
      <c r="S52" s="1065">
        <f ca="1">SUM(G52:R52)</f>
        <v>0</v>
      </c>
      <c r="T52" s="1199" t="str">
        <f ca="1">+G53</f>
        <v>el</v>
      </c>
      <c r="U52" s="1006" t="s">
        <v>1777</v>
      </c>
      <c r="V52" s="1008" t="s">
        <v>2215</v>
      </c>
      <c r="W52" s="1008" t="s">
        <v>14</v>
      </c>
      <c r="X52" s="1008" t="s">
        <v>2048</v>
      </c>
    </row>
    <row r="53" spans="1:24" ht="15" customHeight="1" x14ac:dyDescent="0.2">
      <c r="A53" s="1454" t="str">
        <f>+Base_calc!B444</f>
        <v>Chiller energy carrier</v>
      </c>
      <c r="B53" s="1081"/>
      <c r="C53" s="1008"/>
      <c r="D53" s="1008"/>
      <c r="E53" s="1006">
        <f>ROW(Base_calc!J444)</f>
        <v>444</v>
      </c>
      <c r="F53" s="1006">
        <f>COLUMN(Base_calc!J444)</f>
        <v>10</v>
      </c>
      <c r="G53" s="1065" t="str">
        <f t="shared" ca="1" si="20"/>
        <v>el</v>
      </c>
      <c r="H53" s="1065"/>
      <c r="I53" s="1065"/>
      <c r="J53" s="1065"/>
      <c r="K53" s="1065"/>
      <c r="L53" s="1065"/>
      <c r="M53" s="1065"/>
      <c r="N53" s="1065"/>
      <c r="O53" s="1065"/>
      <c r="P53" s="1065"/>
      <c r="Q53" s="1065"/>
      <c r="R53" s="1065"/>
      <c r="S53" s="1065"/>
      <c r="T53" s="1065"/>
      <c r="U53" s="1008"/>
      <c r="V53" s="1008"/>
      <c r="W53" s="1008" t="s">
        <v>1787</v>
      </c>
      <c r="X53" s="1008"/>
    </row>
    <row r="54" spans="1:24" ht="15" customHeight="1" x14ac:dyDescent="0.2">
      <c r="A54" s="1454" t="s">
        <v>2263</v>
      </c>
      <c r="B54" s="1008" t="s">
        <v>2265</v>
      </c>
      <c r="C54" s="1008"/>
      <c r="D54" s="1008" t="s">
        <v>8</v>
      </c>
      <c r="E54" s="1006">
        <f>ROW(Base_calc!B565)</f>
        <v>565</v>
      </c>
      <c r="F54" s="1014">
        <v>10</v>
      </c>
      <c r="G54" s="1065">
        <f ca="1">IF($T54&lt;&gt;"el",INDIRECT(ADDRESS($E54+G$7,$F54,,,$E$7)),0)</f>
        <v>45</v>
      </c>
      <c r="H54" s="1065">
        <f t="shared" ref="H54:R54" ca="1" si="22">IF($T54&lt;&gt;"el",INDIRECT(ADDRESS($E54+H$7,$F54,,,$E$7)),0)</f>
        <v>60</v>
      </c>
      <c r="I54" s="1065">
        <f t="shared" ca="1" si="22"/>
        <v>150</v>
      </c>
      <c r="J54" s="1065">
        <f t="shared" ca="1" si="22"/>
        <v>210</v>
      </c>
      <c r="K54" s="1065">
        <f t="shared" ca="1" si="22"/>
        <v>255</v>
      </c>
      <c r="L54" s="1065">
        <f t="shared" ca="1" si="22"/>
        <v>285</v>
      </c>
      <c r="M54" s="1065">
        <f t="shared" ca="1" si="22"/>
        <v>300</v>
      </c>
      <c r="N54" s="1065">
        <f t="shared" ca="1" si="22"/>
        <v>270</v>
      </c>
      <c r="O54" s="1065">
        <f t="shared" ca="1" si="22"/>
        <v>240</v>
      </c>
      <c r="P54" s="1065">
        <f t="shared" ca="1" si="22"/>
        <v>180</v>
      </c>
      <c r="Q54" s="1065">
        <f t="shared" ca="1" si="22"/>
        <v>120</v>
      </c>
      <c r="R54" s="1065">
        <f t="shared" ca="1" si="22"/>
        <v>90</v>
      </c>
      <c r="S54" s="1065">
        <f ca="1">SUM(G54:R54)</f>
        <v>2205</v>
      </c>
      <c r="T54" s="1065" t="str">
        <f>+G55</f>
        <v>pv</v>
      </c>
      <c r="U54" s="1006" t="s">
        <v>1777</v>
      </c>
      <c r="V54" s="1008" t="s">
        <v>2408</v>
      </c>
      <c r="W54" s="1008" t="s">
        <v>14</v>
      </c>
      <c r="X54" s="1008"/>
    </row>
    <row r="55" spans="1:24" ht="15" customHeight="1" x14ac:dyDescent="0.2">
      <c r="A55" s="1454" t="s">
        <v>2264</v>
      </c>
      <c r="B55" s="1081"/>
      <c r="C55" s="1008"/>
      <c r="D55" s="1008"/>
      <c r="E55" s="1014"/>
      <c r="F55" s="1014"/>
      <c r="G55" s="1014" t="str">
        <f>+T75</f>
        <v>pv</v>
      </c>
      <c r="H55" s="1014"/>
      <c r="I55" s="1014"/>
      <c r="J55" s="1014"/>
      <c r="K55" s="1014"/>
      <c r="L55" s="1014"/>
      <c r="M55" s="1014"/>
      <c r="N55" s="1014"/>
      <c r="O55" s="1014"/>
      <c r="P55" s="1014"/>
      <c r="Q55" s="1014"/>
      <c r="R55" s="1014"/>
      <c r="S55" s="1014"/>
      <c r="T55" s="1014"/>
      <c r="U55" s="1008"/>
      <c r="V55" s="1008"/>
      <c r="W55" s="1008" t="s">
        <v>1787</v>
      </c>
      <c r="X55" s="1008"/>
    </row>
    <row r="56" spans="1:24" ht="15" customHeight="1" x14ac:dyDescent="0.2">
      <c r="A56" s="1013"/>
      <c r="B56" s="1008"/>
      <c r="C56" s="1008"/>
      <c r="D56" s="1008"/>
      <c r="E56" s="1014"/>
      <c r="F56" s="1014"/>
      <c r="G56" s="1014"/>
      <c r="H56" s="1014"/>
      <c r="I56" s="1014"/>
      <c r="J56" s="1014"/>
      <c r="K56" s="1014"/>
      <c r="L56" s="1014"/>
      <c r="M56" s="1014"/>
      <c r="N56" s="1014"/>
      <c r="O56" s="1014"/>
      <c r="P56" s="1014"/>
      <c r="Q56" s="1014"/>
      <c r="R56" s="1014"/>
      <c r="S56" s="1014"/>
      <c r="T56" s="1014"/>
      <c r="U56" s="1008"/>
      <c r="V56" s="1008"/>
      <c r="W56" s="1008"/>
      <c r="X56" s="1008"/>
    </row>
    <row r="57" spans="1:24" ht="25.5" x14ac:dyDescent="0.2">
      <c r="A57" s="1039" t="s">
        <v>1796</v>
      </c>
      <c r="B57" s="1005" t="s">
        <v>1795</v>
      </c>
      <c r="C57" s="1005"/>
      <c r="D57" s="1012" t="s">
        <v>9</v>
      </c>
      <c r="E57" s="1012"/>
      <c r="F57" s="1012"/>
      <c r="G57" s="1694">
        <f>+'National options'!C26</f>
        <v>0</v>
      </c>
      <c r="H57" s="1007"/>
      <c r="I57" s="1007"/>
      <c r="J57" s="1007"/>
      <c r="K57" s="1007"/>
      <c r="L57" s="1007"/>
      <c r="M57" s="1007"/>
      <c r="N57" s="1007"/>
      <c r="O57" s="1007"/>
      <c r="P57" s="1007"/>
      <c r="Q57" s="1007"/>
      <c r="R57" s="1007"/>
      <c r="S57" s="1007"/>
      <c r="T57" s="1007"/>
      <c r="U57" s="1006" t="s">
        <v>21</v>
      </c>
      <c r="V57" s="1006" t="s">
        <v>18</v>
      </c>
      <c r="W57" s="1006" t="s">
        <v>15</v>
      </c>
      <c r="X57" s="1008" t="s">
        <v>2209</v>
      </c>
    </row>
    <row r="58" spans="1:24" ht="21.75" customHeight="1" x14ac:dyDescent="0.2">
      <c r="A58" s="1071" t="s">
        <v>1794</v>
      </c>
      <c r="B58" s="1695" t="s">
        <v>2404</v>
      </c>
      <c r="C58" s="1005"/>
      <c r="D58" s="1012" t="s">
        <v>9</v>
      </c>
      <c r="E58" s="1012"/>
      <c r="F58" s="1012"/>
      <c r="G58" s="1696">
        <f>+'National options'!C27</f>
        <v>1</v>
      </c>
      <c r="H58" s="1007"/>
      <c r="I58" s="1007"/>
      <c r="J58" s="1007"/>
      <c r="K58" s="1007"/>
      <c r="L58" s="1007"/>
      <c r="M58" s="1007"/>
      <c r="N58" s="1007"/>
      <c r="O58" s="1007"/>
      <c r="P58" s="1007"/>
      <c r="Q58" s="1007"/>
      <c r="R58" s="1007"/>
      <c r="S58" s="1007"/>
      <c r="T58" s="1007"/>
      <c r="U58" s="1006" t="s">
        <v>21</v>
      </c>
      <c r="V58" s="1006" t="s">
        <v>18</v>
      </c>
      <c r="W58" s="1006" t="s">
        <v>15</v>
      </c>
      <c r="X58" s="1008" t="s">
        <v>2209</v>
      </c>
    </row>
    <row r="59" spans="1:24" ht="15" customHeight="1" x14ac:dyDescent="0.2">
      <c r="A59" s="1013"/>
      <c r="B59" s="1008"/>
      <c r="C59" s="1008"/>
      <c r="D59" s="1008"/>
      <c r="E59" s="1014"/>
      <c r="F59" s="1014"/>
      <c r="G59" s="1014"/>
      <c r="H59" s="1014"/>
      <c r="I59" s="1014"/>
      <c r="J59" s="1014"/>
      <c r="K59" s="1014"/>
      <c r="L59" s="1014"/>
      <c r="M59" s="1014"/>
      <c r="N59" s="1014"/>
      <c r="O59" s="1014"/>
      <c r="P59" s="1014"/>
      <c r="Q59" s="1014"/>
      <c r="R59" s="1014"/>
      <c r="S59" s="1014"/>
      <c r="T59" s="1014"/>
      <c r="U59" s="1008"/>
      <c r="V59" s="1008"/>
      <c r="W59" s="1008"/>
      <c r="X59" s="1008"/>
    </row>
    <row r="60" spans="1:24" ht="15" customHeight="1" x14ac:dyDescent="0.2">
      <c r="A60" s="1015" t="s">
        <v>1903</v>
      </c>
      <c r="B60" s="1008"/>
      <c r="C60" s="1008"/>
      <c r="D60" s="1008"/>
      <c r="E60" s="1014"/>
      <c r="F60" s="1014"/>
      <c r="G60" s="1014"/>
      <c r="H60" s="1014"/>
      <c r="I60" s="1014"/>
      <c r="J60" s="1014"/>
      <c r="K60" s="1014"/>
      <c r="L60" s="1014"/>
      <c r="M60" s="1014"/>
      <c r="N60" s="1014"/>
      <c r="O60" s="1014"/>
      <c r="P60" s="1014"/>
      <c r="Q60" s="1014"/>
      <c r="R60" s="1014"/>
      <c r="S60" s="1014"/>
      <c r="T60" s="1014"/>
      <c r="U60" s="1008"/>
      <c r="V60" s="1008"/>
      <c r="W60" s="1008"/>
      <c r="X60" s="1008"/>
    </row>
    <row r="61" spans="1:24" ht="15" customHeight="1" x14ac:dyDescent="0.2">
      <c r="A61" s="1039" t="s">
        <v>1788</v>
      </c>
      <c r="B61" s="1005" t="s">
        <v>1784</v>
      </c>
      <c r="C61" s="1005"/>
      <c r="D61" s="1006" t="s">
        <v>1783</v>
      </c>
      <c r="E61" s="1006"/>
      <c r="F61" s="1006"/>
      <c r="G61" s="1007"/>
      <c r="H61" s="1007"/>
      <c r="I61" s="1007"/>
      <c r="J61" s="1007"/>
      <c r="K61" s="1007"/>
      <c r="L61" s="1007"/>
      <c r="M61" s="1007"/>
      <c r="N61" s="1007"/>
      <c r="O61" s="1007"/>
      <c r="P61" s="1007"/>
      <c r="Q61" s="1007"/>
      <c r="R61" s="1007"/>
      <c r="S61" s="1007"/>
      <c r="T61" s="1007"/>
      <c r="U61" s="1006" t="s">
        <v>1777</v>
      </c>
      <c r="V61" s="1006" t="s">
        <v>18</v>
      </c>
      <c r="W61" s="1006" t="s">
        <v>1789</v>
      </c>
      <c r="X61" s="1008" t="s">
        <v>2210</v>
      </c>
    </row>
    <row r="62" spans="1:24" ht="15" customHeight="1" x14ac:dyDescent="0.2">
      <c r="A62" s="1039" t="s">
        <v>1800</v>
      </c>
      <c r="B62" s="1005" t="s">
        <v>1790</v>
      </c>
      <c r="C62" s="1005"/>
      <c r="D62" s="1006" t="s">
        <v>1783</v>
      </c>
      <c r="E62" s="1006"/>
      <c r="F62" s="1006"/>
      <c r="G62" s="1007"/>
      <c r="H62" s="1007"/>
      <c r="I62" s="1007"/>
      <c r="J62" s="1007"/>
      <c r="K62" s="1007"/>
      <c r="L62" s="1007"/>
      <c r="M62" s="1007"/>
      <c r="N62" s="1007"/>
      <c r="O62" s="1007"/>
      <c r="P62" s="1007"/>
      <c r="Q62" s="1007"/>
      <c r="R62" s="1007"/>
      <c r="S62" s="1007"/>
      <c r="T62" s="1007"/>
      <c r="U62" s="1006" t="s">
        <v>1777</v>
      </c>
      <c r="V62" s="1006" t="s">
        <v>18</v>
      </c>
      <c r="W62" s="1006" t="s">
        <v>1789</v>
      </c>
      <c r="X62" s="1008"/>
    </row>
    <row r="63" spans="1:24" ht="15" customHeight="1" x14ac:dyDescent="0.2">
      <c r="A63" s="1039" t="s">
        <v>1801</v>
      </c>
      <c r="B63" s="1005" t="s">
        <v>1791</v>
      </c>
      <c r="C63" s="1005"/>
      <c r="D63" s="1006" t="s">
        <v>1783</v>
      </c>
      <c r="E63" s="1006"/>
      <c r="F63" s="1006"/>
      <c r="G63" s="1007"/>
      <c r="H63" s="1007"/>
      <c r="I63" s="1007"/>
      <c r="J63" s="1007"/>
      <c r="K63" s="1007"/>
      <c r="L63" s="1007"/>
      <c r="M63" s="1007"/>
      <c r="N63" s="1007"/>
      <c r="O63" s="1007"/>
      <c r="P63" s="1007"/>
      <c r="Q63" s="1007"/>
      <c r="R63" s="1007"/>
      <c r="S63" s="1007"/>
      <c r="T63" s="1007"/>
      <c r="U63" s="1006" t="s">
        <v>1777</v>
      </c>
      <c r="V63" s="1006" t="s">
        <v>18</v>
      </c>
      <c r="W63" s="1006" t="s">
        <v>1789</v>
      </c>
      <c r="X63" s="1008"/>
    </row>
    <row r="64" spans="1:24" ht="25.5" x14ac:dyDescent="0.2">
      <c r="A64" s="1039" t="s">
        <v>1792</v>
      </c>
      <c r="B64" s="1005" t="s">
        <v>1793</v>
      </c>
      <c r="C64" s="1005"/>
      <c r="D64" s="1006" t="s">
        <v>1783</v>
      </c>
      <c r="E64" s="1006"/>
      <c r="F64" s="1006"/>
      <c r="G64" s="1007"/>
      <c r="H64" s="1007"/>
      <c r="I64" s="1007"/>
      <c r="J64" s="1007"/>
      <c r="K64" s="1007"/>
      <c r="L64" s="1007"/>
      <c r="M64" s="1007"/>
      <c r="N64" s="1007"/>
      <c r="O64" s="1007"/>
      <c r="P64" s="1007"/>
      <c r="Q64" s="1007"/>
      <c r="R64" s="1007"/>
      <c r="S64" s="1007"/>
      <c r="T64" s="1007"/>
      <c r="U64" s="1006" t="s">
        <v>1777</v>
      </c>
      <c r="V64" s="1006" t="s">
        <v>18</v>
      </c>
      <c r="W64" s="1006" t="s">
        <v>1789</v>
      </c>
      <c r="X64" s="1008"/>
    </row>
    <row r="65" spans="1:24" ht="15" customHeight="1" x14ac:dyDescent="0.2">
      <c r="A65" s="1109" t="s">
        <v>1150</v>
      </c>
      <c r="B65" s="1005"/>
      <c r="C65" s="1005"/>
      <c r="D65" s="1006"/>
      <c r="E65" s="1006"/>
      <c r="F65" s="1006"/>
      <c r="G65" s="1007"/>
      <c r="H65" s="1007"/>
      <c r="I65" s="1007"/>
      <c r="J65" s="1007"/>
      <c r="K65" s="1007"/>
      <c r="L65" s="1007"/>
      <c r="M65" s="1007"/>
      <c r="N65" s="1007"/>
      <c r="O65" s="1007"/>
      <c r="P65" s="1007"/>
      <c r="Q65" s="1007"/>
      <c r="R65" s="1007"/>
      <c r="S65" s="1007"/>
      <c r="T65" s="1007"/>
      <c r="U65" s="1006"/>
      <c r="V65" s="1006"/>
      <c r="W65" s="1006"/>
      <c r="X65" s="1008"/>
    </row>
    <row r="66" spans="1:24" ht="15" customHeight="1" x14ac:dyDescent="0.2">
      <c r="A66" s="1039" t="str">
        <f>+ConvFactors!B32</f>
        <v>gas</v>
      </c>
      <c r="B66" s="1005"/>
      <c r="C66" s="1005"/>
      <c r="D66" s="1012" t="s">
        <v>9</v>
      </c>
      <c r="E66" s="1107"/>
      <c r="F66" s="1107"/>
      <c r="G66" s="1110">
        <f>+ConvFactors!F32</f>
        <v>1.1000000000000001</v>
      </c>
      <c r="H66" s="1111">
        <f>+G66</f>
        <v>1.1000000000000001</v>
      </c>
      <c r="I66" s="1111">
        <f t="shared" ref="I66:R66" si="23">+H66</f>
        <v>1.1000000000000001</v>
      </c>
      <c r="J66" s="1111">
        <f t="shared" si="23"/>
        <v>1.1000000000000001</v>
      </c>
      <c r="K66" s="1111">
        <f t="shared" si="23"/>
        <v>1.1000000000000001</v>
      </c>
      <c r="L66" s="1111">
        <f t="shared" si="23"/>
        <v>1.1000000000000001</v>
      </c>
      <c r="M66" s="1111">
        <f t="shared" si="23"/>
        <v>1.1000000000000001</v>
      </c>
      <c r="N66" s="1111">
        <f t="shared" si="23"/>
        <v>1.1000000000000001</v>
      </c>
      <c r="O66" s="1111">
        <f t="shared" si="23"/>
        <v>1.1000000000000001</v>
      </c>
      <c r="P66" s="1111">
        <f t="shared" si="23"/>
        <v>1.1000000000000001</v>
      </c>
      <c r="Q66" s="1111">
        <f t="shared" si="23"/>
        <v>1.1000000000000001</v>
      </c>
      <c r="R66" s="1111">
        <f t="shared" si="23"/>
        <v>1.1000000000000001</v>
      </c>
      <c r="S66" s="1007"/>
      <c r="T66" s="1108" t="str">
        <f>+ConvFactors!D32</f>
        <v>gas</v>
      </c>
      <c r="U66" s="1006"/>
      <c r="V66" s="1006" t="s">
        <v>18</v>
      </c>
      <c r="W66" s="1006"/>
      <c r="X66" s="1008" t="s">
        <v>1904</v>
      </c>
    </row>
    <row r="67" spans="1:24" ht="15" customHeight="1" x14ac:dyDescent="0.2">
      <c r="A67" s="1039" t="str">
        <f>+ConvFactors!B33</f>
        <v>oil</v>
      </c>
      <c r="B67" s="1005"/>
      <c r="C67" s="1005"/>
      <c r="D67" s="1012" t="s">
        <v>9</v>
      </c>
      <c r="E67" s="1107"/>
      <c r="F67" s="1107"/>
      <c r="G67" s="1110">
        <f>+ConvFactors!F33</f>
        <v>1.1000000000000001</v>
      </c>
      <c r="H67" s="1111">
        <f t="shared" ref="H67:R67" si="24">+G67</f>
        <v>1.1000000000000001</v>
      </c>
      <c r="I67" s="1111">
        <f t="shared" si="24"/>
        <v>1.1000000000000001</v>
      </c>
      <c r="J67" s="1111">
        <f t="shared" si="24"/>
        <v>1.1000000000000001</v>
      </c>
      <c r="K67" s="1111">
        <f t="shared" si="24"/>
        <v>1.1000000000000001</v>
      </c>
      <c r="L67" s="1111">
        <f t="shared" si="24"/>
        <v>1.1000000000000001</v>
      </c>
      <c r="M67" s="1111">
        <f t="shared" si="24"/>
        <v>1.1000000000000001</v>
      </c>
      <c r="N67" s="1111">
        <f t="shared" si="24"/>
        <v>1.1000000000000001</v>
      </c>
      <c r="O67" s="1111">
        <f t="shared" si="24"/>
        <v>1.1000000000000001</v>
      </c>
      <c r="P67" s="1111">
        <f t="shared" si="24"/>
        <v>1.1000000000000001</v>
      </c>
      <c r="Q67" s="1111">
        <f t="shared" si="24"/>
        <v>1.1000000000000001</v>
      </c>
      <c r="R67" s="1111">
        <f t="shared" si="24"/>
        <v>1.1000000000000001</v>
      </c>
      <c r="S67" s="1007"/>
      <c r="T67" s="1108" t="str">
        <f>+ConvFactors!D33</f>
        <v>oil</v>
      </c>
      <c r="U67" s="1006"/>
      <c r="V67" s="1006" t="s">
        <v>18</v>
      </c>
      <c r="W67" s="1006"/>
      <c r="X67" s="1008"/>
    </row>
    <row r="68" spans="1:24" ht="15" customHeight="1" x14ac:dyDescent="0.2">
      <c r="A68" s="1039" t="str">
        <f>+ConvFactors!B34</f>
        <v>coal</v>
      </c>
      <c r="B68" s="1005"/>
      <c r="C68" s="1005"/>
      <c r="D68" s="1012" t="s">
        <v>9</v>
      </c>
      <c r="E68" s="1107"/>
      <c r="F68" s="1107"/>
      <c r="G68" s="1110">
        <f>+ConvFactors!F34</f>
        <v>1.1000000000000001</v>
      </c>
      <c r="H68" s="1111">
        <f t="shared" ref="H68:R68" si="25">+G68</f>
        <v>1.1000000000000001</v>
      </c>
      <c r="I68" s="1111">
        <f t="shared" si="25"/>
        <v>1.1000000000000001</v>
      </c>
      <c r="J68" s="1111">
        <f t="shared" si="25"/>
        <v>1.1000000000000001</v>
      </c>
      <c r="K68" s="1111">
        <f t="shared" si="25"/>
        <v>1.1000000000000001</v>
      </c>
      <c r="L68" s="1111">
        <f t="shared" si="25"/>
        <v>1.1000000000000001</v>
      </c>
      <c r="M68" s="1111">
        <f t="shared" si="25"/>
        <v>1.1000000000000001</v>
      </c>
      <c r="N68" s="1111">
        <f t="shared" si="25"/>
        <v>1.1000000000000001</v>
      </c>
      <c r="O68" s="1111">
        <f t="shared" si="25"/>
        <v>1.1000000000000001</v>
      </c>
      <c r="P68" s="1111">
        <f t="shared" si="25"/>
        <v>1.1000000000000001</v>
      </c>
      <c r="Q68" s="1111">
        <f t="shared" si="25"/>
        <v>1.1000000000000001</v>
      </c>
      <c r="R68" s="1111">
        <f t="shared" si="25"/>
        <v>1.1000000000000001</v>
      </c>
      <c r="S68" s="1007"/>
      <c r="T68" s="1108" t="str">
        <f>+ConvFactors!D34</f>
        <v>coal</v>
      </c>
      <c r="U68" s="1006"/>
      <c r="V68" s="1006" t="s">
        <v>18</v>
      </c>
      <c r="W68" s="1006"/>
      <c r="X68" s="1008"/>
    </row>
    <row r="69" spans="1:24" ht="15" customHeight="1" x14ac:dyDescent="0.2">
      <c r="A69" s="1039" t="str">
        <f>+ConvFactors!B35</f>
        <v>wood</v>
      </c>
      <c r="B69" s="1005"/>
      <c r="C69" s="1005"/>
      <c r="D69" s="1012" t="s">
        <v>9</v>
      </c>
      <c r="E69" s="1107"/>
      <c r="F69" s="1107"/>
      <c r="G69" s="1110">
        <f>+ConvFactors!F35</f>
        <v>0.2</v>
      </c>
      <c r="H69" s="1111">
        <f t="shared" ref="H69:R69" si="26">+G69</f>
        <v>0.2</v>
      </c>
      <c r="I69" s="1111">
        <f t="shared" si="26"/>
        <v>0.2</v>
      </c>
      <c r="J69" s="1111">
        <f t="shared" si="26"/>
        <v>0.2</v>
      </c>
      <c r="K69" s="1111">
        <f t="shared" si="26"/>
        <v>0.2</v>
      </c>
      <c r="L69" s="1111">
        <f t="shared" si="26"/>
        <v>0.2</v>
      </c>
      <c r="M69" s="1111">
        <f t="shared" si="26"/>
        <v>0.2</v>
      </c>
      <c r="N69" s="1111">
        <f t="shared" si="26"/>
        <v>0.2</v>
      </c>
      <c r="O69" s="1111">
        <f t="shared" si="26"/>
        <v>0.2</v>
      </c>
      <c r="P69" s="1111">
        <f t="shared" si="26"/>
        <v>0.2</v>
      </c>
      <c r="Q69" s="1111">
        <f t="shared" si="26"/>
        <v>0.2</v>
      </c>
      <c r="R69" s="1111">
        <f t="shared" si="26"/>
        <v>0.2</v>
      </c>
      <c r="S69" s="1007"/>
      <c r="T69" s="1108" t="str">
        <f>+ConvFactors!D35</f>
        <v>wood</v>
      </c>
      <c r="U69" s="1006"/>
      <c r="V69" s="1006" t="s">
        <v>18</v>
      </c>
      <c r="W69" s="1006"/>
      <c r="X69" s="1008"/>
    </row>
    <row r="70" spans="1:24" ht="15" customHeight="1" x14ac:dyDescent="0.2">
      <c r="A70" s="1039" t="str">
        <f>+ConvFactors!B36</f>
        <v>biomass</v>
      </c>
      <c r="B70" s="1005"/>
      <c r="C70" s="1005"/>
      <c r="D70" s="1012" t="s">
        <v>9</v>
      </c>
      <c r="E70" s="1107"/>
      <c r="F70" s="1107"/>
      <c r="G70" s="1110">
        <f>+ConvFactors!F36</f>
        <v>0.2</v>
      </c>
      <c r="H70" s="1111">
        <f t="shared" ref="H70:R70" si="27">+G70</f>
        <v>0.2</v>
      </c>
      <c r="I70" s="1111">
        <f t="shared" si="27"/>
        <v>0.2</v>
      </c>
      <c r="J70" s="1111">
        <f t="shared" si="27"/>
        <v>0.2</v>
      </c>
      <c r="K70" s="1111">
        <f t="shared" si="27"/>
        <v>0.2</v>
      </c>
      <c r="L70" s="1111">
        <f t="shared" si="27"/>
        <v>0.2</v>
      </c>
      <c r="M70" s="1111">
        <f t="shared" si="27"/>
        <v>0.2</v>
      </c>
      <c r="N70" s="1111">
        <f t="shared" si="27"/>
        <v>0.2</v>
      </c>
      <c r="O70" s="1111">
        <f t="shared" si="27"/>
        <v>0.2</v>
      </c>
      <c r="P70" s="1111">
        <f t="shared" si="27"/>
        <v>0.2</v>
      </c>
      <c r="Q70" s="1111">
        <f t="shared" si="27"/>
        <v>0.2</v>
      </c>
      <c r="R70" s="1111">
        <f t="shared" si="27"/>
        <v>0.2</v>
      </c>
      <c r="S70" s="1007"/>
      <c r="T70" s="1108" t="str">
        <f>+ConvFactors!D36</f>
        <v>biomass</v>
      </c>
      <c r="U70" s="1006"/>
      <c r="V70" s="1006" t="s">
        <v>18</v>
      </c>
      <c r="W70" s="1006"/>
      <c r="X70" s="1008"/>
    </row>
    <row r="71" spans="1:24" ht="15" customHeight="1" x14ac:dyDescent="0.2">
      <c r="A71" s="1039" t="str">
        <f>+ConvFactors!B37</f>
        <v>custom</v>
      </c>
      <c r="B71" s="1005"/>
      <c r="C71" s="1005"/>
      <c r="D71" s="1012" t="s">
        <v>9</v>
      </c>
      <c r="E71" s="1107"/>
      <c r="F71" s="1107"/>
      <c r="G71" s="1110">
        <f>+ConvFactors!F37</f>
        <v>1</v>
      </c>
      <c r="H71" s="1111">
        <f t="shared" ref="H71:R71" si="28">+G71</f>
        <v>1</v>
      </c>
      <c r="I71" s="1111">
        <f t="shared" si="28"/>
        <v>1</v>
      </c>
      <c r="J71" s="1111">
        <f t="shared" si="28"/>
        <v>1</v>
      </c>
      <c r="K71" s="1111">
        <f t="shared" si="28"/>
        <v>1</v>
      </c>
      <c r="L71" s="1111">
        <f t="shared" si="28"/>
        <v>1</v>
      </c>
      <c r="M71" s="1111">
        <f t="shared" si="28"/>
        <v>1</v>
      </c>
      <c r="N71" s="1111">
        <f t="shared" si="28"/>
        <v>1</v>
      </c>
      <c r="O71" s="1111">
        <f t="shared" si="28"/>
        <v>1</v>
      </c>
      <c r="P71" s="1111">
        <f t="shared" si="28"/>
        <v>1</v>
      </c>
      <c r="Q71" s="1111">
        <f t="shared" si="28"/>
        <v>1</v>
      </c>
      <c r="R71" s="1111">
        <f t="shared" si="28"/>
        <v>1</v>
      </c>
      <c r="S71" s="1007"/>
      <c r="T71" s="1108" t="str">
        <f>+ConvFactors!D37</f>
        <v>custom</v>
      </c>
      <c r="U71" s="1006"/>
      <c r="V71" s="1006" t="s">
        <v>18</v>
      </c>
      <c r="W71" s="1006"/>
      <c r="X71" s="1008"/>
    </row>
    <row r="72" spans="1:24" ht="15" customHeight="1" x14ac:dyDescent="0.2">
      <c r="A72" s="1039" t="str">
        <f>+ConvFactors!B38</f>
        <v>District heating</v>
      </c>
      <c r="B72" s="1005"/>
      <c r="C72" s="1005"/>
      <c r="D72" s="1012" t="s">
        <v>9</v>
      </c>
      <c r="E72" s="1107"/>
      <c r="F72" s="1107"/>
      <c r="G72" s="1110">
        <f>+ConvFactors!F38</f>
        <v>1.3</v>
      </c>
      <c r="H72" s="1111">
        <f t="shared" ref="H72:R72" si="29">+G72</f>
        <v>1.3</v>
      </c>
      <c r="I72" s="1111">
        <f t="shared" si="29"/>
        <v>1.3</v>
      </c>
      <c r="J72" s="1111">
        <f t="shared" si="29"/>
        <v>1.3</v>
      </c>
      <c r="K72" s="1111">
        <f t="shared" si="29"/>
        <v>1.3</v>
      </c>
      <c r="L72" s="1111">
        <f t="shared" si="29"/>
        <v>1.3</v>
      </c>
      <c r="M72" s="1111">
        <f t="shared" si="29"/>
        <v>1.3</v>
      </c>
      <c r="N72" s="1111">
        <f t="shared" si="29"/>
        <v>1.3</v>
      </c>
      <c r="O72" s="1111">
        <f t="shared" si="29"/>
        <v>1.3</v>
      </c>
      <c r="P72" s="1111">
        <f t="shared" si="29"/>
        <v>1.3</v>
      </c>
      <c r="Q72" s="1111">
        <f t="shared" si="29"/>
        <v>1.3</v>
      </c>
      <c r="R72" s="1111">
        <f t="shared" si="29"/>
        <v>1.3</v>
      </c>
      <c r="S72" s="1007"/>
      <c r="T72" s="1108" t="str">
        <f>+ConvFactors!D38</f>
        <v>dh</v>
      </c>
      <c r="U72" s="1006"/>
      <c r="V72" s="1006" t="s">
        <v>18</v>
      </c>
      <c r="W72" s="1006"/>
      <c r="X72" s="1008"/>
    </row>
    <row r="73" spans="1:24" ht="15" customHeight="1" x14ac:dyDescent="0.2">
      <c r="A73" s="1039" t="str">
        <f>+ConvFactors!B39</f>
        <v>District cooling</v>
      </c>
      <c r="B73" s="1005"/>
      <c r="C73" s="1005"/>
      <c r="D73" s="1012" t="s">
        <v>9</v>
      </c>
      <c r="E73" s="1107"/>
      <c r="F73" s="1107"/>
      <c r="G73" s="1110">
        <f>+ConvFactors!F39</f>
        <v>1.3</v>
      </c>
      <c r="H73" s="1111">
        <f t="shared" ref="H73:R73" si="30">+G73</f>
        <v>1.3</v>
      </c>
      <c r="I73" s="1111">
        <f t="shared" si="30"/>
        <v>1.3</v>
      </c>
      <c r="J73" s="1111">
        <f t="shared" si="30"/>
        <v>1.3</v>
      </c>
      <c r="K73" s="1111">
        <f t="shared" si="30"/>
        <v>1.3</v>
      </c>
      <c r="L73" s="1111">
        <f t="shared" si="30"/>
        <v>1.3</v>
      </c>
      <c r="M73" s="1111">
        <f t="shared" si="30"/>
        <v>1.3</v>
      </c>
      <c r="N73" s="1111">
        <f t="shared" si="30"/>
        <v>1.3</v>
      </c>
      <c r="O73" s="1111">
        <f t="shared" si="30"/>
        <v>1.3</v>
      </c>
      <c r="P73" s="1111">
        <f t="shared" si="30"/>
        <v>1.3</v>
      </c>
      <c r="Q73" s="1111">
        <f t="shared" si="30"/>
        <v>1.3</v>
      </c>
      <c r="R73" s="1111">
        <f t="shared" si="30"/>
        <v>1.3</v>
      </c>
      <c r="S73" s="1007"/>
      <c r="T73" s="1108" t="str">
        <f>+ConvFactors!D39</f>
        <v>dc</v>
      </c>
      <c r="U73" s="1006"/>
      <c r="V73" s="1006" t="s">
        <v>18</v>
      </c>
      <c r="W73" s="1006"/>
      <c r="X73" s="1008"/>
    </row>
    <row r="74" spans="1:24" ht="15" customHeight="1" x14ac:dyDescent="0.2">
      <c r="A74" s="1039" t="str">
        <f>+ConvFactors!B41</f>
        <v>Thermal solar</v>
      </c>
      <c r="B74" s="1005"/>
      <c r="C74" s="1005"/>
      <c r="D74" s="1012" t="s">
        <v>9</v>
      </c>
      <c r="E74" s="1107"/>
      <c r="F74" s="1107"/>
      <c r="G74" s="1110">
        <f>+ConvFactors!F41</f>
        <v>0</v>
      </c>
      <c r="H74" s="1111">
        <f t="shared" ref="H74:R74" si="31">+G74</f>
        <v>0</v>
      </c>
      <c r="I74" s="1111">
        <f t="shared" si="31"/>
        <v>0</v>
      </c>
      <c r="J74" s="1111">
        <f t="shared" si="31"/>
        <v>0</v>
      </c>
      <c r="K74" s="1111">
        <f t="shared" si="31"/>
        <v>0</v>
      </c>
      <c r="L74" s="1111">
        <f t="shared" si="31"/>
        <v>0</v>
      </c>
      <c r="M74" s="1111">
        <f t="shared" si="31"/>
        <v>0</v>
      </c>
      <c r="N74" s="1111">
        <f t="shared" si="31"/>
        <v>0</v>
      </c>
      <c r="O74" s="1111">
        <f t="shared" si="31"/>
        <v>0</v>
      </c>
      <c r="P74" s="1111">
        <f t="shared" si="31"/>
        <v>0</v>
      </c>
      <c r="Q74" s="1111">
        <f t="shared" si="31"/>
        <v>0</v>
      </c>
      <c r="R74" s="1111">
        <f t="shared" si="31"/>
        <v>0</v>
      </c>
      <c r="S74" s="1007"/>
      <c r="T74" s="1108" t="str">
        <f>+ConvFactors!D41</f>
        <v>sol</v>
      </c>
      <c r="U74" s="1006"/>
      <c r="V74" s="1006" t="s">
        <v>18</v>
      </c>
      <c r="W74" s="1006"/>
      <c r="X74" s="1008"/>
    </row>
    <row r="75" spans="1:24" ht="15" customHeight="1" x14ac:dyDescent="0.2">
      <c r="A75" s="1039" t="str">
        <f>+ConvFactors!B42</f>
        <v>Photovoltaic</v>
      </c>
      <c r="B75" s="1005"/>
      <c r="C75" s="1005"/>
      <c r="D75" s="1012" t="s">
        <v>9</v>
      </c>
      <c r="E75" s="1107"/>
      <c r="F75" s="1107"/>
      <c r="G75" s="1110">
        <f>+ConvFactors!F42</f>
        <v>0</v>
      </c>
      <c r="H75" s="1111">
        <f t="shared" ref="H75:R75" si="32">+G75</f>
        <v>0</v>
      </c>
      <c r="I75" s="1111">
        <f t="shared" si="32"/>
        <v>0</v>
      </c>
      <c r="J75" s="1111">
        <f t="shared" si="32"/>
        <v>0</v>
      </c>
      <c r="K75" s="1111">
        <f t="shared" si="32"/>
        <v>0</v>
      </c>
      <c r="L75" s="1111">
        <f t="shared" si="32"/>
        <v>0</v>
      </c>
      <c r="M75" s="1111">
        <f t="shared" si="32"/>
        <v>0</v>
      </c>
      <c r="N75" s="1111">
        <f t="shared" si="32"/>
        <v>0</v>
      </c>
      <c r="O75" s="1111">
        <f t="shared" si="32"/>
        <v>0</v>
      </c>
      <c r="P75" s="1111">
        <f t="shared" si="32"/>
        <v>0</v>
      </c>
      <c r="Q75" s="1111">
        <f t="shared" si="32"/>
        <v>0</v>
      </c>
      <c r="R75" s="1111">
        <f t="shared" si="32"/>
        <v>0</v>
      </c>
      <c r="S75" s="1007"/>
      <c r="T75" s="1108" t="str">
        <f>+ConvFactors!D42</f>
        <v>pv</v>
      </c>
      <c r="U75" s="1006"/>
      <c r="V75" s="1006" t="s">
        <v>18</v>
      </c>
      <c r="W75" s="1006"/>
      <c r="X75" s="1008"/>
    </row>
    <row r="76" spans="1:24" ht="15" customHeight="1" x14ac:dyDescent="0.2">
      <c r="A76" s="1039" t="str">
        <f>+ConvFactors!B43</f>
        <v>Environment heat</v>
      </c>
      <c r="B76" s="1005"/>
      <c r="C76" s="1005"/>
      <c r="D76" s="1012" t="s">
        <v>9</v>
      </c>
      <c r="E76" s="1107"/>
      <c r="F76" s="1107"/>
      <c r="G76" s="1110">
        <f>+ConvFactors!F43</f>
        <v>0</v>
      </c>
      <c r="H76" s="1111">
        <f t="shared" ref="H76:R76" si="33">+G76</f>
        <v>0</v>
      </c>
      <c r="I76" s="1111">
        <f t="shared" si="33"/>
        <v>0</v>
      </c>
      <c r="J76" s="1111">
        <f t="shared" si="33"/>
        <v>0</v>
      </c>
      <c r="K76" s="1111">
        <f t="shared" si="33"/>
        <v>0</v>
      </c>
      <c r="L76" s="1111">
        <f t="shared" si="33"/>
        <v>0</v>
      </c>
      <c r="M76" s="1111">
        <f t="shared" si="33"/>
        <v>0</v>
      </c>
      <c r="N76" s="1111">
        <f t="shared" si="33"/>
        <v>0</v>
      </c>
      <c r="O76" s="1111">
        <f t="shared" si="33"/>
        <v>0</v>
      </c>
      <c r="P76" s="1111">
        <f t="shared" si="33"/>
        <v>0</v>
      </c>
      <c r="Q76" s="1111">
        <f t="shared" si="33"/>
        <v>0</v>
      </c>
      <c r="R76" s="1111">
        <f t="shared" si="33"/>
        <v>0</v>
      </c>
      <c r="S76" s="1007"/>
      <c r="T76" s="1108" t="str">
        <f>+ConvFactors!D43</f>
        <v>env</v>
      </c>
      <c r="U76" s="1006"/>
      <c r="V76" s="1006" t="s">
        <v>18</v>
      </c>
      <c r="W76" s="1006"/>
      <c r="X76" s="1008"/>
    </row>
    <row r="77" spans="1:24" ht="15" customHeight="1" x14ac:dyDescent="0.2">
      <c r="A77" s="1039" t="str">
        <f>+ConvFactors!B44</f>
        <v>Grid delivered electricity</v>
      </c>
      <c r="B77" s="1005"/>
      <c r="C77" s="1005"/>
      <c r="D77" s="1012" t="s">
        <v>9</v>
      </c>
      <c r="E77" s="1107"/>
      <c r="F77" s="1107"/>
      <c r="G77" s="1110">
        <f>+ConvFactors!F44</f>
        <v>2.2999999999999998</v>
      </c>
      <c r="H77" s="1111">
        <f t="shared" ref="H77:R77" si="34">+G77</f>
        <v>2.2999999999999998</v>
      </c>
      <c r="I77" s="1111">
        <f t="shared" si="34"/>
        <v>2.2999999999999998</v>
      </c>
      <c r="J77" s="1111">
        <f t="shared" si="34"/>
        <v>2.2999999999999998</v>
      </c>
      <c r="K77" s="1111">
        <f t="shared" si="34"/>
        <v>2.2999999999999998</v>
      </c>
      <c r="L77" s="1111">
        <f t="shared" si="34"/>
        <v>2.2999999999999998</v>
      </c>
      <c r="M77" s="1111">
        <f t="shared" si="34"/>
        <v>2.2999999999999998</v>
      </c>
      <c r="N77" s="1111">
        <f t="shared" si="34"/>
        <v>2.2999999999999998</v>
      </c>
      <c r="O77" s="1111">
        <f t="shared" si="34"/>
        <v>2.2999999999999998</v>
      </c>
      <c r="P77" s="1111">
        <f t="shared" si="34"/>
        <v>2.2999999999999998</v>
      </c>
      <c r="Q77" s="1111">
        <f t="shared" si="34"/>
        <v>2.2999999999999998</v>
      </c>
      <c r="R77" s="1111">
        <f t="shared" si="34"/>
        <v>2.2999999999999998</v>
      </c>
      <c r="S77" s="1007"/>
      <c r="T77" s="1108" t="str">
        <f>+ConvFactors!D44</f>
        <v>el</v>
      </c>
      <c r="U77" s="1006"/>
      <c r="V77" s="1006" t="s">
        <v>18</v>
      </c>
      <c r="W77" s="1006"/>
      <c r="X77" s="1008"/>
    </row>
    <row r="78" spans="1:24" ht="15" customHeight="1" x14ac:dyDescent="0.2">
      <c r="A78" s="1039" t="str">
        <f>+ConvFactors!B45</f>
        <v xml:space="preserve">Grid exported electricity </v>
      </c>
      <c r="B78" s="1005"/>
      <c r="C78" s="1005"/>
      <c r="D78" s="1012" t="s">
        <v>9</v>
      </c>
      <c r="E78" s="1107"/>
      <c r="F78" s="1107"/>
      <c r="G78" s="1110">
        <f>+ConvFactors!F45</f>
        <v>2.2999999999999998</v>
      </c>
      <c r="H78" s="1111">
        <f t="shared" ref="H78:R78" si="35">+G78</f>
        <v>2.2999999999999998</v>
      </c>
      <c r="I78" s="1111">
        <f t="shared" si="35"/>
        <v>2.2999999999999998</v>
      </c>
      <c r="J78" s="1111">
        <f t="shared" si="35"/>
        <v>2.2999999999999998</v>
      </c>
      <c r="K78" s="1111">
        <f t="shared" si="35"/>
        <v>2.2999999999999998</v>
      </c>
      <c r="L78" s="1111">
        <f t="shared" si="35"/>
        <v>2.2999999999999998</v>
      </c>
      <c r="M78" s="1111">
        <f t="shared" si="35"/>
        <v>2.2999999999999998</v>
      </c>
      <c r="N78" s="1111">
        <f t="shared" si="35"/>
        <v>2.2999999999999998</v>
      </c>
      <c r="O78" s="1111">
        <f t="shared" si="35"/>
        <v>2.2999999999999998</v>
      </c>
      <c r="P78" s="1111">
        <f t="shared" si="35"/>
        <v>2.2999999999999998</v>
      </c>
      <c r="Q78" s="1111">
        <f t="shared" si="35"/>
        <v>2.2999999999999998</v>
      </c>
      <c r="R78" s="1111">
        <f t="shared" si="35"/>
        <v>2.2999999999999998</v>
      </c>
      <c r="S78" s="1007"/>
      <c r="T78" s="1108" t="str">
        <f>+ConvFactors!D45</f>
        <v>el_exp</v>
      </c>
      <c r="U78" s="1006"/>
      <c r="V78" s="1006" t="s">
        <v>18</v>
      </c>
      <c r="W78" s="1006"/>
      <c r="X78" s="1008"/>
    </row>
    <row r="79" spans="1:24" ht="15" customHeight="1" x14ac:dyDescent="0.2">
      <c r="A79" s="1039" t="str">
        <f>+ConvFactors!B46</f>
        <v>Temp. exported electricity</v>
      </c>
      <c r="B79" s="1005"/>
      <c r="C79" s="1005"/>
      <c r="D79" s="1012" t="s">
        <v>9</v>
      </c>
      <c r="E79" s="1107"/>
      <c r="F79" s="1107"/>
      <c r="G79" s="1110">
        <f>+ConvFactors!F46</f>
        <v>2.2999999999999998</v>
      </c>
      <c r="H79" s="1111">
        <f t="shared" ref="H79:R79" si="36">+G79</f>
        <v>2.2999999999999998</v>
      </c>
      <c r="I79" s="1111">
        <f t="shared" si="36"/>
        <v>2.2999999999999998</v>
      </c>
      <c r="J79" s="1111">
        <f t="shared" si="36"/>
        <v>2.2999999999999998</v>
      </c>
      <c r="K79" s="1111">
        <f t="shared" si="36"/>
        <v>2.2999999999999998</v>
      </c>
      <c r="L79" s="1111">
        <f t="shared" si="36"/>
        <v>2.2999999999999998</v>
      </c>
      <c r="M79" s="1111">
        <f t="shared" si="36"/>
        <v>2.2999999999999998</v>
      </c>
      <c r="N79" s="1111">
        <f t="shared" si="36"/>
        <v>2.2999999999999998</v>
      </c>
      <c r="O79" s="1111">
        <f t="shared" si="36"/>
        <v>2.2999999999999998</v>
      </c>
      <c r="P79" s="1111">
        <f t="shared" si="36"/>
        <v>2.2999999999999998</v>
      </c>
      <c r="Q79" s="1111">
        <f t="shared" si="36"/>
        <v>2.2999999999999998</v>
      </c>
      <c r="R79" s="1111">
        <f t="shared" si="36"/>
        <v>2.2999999999999998</v>
      </c>
      <c r="S79" s="1007"/>
      <c r="T79" s="1108" t="str">
        <f>+ConvFactors!D46</f>
        <v>el_tmp</v>
      </c>
      <c r="U79" s="1006"/>
      <c r="V79" s="1006" t="s">
        <v>18</v>
      </c>
      <c r="W79" s="1006"/>
      <c r="X79" s="1008"/>
    </row>
    <row r="80" spans="1:24" ht="15" customHeight="1" x14ac:dyDescent="0.2">
      <c r="A80" s="1039" t="str">
        <f>+ConvFactors!B47</f>
        <v>Exp to non EPB uses</v>
      </c>
      <c r="B80" s="1005"/>
      <c r="C80" s="1005"/>
      <c r="D80" s="1012" t="s">
        <v>9</v>
      </c>
      <c r="E80" s="1107"/>
      <c r="F80" s="1107"/>
      <c r="G80" s="1110">
        <f>+ConvFactors!F47</f>
        <v>2.2999999999999998</v>
      </c>
      <c r="H80" s="1111">
        <f t="shared" ref="H80:R80" si="37">+G80</f>
        <v>2.2999999999999998</v>
      </c>
      <c r="I80" s="1111">
        <f t="shared" si="37"/>
        <v>2.2999999999999998</v>
      </c>
      <c r="J80" s="1111">
        <f t="shared" si="37"/>
        <v>2.2999999999999998</v>
      </c>
      <c r="K80" s="1111">
        <f t="shared" si="37"/>
        <v>2.2999999999999998</v>
      </c>
      <c r="L80" s="1111">
        <f t="shared" si="37"/>
        <v>2.2999999999999998</v>
      </c>
      <c r="M80" s="1111">
        <f t="shared" si="37"/>
        <v>2.2999999999999998</v>
      </c>
      <c r="N80" s="1111">
        <f t="shared" si="37"/>
        <v>2.2999999999999998</v>
      </c>
      <c r="O80" s="1111">
        <f t="shared" si="37"/>
        <v>2.2999999999999998</v>
      </c>
      <c r="P80" s="1111">
        <f t="shared" si="37"/>
        <v>2.2999999999999998</v>
      </c>
      <c r="Q80" s="1111">
        <f t="shared" si="37"/>
        <v>2.2999999999999998</v>
      </c>
      <c r="R80" s="1111">
        <f t="shared" si="37"/>
        <v>2.2999999999999998</v>
      </c>
      <c r="S80" s="1007"/>
      <c r="T80" s="1108" t="str">
        <f>+ConvFactors!D47</f>
        <v>el_nep</v>
      </c>
      <c r="U80" s="1006"/>
      <c r="V80" s="1006" t="s">
        <v>18</v>
      </c>
      <c r="W80" s="1006"/>
      <c r="X80" s="1008"/>
    </row>
    <row r="81" spans="1:24" ht="15" customHeight="1" x14ac:dyDescent="0.2">
      <c r="A81" s="1109" t="s">
        <v>1234</v>
      </c>
      <c r="B81" s="1005"/>
      <c r="C81" s="1005"/>
      <c r="D81" s="1006"/>
      <c r="E81" s="1107"/>
      <c r="F81" s="1107"/>
      <c r="G81" s="1108"/>
      <c r="H81" s="1108"/>
      <c r="I81" s="1108"/>
      <c r="J81" s="1108"/>
      <c r="K81" s="1108"/>
      <c r="L81" s="1108"/>
      <c r="M81" s="1108"/>
      <c r="N81" s="1108"/>
      <c r="O81" s="1108"/>
      <c r="P81" s="1108"/>
      <c r="Q81" s="1108"/>
      <c r="R81" s="1108"/>
      <c r="S81" s="1007"/>
      <c r="T81" s="1108"/>
      <c r="U81" s="1006"/>
      <c r="V81" s="1006"/>
      <c r="W81" s="1006"/>
      <c r="X81" s="1008"/>
    </row>
    <row r="82" spans="1:24" ht="15" customHeight="1" x14ac:dyDescent="0.2">
      <c r="A82" s="1039" t="str">
        <f>+A66</f>
        <v>gas</v>
      </c>
      <c r="B82" s="1005"/>
      <c r="C82" s="1005"/>
      <c r="D82" s="1012" t="s">
        <v>9</v>
      </c>
      <c r="E82" s="1107"/>
      <c r="F82" s="1107"/>
      <c r="G82" s="1110">
        <f>+ConvFactors!F51</f>
        <v>0</v>
      </c>
      <c r="H82" s="1111">
        <f t="shared" ref="H82:R82" si="38">+G82</f>
        <v>0</v>
      </c>
      <c r="I82" s="1111">
        <f t="shared" si="38"/>
        <v>0</v>
      </c>
      <c r="J82" s="1111">
        <f t="shared" si="38"/>
        <v>0</v>
      </c>
      <c r="K82" s="1111">
        <f t="shared" si="38"/>
        <v>0</v>
      </c>
      <c r="L82" s="1111">
        <f t="shared" si="38"/>
        <v>0</v>
      </c>
      <c r="M82" s="1111">
        <f t="shared" si="38"/>
        <v>0</v>
      </c>
      <c r="N82" s="1111">
        <f t="shared" si="38"/>
        <v>0</v>
      </c>
      <c r="O82" s="1111">
        <f t="shared" si="38"/>
        <v>0</v>
      </c>
      <c r="P82" s="1111">
        <f t="shared" si="38"/>
        <v>0</v>
      </c>
      <c r="Q82" s="1111">
        <f t="shared" si="38"/>
        <v>0</v>
      </c>
      <c r="R82" s="1111">
        <f t="shared" si="38"/>
        <v>0</v>
      </c>
      <c r="S82" s="1007"/>
      <c r="T82" s="1111" t="str">
        <f>+T66</f>
        <v>gas</v>
      </c>
      <c r="U82" s="1006"/>
      <c r="V82" s="1006" t="s">
        <v>18</v>
      </c>
      <c r="W82" s="1006"/>
      <c r="X82" s="1008"/>
    </row>
    <row r="83" spans="1:24" ht="15" customHeight="1" x14ac:dyDescent="0.2">
      <c r="A83" s="1039" t="str">
        <f t="shared" ref="A83:A96" si="39">+A67</f>
        <v>oil</v>
      </c>
      <c r="B83" s="1005"/>
      <c r="C83" s="1005"/>
      <c r="D83" s="1012" t="s">
        <v>9</v>
      </c>
      <c r="E83" s="1107"/>
      <c r="F83" s="1107"/>
      <c r="G83" s="1110">
        <f>+ConvFactors!F52</f>
        <v>0</v>
      </c>
      <c r="H83" s="1111">
        <f t="shared" ref="H83:R83" si="40">+G83</f>
        <v>0</v>
      </c>
      <c r="I83" s="1111">
        <f t="shared" si="40"/>
        <v>0</v>
      </c>
      <c r="J83" s="1111">
        <f t="shared" si="40"/>
        <v>0</v>
      </c>
      <c r="K83" s="1111">
        <f t="shared" si="40"/>
        <v>0</v>
      </c>
      <c r="L83" s="1111">
        <f t="shared" si="40"/>
        <v>0</v>
      </c>
      <c r="M83" s="1111">
        <f t="shared" si="40"/>
        <v>0</v>
      </c>
      <c r="N83" s="1111">
        <f t="shared" si="40"/>
        <v>0</v>
      </c>
      <c r="O83" s="1111">
        <f t="shared" si="40"/>
        <v>0</v>
      </c>
      <c r="P83" s="1111">
        <f t="shared" si="40"/>
        <v>0</v>
      </c>
      <c r="Q83" s="1111">
        <f t="shared" si="40"/>
        <v>0</v>
      </c>
      <c r="R83" s="1111">
        <f t="shared" si="40"/>
        <v>0</v>
      </c>
      <c r="S83" s="1007"/>
      <c r="T83" s="1111" t="str">
        <f t="shared" ref="T83:T96" si="41">+T67</f>
        <v>oil</v>
      </c>
      <c r="U83" s="1006"/>
      <c r="V83" s="1006" t="s">
        <v>18</v>
      </c>
      <c r="W83" s="1006"/>
      <c r="X83" s="1008"/>
    </row>
    <row r="84" spans="1:24" ht="15" customHeight="1" x14ac:dyDescent="0.2">
      <c r="A84" s="1039" t="str">
        <f t="shared" si="39"/>
        <v>coal</v>
      </c>
      <c r="B84" s="1005"/>
      <c r="C84" s="1005"/>
      <c r="D84" s="1012" t="s">
        <v>9</v>
      </c>
      <c r="E84" s="1107"/>
      <c r="F84" s="1107"/>
      <c r="G84" s="1110">
        <f>+ConvFactors!F53</f>
        <v>0</v>
      </c>
      <c r="H84" s="1111">
        <f t="shared" ref="H84:R84" si="42">+G84</f>
        <v>0</v>
      </c>
      <c r="I84" s="1111">
        <f t="shared" si="42"/>
        <v>0</v>
      </c>
      <c r="J84" s="1111">
        <f t="shared" si="42"/>
        <v>0</v>
      </c>
      <c r="K84" s="1111">
        <f t="shared" si="42"/>
        <v>0</v>
      </c>
      <c r="L84" s="1111">
        <f t="shared" si="42"/>
        <v>0</v>
      </c>
      <c r="M84" s="1111">
        <f t="shared" si="42"/>
        <v>0</v>
      </c>
      <c r="N84" s="1111">
        <f t="shared" si="42"/>
        <v>0</v>
      </c>
      <c r="O84" s="1111">
        <f t="shared" si="42"/>
        <v>0</v>
      </c>
      <c r="P84" s="1111">
        <f t="shared" si="42"/>
        <v>0</v>
      </c>
      <c r="Q84" s="1111">
        <f t="shared" si="42"/>
        <v>0</v>
      </c>
      <c r="R84" s="1111">
        <f t="shared" si="42"/>
        <v>0</v>
      </c>
      <c r="S84" s="1007"/>
      <c r="T84" s="1111" t="str">
        <f t="shared" si="41"/>
        <v>coal</v>
      </c>
      <c r="U84" s="1006"/>
      <c r="V84" s="1006" t="s">
        <v>18</v>
      </c>
      <c r="W84" s="1006"/>
      <c r="X84" s="1008"/>
    </row>
    <row r="85" spans="1:24" ht="15" customHeight="1" x14ac:dyDescent="0.2">
      <c r="A85" s="1039" t="str">
        <f t="shared" si="39"/>
        <v>wood</v>
      </c>
      <c r="B85" s="1005"/>
      <c r="C85" s="1005"/>
      <c r="D85" s="1012" t="s">
        <v>9</v>
      </c>
      <c r="E85" s="1107"/>
      <c r="F85" s="1107"/>
      <c r="G85" s="1110">
        <f>+ConvFactors!F54</f>
        <v>1</v>
      </c>
      <c r="H85" s="1111">
        <f t="shared" ref="H85:R85" si="43">+G85</f>
        <v>1</v>
      </c>
      <c r="I85" s="1111">
        <f t="shared" si="43"/>
        <v>1</v>
      </c>
      <c r="J85" s="1111">
        <f t="shared" si="43"/>
        <v>1</v>
      </c>
      <c r="K85" s="1111">
        <f t="shared" si="43"/>
        <v>1</v>
      </c>
      <c r="L85" s="1111">
        <f t="shared" si="43"/>
        <v>1</v>
      </c>
      <c r="M85" s="1111">
        <f t="shared" si="43"/>
        <v>1</v>
      </c>
      <c r="N85" s="1111">
        <f t="shared" si="43"/>
        <v>1</v>
      </c>
      <c r="O85" s="1111">
        <f t="shared" si="43"/>
        <v>1</v>
      </c>
      <c r="P85" s="1111">
        <f t="shared" si="43"/>
        <v>1</v>
      </c>
      <c r="Q85" s="1111">
        <f t="shared" si="43"/>
        <v>1</v>
      </c>
      <c r="R85" s="1111">
        <f t="shared" si="43"/>
        <v>1</v>
      </c>
      <c r="S85" s="1007"/>
      <c r="T85" s="1111" t="str">
        <f t="shared" si="41"/>
        <v>wood</v>
      </c>
      <c r="U85" s="1006"/>
      <c r="V85" s="1006" t="s">
        <v>18</v>
      </c>
      <c r="W85" s="1006"/>
      <c r="X85" s="1008"/>
    </row>
    <row r="86" spans="1:24" ht="15" customHeight="1" x14ac:dyDescent="0.2">
      <c r="A86" s="1039" t="str">
        <f t="shared" si="39"/>
        <v>biomass</v>
      </c>
      <c r="B86" s="1005"/>
      <c r="C86" s="1005"/>
      <c r="D86" s="1012" t="s">
        <v>9</v>
      </c>
      <c r="E86" s="1107"/>
      <c r="F86" s="1107"/>
      <c r="G86" s="1110">
        <f>+ConvFactors!F55</f>
        <v>1</v>
      </c>
      <c r="H86" s="1111">
        <f t="shared" ref="H86:R86" si="44">+G86</f>
        <v>1</v>
      </c>
      <c r="I86" s="1111">
        <f t="shared" si="44"/>
        <v>1</v>
      </c>
      <c r="J86" s="1111">
        <f t="shared" si="44"/>
        <v>1</v>
      </c>
      <c r="K86" s="1111">
        <f t="shared" si="44"/>
        <v>1</v>
      </c>
      <c r="L86" s="1111">
        <f t="shared" si="44"/>
        <v>1</v>
      </c>
      <c r="M86" s="1111">
        <f t="shared" si="44"/>
        <v>1</v>
      </c>
      <c r="N86" s="1111">
        <f t="shared" si="44"/>
        <v>1</v>
      </c>
      <c r="O86" s="1111">
        <f t="shared" si="44"/>
        <v>1</v>
      </c>
      <c r="P86" s="1111">
        <f t="shared" si="44"/>
        <v>1</v>
      </c>
      <c r="Q86" s="1111">
        <f t="shared" si="44"/>
        <v>1</v>
      </c>
      <c r="R86" s="1111">
        <f t="shared" si="44"/>
        <v>1</v>
      </c>
      <c r="S86" s="1007"/>
      <c r="T86" s="1111" t="str">
        <f t="shared" si="41"/>
        <v>biomass</v>
      </c>
      <c r="U86" s="1006"/>
      <c r="V86" s="1006" t="s">
        <v>18</v>
      </c>
      <c r="W86" s="1006"/>
      <c r="X86" s="1008"/>
    </row>
    <row r="87" spans="1:24" ht="15" customHeight="1" x14ac:dyDescent="0.2">
      <c r="A87" s="1039" t="str">
        <f t="shared" si="39"/>
        <v>custom</v>
      </c>
      <c r="B87" s="1005"/>
      <c r="C87" s="1005"/>
      <c r="D87" s="1012" t="s">
        <v>9</v>
      </c>
      <c r="E87" s="1107"/>
      <c r="F87" s="1107"/>
      <c r="G87" s="1110">
        <f>+ConvFactors!F56</f>
        <v>0</v>
      </c>
      <c r="H87" s="1111">
        <f t="shared" ref="H87:R87" si="45">+G87</f>
        <v>0</v>
      </c>
      <c r="I87" s="1111">
        <f t="shared" si="45"/>
        <v>0</v>
      </c>
      <c r="J87" s="1111">
        <f t="shared" si="45"/>
        <v>0</v>
      </c>
      <c r="K87" s="1111">
        <f t="shared" si="45"/>
        <v>0</v>
      </c>
      <c r="L87" s="1111">
        <f t="shared" si="45"/>
        <v>0</v>
      </c>
      <c r="M87" s="1111">
        <f t="shared" si="45"/>
        <v>0</v>
      </c>
      <c r="N87" s="1111">
        <f t="shared" si="45"/>
        <v>0</v>
      </c>
      <c r="O87" s="1111">
        <f t="shared" si="45"/>
        <v>0</v>
      </c>
      <c r="P87" s="1111">
        <f t="shared" si="45"/>
        <v>0</v>
      </c>
      <c r="Q87" s="1111">
        <f t="shared" si="45"/>
        <v>0</v>
      </c>
      <c r="R87" s="1111">
        <f t="shared" si="45"/>
        <v>0</v>
      </c>
      <c r="S87" s="1007"/>
      <c r="T87" s="1111" t="str">
        <f t="shared" si="41"/>
        <v>custom</v>
      </c>
      <c r="U87" s="1006"/>
      <c r="V87" s="1006" t="s">
        <v>18</v>
      </c>
      <c r="W87" s="1006"/>
      <c r="X87" s="1008"/>
    </row>
    <row r="88" spans="1:24" ht="15" customHeight="1" x14ac:dyDescent="0.2">
      <c r="A88" s="1039" t="str">
        <f t="shared" si="39"/>
        <v>District heating</v>
      </c>
      <c r="B88" s="1005"/>
      <c r="C88" s="1005"/>
      <c r="D88" s="1012" t="s">
        <v>9</v>
      </c>
      <c r="E88" s="1107"/>
      <c r="F88" s="1107"/>
      <c r="G88" s="1110">
        <f>+ConvFactors!F57</f>
        <v>0</v>
      </c>
      <c r="H88" s="1111">
        <f t="shared" ref="H88:R88" si="46">+G88</f>
        <v>0</v>
      </c>
      <c r="I88" s="1111">
        <f t="shared" si="46"/>
        <v>0</v>
      </c>
      <c r="J88" s="1111">
        <f t="shared" si="46"/>
        <v>0</v>
      </c>
      <c r="K88" s="1111">
        <f t="shared" si="46"/>
        <v>0</v>
      </c>
      <c r="L88" s="1111">
        <f t="shared" si="46"/>
        <v>0</v>
      </c>
      <c r="M88" s="1111">
        <f t="shared" si="46"/>
        <v>0</v>
      </c>
      <c r="N88" s="1111">
        <f t="shared" si="46"/>
        <v>0</v>
      </c>
      <c r="O88" s="1111">
        <f t="shared" si="46"/>
        <v>0</v>
      </c>
      <c r="P88" s="1111">
        <f t="shared" si="46"/>
        <v>0</v>
      </c>
      <c r="Q88" s="1111">
        <f t="shared" si="46"/>
        <v>0</v>
      </c>
      <c r="R88" s="1111">
        <f t="shared" si="46"/>
        <v>0</v>
      </c>
      <c r="S88" s="1007"/>
      <c r="T88" s="1111" t="str">
        <f t="shared" si="41"/>
        <v>dh</v>
      </c>
      <c r="U88" s="1006"/>
      <c r="V88" s="1006" t="s">
        <v>18</v>
      </c>
      <c r="W88" s="1006"/>
      <c r="X88" s="1008"/>
    </row>
    <row r="89" spans="1:24" ht="15" customHeight="1" x14ac:dyDescent="0.2">
      <c r="A89" s="1039" t="str">
        <f t="shared" si="39"/>
        <v>District cooling</v>
      </c>
      <c r="B89" s="1005"/>
      <c r="C89" s="1005"/>
      <c r="D89" s="1012" t="s">
        <v>9</v>
      </c>
      <c r="E89" s="1107"/>
      <c r="F89" s="1107"/>
      <c r="G89" s="1110">
        <f>+ConvFactors!F58</f>
        <v>0</v>
      </c>
      <c r="H89" s="1111">
        <f t="shared" ref="H89:R89" si="47">+G89</f>
        <v>0</v>
      </c>
      <c r="I89" s="1111">
        <f t="shared" si="47"/>
        <v>0</v>
      </c>
      <c r="J89" s="1111">
        <f t="shared" si="47"/>
        <v>0</v>
      </c>
      <c r="K89" s="1111">
        <f t="shared" si="47"/>
        <v>0</v>
      </c>
      <c r="L89" s="1111">
        <f t="shared" si="47"/>
        <v>0</v>
      </c>
      <c r="M89" s="1111">
        <f t="shared" si="47"/>
        <v>0</v>
      </c>
      <c r="N89" s="1111">
        <f t="shared" si="47"/>
        <v>0</v>
      </c>
      <c r="O89" s="1111">
        <f t="shared" si="47"/>
        <v>0</v>
      </c>
      <c r="P89" s="1111">
        <f t="shared" si="47"/>
        <v>0</v>
      </c>
      <c r="Q89" s="1111">
        <f t="shared" si="47"/>
        <v>0</v>
      </c>
      <c r="R89" s="1111">
        <f t="shared" si="47"/>
        <v>0</v>
      </c>
      <c r="S89" s="1007"/>
      <c r="T89" s="1111" t="str">
        <f t="shared" si="41"/>
        <v>dc</v>
      </c>
      <c r="U89" s="1006"/>
      <c r="V89" s="1006" t="s">
        <v>18</v>
      </c>
      <c r="W89" s="1006"/>
      <c r="X89" s="1008"/>
    </row>
    <row r="90" spans="1:24" ht="15" customHeight="1" x14ac:dyDescent="0.2">
      <c r="A90" s="1039" t="str">
        <f t="shared" si="39"/>
        <v>Thermal solar</v>
      </c>
      <c r="B90" s="1005"/>
      <c r="C90" s="1005"/>
      <c r="D90" s="1012" t="s">
        <v>9</v>
      </c>
      <c r="E90" s="1107"/>
      <c r="F90" s="1107"/>
      <c r="G90" s="1110">
        <f>+ConvFactors!F60</f>
        <v>1</v>
      </c>
      <c r="H90" s="1111">
        <f t="shared" ref="H90:R90" si="48">+G90</f>
        <v>1</v>
      </c>
      <c r="I90" s="1111">
        <f t="shared" si="48"/>
        <v>1</v>
      </c>
      <c r="J90" s="1111">
        <f t="shared" si="48"/>
        <v>1</v>
      </c>
      <c r="K90" s="1111">
        <f t="shared" si="48"/>
        <v>1</v>
      </c>
      <c r="L90" s="1111">
        <f t="shared" si="48"/>
        <v>1</v>
      </c>
      <c r="M90" s="1111">
        <f t="shared" si="48"/>
        <v>1</v>
      </c>
      <c r="N90" s="1111">
        <f t="shared" si="48"/>
        <v>1</v>
      </c>
      <c r="O90" s="1111">
        <f t="shared" si="48"/>
        <v>1</v>
      </c>
      <c r="P90" s="1111">
        <f t="shared" si="48"/>
        <v>1</v>
      </c>
      <c r="Q90" s="1111">
        <f t="shared" si="48"/>
        <v>1</v>
      </c>
      <c r="R90" s="1111">
        <f t="shared" si="48"/>
        <v>1</v>
      </c>
      <c r="S90" s="1007"/>
      <c r="T90" s="1111" t="str">
        <f t="shared" si="41"/>
        <v>sol</v>
      </c>
      <c r="U90" s="1006"/>
      <c r="V90" s="1006" t="s">
        <v>18</v>
      </c>
      <c r="W90" s="1006"/>
      <c r="X90" s="1008"/>
    </row>
    <row r="91" spans="1:24" ht="15" customHeight="1" x14ac:dyDescent="0.2">
      <c r="A91" s="1039" t="str">
        <f t="shared" si="39"/>
        <v>Photovoltaic</v>
      </c>
      <c r="B91" s="1005"/>
      <c r="C91" s="1005"/>
      <c r="D91" s="1012" t="s">
        <v>9</v>
      </c>
      <c r="E91" s="1107"/>
      <c r="F91" s="1107"/>
      <c r="G91" s="1110">
        <f>+ConvFactors!F61</f>
        <v>1</v>
      </c>
      <c r="H91" s="1111">
        <f t="shared" ref="H91:R91" si="49">+G91</f>
        <v>1</v>
      </c>
      <c r="I91" s="1111">
        <f t="shared" si="49"/>
        <v>1</v>
      </c>
      <c r="J91" s="1111">
        <f t="shared" si="49"/>
        <v>1</v>
      </c>
      <c r="K91" s="1111">
        <f t="shared" si="49"/>
        <v>1</v>
      </c>
      <c r="L91" s="1111">
        <f t="shared" si="49"/>
        <v>1</v>
      </c>
      <c r="M91" s="1111">
        <f t="shared" si="49"/>
        <v>1</v>
      </c>
      <c r="N91" s="1111">
        <f t="shared" si="49"/>
        <v>1</v>
      </c>
      <c r="O91" s="1111">
        <f t="shared" si="49"/>
        <v>1</v>
      </c>
      <c r="P91" s="1111">
        <f t="shared" si="49"/>
        <v>1</v>
      </c>
      <c r="Q91" s="1111">
        <f t="shared" si="49"/>
        <v>1</v>
      </c>
      <c r="R91" s="1111">
        <f t="shared" si="49"/>
        <v>1</v>
      </c>
      <c r="S91" s="1007"/>
      <c r="T91" s="1111" t="str">
        <f t="shared" si="41"/>
        <v>pv</v>
      </c>
      <c r="U91" s="1006"/>
      <c r="V91" s="1006" t="s">
        <v>18</v>
      </c>
      <c r="W91" s="1006"/>
      <c r="X91" s="1008"/>
    </row>
    <row r="92" spans="1:24" ht="15" customHeight="1" x14ac:dyDescent="0.2">
      <c r="A92" s="1039" t="str">
        <f t="shared" si="39"/>
        <v>Environment heat</v>
      </c>
      <c r="B92" s="1008"/>
      <c r="C92" s="1008"/>
      <c r="D92" s="1012" t="s">
        <v>9</v>
      </c>
      <c r="E92" s="1014"/>
      <c r="F92" s="1014"/>
      <c r="G92" s="1110">
        <f>+ConvFactors!F62</f>
        <v>1</v>
      </c>
      <c r="H92" s="1111">
        <f t="shared" ref="H92:R92" si="50">+G92</f>
        <v>1</v>
      </c>
      <c r="I92" s="1111">
        <f t="shared" si="50"/>
        <v>1</v>
      </c>
      <c r="J92" s="1111">
        <f t="shared" si="50"/>
        <v>1</v>
      </c>
      <c r="K92" s="1111">
        <f t="shared" si="50"/>
        <v>1</v>
      </c>
      <c r="L92" s="1111">
        <f t="shared" si="50"/>
        <v>1</v>
      </c>
      <c r="M92" s="1111">
        <f t="shared" si="50"/>
        <v>1</v>
      </c>
      <c r="N92" s="1111">
        <f t="shared" si="50"/>
        <v>1</v>
      </c>
      <c r="O92" s="1111">
        <f t="shared" si="50"/>
        <v>1</v>
      </c>
      <c r="P92" s="1111">
        <f t="shared" si="50"/>
        <v>1</v>
      </c>
      <c r="Q92" s="1111">
        <f t="shared" si="50"/>
        <v>1</v>
      </c>
      <c r="R92" s="1111">
        <f t="shared" si="50"/>
        <v>1</v>
      </c>
      <c r="S92" s="1007"/>
      <c r="T92" s="1111" t="str">
        <f t="shared" si="41"/>
        <v>env</v>
      </c>
      <c r="U92" s="1008"/>
      <c r="V92" s="1006" t="s">
        <v>18</v>
      </c>
      <c r="W92" s="1008"/>
      <c r="X92" s="1008"/>
    </row>
    <row r="93" spans="1:24" ht="15" customHeight="1" x14ac:dyDescent="0.2">
      <c r="A93" s="1039" t="str">
        <f t="shared" si="39"/>
        <v>Grid delivered electricity</v>
      </c>
      <c r="B93" s="1008"/>
      <c r="C93" s="1008"/>
      <c r="D93" s="1012" t="s">
        <v>9</v>
      </c>
      <c r="E93" s="1014"/>
      <c r="F93" s="1014"/>
      <c r="G93" s="1110">
        <f>+ConvFactors!F63</f>
        <v>0.2</v>
      </c>
      <c r="H93" s="1111">
        <f t="shared" ref="H93:R93" si="51">+G93</f>
        <v>0.2</v>
      </c>
      <c r="I93" s="1111">
        <f t="shared" si="51"/>
        <v>0.2</v>
      </c>
      <c r="J93" s="1111">
        <f t="shared" si="51"/>
        <v>0.2</v>
      </c>
      <c r="K93" s="1111">
        <f t="shared" si="51"/>
        <v>0.2</v>
      </c>
      <c r="L93" s="1111">
        <f t="shared" si="51"/>
        <v>0.2</v>
      </c>
      <c r="M93" s="1111">
        <f t="shared" si="51"/>
        <v>0.2</v>
      </c>
      <c r="N93" s="1111">
        <f t="shared" si="51"/>
        <v>0.2</v>
      </c>
      <c r="O93" s="1111">
        <f t="shared" si="51"/>
        <v>0.2</v>
      </c>
      <c r="P93" s="1111">
        <f t="shared" si="51"/>
        <v>0.2</v>
      </c>
      <c r="Q93" s="1111">
        <f t="shared" si="51"/>
        <v>0.2</v>
      </c>
      <c r="R93" s="1111">
        <f t="shared" si="51"/>
        <v>0.2</v>
      </c>
      <c r="S93" s="1007"/>
      <c r="T93" s="1111" t="str">
        <f t="shared" si="41"/>
        <v>el</v>
      </c>
      <c r="U93" s="1008"/>
      <c r="V93" s="1006" t="s">
        <v>18</v>
      </c>
      <c r="W93" s="1008"/>
      <c r="X93" s="1008"/>
    </row>
    <row r="94" spans="1:24" ht="15" customHeight="1" x14ac:dyDescent="0.2">
      <c r="A94" s="1039" t="str">
        <f t="shared" si="39"/>
        <v xml:space="preserve">Grid exported electricity </v>
      </c>
      <c r="B94" s="1008"/>
      <c r="C94" s="1008"/>
      <c r="D94" s="1012" t="s">
        <v>9</v>
      </c>
      <c r="E94" s="1014"/>
      <c r="F94" s="1014"/>
      <c r="G94" s="1110">
        <f>+ConvFactors!F64</f>
        <v>0.2</v>
      </c>
      <c r="H94" s="1111">
        <f t="shared" ref="H94:R94" si="52">+G94</f>
        <v>0.2</v>
      </c>
      <c r="I94" s="1111">
        <f t="shared" si="52"/>
        <v>0.2</v>
      </c>
      <c r="J94" s="1111">
        <f t="shared" si="52"/>
        <v>0.2</v>
      </c>
      <c r="K94" s="1111">
        <f t="shared" si="52"/>
        <v>0.2</v>
      </c>
      <c r="L94" s="1111">
        <f t="shared" si="52"/>
        <v>0.2</v>
      </c>
      <c r="M94" s="1111">
        <f t="shared" si="52"/>
        <v>0.2</v>
      </c>
      <c r="N94" s="1111">
        <f t="shared" si="52"/>
        <v>0.2</v>
      </c>
      <c r="O94" s="1111">
        <f t="shared" si="52"/>
        <v>0.2</v>
      </c>
      <c r="P94" s="1111">
        <f t="shared" si="52"/>
        <v>0.2</v>
      </c>
      <c r="Q94" s="1111">
        <f t="shared" si="52"/>
        <v>0.2</v>
      </c>
      <c r="R94" s="1111">
        <f t="shared" si="52"/>
        <v>0.2</v>
      </c>
      <c r="S94" s="1007"/>
      <c r="T94" s="1111" t="str">
        <f t="shared" si="41"/>
        <v>el_exp</v>
      </c>
      <c r="U94" s="1016"/>
      <c r="V94" s="1006" t="s">
        <v>18</v>
      </c>
      <c r="W94" s="1008"/>
      <c r="X94" s="1008"/>
    </row>
    <row r="95" spans="1:24" ht="15" customHeight="1" x14ac:dyDescent="0.2">
      <c r="A95" s="1039" t="str">
        <f t="shared" si="39"/>
        <v>Temp. exported electricity</v>
      </c>
      <c r="B95" s="1008"/>
      <c r="C95" s="1008"/>
      <c r="D95" s="1012" t="s">
        <v>9</v>
      </c>
      <c r="E95" s="1014"/>
      <c r="F95" s="1014"/>
      <c r="G95" s="1110">
        <f>+ConvFactors!F65</f>
        <v>0.2</v>
      </c>
      <c r="H95" s="1111">
        <f t="shared" ref="H95:R95" si="53">+G95</f>
        <v>0.2</v>
      </c>
      <c r="I95" s="1111">
        <f t="shared" si="53"/>
        <v>0.2</v>
      </c>
      <c r="J95" s="1111">
        <f t="shared" si="53"/>
        <v>0.2</v>
      </c>
      <c r="K95" s="1111">
        <f t="shared" si="53"/>
        <v>0.2</v>
      </c>
      <c r="L95" s="1111">
        <f t="shared" si="53"/>
        <v>0.2</v>
      </c>
      <c r="M95" s="1111">
        <f t="shared" si="53"/>
        <v>0.2</v>
      </c>
      <c r="N95" s="1111">
        <f t="shared" si="53"/>
        <v>0.2</v>
      </c>
      <c r="O95" s="1111">
        <f t="shared" si="53"/>
        <v>0.2</v>
      </c>
      <c r="P95" s="1111">
        <f t="shared" si="53"/>
        <v>0.2</v>
      </c>
      <c r="Q95" s="1111">
        <f t="shared" si="53"/>
        <v>0.2</v>
      </c>
      <c r="R95" s="1111">
        <f t="shared" si="53"/>
        <v>0.2</v>
      </c>
      <c r="S95" s="1007"/>
      <c r="T95" s="1111" t="str">
        <f t="shared" si="41"/>
        <v>el_tmp</v>
      </c>
      <c r="U95" s="1016"/>
      <c r="V95" s="1006" t="s">
        <v>18</v>
      </c>
      <c r="W95" s="1008"/>
      <c r="X95" s="1008"/>
    </row>
    <row r="96" spans="1:24" ht="15" customHeight="1" x14ac:dyDescent="0.2">
      <c r="A96" s="1039" t="str">
        <f t="shared" si="39"/>
        <v>Exp to non EPB uses</v>
      </c>
      <c r="B96" s="1008"/>
      <c r="C96" s="1008"/>
      <c r="D96" s="1012" t="s">
        <v>9</v>
      </c>
      <c r="E96" s="1014"/>
      <c r="F96" s="1014"/>
      <c r="G96" s="1110">
        <f>+ConvFactors!F66</f>
        <v>0.2</v>
      </c>
      <c r="H96" s="1111">
        <f t="shared" ref="H96:R96" si="54">+G96</f>
        <v>0.2</v>
      </c>
      <c r="I96" s="1111">
        <f t="shared" si="54"/>
        <v>0.2</v>
      </c>
      <c r="J96" s="1111">
        <f t="shared" si="54"/>
        <v>0.2</v>
      </c>
      <c r="K96" s="1111">
        <f t="shared" si="54"/>
        <v>0.2</v>
      </c>
      <c r="L96" s="1111">
        <f t="shared" si="54"/>
        <v>0.2</v>
      </c>
      <c r="M96" s="1111">
        <f t="shared" si="54"/>
        <v>0.2</v>
      </c>
      <c r="N96" s="1111">
        <f t="shared" si="54"/>
        <v>0.2</v>
      </c>
      <c r="O96" s="1111">
        <f t="shared" si="54"/>
        <v>0.2</v>
      </c>
      <c r="P96" s="1111">
        <f t="shared" si="54"/>
        <v>0.2</v>
      </c>
      <c r="Q96" s="1111">
        <f t="shared" si="54"/>
        <v>0.2</v>
      </c>
      <c r="R96" s="1111">
        <f t="shared" si="54"/>
        <v>0.2</v>
      </c>
      <c r="S96" s="1007"/>
      <c r="T96" s="1111" t="str">
        <f t="shared" si="41"/>
        <v>el_nep</v>
      </c>
      <c r="U96" s="1016"/>
      <c r="V96" s="1006" t="s">
        <v>18</v>
      </c>
      <c r="W96" s="1008"/>
      <c r="X96" s="1008"/>
    </row>
    <row r="97" spans="1:24" ht="15" customHeight="1" x14ac:dyDescent="0.2">
      <c r="A97" s="1109" t="s">
        <v>1905</v>
      </c>
      <c r="B97" s="1008"/>
      <c r="C97" s="1008"/>
      <c r="D97" s="1008"/>
      <c r="E97" s="1014"/>
      <c r="F97" s="1014"/>
      <c r="G97" s="1014"/>
      <c r="H97" s="1014"/>
      <c r="I97" s="1014"/>
      <c r="J97" s="1014"/>
      <c r="K97" s="1014"/>
      <c r="L97" s="1014"/>
      <c r="M97" s="1014"/>
      <c r="N97" s="1014"/>
      <c r="O97" s="1014"/>
      <c r="P97" s="1014"/>
      <c r="Q97" s="1014"/>
      <c r="R97" s="1014"/>
      <c r="S97" s="1014"/>
      <c r="T97" s="1112"/>
      <c r="U97" s="1016"/>
      <c r="V97" s="1008"/>
      <c r="W97" s="1008"/>
      <c r="X97" s="1008"/>
    </row>
    <row r="98" spans="1:24" ht="15" customHeight="1" x14ac:dyDescent="0.2">
      <c r="A98" s="1039" t="str">
        <f>+A82</f>
        <v>gas</v>
      </c>
      <c r="B98" s="1008"/>
      <c r="C98" s="1008"/>
      <c r="D98" s="1012" t="s">
        <v>9</v>
      </c>
      <c r="E98" s="1014"/>
      <c r="F98" s="1014"/>
      <c r="G98" s="1113">
        <f>+ConvFactors!F91</f>
        <v>0.22</v>
      </c>
      <c r="H98" s="1111">
        <f t="shared" ref="H98:R98" si="55">+G98</f>
        <v>0.22</v>
      </c>
      <c r="I98" s="1111">
        <f t="shared" si="55"/>
        <v>0.22</v>
      </c>
      <c r="J98" s="1111">
        <f t="shared" si="55"/>
        <v>0.22</v>
      </c>
      <c r="K98" s="1111">
        <f t="shared" si="55"/>
        <v>0.22</v>
      </c>
      <c r="L98" s="1111">
        <f t="shared" si="55"/>
        <v>0.22</v>
      </c>
      <c r="M98" s="1111">
        <f t="shared" si="55"/>
        <v>0.22</v>
      </c>
      <c r="N98" s="1111">
        <f t="shared" si="55"/>
        <v>0.22</v>
      </c>
      <c r="O98" s="1111">
        <f t="shared" si="55"/>
        <v>0.22</v>
      </c>
      <c r="P98" s="1111">
        <f t="shared" si="55"/>
        <v>0.22</v>
      </c>
      <c r="Q98" s="1111">
        <f t="shared" si="55"/>
        <v>0.22</v>
      </c>
      <c r="R98" s="1111">
        <f t="shared" si="55"/>
        <v>0.22</v>
      </c>
      <c r="S98" s="1007"/>
      <c r="T98" s="1111" t="str">
        <f>+T82</f>
        <v>gas</v>
      </c>
      <c r="U98" s="1016"/>
      <c r="V98" s="1006" t="s">
        <v>18</v>
      </c>
      <c r="W98" s="1008"/>
      <c r="X98" s="1008"/>
    </row>
    <row r="99" spans="1:24" ht="15" customHeight="1" x14ac:dyDescent="0.2">
      <c r="A99" s="1039" t="str">
        <f t="shared" ref="A99:A112" si="56">+A83</f>
        <v>oil</v>
      </c>
      <c r="B99" s="1008"/>
      <c r="C99" s="1008"/>
      <c r="D99" s="1012" t="s">
        <v>9</v>
      </c>
      <c r="E99" s="1014"/>
      <c r="F99" s="1014"/>
      <c r="G99" s="1113">
        <f>+ConvFactors!F92</f>
        <v>0.28999999999999998</v>
      </c>
      <c r="H99" s="1111">
        <f t="shared" ref="H99:R99" si="57">+G99</f>
        <v>0.28999999999999998</v>
      </c>
      <c r="I99" s="1111">
        <f t="shared" si="57"/>
        <v>0.28999999999999998</v>
      </c>
      <c r="J99" s="1111">
        <f t="shared" si="57"/>
        <v>0.28999999999999998</v>
      </c>
      <c r="K99" s="1111">
        <f t="shared" si="57"/>
        <v>0.28999999999999998</v>
      </c>
      <c r="L99" s="1111">
        <f t="shared" si="57"/>
        <v>0.28999999999999998</v>
      </c>
      <c r="M99" s="1111">
        <f t="shared" si="57"/>
        <v>0.28999999999999998</v>
      </c>
      <c r="N99" s="1111">
        <f t="shared" si="57"/>
        <v>0.28999999999999998</v>
      </c>
      <c r="O99" s="1111">
        <f t="shared" si="57"/>
        <v>0.28999999999999998</v>
      </c>
      <c r="P99" s="1111">
        <f t="shared" si="57"/>
        <v>0.28999999999999998</v>
      </c>
      <c r="Q99" s="1111">
        <f t="shared" si="57"/>
        <v>0.28999999999999998</v>
      </c>
      <c r="R99" s="1111">
        <f t="shared" si="57"/>
        <v>0.28999999999999998</v>
      </c>
      <c r="S99" s="1007"/>
      <c r="T99" s="1111" t="str">
        <f t="shared" ref="T99:T112" si="58">+T83</f>
        <v>oil</v>
      </c>
      <c r="U99" s="1016"/>
      <c r="V99" s="1006" t="s">
        <v>18</v>
      </c>
      <c r="W99" s="1008"/>
      <c r="X99" s="1008"/>
    </row>
    <row r="100" spans="1:24" ht="15" customHeight="1" x14ac:dyDescent="0.2">
      <c r="A100" s="1039" t="str">
        <f t="shared" si="56"/>
        <v>coal</v>
      </c>
      <c r="B100" s="1008"/>
      <c r="C100" s="1008"/>
      <c r="D100" s="1012" t="s">
        <v>9</v>
      </c>
      <c r="E100" s="1014"/>
      <c r="F100" s="1014"/>
      <c r="G100" s="1113">
        <f>+ConvFactors!F93</f>
        <v>0.36</v>
      </c>
      <c r="H100" s="1111">
        <f t="shared" ref="H100:R100" si="59">+G100</f>
        <v>0.36</v>
      </c>
      <c r="I100" s="1111">
        <f t="shared" si="59"/>
        <v>0.36</v>
      </c>
      <c r="J100" s="1111">
        <f t="shared" si="59"/>
        <v>0.36</v>
      </c>
      <c r="K100" s="1111">
        <f t="shared" si="59"/>
        <v>0.36</v>
      </c>
      <c r="L100" s="1111">
        <f t="shared" si="59"/>
        <v>0.36</v>
      </c>
      <c r="M100" s="1111">
        <f t="shared" si="59"/>
        <v>0.36</v>
      </c>
      <c r="N100" s="1111">
        <f t="shared" si="59"/>
        <v>0.36</v>
      </c>
      <c r="O100" s="1111">
        <f t="shared" si="59"/>
        <v>0.36</v>
      </c>
      <c r="P100" s="1111">
        <f t="shared" si="59"/>
        <v>0.36</v>
      </c>
      <c r="Q100" s="1111">
        <f t="shared" si="59"/>
        <v>0.36</v>
      </c>
      <c r="R100" s="1111">
        <f t="shared" si="59"/>
        <v>0.36</v>
      </c>
      <c r="S100" s="1007"/>
      <c r="T100" s="1111" t="str">
        <f t="shared" si="58"/>
        <v>coal</v>
      </c>
      <c r="U100" s="1016"/>
      <c r="V100" s="1006" t="s">
        <v>18</v>
      </c>
      <c r="W100" s="1008"/>
      <c r="X100" s="1008"/>
    </row>
    <row r="101" spans="1:24" ht="15" customHeight="1" x14ac:dyDescent="0.2">
      <c r="A101" s="1039" t="str">
        <f t="shared" si="56"/>
        <v>wood</v>
      </c>
      <c r="B101" s="1008"/>
      <c r="C101" s="1008"/>
      <c r="D101" s="1012" t="s">
        <v>9</v>
      </c>
      <c r="E101" s="1014"/>
      <c r="F101" s="1014"/>
      <c r="G101" s="1113">
        <f>+ConvFactors!F94</f>
        <v>1.2E-2</v>
      </c>
      <c r="H101" s="1111">
        <f t="shared" ref="H101:R101" si="60">+G101</f>
        <v>1.2E-2</v>
      </c>
      <c r="I101" s="1111">
        <f t="shared" si="60"/>
        <v>1.2E-2</v>
      </c>
      <c r="J101" s="1111">
        <f t="shared" si="60"/>
        <v>1.2E-2</v>
      </c>
      <c r="K101" s="1111">
        <f t="shared" si="60"/>
        <v>1.2E-2</v>
      </c>
      <c r="L101" s="1111">
        <f t="shared" si="60"/>
        <v>1.2E-2</v>
      </c>
      <c r="M101" s="1111">
        <f t="shared" si="60"/>
        <v>1.2E-2</v>
      </c>
      <c r="N101" s="1111">
        <f t="shared" si="60"/>
        <v>1.2E-2</v>
      </c>
      <c r="O101" s="1111">
        <f t="shared" si="60"/>
        <v>1.2E-2</v>
      </c>
      <c r="P101" s="1111">
        <f t="shared" si="60"/>
        <v>1.2E-2</v>
      </c>
      <c r="Q101" s="1111">
        <f t="shared" si="60"/>
        <v>1.2E-2</v>
      </c>
      <c r="R101" s="1111">
        <f t="shared" si="60"/>
        <v>1.2E-2</v>
      </c>
      <c r="S101" s="1007"/>
      <c r="T101" s="1111" t="str">
        <f t="shared" si="58"/>
        <v>wood</v>
      </c>
      <c r="U101" s="1016"/>
      <c r="V101" s="1006" t="s">
        <v>18</v>
      </c>
      <c r="W101" s="1008"/>
      <c r="X101" s="1008"/>
    </row>
    <row r="102" spans="1:24" ht="15" customHeight="1" x14ac:dyDescent="0.2">
      <c r="A102" s="1039" t="str">
        <f t="shared" si="56"/>
        <v>biomass</v>
      </c>
      <c r="B102" s="1008"/>
      <c r="C102" s="1008"/>
      <c r="D102" s="1012" t="s">
        <v>9</v>
      </c>
      <c r="E102" s="1014"/>
      <c r="F102" s="1014"/>
      <c r="G102" s="1113">
        <f>+ConvFactors!F95</f>
        <v>1.2E-2</v>
      </c>
      <c r="H102" s="1111">
        <f t="shared" ref="H102:R102" si="61">+G102</f>
        <v>1.2E-2</v>
      </c>
      <c r="I102" s="1111">
        <f t="shared" si="61"/>
        <v>1.2E-2</v>
      </c>
      <c r="J102" s="1111">
        <f t="shared" si="61"/>
        <v>1.2E-2</v>
      </c>
      <c r="K102" s="1111">
        <f t="shared" si="61"/>
        <v>1.2E-2</v>
      </c>
      <c r="L102" s="1111">
        <f t="shared" si="61"/>
        <v>1.2E-2</v>
      </c>
      <c r="M102" s="1111">
        <f t="shared" si="61"/>
        <v>1.2E-2</v>
      </c>
      <c r="N102" s="1111">
        <f t="shared" si="61"/>
        <v>1.2E-2</v>
      </c>
      <c r="O102" s="1111">
        <f t="shared" si="61"/>
        <v>1.2E-2</v>
      </c>
      <c r="P102" s="1111">
        <f t="shared" si="61"/>
        <v>1.2E-2</v>
      </c>
      <c r="Q102" s="1111">
        <f t="shared" si="61"/>
        <v>1.2E-2</v>
      </c>
      <c r="R102" s="1111">
        <f t="shared" si="61"/>
        <v>1.2E-2</v>
      </c>
      <c r="S102" s="1007"/>
      <c r="T102" s="1111" t="str">
        <f t="shared" si="58"/>
        <v>biomass</v>
      </c>
      <c r="U102" s="1016"/>
      <c r="V102" s="1006" t="s">
        <v>18</v>
      </c>
      <c r="W102" s="1008"/>
      <c r="X102" s="1008"/>
    </row>
    <row r="103" spans="1:24" ht="15" customHeight="1" x14ac:dyDescent="0.2">
      <c r="A103" s="1039" t="str">
        <f t="shared" si="56"/>
        <v>custom</v>
      </c>
      <c r="B103" s="1008"/>
      <c r="C103" s="1008"/>
      <c r="D103" s="1012" t="s">
        <v>9</v>
      </c>
      <c r="E103" s="1014"/>
      <c r="F103" s="1014"/>
      <c r="G103" s="1113">
        <f>+ConvFactors!F96</f>
        <v>0.3</v>
      </c>
      <c r="H103" s="1111">
        <f t="shared" ref="H103:R103" si="62">+G103</f>
        <v>0.3</v>
      </c>
      <c r="I103" s="1111">
        <f t="shared" si="62"/>
        <v>0.3</v>
      </c>
      <c r="J103" s="1111">
        <f t="shared" si="62"/>
        <v>0.3</v>
      </c>
      <c r="K103" s="1111">
        <f t="shared" si="62"/>
        <v>0.3</v>
      </c>
      <c r="L103" s="1111">
        <f t="shared" si="62"/>
        <v>0.3</v>
      </c>
      <c r="M103" s="1111">
        <f t="shared" si="62"/>
        <v>0.3</v>
      </c>
      <c r="N103" s="1111">
        <f t="shared" si="62"/>
        <v>0.3</v>
      </c>
      <c r="O103" s="1111">
        <f t="shared" si="62"/>
        <v>0.3</v>
      </c>
      <c r="P103" s="1111">
        <f t="shared" si="62"/>
        <v>0.3</v>
      </c>
      <c r="Q103" s="1111">
        <f t="shared" si="62"/>
        <v>0.3</v>
      </c>
      <c r="R103" s="1111">
        <f t="shared" si="62"/>
        <v>0.3</v>
      </c>
      <c r="S103" s="1007"/>
      <c r="T103" s="1111" t="str">
        <f t="shared" si="58"/>
        <v>custom</v>
      </c>
      <c r="U103" s="1016"/>
      <c r="V103" s="1006" t="s">
        <v>18</v>
      </c>
      <c r="W103" s="1008"/>
      <c r="X103" s="1008"/>
    </row>
    <row r="104" spans="1:24" ht="15" customHeight="1" x14ac:dyDescent="0.2">
      <c r="A104" s="1039" t="str">
        <f t="shared" si="56"/>
        <v>District heating</v>
      </c>
      <c r="B104" s="1008"/>
      <c r="C104" s="1008"/>
      <c r="D104" s="1012" t="s">
        <v>9</v>
      </c>
      <c r="E104" s="1014"/>
      <c r="F104" s="1014"/>
      <c r="G104" s="1113">
        <f>+ConvFactors!F97</f>
        <v>0.26</v>
      </c>
      <c r="H104" s="1111">
        <f t="shared" ref="H104:R104" si="63">+G104</f>
        <v>0.26</v>
      </c>
      <c r="I104" s="1111">
        <f t="shared" si="63"/>
        <v>0.26</v>
      </c>
      <c r="J104" s="1111">
        <f t="shared" si="63"/>
        <v>0.26</v>
      </c>
      <c r="K104" s="1111">
        <f t="shared" si="63"/>
        <v>0.26</v>
      </c>
      <c r="L104" s="1111">
        <f t="shared" si="63"/>
        <v>0.26</v>
      </c>
      <c r="M104" s="1111">
        <f t="shared" si="63"/>
        <v>0.26</v>
      </c>
      <c r="N104" s="1111">
        <f t="shared" si="63"/>
        <v>0.26</v>
      </c>
      <c r="O104" s="1111">
        <f t="shared" si="63"/>
        <v>0.26</v>
      </c>
      <c r="P104" s="1111">
        <f t="shared" si="63"/>
        <v>0.26</v>
      </c>
      <c r="Q104" s="1111">
        <f t="shared" si="63"/>
        <v>0.26</v>
      </c>
      <c r="R104" s="1111">
        <f t="shared" si="63"/>
        <v>0.26</v>
      </c>
      <c r="S104" s="1007"/>
      <c r="T104" s="1111" t="str">
        <f t="shared" si="58"/>
        <v>dh</v>
      </c>
      <c r="U104" s="1016"/>
      <c r="V104" s="1006" t="s">
        <v>18</v>
      </c>
      <c r="W104" s="1008"/>
      <c r="X104" s="1008"/>
    </row>
    <row r="105" spans="1:24" ht="15" customHeight="1" x14ac:dyDescent="0.2">
      <c r="A105" s="1039" t="str">
        <f t="shared" si="56"/>
        <v>District cooling</v>
      </c>
      <c r="B105" s="1008"/>
      <c r="C105" s="1008"/>
      <c r="D105" s="1012" t="s">
        <v>9</v>
      </c>
      <c r="E105" s="1014"/>
      <c r="F105" s="1014"/>
      <c r="G105" s="1113">
        <f>+ConvFactors!F98</f>
        <v>0.26</v>
      </c>
      <c r="H105" s="1111">
        <f t="shared" ref="H105:R105" si="64">+G105</f>
        <v>0.26</v>
      </c>
      <c r="I105" s="1111">
        <f t="shared" si="64"/>
        <v>0.26</v>
      </c>
      <c r="J105" s="1111">
        <f t="shared" si="64"/>
        <v>0.26</v>
      </c>
      <c r="K105" s="1111">
        <f t="shared" si="64"/>
        <v>0.26</v>
      </c>
      <c r="L105" s="1111">
        <f t="shared" si="64"/>
        <v>0.26</v>
      </c>
      <c r="M105" s="1111">
        <f t="shared" si="64"/>
        <v>0.26</v>
      </c>
      <c r="N105" s="1111">
        <f t="shared" si="64"/>
        <v>0.26</v>
      </c>
      <c r="O105" s="1111">
        <f t="shared" si="64"/>
        <v>0.26</v>
      </c>
      <c r="P105" s="1111">
        <f t="shared" si="64"/>
        <v>0.26</v>
      </c>
      <c r="Q105" s="1111">
        <f t="shared" si="64"/>
        <v>0.26</v>
      </c>
      <c r="R105" s="1111">
        <f t="shared" si="64"/>
        <v>0.26</v>
      </c>
      <c r="S105" s="1007"/>
      <c r="T105" s="1111" t="str">
        <f t="shared" si="58"/>
        <v>dc</v>
      </c>
      <c r="U105" s="1016"/>
      <c r="V105" s="1006" t="s">
        <v>18</v>
      </c>
      <c r="W105" s="1008"/>
      <c r="X105" s="1008"/>
    </row>
    <row r="106" spans="1:24" ht="15" customHeight="1" x14ac:dyDescent="0.2">
      <c r="A106" s="1039" t="str">
        <f t="shared" si="56"/>
        <v>Thermal solar</v>
      </c>
      <c r="B106" s="1008"/>
      <c r="C106" s="1008"/>
      <c r="D106" s="1012" t="s">
        <v>9</v>
      </c>
      <c r="E106" s="1014"/>
      <c r="F106" s="1014"/>
      <c r="G106" s="1113">
        <f>+ConvFactors!F100</f>
        <v>0</v>
      </c>
      <c r="H106" s="1111">
        <f t="shared" ref="H106:R106" si="65">+G106</f>
        <v>0</v>
      </c>
      <c r="I106" s="1111">
        <f t="shared" si="65"/>
        <v>0</v>
      </c>
      <c r="J106" s="1111">
        <f t="shared" si="65"/>
        <v>0</v>
      </c>
      <c r="K106" s="1111">
        <f t="shared" si="65"/>
        <v>0</v>
      </c>
      <c r="L106" s="1111">
        <f t="shared" si="65"/>
        <v>0</v>
      </c>
      <c r="M106" s="1111">
        <f t="shared" si="65"/>
        <v>0</v>
      </c>
      <c r="N106" s="1111">
        <f t="shared" si="65"/>
        <v>0</v>
      </c>
      <c r="O106" s="1111">
        <f t="shared" si="65"/>
        <v>0</v>
      </c>
      <c r="P106" s="1111">
        <f t="shared" si="65"/>
        <v>0</v>
      </c>
      <c r="Q106" s="1111">
        <f t="shared" si="65"/>
        <v>0</v>
      </c>
      <c r="R106" s="1111">
        <f t="shared" si="65"/>
        <v>0</v>
      </c>
      <c r="S106" s="1007"/>
      <c r="T106" s="1111" t="str">
        <f t="shared" si="58"/>
        <v>sol</v>
      </c>
      <c r="U106" s="1016"/>
      <c r="V106" s="1006" t="s">
        <v>18</v>
      </c>
      <c r="W106" s="1008"/>
      <c r="X106" s="1008"/>
    </row>
    <row r="107" spans="1:24" ht="15" customHeight="1" x14ac:dyDescent="0.2">
      <c r="A107" s="1039" t="str">
        <f t="shared" si="56"/>
        <v>Photovoltaic</v>
      </c>
      <c r="B107" s="1008"/>
      <c r="C107" s="1008"/>
      <c r="D107" s="1012" t="s">
        <v>9</v>
      </c>
      <c r="E107" s="1014"/>
      <c r="F107" s="1014"/>
      <c r="G107" s="1113">
        <f>+ConvFactors!F101</f>
        <v>0</v>
      </c>
      <c r="H107" s="1111">
        <f t="shared" ref="H107:R107" si="66">+G107</f>
        <v>0</v>
      </c>
      <c r="I107" s="1111">
        <f t="shared" si="66"/>
        <v>0</v>
      </c>
      <c r="J107" s="1111">
        <f t="shared" si="66"/>
        <v>0</v>
      </c>
      <c r="K107" s="1111">
        <f t="shared" si="66"/>
        <v>0</v>
      </c>
      <c r="L107" s="1111">
        <f t="shared" si="66"/>
        <v>0</v>
      </c>
      <c r="M107" s="1111">
        <f t="shared" si="66"/>
        <v>0</v>
      </c>
      <c r="N107" s="1111">
        <f t="shared" si="66"/>
        <v>0</v>
      </c>
      <c r="O107" s="1111">
        <f t="shared" si="66"/>
        <v>0</v>
      </c>
      <c r="P107" s="1111">
        <f t="shared" si="66"/>
        <v>0</v>
      </c>
      <c r="Q107" s="1111">
        <f t="shared" si="66"/>
        <v>0</v>
      </c>
      <c r="R107" s="1111">
        <f t="shared" si="66"/>
        <v>0</v>
      </c>
      <c r="S107" s="1007"/>
      <c r="T107" s="1111" t="str">
        <f t="shared" si="58"/>
        <v>pv</v>
      </c>
      <c r="U107" s="1016"/>
      <c r="V107" s="1006" t="s">
        <v>18</v>
      </c>
      <c r="W107" s="1008"/>
      <c r="X107" s="1008"/>
    </row>
    <row r="108" spans="1:24" ht="15" customHeight="1" x14ac:dyDescent="0.2">
      <c r="A108" s="1039" t="str">
        <f t="shared" si="56"/>
        <v>Environment heat</v>
      </c>
      <c r="B108" s="1008"/>
      <c r="C108" s="1008"/>
      <c r="D108" s="1012" t="s">
        <v>9</v>
      </c>
      <c r="E108" s="1014"/>
      <c r="F108" s="1014"/>
      <c r="G108" s="1113">
        <f>+ConvFactors!F102</f>
        <v>0</v>
      </c>
      <c r="H108" s="1111">
        <f t="shared" ref="H108:R108" si="67">+G108</f>
        <v>0</v>
      </c>
      <c r="I108" s="1111">
        <f t="shared" si="67"/>
        <v>0</v>
      </c>
      <c r="J108" s="1111">
        <f t="shared" si="67"/>
        <v>0</v>
      </c>
      <c r="K108" s="1111">
        <f t="shared" si="67"/>
        <v>0</v>
      </c>
      <c r="L108" s="1111">
        <f t="shared" si="67"/>
        <v>0</v>
      </c>
      <c r="M108" s="1111">
        <f t="shared" si="67"/>
        <v>0</v>
      </c>
      <c r="N108" s="1111">
        <f t="shared" si="67"/>
        <v>0</v>
      </c>
      <c r="O108" s="1111">
        <f t="shared" si="67"/>
        <v>0</v>
      </c>
      <c r="P108" s="1111">
        <f t="shared" si="67"/>
        <v>0</v>
      </c>
      <c r="Q108" s="1111">
        <f t="shared" si="67"/>
        <v>0</v>
      </c>
      <c r="R108" s="1111">
        <f t="shared" si="67"/>
        <v>0</v>
      </c>
      <c r="S108" s="1007"/>
      <c r="T108" s="1111" t="str">
        <f t="shared" si="58"/>
        <v>env</v>
      </c>
      <c r="U108" s="1016"/>
      <c r="V108" s="1006" t="s">
        <v>18</v>
      </c>
      <c r="W108" s="1008"/>
      <c r="X108" s="1008"/>
    </row>
    <row r="109" spans="1:24" ht="15" customHeight="1" x14ac:dyDescent="0.2">
      <c r="A109" s="1039" t="str">
        <f t="shared" si="56"/>
        <v>Grid delivered electricity</v>
      </c>
      <c r="B109" s="1008"/>
      <c r="C109" s="1008"/>
      <c r="D109" s="1012" t="s">
        <v>9</v>
      </c>
      <c r="E109" s="1014"/>
      <c r="F109" s="1014"/>
      <c r="G109" s="1113">
        <f>+ConvFactors!F103</f>
        <v>0.42</v>
      </c>
      <c r="H109" s="1111">
        <f t="shared" ref="H109:R109" si="68">+G109</f>
        <v>0.42</v>
      </c>
      <c r="I109" s="1111">
        <f t="shared" si="68"/>
        <v>0.42</v>
      </c>
      <c r="J109" s="1111">
        <f t="shared" si="68"/>
        <v>0.42</v>
      </c>
      <c r="K109" s="1111">
        <f t="shared" si="68"/>
        <v>0.42</v>
      </c>
      <c r="L109" s="1111">
        <f t="shared" si="68"/>
        <v>0.42</v>
      </c>
      <c r="M109" s="1111">
        <f t="shared" si="68"/>
        <v>0.42</v>
      </c>
      <c r="N109" s="1111">
        <f t="shared" si="68"/>
        <v>0.42</v>
      </c>
      <c r="O109" s="1111">
        <f t="shared" si="68"/>
        <v>0.42</v>
      </c>
      <c r="P109" s="1111">
        <f t="shared" si="68"/>
        <v>0.42</v>
      </c>
      <c r="Q109" s="1111">
        <f t="shared" si="68"/>
        <v>0.42</v>
      </c>
      <c r="R109" s="1111">
        <f t="shared" si="68"/>
        <v>0.42</v>
      </c>
      <c r="S109" s="1007"/>
      <c r="T109" s="1111" t="str">
        <f t="shared" si="58"/>
        <v>el</v>
      </c>
      <c r="U109" s="1016"/>
      <c r="V109" s="1006" t="s">
        <v>18</v>
      </c>
      <c r="W109" s="1008"/>
      <c r="X109" s="1008"/>
    </row>
    <row r="110" spans="1:24" ht="15" customHeight="1" x14ac:dyDescent="0.2">
      <c r="A110" s="1039" t="str">
        <f t="shared" si="56"/>
        <v xml:space="preserve">Grid exported electricity </v>
      </c>
      <c r="B110" s="1008"/>
      <c r="C110" s="1008"/>
      <c r="D110" s="1012" t="s">
        <v>9</v>
      </c>
      <c r="E110" s="1014"/>
      <c r="F110" s="1014"/>
      <c r="G110" s="1113">
        <f>+ConvFactors!F104</f>
        <v>0.42</v>
      </c>
      <c r="H110" s="1111">
        <f t="shared" ref="H110:R110" si="69">+G110</f>
        <v>0.42</v>
      </c>
      <c r="I110" s="1111">
        <f t="shared" si="69"/>
        <v>0.42</v>
      </c>
      <c r="J110" s="1111">
        <f t="shared" si="69"/>
        <v>0.42</v>
      </c>
      <c r="K110" s="1111">
        <f t="shared" si="69"/>
        <v>0.42</v>
      </c>
      <c r="L110" s="1111">
        <f t="shared" si="69"/>
        <v>0.42</v>
      </c>
      <c r="M110" s="1111">
        <f t="shared" si="69"/>
        <v>0.42</v>
      </c>
      <c r="N110" s="1111">
        <f t="shared" si="69"/>
        <v>0.42</v>
      </c>
      <c r="O110" s="1111">
        <f t="shared" si="69"/>
        <v>0.42</v>
      </c>
      <c r="P110" s="1111">
        <f t="shared" si="69"/>
        <v>0.42</v>
      </c>
      <c r="Q110" s="1111">
        <f t="shared" si="69"/>
        <v>0.42</v>
      </c>
      <c r="R110" s="1111">
        <f t="shared" si="69"/>
        <v>0.42</v>
      </c>
      <c r="S110" s="1007"/>
      <c r="T110" s="1111" t="str">
        <f t="shared" si="58"/>
        <v>el_exp</v>
      </c>
      <c r="U110" s="1016"/>
      <c r="V110" s="1006" t="s">
        <v>18</v>
      </c>
      <c r="W110" s="1008"/>
      <c r="X110" s="1008"/>
    </row>
    <row r="111" spans="1:24" ht="15" customHeight="1" x14ac:dyDescent="0.2">
      <c r="A111" s="1039" t="str">
        <f t="shared" si="56"/>
        <v>Temp. exported electricity</v>
      </c>
      <c r="B111" s="1008"/>
      <c r="C111" s="1008"/>
      <c r="D111" s="1012" t="s">
        <v>9</v>
      </c>
      <c r="E111" s="1014"/>
      <c r="F111" s="1014"/>
      <c r="G111" s="1113">
        <f>+ConvFactors!F105</f>
        <v>0.42</v>
      </c>
      <c r="H111" s="1111">
        <f t="shared" ref="H111:R111" si="70">+G111</f>
        <v>0.42</v>
      </c>
      <c r="I111" s="1111">
        <f t="shared" si="70"/>
        <v>0.42</v>
      </c>
      <c r="J111" s="1111">
        <f t="shared" si="70"/>
        <v>0.42</v>
      </c>
      <c r="K111" s="1111">
        <f t="shared" si="70"/>
        <v>0.42</v>
      </c>
      <c r="L111" s="1111">
        <f t="shared" si="70"/>
        <v>0.42</v>
      </c>
      <c r="M111" s="1111">
        <f t="shared" si="70"/>
        <v>0.42</v>
      </c>
      <c r="N111" s="1111">
        <f t="shared" si="70"/>
        <v>0.42</v>
      </c>
      <c r="O111" s="1111">
        <f t="shared" si="70"/>
        <v>0.42</v>
      </c>
      <c r="P111" s="1111">
        <f t="shared" si="70"/>
        <v>0.42</v>
      </c>
      <c r="Q111" s="1111">
        <f t="shared" si="70"/>
        <v>0.42</v>
      </c>
      <c r="R111" s="1111">
        <f t="shared" si="70"/>
        <v>0.42</v>
      </c>
      <c r="S111" s="1007"/>
      <c r="T111" s="1111" t="str">
        <f t="shared" si="58"/>
        <v>el_tmp</v>
      </c>
      <c r="U111" s="1016"/>
      <c r="V111" s="1006" t="s">
        <v>18</v>
      </c>
      <c r="W111" s="1008"/>
      <c r="X111" s="1008"/>
    </row>
    <row r="112" spans="1:24" ht="15" customHeight="1" x14ac:dyDescent="0.2">
      <c r="A112" s="1039" t="str">
        <f t="shared" si="56"/>
        <v>Exp to non EPB uses</v>
      </c>
      <c r="B112" s="1008"/>
      <c r="C112" s="1008"/>
      <c r="D112" s="1012" t="s">
        <v>9</v>
      </c>
      <c r="E112" s="1014"/>
      <c r="F112" s="1014"/>
      <c r="G112" s="1113">
        <f>+ConvFactors!F106</f>
        <v>0.42</v>
      </c>
      <c r="H112" s="1111">
        <f t="shared" ref="H112:R112" si="71">+G112</f>
        <v>0.42</v>
      </c>
      <c r="I112" s="1111">
        <f t="shared" si="71"/>
        <v>0.42</v>
      </c>
      <c r="J112" s="1111">
        <f t="shared" si="71"/>
        <v>0.42</v>
      </c>
      <c r="K112" s="1111">
        <f t="shared" si="71"/>
        <v>0.42</v>
      </c>
      <c r="L112" s="1111">
        <f t="shared" si="71"/>
        <v>0.42</v>
      </c>
      <c r="M112" s="1111">
        <f t="shared" si="71"/>
        <v>0.42</v>
      </c>
      <c r="N112" s="1111">
        <f t="shared" si="71"/>
        <v>0.42</v>
      </c>
      <c r="O112" s="1111">
        <f t="shared" si="71"/>
        <v>0.42</v>
      </c>
      <c r="P112" s="1111">
        <f t="shared" si="71"/>
        <v>0.42</v>
      </c>
      <c r="Q112" s="1111">
        <f t="shared" si="71"/>
        <v>0.42</v>
      </c>
      <c r="R112" s="1111">
        <f t="shared" si="71"/>
        <v>0.42</v>
      </c>
      <c r="S112" s="1007"/>
      <c r="T112" s="1111" t="str">
        <f t="shared" si="58"/>
        <v>el_nep</v>
      </c>
      <c r="U112" s="1016"/>
      <c r="V112" s="1006" t="s">
        <v>18</v>
      </c>
      <c r="W112" s="1008"/>
      <c r="X112" s="1008"/>
    </row>
    <row r="113" spans="1:24" ht="15" customHeight="1" x14ac:dyDescent="0.2">
      <c r="A113" s="1039"/>
      <c r="B113" s="1008"/>
      <c r="C113" s="1008"/>
      <c r="D113" s="1008"/>
      <c r="E113" s="1014"/>
      <c r="F113" s="1014"/>
      <c r="G113" s="1502"/>
      <c r="H113" s="1503"/>
      <c r="I113" s="1503"/>
      <c r="J113" s="1503"/>
      <c r="K113" s="1503"/>
      <c r="L113" s="1503"/>
      <c r="M113" s="1503"/>
      <c r="N113" s="1503"/>
      <c r="O113" s="1503"/>
      <c r="P113" s="1503"/>
      <c r="Q113" s="1503"/>
      <c r="R113" s="1503"/>
      <c r="S113" s="1176"/>
      <c r="T113" s="1504"/>
      <c r="U113" s="1016"/>
      <c r="V113" s="1008"/>
      <c r="W113" s="1008"/>
      <c r="X113" s="1008"/>
    </row>
    <row r="114" spans="1:24" ht="15" customHeight="1" x14ac:dyDescent="0.2">
      <c r="A114" s="1091" t="s">
        <v>1823</v>
      </c>
      <c r="B114" s="1008"/>
      <c r="C114" s="1008"/>
      <c r="D114" s="1008"/>
      <c r="E114" s="1014"/>
      <c r="F114" s="1014"/>
      <c r="G114" s="1502"/>
      <c r="H114" s="1503"/>
      <c r="I114" s="1503"/>
      <c r="J114" s="1503"/>
      <c r="K114" s="1503"/>
      <c r="L114" s="1503"/>
      <c r="M114" s="1503"/>
      <c r="N114" s="1503"/>
      <c r="O114" s="1503"/>
      <c r="P114" s="1503"/>
      <c r="Q114" s="1503"/>
      <c r="R114" s="1503"/>
      <c r="S114" s="1176"/>
      <c r="T114" s="1504"/>
      <c r="U114" s="1016"/>
      <c r="V114" s="1008"/>
      <c r="W114" s="1008"/>
      <c r="X114" s="1008" t="s">
        <v>2207</v>
      </c>
    </row>
    <row r="115" spans="1:24" ht="15" customHeight="1" x14ac:dyDescent="0.2">
      <c r="A115" s="1080" t="s">
        <v>2208</v>
      </c>
      <c r="B115" s="1008"/>
      <c r="C115" s="1008"/>
      <c r="D115" s="1008"/>
      <c r="E115" s="1014"/>
      <c r="F115" s="1008"/>
      <c r="G115" s="1008"/>
      <c r="H115" s="1008"/>
      <c r="I115" s="1008"/>
      <c r="J115" s="1008"/>
      <c r="K115" s="1008"/>
      <c r="L115" s="1008"/>
      <c r="M115" s="1008"/>
      <c r="N115" s="1008"/>
      <c r="O115" s="1008"/>
      <c r="P115" s="1008"/>
      <c r="Q115" s="1008"/>
      <c r="R115" s="1008"/>
      <c r="S115" s="1176"/>
      <c r="T115" s="1008" t="str">
        <f>IF('National options'!C38=1,"YES","NO")</f>
        <v>NO</v>
      </c>
      <c r="U115" s="1016"/>
      <c r="V115" s="1006" t="s">
        <v>18</v>
      </c>
      <c r="W115" s="1008"/>
      <c r="X115" s="1008" t="s">
        <v>2209</v>
      </c>
    </row>
    <row r="116" spans="1:24" ht="15" customHeight="1" x14ac:dyDescent="0.2">
      <c r="A116" s="1080"/>
      <c r="B116" s="1008"/>
      <c r="C116" s="1008"/>
      <c r="D116" s="1008"/>
      <c r="E116" s="1014"/>
      <c r="F116" s="1008"/>
      <c r="G116" s="1008"/>
      <c r="H116" s="1008"/>
      <c r="I116" s="1008"/>
      <c r="J116" s="1008"/>
      <c r="K116" s="1008"/>
      <c r="L116" s="1008"/>
      <c r="M116" s="1008"/>
      <c r="N116" s="1008"/>
      <c r="O116" s="1008"/>
      <c r="P116" s="1008"/>
      <c r="Q116" s="1008"/>
      <c r="R116" s="1008"/>
      <c r="S116" s="1176"/>
      <c r="T116" s="1016"/>
      <c r="U116" s="1016"/>
      <c r="V116" s="1008"/>
      <c r="W116" s="1008"/>
      <c r="X116" s="1008"/>
    </row>
    <row r="117" spans="1:24" ht="18" customHeight="1" x14ac:dyDescent="0.2">
      <c r="A117" s="1015" t="s">
        <v>19</v>
      </c>
      <c r="B117" s="1008"/>
      <c r="C117" s="1008"/>
      <c r="D117" s="1008"/>
      <c r="E117" s="1014"/>
      <c r="F117" s="1008"/>
      <c r="G117" s="1008"/>
      <c r="H117" s="1008"/>
      <c r="I117" s="1008"/>
      <c r="J117" s="1008"/>
      <c r="K117" s="1008"/>
      <c r="L117" s="1008"/>
      <c r="M117" s="1008"/>
      <c r="N117" s="1008"/>
      <c r="O117" s="1008"/>
      <c r="P117" s="1008"/>
      <c r="Q117" s="1008"/>
      <c r="R117" s="1008"/>
      <c r="S117" s="1016"/>
      <c r="T117" s="1016"/>
      <c r="U117" s="1016"/>
      <c r="V117" s="1008"/>
      <c r="W117" s="1008"/>
      <c r="X117" s="1008"/>
    </row>
    <row r="118" spans="1:24" x14ac:dyDescent="0.2">
      <c r="A118" s="1019"/>
      <c r="B118" s="1005"/>
      <c r="C118" s="1017"/>
      <c r="D118" s="1012"/>
      <c r="E118" s="1012"/>
      <c r="F118" s="1012"/>
      <c r="G118" s="1037"/>
      <c r="H118" s="1037"/>
      <c r="I118" s="1037"/>
      <c r="J118" s="1037"/>
      <c r="K118" s="1037"/>
      <c r="L118" s="1037"/>
      <c r="M118" s="1037"/>
      <c r="N118" s="1037"/>
      <c r="O118" s="1037"/>
      <c r="P118" s="1037"/>
      <c r="Q118" s="1037"/>
      <c r="R118" s="1037"/>
      <c r="S118" s="1176"/>
      <c r="T118" s="1176"/>
      <c r="U118" s="1016"/>
      <c r="V118" s="1008"/>
      <c r="W118" s="1008"/>
      <c r="X118" s="1008"/>
    </row>
    <row r="119" spans="1:24" ht="15" x14ac:dyDescent="0.2">
      <c r="A119" s="1015" t="s">
        <v>16</v>
      </c>
      <c r="B119" s="1008"/>
      <c r="C119" s="1018"/>
      <c r="D119" s="1008"/>
      <c r="E119" s="1008"/>
      <c r="F119" s="1008"/>
      <c r="G119" s="1037"/>
      <c r="H119" s="1037"/>
      <c r="I119" s="1037"/>
      <c r="J119" s="1037"/>
      <c r="K119" s="1037"/>
      <c r="L119" s="1037"/>
      <c r="M119" s="1037"/>
      <c r="N119" s="1037"/>
      <c r="O119" s="1037"/>
      <c r="P119" s="1037"/>
      <c r="Q119" s="1037"/>
      <c r="R119" s="1037"/>
      <c r="S119" s="1176"/>
      <c r="T119" s="1176"/>
      <c r="U119" s="1016"/>
      <c r="V119" s="1008"/>
      <c r="W119" s="1008"/>
      <c r="X119" s="1008"/>
    </row>
    <row r="120" spans="1:24" x14ac:dyDescent="0.2">
      <c r="A120" s="1020" t="s">
        <v>34</v>
      </c>
      <c r="B120" s="1005"/>
      <c r="C120" s="1017"/>
      <c r="D120" s="1006"/>
      <c r="E120" s="1006"/>
      <c r="F120" s="1006"/>
      <c r="G120" s="1037"/>
      <c r="H120" s="1037"/>
      <c r="I120" s="1037"/>
      <c r="J120" s="1037"/>
      <c r="K120" s="1037"/>
      <c r="L120" s="1037"/>
      <c r="M120" s="1037"/>
      <c r="N120" s="1037"/>
      <c r="O120" s="1037"/>
      <c r="P120" s="1037"/>
      <c r="Q120" s="1037"/>
      <c r="R120" s="1037"/>
      <c r="S120" s="1176"/>
      <c r="T120" s="1176"/>
      <c r="U120" s="1016"/>
      <c r="V120" s="1008"/>
      <c r="W120" s="1008"/>
      <c r="X120" s="1008"/>
    </row>
    <row r="121" spans="1:24" x14ac:dyDescent="0.2">
      <c r="A121" s="1020"/>
      <c r="B121" s="1005"/>
      <c r="C121" s="1017"/>
      <c r="D121" s="1006"/>
      <c r="E121" s="1006"/>
      <c r="F121" s="1006"/>
      <c r="G121" s="1037"/>
      <c r="H121" s="1037"/>
      <c r="I121" s="1037"/>
      <c r="J121" s="1037"/>
      <c r="K121" s="1037"/>
      <c r="L121" s="1037"/>
      <c r="M121" s="1037"/>
      <c r="N121" s="1037"/>
      <c r="O121" s="1037"/>
      <c r="P121" s="1037"/>
      <c r="Q121" s="1037"/>
      <c r="R121" s="1037"/>
      <c r="S121" s="1176"/>
      <c r="T121" s="1176"/>
      <c r="U121" s="1016"/>
      <c r="V121" s="1008"/>
      <c r="W121" s="1008"/>
      <c r="X121" s="1008"/>
    </row>
    <row r="122" spans="1:24" x14ac:dyDescent="0.2">
      <c r="A122" s="1039" t="s">
        <v>2118</v>
      </c>
      <c r="B122" s="1005" t="s">
        <v>2119</v>
      </c>
      <c r="C122" s="1017"/>
      <c r="D122" s="1006"/>
      <c r="E122" s="1006">
        <f>ROW(Base_calc!J317)</f>
        <v>317</v>
      </c>
      <c r="F122" s="1006">
        <f>COLUMN(Base_calc!J327)</f>
        <v>10</v>
      </c>
      <c r="G122" s="1294">
        <v>0.65</v>
      </c>
      <c r="H122" s="1294">
        <v>0.65</v>
      </c>
      <c r="I122" s="1294">
        <v>0.65</v>
      </c>
      <c r="J122" s="1294">
        <v>0.65</v>
      </c>
      <c r="K122" s="1294">
        <v>0.65</v>
      </c>
      <c r="L122" s="1294">
        <v>0.65</v>
      </c>
      <c r="M122" s="1294">
        <v>0.65</v>
      </c>
      <c r="N122" s="1294">
        <v>0.65</v>
      </c>
      <c r="O122" s="1294">
        <v>0.65</v>
      </c>
      <c r="P122" s="1294">
        <v>0.65</v>
      </c>
      <c r="Q122" s="1294">
        <v>0.65</v>
      </c>
      <c r="R122" s="1294">
        <v>0.65</v>
      </c>
      <c r="S122" s="1176"/>
      <c r="T122" s="1176"/>
      <c r="U122" s="1298" t="s">
        <v>2120</v>
      </c>
      <c r="V122" s="1008" t="s">
        <v>2213</v>
      </c>
      <c r="W122" s="1008" t="s">
        <v>14</v>
      </c>
      <c r="X122" s="1008" t="s">
        <v>2216</v>
      </c>
    </row>
    <row r="123" spans="1:24" x14ac:dyDescent="0.2">
      <c r="A123" s="1039"/>
      <c r="B123" s="1005"/>
      <c r="C123" s="1017"/>
      <c r="D123" s="1006"/>
      <c r="E123" s="1006"/>
      <c r="F123" s="1006"/>
      <c r="G123" s="1006"/>
      <c r="H123" s="1006"/>
      <c r="I123" s="1006"/>
      <c r="J123" s="1006"/>
      <c r="K123" s="1006"/>
      <c r="L123" s="1006"/>
      <c r="M123" s="1006"/>
      <c r="N123" s="1006"/>
      <c r="O123" s="1006"/>
      <c r="P123" s="1006"/>
      <c r="Q123" s="1006"/>
      <c r="R123" s="1006"/>
      <c r="S123" s="1006"/>
      <c r="T123" s="1176"/>
      <c r="U123" s="1298"/>
      <c r="V123" s="1008"/>
      <c r="W123" s="1008"/>
      <c r="X123" s="1008"/>
    </row>
    <row r="124" spans="1:24" x14ac:dyDescent="0.2">
      <c r="A124" s="1039" t="s">
        <v>2188</v>
      </c>
      <c r="B124" s="1005" t="s">
        <v>2195</v>
      </c>
      <c r="C124" s="1017"/>
      <c r="D124" s="1006"/>
      <c r="E124" s="1006"/>
      <c r="F124" s="1006"/>
      <c r="G124" s="1037"/>
      <c r="H124" s="1037"/>
      <c r="I124" s="1037"/>
      <c r="J124" s="1037"/>
      <c r="K124" s="1037"/>
      <c r="L124" s="1037"/>
      <c r="M124" s="1037"/>
      <c r="N124" s="1037"/>
      <c r="O124" s="1037"/>
      <c r="P124" s="1037"/>
      <c r="Q124" s="1037"/>
      <c r="R124" s="1037"/>
      <c r="S124" s="1176"/>
      <c r="T124" s="1176" t="str">
        <f>+'National options'!C11</f>
        <v>el_pv</v>
      </c>
      <c r="U124" s="1016"/>
      <c r="V124" s="1006" t="s">
        <v>18</v>
      </c>
      <c r="W124" s="1008"/>
      <c r="X124" s="1008" t="s">
        <v>2209</v>
      </c>
    </row>
    <row r="125" spans="1:24" x14ac:dyDescent="0.2">
      <c r="A125" s="1039" t="s">
        <v>2189</v>
      </c>
      <c r="B125" s="1005" t="s">
        <v>2196</v>
      </c>
      <c r="C125" s="1017"/>
      <c r="D125" s="1006"/>
      <c r="E125" s="1006"/>
      <c r="F125" s="1006"/>
      <c r="G125" s="1037"/>
      <c r="H125" s="1037"/>
      <c r="I125" s="1037"/>
      <c r="J125" s="1037"/>
      <c r="K125" s="1037"/>
      <c r="L125" s="1037"/>
      <c r="M125" s="1037"/>
      <c r="N125" s="1037"/>
      <c r="O125" s="1037"/>
      <c r="P125" s="1037"/>
      <c r="Q125" s="1037"/>
      <c r="R125" s="1037"/>
      <c r="S125" s="1176"/>
      <c r="T125" s="1176" t="str">
        <f>+'National options'!C12</f>
        <v>el_wind</v>
      </c>
      <c r="U125" s="1016"/>
      <c r="V125" s="1006" t="s">
        <v>18</v>
      </c>
      <c r="W125" s="1008"/>
      <c r="X125" s="1008"/>
    </row>
    <row r="126" spans="1:24" x14ac:dyDescent="0.2">
      <c r="A126" s="1039" t="s">
        <v>2190</v>
      </c>
      <c r="B126" s="1005" t="s">
        <v>2197</v>
      </c>
      <c r="C126" s="1017"/>
      <c r="D126" s="1006"/>
      <c r="E126" s="1006"/>
      <c r="F126" s="1006"/>
      <c r="G126" s="1037"/>
      <c r="H126" s="1037"/>
      <c r="I126" s="1037"/>
      <c r="J126" s="1037"/>
      <c r="K126" s="1037"/>
      <c r="L126" s="1037"/>
      <c r="M126" s="1037"/>
      <c r="N126" s="1037"/>
      <c r="O126" s="1037"/>
      <c r="P126" s="1037"/>
      <c r="Q126" s="1037"/>
      <c r="R126" s="1037"/>
      <c r="S126" s="1176"/>
      <c r="T126" s="1176" t="str">
        <f>+'National options'!C13</f>
        <v>el_chp</v>
      </c>
      <c r="U126" s="1016"/>
      <c r="V126" s="1006" t="s">
        <v>18</v>
      </c>
      <c r="W126" s="1008"/>
      <c r="X126" s="1008"/>
    </row>
    <row r="127" spans="1:24" x14ac:dyDescent="0.2">
      <c r="A127" s="1039"/>
      <c r="B127" s="1005"/>
      <c r="C127" s="1017"/>
      <c r="D127" s="1006"/>
      <c r="E127" s="1006"/>
      <c r="F127" s="1006"/>
      <c r="G127" s="1037"/>
      <c r="H127" s="1037"/>
      <c r="I127" s="1037"/>
      <c r="J127" s="1037"/>
      <c r="K127" s="1037"/>
      <c r="L127" s="1037"/>
      <c r="M127" s="1037"/>
      <c r="N127" s="1037"/>
      <c r="O127" s="1037"/>
      <c r="P127" s="1037"/>
      <c r="Q127" s="1037"/>
      <c r="R127" s="1037"/>
      <c r="S127" s="1176"/>
      <c r="T127" s="1016"/>
      <c r="U127" s="1016"/>
      <c r="V127" s="1008"/>
      <c r="W127" s="1008"/>
      <c r="X127" s="1008"/>
    </row>
    <row r="128" spans="1:24" x14ac:dyDescent="0.2">
      <c r="A128" s="1020"/>
      <c r="B128" s="1005"/>
      <c r="C128" s="1017"/>
      <c r="D128" s="1006"/>
      <c r="E128" s="1006"/>
      <c r="F128" s="1006"/>
      <c r="G128" s="1037"/>
      <c r="H128" s="1037"/>
      <c r="I128" s="1037"/>
      <c r="J128" s="1037"/>
      <c r="K128" s="1037"/>
      <c r="L128" s="1037"/>
      <c r="M128" s="1037"/>
      <c r="N128" s="1037"/>
      <c r="O128" s="1037"/>
      <c r="P128" s="1037"/>
      <c r="Q128" s="1037"/>
      <c r="R128" s="1037"/>
      <c r="S128" s="1176"/>
      <c r="T128" s="1016"/>
      <c r="U128" s="1016"/>
      <c r="V128" s="1008"/>
      <c r="W128" s="1008"/>
      <c r="X128" s="1008"/>
    </row>
    <row r="129" spans="1:24" x14ac:dyDescent="0.2">
      <c r="A129" s="1020" t="s">
        <v>1768</v>
      </c>
      <c r="B129" s="1005"/>
      <c r="C129" s="1005"/>
      <c r="D129" s="1006"/>
      <c r="E129" s="1006"/>
      <c r="F129" s="1006"/>
      <c r="G129" s="1008"/>
      <c r="H129" s="1008"/>
      <c r="I129" s="1008"/>
      <c r="J129" s="1008"/>
      <c r="K129" s="1008"/>
      <c r="L129" s="1008"/>
      <c r="M129" s="1008"/>
      <c r="N129" s="1008"/>
      <c r="O129" s="1008"/>
      <c r="P129" s="1008"/>
      <c r="Q129" s="1008"/>
      <c r="R129" s="1008"/>
      <c r="S129" s="1016"/>
      <c r="T129" s="1016"/>
      <c r="U129" s="1016"/>
      <c r="V129" s="1008"/>
      <c r="W129" s="1008"/>
      <c r="X129" s="1008"/>
    </row>
    <row r="130" spans="1:24" x14ac:dyDescent="0.2">
      <c r="A130" s="1020"/>
      <c r="B130" s="1005"/>
      <c r="C130" s="1005"/>
      <c r="D130" s="1006"/>
      <c r="E130" s="1006"/>
      <c r="F130" s="1006"/>
      <c r="G130" s="1008"/>
      <c r="H130" s="1008"/>
      <c r="I130" s="1008"/>
      <c r="J130" s="1008"/>
      <c r="K130" s="1008"/>
      <c r="L130" s="1008"/>
      <c r="M130" s="1008"/>
      <c r="N130" s="1008"/>
      <c r="O130" s="1008"/>
      <c r="P130" s="1008"/>
      <c r="Q130" s="1008"/>
      <c r="R130" s="1008"/>
      <c r="S130" s="1016"/>
      <c r="T130" s="1016"/>
      <c r="U130" s="1016"/>
      <c r="V130" s="1008"/>
      <c r="W130" s="1008"/>
      <c r="X130" s="1008"/>
    </row>
    <row r="131" spans="1:24" ht="15" x14ac:dyDescent="0.2">
      <c r="A131" s="1015" t="s">
        <v>1771</v>
      </c>
      <c r="B131" s="1005"/>
      <c r="C131" s="1005"/>
      <c r="D131" s="1006"/>
      <c r="E131" s="1006"/>
      <c r="F131" s="1006"/>
      <c r="G131" s="1008"/>
      <c r="H131" s="1008"/>
      <c r="I131" s="1008"/>
      <c r="J131" s="1008"/>
      <c r="K131" s="1008"/>
      <c r="L131" s="1008"/>
      <c r="M131" s="1008"/>
      <c r="N131" s="1008"/>
      <c r="O131" s="1008"/>
      <c r="P131" s="1008"/>
      <c r="Q131" s="1008"/>
      <c r="R131" s="1008"/>
      <c r="S131" s="1016"/>
      <c r="T131" s="1016"/>
      <c r="U131" s="1016"/>
      <c r="V131" s="1008"/>
      <c r="W131" s="1008"/>
      <c r="X131" s="1008"/>
    </row>
    <row r="132" spans="1:24" x14ac:dyDescent="0.2">
      <c r="A132" s="1035"/>
      <c r="B132" s="1036"/>
      <c r="C132" s="1036"/>
      <c r="D132" s="1031"/>
      <c r="E132" s="1031"/>
      <c r="F132" s="1031"/>
      <c r="G132" s="1037"/>
      <c r="H132" s="1037"/>
      <c r="I132" s="1037"/>
      <c r="J132" s="1037"/>
      <c r="K132" s="1037"/>
      <c r="L132" s="1037"/>
      <c r="M132" s="1037"/>
      <c r="N132" s="1037"/>
      <c r="O132" s="1037"/>
      <c r="P132" s="1037"/>
      <c r="Q132" s="1037"/>
      <c r="R132" s="1037"/>
      <c r="S132" s="1037"/>
      <c r="T132" s="1037"/>
      <c r="U132" s="1038"/>
      <c r="V132" s="1031"/>
      <c r="W132" s="1031"/>
      <c r="X132" s="1008"/>
    </row>
  </sheetData>
  <mergeCells count="1">
    <mergeCell ref="A1:X1"/>
  </mergeCells>
  <pageMargins left="0.75" right="0.75" top="1" bottom="1" header="0.5" footer="0.5"/>
  <pageSetup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66FF66"/>
  </sheetPr>
  <dimension ref="A1:Y260"/>
  <sheetViews>
    <sheetView topLeftCell="A3" zoomScale="85" zoomScaleNormal="85" workbookViewId="0">
      <pane ySplit="2" topLeftCell="A5" activePane="bottomLeft" state="frozen"/>
      <selection activeCell="F33" sqref="F33"/>
      <selection pane="bottomLeft" activeCell="E233" sqref="E233"/>
    </sheetView>
  </sheetViews>
  <sheetFormatPr defaultRowHeight="12.75" outlineLevelRow="1" outlineLevelCol="1" x14ac:dyDescent="0.2"/>
  <cols>
    <col min="1" max="1" width="30.42578125" style="996" customWidth="1"/>
    <col min="2" max="2" width="20.140625" style="996" customWidth="1"/>
    <col min="3" max="3" width="10.85546875" style="996" customWidth="1"/>
    <col min="4" max="4" width="10.42578125" style="996" customWidth="1"/>
    <col min="5" max="16" width="7.140625" style="996" customWidth="1" outlineLevel="1"/>
    <col min="17" max="17" width="9.28515625" style="996" customWidth="1"/>
    <col min="18" max="18" width="18.140625" style="996" customWidth="1"/>
    <col min="19" max="19" width="10.28515625" style="996" customWidth="1"/>
    <col min="20" max="20" width="44.5703125" style="996" customWidth="1"/>
    <col min="21" max="21" width="55" style="997" customWidth="1"/>
    <col min="22" max="16384" width="9.140625" style="996"/>
  </cols>
  <sheetData>
    <row r="1" spans="1:25" ht="86.25" customHeight="1" thickBot="1" x14ac:dyDescent="0.25">
      <c r="A1" s="1865" t="s">
        <v>1769</v>
      </c>
      <c r="B1" s="1870"/>
      <c r="C1" s="1870"/>
      <c r="D1" s="1870"/>
      <c r="E1" s="1870"/>
      <c r="F1" s="1870"/>
      <c r="G1" s="1870"/>
      <c r="H1" s="1870"/>
      <c r="I1" s="1870"/>
      <c r="J1" s="1870"/>
      <c r="K1" s="1870"/>
      <c r="L1" s="1870"/>
      <c r="M1" s="1870"/>
      <c r="N1" s="1870"/>
      <c r="O1" s="1870"/>
      <c r="P1" s="1870"/>
      <c r="Q1" s="1870"/>
      <c r="R1" s="1870"/>
      <c r="S1" s="1870"/>
      <c r="T1" s="1870"/>
      <c r="U1" s="1871"/>
      <c r="V1" s="1022"/>
      <c r="W1" s="1022"/>
      <c r="X1" s="1022"/>
      <c r="Y1" s="1022"/>
    </row>
    <row r="2" spans="1:25" ht="13.5" thickBot="1" x14ac:dyDescent="0.25"/>
    <row r="3" spans="1:25" ht="30.75" thickBot="1" x14ac:dyDescent="0.25">
      <c r="A3" s="999" t="s">
        <v>5</v>
      </c>
      <c r="B3" s="999" t="s">
        <v>7</v>
      </c>
      <c r="C3" s="999" t="s">
        <v>1766</v>
      </c>
      <c r="D3" s="999" t="s">
        <v>0</v>
      </c>
      <c r="E3" s="1044"/>
      <c r="F3" s="1043"/>
      <c r="G3" s="1043"/>
      <c r="H3" s="1043"/>
      <c r="I3" s="1043"/>
      <c r="J3" s="1043" t="s">
        <v>2</v>
      </c>
      <c r="K3" s="1043"/>
      <c r="L3" s="1043"/>
      <c r="M3" s="1043"/>
      <c r="N3" s="1043"/>
      <c r="O3" s="1043"/>
      <c r="P3" s="1043"/>
      <c r="Q3" s="1045"/>
      <c r="R3" s="1045"/>
      <c r="S3" s="999" t="s">
        <v>23</v>
      </c>
      <c r="T3" s="999" t="s">
        <v>17</v>
      </c>
      <c r="U3" s="999" t="s">
        <v>6</v>
      </c>
    </row>
    <row r="4" spans="1:25" x14ac:dyDescent="0.2">
      <c r="A4" s="1008" t="s">
        <v>1798</v>
      </c>
      <c r="B4" s="1008"/>
      <c r="C4" s="1008"/>
      <c r="D4" s="1008"/>
      <c r="E4" s="1008">
        <v>1</v>
      </c>
      <c r="F4" s="1008">
        <v>2</v>
      </c>
      <c r="G4" s="1008">
        <v>3</v>
      </c>
      <c r="H4" s="1008">
        <v>4</v>
      </c>
      <c r="I4" s="1008">
        <v>5</v>
      </c>
      <c r="J4" s="1008">
        <v>6</v>
      </c>
      <c r="K4" s="1008">
        <v>7</v>
      </c>
      <c r="L4" s="1008">
        <v>8</v>
      </c>
      <c r="M4" s="1008">
        <v>9</v>
      </c>
      <c r="N4" s="1008">
        <v>10</v>
      </c>
      <c r="O4" s="1008">
        <v>11</v>
      </c>
      <c r="P4" s="1008">
        <v>12</v>
      </c>
      <c r="Q4" s="1023" t="s">
        <v>1803</v>
      </c>
      <c r="R4" s="1023" t="s">
        <v>2044</v>
      </c>
      <c r="S4" s="1008"/>
      <c r="T4" s="1008"/>
      <c r="U4" s="1013"/>
    </row>
    <row r="5" spans="1:25" x14ac:dyDescent="0.2">
      <c r="A5" s="1024"/>
      <c r="B5" s="1011"/>
      <c r="C5" s="1011"/>
      <c r="D5" s="1006"/>
      <c r="E5" s="1025"/>
      <c r="F5" s="1025"/>
      <c r="G5" s="1025"/>
      <c r="H5" s="1025"/>
      <c r="I5" s="1025"/>
      <c r="J5" s="1025"/>
      <c r="K5" s="1025"/>
      <c r="L5" s="1025"/>
      <c r="M5" s="1025"/>
      <c r="N5" s="1025"/>
      <c r="O5" s="1025"/>
      <c r="P5" s="1025"/>
      <c r="Q5" s="1025"/>
      <c r="R5" s="1025"/>
      <c r="S5" s="1006"/>
      <c r="T5" s="21"/>
      <c r="U5" s="1013"/>
    </row>
    <row r="6" spans="1:25" ht="13.5" thickBot="1" x14ac:dyDescent="0.25">
      <c r="A6" s="1295"/>
      <c r="B6" s="1296"/>
      <c r="C6" s="1296"/>
      <c r="D6" s="1014"/>
      <c r="E6" s="1014"/>
      <c r="F6" s="1014"/>
      <c r="G6" s="1014"/>
      <c r="H6" s="1014"/>
      <c r="I6" s="1014"/>
      <c r="J6" s="1014"/>
      <c r="K6" s="1014"/>
      <c r="L6" s="1014"/>
      <c r="M6" s="1014"/>
      <c r="N6" s="1014"/>
      <c r="O6" s="1014"/>
      <c r="P6" s="1014"/>
      <c r="Q6" s="1014"/>
      <c r="R6" s="1014"/>
      <c r="S6" s="1107"/>
      <c r="T6" s="1107"/>
      <c r="U6" s="1676"/>
    </row>
    <row r="7" spans="1:25" ht="23.25" customHeight="1" thickBot="1" x14ac:dyDescent="0.25">
      <c r="A7" s="1738" t="s">
        <v>2116</v>
      </c>
      <c r="B7" s="1047"/>
      <c r="C7" s="1047"/>
      <c r="D7" s="1047"/>
      <c r="E7" s="1047"/>
      <c r="F7" s="1047"/>
      <c r="G7" s="1047"/>
      <c r="H7" s="1047"/>
      <c r="I7" s="1047"/>
      <c r="J7" s="1047"/>
      <c r="K7" s="1047"/>
      <c r="L7" s="1047"/>
      <c r="M7" s="1047"/>
      <c r="N7" s="1047"/>
      <c r="O7" s="1047"/>
      <c r="P7" s="1047"/>
      <c r="Q7" s="1047"/>
      <c r="R7" s="1047"/>
      <c r="S7" s="1047"/>
      <c r="T7" s="1047"/>
      <c r="U7" s="1739"/>
    </row>
    <row r="8" spans="1:25" ht="45" customHeight="1" x14ac:dyDescent="0.2">
      <c r="A8" s="1225" t="s">
        <v>2160</v>
      </c>
      <c r="B8" s="1548"/>
      <c r="C8" s="1549"/>
      <c r="D8" s="1550"/>
      <c r="E8" s="1203"/>
      <c r="F8" s="1203"/>
      <c r="G8" s="1203"/>
      <c r="H8" s="1203"/>
      <c r="I8" s="1203"/>
      <c r="J8" s="1203"/>
      <c r="K8" s="1203"/>
      <c r="L8" s="1203"/>
      <c r="M8" s="1203"/>
      <c r="N8" s="1203"/>
      <c r="O8" s="1203"/>
      <c r="P8" s="1203"/>
      <c r="Q8" s="1203"/>
      <c r="R8" s="1203"/>
      <c r="S8" s="1740"/>
      <c r="T8" s="1204"/>
      <c r="U8" s="1673" t="s">
        <v>2273</v>
      </c>
    </row>
    <row r="9" spans="1:25" ht="34.5" customHeight="1" x14ac:dyDescent="0.2">
      <c r="A9" s="1211" t="s">
        <v>2069</v>
      </c>
      <c r="B9" s="1218" t="s">
        <v>2397</v>
      </c>
      <c r="C9" s="1206"/>
      <c r="D9" s="1205" t="s">
        <v>8</v>
      </c>
      <c r="E9" s="1207">
        <f ca="1">SUMIF(Method_input!$T$9:$T$30,Method_calculation!$R9,Method_input!G$9:G$30)</f>
        <v>16.666666666666668</v>
      </c>
      <c r="F9" s="1207">
        <f ca="1">SUMIF(Method_input!$T$9:$T$30,Method_calculation!$R9,Method_input!H$9:H$30)</f>
        <v>16.666666666666668</v>
      </c>
      <c r="G9" s="1207">
        <f ca="1">SUMIF(Method_input!$T$9:$T$30,Method_calculation!$R9,Method_input!I$9:I$30)</f>
        <v>16.666666666666668</v>
      </c>
      <c r="H9" s="1207">
        <f ca="1">SUMIF(Method_input!$T$9:$T$30,Method_calculation!$R9,Method_input!J$9:J$30)</f>
        <v>16.666666666666668</v>
      </c>
      <c r="I9" s="1207">
        <f ca="1">SUMIF(Method_input!$T$9:$T$30,Method_calculation!$R9,Method_input!K$9:K$30)</f>
        <v>16.666666666666668</v>
      </c>
      <c r="J9" s="1207">
        <f ca="1">SUMIF(Method_input!$T$9:$T$30,Method_calculation!$R9,Method_input!L$9:L$30)</f>
        <v>16.666666666666668</v>
      </c>
      <c r="K9" s="1207">
        <f ca="1">SUMIF(Method_input!$T$9:$T$30,Method_calculation!$R9,Method_input!M$9:M$30)</f>
        <v>16.666666666666668</v>
      </c>
      <c r="L9" s="1207">
        <f ca="1">SUMIF(Method_input!$T$9:$T$30,Method_calculation!$R9,Method_input!N$9:N$30)</f>
        <v>16.666666666666668</v>
      </c>
      <c r="M9" s="1207">
        <f ca="1">SUMIF(Method_input!$T$9:$T$30,Method_calculation!$R9,Method_input!O$9:O$30)</f>
        <v>16.666666666666668</v>
      </c>
      <c r="N9" s="1207">
        <f ca="1">SUMIF(Method_input!$T$9:$T$30,Method_calculation!$R9,Method_input!P$9:P$30)</f>
        <v>16.666666666666668</v>
      </c>
      <c r="O9" s="1207">
        <f ca="1">SUMIF(Method_input!$T$9:$T$30,Method_calculation!$R9,Method_input!Q$9:Q$30)</f>
        <v>16.666666666666668</v>
      </c>
      <c r="P9" s="1207">
        <f ca="1">SUMIF(Method_input!$T$9:$T$30,Method_calculation!$R9,Method_input!R$9:R$30)</f>
        <v>16.666666666666668</v>
      </c>
      <c r="Q9" s="1207">
        <f t="shared" ref="Q9:Q11" ca="1" si="0">SUM(E9:P9)</f>
        <v>199.99999999999997</v>
      </c>
      <c r="R9" s="1207" t="s">
        <v>43</v>
      </c>
      <c r="S9" s="1741" t="s">
        <v>1968</v>
      </c>
      <c r="T9" s="1208"/>
      <c r="U9" s="1674" t="s">
        <v>2400</v>
      </c>
    </row>
    <row r="10" spans="1:25" ht="34.5" customHeight="1" x14ac:dyDescent="0.2">
      <c r="A10" s="1211" t="s">
        <v>2070</v>
      </c>
      <c r="B10" s="1218" t="s">
        <v>2398</v>
      </c>
      <c r="C10" s="1206"/>
      <c r="D10" s="1205" t="s">
        <v>8</v>
      </c>
      <c r="E10" s="1207">
        <f ca="1">SUMIF(Method_input!$T$9:$T$30,Method_calculation!$R10,Method_input!G$9:G$30)</f>
        <v>236.46666666666664</v>
      </c>
      <c r="F10" s="1207">
        <f ca="1">SUMIF(Method_input!$T$9:$T$30,Method_calculation!$R10,Method_input!H$9:H$30)</f>
        <v>196.85</v>
      </c>
      <c r="G10" s="1207">
        <f ca="1">SUMIF(Method_input!$T$9:$T$30,Method_calculation!$R10,Method_input!I$9:I$30)</f>
        <v>157.19999999999999</v>
      </c>
      <c r="H10" s="1207">
        <f ca="1">SUMIF(Method_input!$T$9:$T$30,Method_calculation!$R10,Method_input!J$9:J$30)</f>
        <v>117.48333333333333</v>
      </c>
      <c r="I10" s="1207">
        <f ca="1">SUMIF(Method_input!$T$9:$T$30,Method_calculation!$R10,Method_input!K$9:K$30)</f>
        <v>81.05714285714285</v>
      </c>
      <c r="J10" s="1207">
        <f ca="1">SUMIF(Method_input!$T$9:$T$30,Method_calculation!$R10,Method_input!L$9:L$30)</f>
        <v>90.228571428571428</v>
      </c>
      <c r="K10" s="1207">
        <f ca="1">SUMIF(Method_input!$T$9:$T$30,Method_calculation!$R10,Method_input!M$9:M$30)</f>
        <v>95.642857142857139</v>
      </c>
      <c r="L10" s="1207">
        <f ca="1">SUMIF(Method_input!$T$9:$T$30,Method_calculation!$R10,Method_input!N$9:N$30)</f>
        <v>92.48571428571428</v>
      </c>
      <c r="M10" s="1207">
        <f ca="1">SUMIF(Method_input!$T$9:$T$30,Method_calculation!$R10,Method_input!O$9:O$30)</f>
        <v>85.771428571428572</v>
      </c>
      <c r="N10" s="1207">
        <f ca="1">SUMIF(Method_input!$T$9:$T$30,Method_calculation!$R10,Method_input!P$9:P$30)</f>
        <v>125.56666666666666</v>
      </c>
      <c r="O10" s="1207">
        <f ca="1">SUMIF(Method_input!$T$9:$T$30,Method_calculation!$R10,Method_input!Q$9:Q$30)</f>
        <v>181.03</v>
      </c>
      <c r="P10" s="1207">
        <f ca="1">SUMIF(Method_input!$T$9:$T$30,Method_calculation!$R10,Method_input!R$9:R$30)</f>
        <v>204.8</v>
      </c>
      <c r="Q10" s="1207">
        <f t="shared" ca="1" si="0"/>
        <v>1664.5823809523806</v>
      </c>
      <c r="R10" s="1207" t="s">
        <v>2049</v>
      </c>
      <c r="S10" s="1741" t="s">
        <v>1968</v>
      </c>
      <c r="T10" s="1208"/>
      <c r="U10" s="1674" t="s">
        <v>2401</v>
      </c>
    </row>
    <row r="11" spans="1:25" ht="34.5" customHeight="1" thickBot="1" x14ac:dyDescent="0.25">
      <c r="A11" s="1558" t="s">
        <v>2071</v>
      </c>
      <c r="B11" s="1672" t="s">
        <v>2399</v>
      </c>
      <c r="C11" s="1560"/>
      <c r="D11" s="1559" t="s">
        <v>8</v>
      </c>
      <c r="E11" s="1561">
        <f ca="1">SUMIF(Method_input!$T$9:$T$30,Method_calculation!$R11,Method_input!G$9:G$30)</f>
        <v>0</v>
      </c>
      <c r="F11" s="1561">
        <f ca="1">SUMIF(Method_input!$T$9:$T$30,Method_calculation!$R11,Method_input!H$9:H$30)</f>
        <v>0</v>
      </c>
      <c r="G11" s="1561">
        <f ca="1">SUMIF(Method_input!$T$9:$T$30,Method_calculation!$R11,Method_input!I$9:I$30)</f>
        <v>0</v>
      </c>
      <c r="H11" s="1561">
        <f ca="1">SUMIF(Method_input!$T$9:$T$30,Method_calculation!$R11,Method_input!J$9:J$30)</f>
        <v>0</v>
      </c>
      <c r="I11" s="1561">
        <f ca="1">SUMIF(Method_input!$T$9:$T$30,Method_calculation!$R11,Method_input!K$9:K$30)</f>
        <v>0</v>
      </c>
      <c r="J11" s="1561">
        <f ca="1">SUMIF(Method_input!$T$9:$T$30,Method_calculation!$R11,Method_input!L$9:L$30)</f>
        <v>0</v>
      </c>
      <c r="K11" s="1561">
        <f ca="1">SUMIF(Method_input!$T$9:$T$30,Method_calculation!$R11,Method_input!M$9:M$30)</f>
        <v>0</v>
      </c>
      <c r="L11" s="1561">
        <f ca="1">SUMIF(Method_input!$T$9:$T$30,Method_calculation!$R11,Method_input!N$9:N$30)</f>
        <v>0</v>
      </c>
      <c r="M11" s="1561">
        <f ca="1">SUMIF(Method_input!$T$9:$T$30,Method_calculation!$R11,Method_input!O$9:O$30)</f>
        <v>0</v>
      </c>
      <c r="N11" s="1561">
        <f ca="1">SUMIF(Method_input!$T$9:$T$30,Method_calculation!$R11,Method_input!P$9:P$30)</f>
        <v>0</v>
      </c>
      <c r="O11" s="1561">
        <f ca="1">SUMIF(Method_input!$T$9:$T$30,Method_calculation!$R11,Method_input!Q$9:Q$30)</f>
        <v>0</v>
      </c>
      <c r="P11" s="1561">
        <f ca="1">SUMIF(Method_input!$T$9:$T$30,Method_calculation!$R11,Method_input!R$9:R$30)</f>
        <v>0</v>
      </c>
      <c r="Q11" s="1561">
        <f t="shared" ca="1" si="0"/>
        <v>0</v>
      </c>
      <c r="R11" s="1561" t="s">
        <v>2072</v>
      </c>
      <c r="S11" s="1742" t="s">
        <v>1968</v>
      </c>
      <c r="T11" s="1562"/>
      <c r="U11" s="1675" t="s">
        <v>2402</v>
      </c>
    </row>
    <row r="12" spans="1:25" ht="34.5" customHeight="1" thickBot="1" x14ac:dyDescent="0.25">
      <c r="A12" s="1563" t="s">
        <v>1817</v>
      </c>
      <c r="B12" s="1564" t="s">
        <v>1818</v>
      </c>
      <c r="C12" s="1565"/>
      <c r="D12" s="1564" t="s">
        <v>8</v>
      </c>
      <c r="E12" s="1566">
        <f ca="1">SUM(Method_input!G9:G17)+SUM(Method_input!G19:G30)</f>
        <v>253.1333333333333</v>
      </c>
      <c r="F12" s="1566">
        <f ca="1">SUM(Method_input!H9:H17)+SUM(Method_input!H19:H30)</f>
        <v>213.51666666666665</v>
      </c>
      <c r="G12" s="1566">
        <f ca="1">SUM(Method_input!I9:I17)+SUM(Method_input!I19:I30)</f>
        <v>173.86666666666665</v>
      </c>
      <c r="H12" s="1566">
        <f ca="1">SUM(Method_input!J9:J17)+SUM(Method_input!J19:J30)</f>
        <v>134.15</v>
      </c>
      <c r="I12" s="1566">
        <f ca="1">SUM(Method_input!K9:K17)+SUM(Method_input!K19:K30)</f>
        <v>97.723809523809521</v>
      </c>
      <c r="J12" s="1566">
        <f ca="1">SUM(Method_input!L9:L17)+SUM(Method_input!L19:L30)</f>
        <v>106.8952380952381</v>
      </c>
      <c r="K12" s="1566">
        <f ca="1">SUM(Method_input!M9:M17)+SUM(Method_input!M19:M30)</f>
        <v>112.30952380952381</v>
      </c>
      <c r="L12" s="1566">
        <f ca="1">SUM(Method_input!N9:N17)+SUM(Method_input!N19:N30)</f>
        <v>109.15238095238095</v>
      </c>
      <c r="M12" s="1566">
        <f ca="1">SUM(Method_input!O9:O17)+SUM(Method_input!O19:O30)</f>
        <v>102.43809523809524</v>
      </c>
      <c r="N12" s="1566">
        <f ca="1">SUM(Method_input!P9:P17)+SUM(Method_input!P19:P30)</f>
        <v>142.23333333333332</v>
      </c>
      <c r="O12" s="1566">
        <f ca="1">SUM(Method_input!Q9:Q17)+SUM(Method_input!Q19:Q30)</f>
        <v>197.69666666666666</v>
      </c>
      <c r="P12" s="1566">
        <f ca="1">SUM(Method_input!R9:R17)+SUM(Method_input!R19:R30)</f>
        <v>221.46666666666667</v>
      </c>
      <c r="Q12" s="1566">
        <f ca="1">SUM(E12:P12)</f>
        <v>1864.5823809523811</v>
      </c>
      <c r="R12" s="1566"/>
      <c r="S12" s="1743" t="s">
        <v>2374</v>
      </c>
      <c r="T12" s="1567"/>
      <c r="U12" s="1677" t="s">
        <v>2068</v>
      </c>
    </row>
    <row r="13" spans="1:25" ht="44.25" customHeight="1" thickBot="1" x14ac:dyDescent="0.25">
      <c r="A13" s="1569" t="s">
        <v>1819</v>
      </c>
      <c r="B13" s="1570" t="s">
        <v>2081</v>
      </c>
      <c r="C13" s="1571"/>
      <c r="D13" s="1570" t="s">
        <v>8</v>
      </c>
      <c r="E13" s="1568">
        <f ca="1">+Method_input!G37</f>
        <v>0</v>
      </c>
      <c r="F13" s="1568">
        <f ca="1">+Method_input!H37</f>
        <v>0</v>
      </c>
      <c r="G13" s="1568">
        <f ca="1">+Method_input!I37</f>
        <v>0</v>
      </c>
      <c r="H13" s="1568">
        <f ca="1">+Method_input!J37</f>
        <v>0</v>
      </c>
      <c r="I13" s="1568">
        <f ca="1">+Method_input!K37</f>
        <v>0</v>
      </c>
      <c r="J13" s="1568">
        <f ca="1">+Method_input!L37</f>
        <v>0</v>
      </c>
      <c r="K13" s="1568">
        <f ca="1">+Method_input!M37</f>
        <v>0</v>
      </c>
      <c r="L13" s="1568">
        <f ca="1">+Method_input!N37</f>
        <v>0</v>
      </c>
      <c r="M13" s="1568">
        <f ca="1">+Method_input!O37</f>
        <v>0</v>
      </c>
      <c r="N13" s="1568">
        <f ca="1">+Method_input!P37</f>
        <v>0</v>
      </c>
      <c r="O13" s="1568">
        <f ca="1">+Method_input!Q37</f>
        <v>0</v>
      </c>
      <c r="P13" s="1568">
        <f ca="1">+Method_input!R37</f>
        <v>0</v>
      </c>
      <c r="Q13" s="1568">
        <f ca="1">SUM(E13:P13)</f>
        <v>0</v>
      </c>
      <c r="R13" s="1568" t="s">
        <v>2073</v>
      </c>
      <c r="S13" s="1744"/>
      <c r="T13" s="1557"/>
      <c r="U13" s="1678" t="s">
        <v>1820</v>
      </c>
    </row>
    <row r="14" spans="1:25" ht="44.25" customHeight="1" x14ac:dyDescent="0.2">
      <c r="A14" s="1572" t="s">
        <v>2041</v>
      </c>
      <c r="B14" s="1573"/>
      <c r="C14" s="1574"/>
      <c r="D14" s="1575"/>
      <c r="E14" s="1216"/>
      <c r="F14" s="1216"/>
      <c r="G14" s="1216"/>
      <c r="H14" s="1216"/>
      <c r="I14" s="1216"/>
      <c r="J14" s="1216"/>
      <c r="K14" s="1216"/>
      <c r="L14" s="1216"/>
      <c r="M14" s="1216"/>
      <c r="N14" s="1216"/>
      <c r="O14" s="1216"/>
      <c r="P14" s="1216"/>
      <c r="Q14" s="1216"/>
      <c r="R14" s="1216"/>
      <c r="S14" s="1745"/>
      <c r="T14" s="1217"/>
      <c r="U14" s="1679" t="s">
        <v>2274</v>
      </c>
    </row>
    <row r="15" spans="1:25" ht="34.5" customHeight="1" x14ac:dyDescent="0.2">
      <c r="A15" s="1226" t="s">
        <v>2075</v>
      </c>
      <c r="B15" s="1218" t="s">
        <v>2079</v>
      </c>
      <c r="C15" s="1209"/>
      <c r="D15" s="1219" t="s">
        <v>8</v>
      </c>
      <c r="E15" s="1207">
        <f ca="1">SUMIF(Method_input!$T$32:$T$34,Method_calculation!$R15,Method_input!G$32:G$34)</f>
        <v>45</v>
      </c>
      <c r="F15" s="1207">
        <f ca="1">SUMIF(Method_input!$T$32:$T$34,Method_calculation!$R15,Method_input!H$32:H$34)</f>
        <v>60</v>
      </c>
      <c r="G15" s="1207">
        <f ca="1">SUMIF(Method_input!$T$32:$T$34,Method_calculation!$R15,Method_input!I$32:I$34)</f>
        <v>150</v>
      </c>
      <c r="H15" s="1207">
        <f ca="1">SUMIF(Method_input!$T$32:$T$34,Method_calculation!$R15,Method_input!J$32:J$34)</f>
        <v>210</v>
      </c>
      <c r="I15" s="1207">
        <f ca="1">SUMIF(Method_input!$T$32:$T$34,Method_calculation!$R15,Method_input!K$32:K$34)</f>
        <v>255</v>
      </c>
      <c r="J15" s="1207">
        <f ca="1">SUMIF(Method_input!$T$32:$T$34,Method_calculation!$R15,Method_input!L$32:L$34)</f>
        <v>285</v>
      </c>
      <c r="K15" s="1207">
        <f ca="1">SUMIF(Method_input!$T$32:$T$34,Method_calculation!$R15,Method_input!M$32:M$34)</f>
        <v>300</v>
      </c>
      <c r="L15" s="1207">
        <f ca="1">SUMIF(Method_input!$T$32:$T$34,Method_calculation!$R15,Method_input!N$32:N$34)</f>
        <v>270</v>
      </c>
      <c r="M15" s="1207">
        <f ca="1">SUMIF(Method_input!$T$32:$T$34,Method_calculation!$R15,Method_input!O$32:O$34)</f>
        <v>240</v>
      </c>
      <c r="N15" s="1207">
        <f ca="1">SUMIF(Method_input!$T$32:$T$34,Method_calculation!$R15,Method_input!P$32:P$34)</f>
        <v>180</v>
      </c>
      <c r="O15" s="1207">
        <f ca="1">SUMIF(Method_input!$T$32:$T$34,Method_calculation!$R15,Method_input!Q$32:Q$34)</f>
        <v>120</v>
      </c>
      <c r="P15" s="1207">
        <f ca="1">SUMIF(Method_input!$T$32:$T$34,Method_calculation!$R15,Method_input!R$32:R$34)</f>
        <v>90</v>
      </c>
      <c r="Q15" s="1207">
        <f t="shared" ref="Q15:Q16" ca="1" si="1">SUM(E15:P15)</f>
        <v>2205</v>
      </c>
      <c r="R15" s="1207" t="s">
        <v>2077</v>
      </c>
      <c r="S15" s="1741" t="s">
        <v>1968</v>
      </c>
      <c r="T15" s="1208"/>
      <c r="U15" s="1680" t="s">
        <v>2082</v>
      </c>
    </row>
    <row r="16" spans="1:25" ht="34.5" customHeight="1" x14ac:dyDescent="0.2">
      <c r="A16" s="1226" t="s">
        <v>2076</v>
      </c>
      <c r="B16" s="1218" t="s">
        <v>2080</v>
      </c>
      <c r="C16" s="1209"/>
      <c r="D16" s="1219" t="s">
        <v>8</v>
      </c>
      <c r="E16" s="1207">
        <f ca="1">SUMIF(Method_input!$T$32:$T$34,Method_calculation!$R16,Method_input!G$32:G$34)</f>
        <v>63.636363636363633</v>
      </c>
      <c r="F16" s="1207">
        <f ca="1">SUMIF(Method_input!$T$32:$T$34,Method_calculation!$R16,Method_input!H$32:H$34)</f>
        <v>63.636363636363633</v>
      </c>
      <c r="G16" s="1207">
        <f ca="1">SUMIF(Method_input!$T$32:$T$34,Method_calculation!$R16,Method_input!I$32:I$34)</f>
        <v>63.636363636363633</v>
      </c>
      <c r="H16" s="1207">
        <f ca="1">SUMIF(Method_input!$T$32:$T$34,Method_calculation!$R16,Method_input!J$32:J$34)</f>
        <v>63.636363636363633</v>
      </c>
      <c r="I16" s="1207">
        <f ca="1">SUMIF(Method_input!$T$32:$T$34,Method_calculation!$R16,Method_input!K$32:K$34)</f>
        <v>38.181818181818187</v>
      </c>
      <c r="J16" s="1207">
        <f ca="1">SUMIF(Method_input!$T$32:$T$34,Method_calculation!$R16,Method_input!L$32:L$34)</f>
        <v>25.454545454545453</v>
      </c>
      <c r="K16" s="1207">
        <f ca="1">SUMIF(Method_input!$T$32:$T$34,Method_calculation!$R16,Method_input!M$32:M$34)</f>
        <v>31.818181818181817</v>
      </c>
      <c r="L16" s="1207">
        <f ca="1">SUMIF(Method_input!$T$32:$T$34,Method_calculation!$R16,Method_input!N$32:N$34)</f>
        <v>38.181818181818187</v>
      </c>
      <c r="M16" s="1207">
        <f ca="1">SUMIF(Method_input!$T$32:$T$34,Method_calculation!$R16,Method_input!O$32:O$34)</f>
        <v>63.636363636363633</v>
      </c>
      <c r="N16" s="1207">
        <f ca="1">SUMIF(Method_input!$T$32:$T$34,Method_calculation!$R16,Method_input!P$32:P$34)</f>
        <v>63.636363636363633</v>
      </c>
      <c r="O16" s="1207">
        <f ca="1">SUMIF(Method_input!$T$32:$T$34,Method_calculation!$R16,Method_input!Q$32:Q$34)</f>
        <v>63.636363636363633</v>
      </c>
      <c r="P16" s="1207">
        <f ca="1">SUMIF(Method_input!$T$32:$T$34,Method_calculation!$R16,Method_input!R$32:R$34)</f>
        <v>63.636363636363633</v>
      </c>
      <c r="Q16" s="1207">
        <f t="shared" ca="1" si="1"/>
        <v>642.72727272727275</v>
      </c>
      <c r="R16" s="1207" t="s">
        <v>2078</v>
      </c>
      <c r="S16" s="1741" t="s">
        <v>1968</v>
      </c>
      <c r="T16" s="1208"/>
      <c r="U16" s="1680" t="s">
        <v>2083</v>
      </c>
    </row>
    <row r="17" spans="1:21" ht="34.5" customHeight="1" thickBot="1" x14ac:dyDescent="0.25">
      <c r="A17" s="1227" t="s">
        <v>2281</v>
      </c>
      <c r="B17" s="1218" t="s">
        <v>2282</v>
      </c>
      <c r="C17" s="1221"/>
      <c r="D17" s="1222" t="s">
        <v>8</v>
      </c>
      <c r="E17" s="1223"/>
      <c r="F17" s="1223"/>
      <c r="G17" s="1223"/>
      <c r="H17" s="1223"/>
      <c r="I17" s="1223"/>
      <c r="J17" s="1223"/>
      <c r="K17" s="1223"/>
      <c r="L17" s="1223"/>
      <c r="M17" s="1223"/>
      <c r="N17" s="1223"/>
      <c r="O17" s="1223"/>
      <c r="P17" s="1223"/>
      <c r="Q17" s="1223"/>
      <c r="R17" s="1223" t="s">
        <v>2270</v>
      </c>
      <c r="S17" s="1746" t="s">
        <v>1968</v>
      </c>
      <c r="T17" s="1224"/>
      <c r="U17" s="1681" t="s">
        <v>2271</v>
      </c>
    </row>
    <row r="18" spans="1:21" ht="34.5" customHeight="1" thickBot="1" x14ac:dyDescent="0.25">
      <c r="A18" s="1552" t="s">
        <v>1821</v>
      </c>
      <c r="B18" s="1553" t="s">
        <v>1822</v>
      </c>
      <c r="C18" s="1554"/>
      <c r="D18" s="1555" t="s">
        <v>8</v>
      </c>
      <c r="E18" s="1556">
        <f ca="1">SUM(E15:E17)</f>
        <v>108.63636363636363</v>
      </c>
      <c r="F18" s="1556">
        <f t="shared" ref="F18:P18" ca="1" si="2">SUM(F15:F17)</f>
        <v>123.63636363636363</v>
      </c>
      <c r="G18" s="1556">
        <f t="shared" ca="1" si="2"/>
        <v>213.63636363636363</v>
      </c>
      <c r="H18" s="1556">
        <f t="shared" ca="1" si="2"/>
        <v>273.63636363636363</v>
      </c>
      <c r="I18" s="1556">
        <f t="shared" ca="1" si="2"/>
        <v>293.18181818181819</v>
      </c>
      <c r="J18" s="1556">
        <f t="shared" ca="1" si="2"/>
        <v>310.45454545454544</v>
      </c>
      <c r="K18" s="1556">
        <f t="shared" ca="1" si="2"/>
        <v>331.81818181818181</v>
      </c>
      <c r="L18" s="1556">
        <f t="shared" ca="1" si="2"/>
        <v>308.18181818181819</v>
      </c>
      <c r="M18" s="1556">
        <f t="shared" ca="1" si="2"/>
        <v>303.63636363636363</v>
      </c>
      <c r="N18" s="1556">
        <f t="shared" ca="1" si="2"/>
        <v>243.63636363636363</v>
      </c>
      <c r="O18" s="1556">
        <f t="shared" ca="1" si="2"/>
        <v>183.63636363636363</v>
      </c>
      <c r="P18" s="1556">
        <f t="shared" ca="1" si="2"/>
        <v>153.63636363636363</v>
      </c>
      <c r="Q18" s="1556">
        <f ca="1">SUM(E18:P18)</f>
        <v>2847.7272727272725</v>
      </c>
      <c r="R18" s="1556" t="s">
        <v>1319</v>
      </c>
      <c r="S18" s="1747" t="s">
        <v>2375</v>
      </c>
      <c r="T18" s="1557"/>
      <c r="U18" s="1682" t="s">
        <v>2074</v>
      </c>
    </row>
    <row r="19" spans="1:21" ht="34.5" customHeight="1" x14ac:dyDescent="0.2">
      <c r="A19" s="1289"/>
      <c r="B19" s="1290"/>
      <c r="C19" s="1063"/>
      <c r="D19" s="1291"/>
      <c r="E19" s="1292"/>
      <c r="F19" s="1292"/>
      <c r="G19" s="1292"/>
      <c r="H19" s="1292"/>
      <c r="I19" s="1292"/>
      <c r="J19" s="1292"/>
      <c r="K19" s="1292"/>
      <c r="L19" s="1292"/>
      <c r="M19" s="1292"/>
      <c r="N19" s="1292"/>
      <c r="O19" s="1292"/>
      <c r="P19" s="1292"/>
      <c r="Q19" s="1292"/>
      <c r="R19" s="1292"/>
      <c r="S19" s="1748"/>
      <c r="T19" s="1293"/>
      <c r="U19" s="1683"/>
    </row>
    <row r="20" spans="1:21" ht="34.5" customHeight="1" x14ac:dyDescent="0.2">
      <c r="A20" s="1456"/>
      <c r="B20" s="1200"/>
      <c r="C20" s="1002"/>
      <c r="D20" s="1210"/>
      <c r="E20" s="1201"/>
      <c r="F20" s="1201"/>
      <c r="G20" s="1201"/>
      <c r="H20" s="1201"/>
      <c r="I20" s="1201"/>
      <c r="J20" s="1201"/>
      <c r="K20" s="1201"/>
      <c r="L20" s="1201"/>
      <c r="M20" s="1201"/>
      <c r="N20" s="1201"/>
      <c r="O20" s="1201"/>
      <c r="P20" s="1201"/>
      <c r="Q20" s="1201"/>
      <c r="R20" s="1201"/>
      <c r="S20" s="1749"/>
      <c r="T20" s="1202"/>
      <c r="U20" s="1684"/>
    </row>
    <row r="21" spans="1:21" ht="34.5" customHeight="1" thickBot="1" x14ac:dyDescent="0.25">
      <c r="A21" s="1576"/>
      <c r="B21" s="1212"/>
      <c r="C21" s="1213"/>
      <c r="D21" s="1228"/>
      <c r="E21" s="1214"/>
      <c r="F21" s="1214"/>
      <c r="G21" s="1214"/>
      <c r="H21" s="1214"/>
      <c r="I21" s="1214"/>
      <c r="J21" s="1214"/>
      <c r="K21" s="1214"/>
      <c r="L21" s="1214"/>
      <c r="M21" s="1214"/>
      <c r="N21" s="1214"/>
      <c r="O21" s="1214"/>
      <c r="P21" s="1214"/>
      <c r="Q21" s="1214"/>
      <c r="R21" s="1214"/>
      <c r="S21" s="1750"/>
      <c r="T21" s="1215"/>
      <c r="U21" s="1685"/>
    </row>
    <row r="22" spans="1:21" ht="34.5" customHeight="1" x14ac:dyDescent="0.2">
      <c r="A22" s="1730" t="s">
        <v>1865</v>
      </c>
      <c r="B22" s="1731"/>
      <c r="C22" s="1732"/>
      <c r="D22" s="1729"/>
      <c r="E22" s="1733"/>
      <c r="F22" s="1733"/>
      <c r="G22" s="1733"/>
      <c r="H22" s="1733"/>
      <c r="I22" s="1733"/>
      <c r="J22" s="1733"/>
      <c r="K22" s="1733"/>
      <c r="L22" s="1733"/>
      <c r="M22" s="1733"/>
      <c r="N22" s="1733"/>
      <c r="O22" s="1733"/>
      <c r="P22" s="1733"/>
      <c r="Q22" s="1733"/>
      <c r="R22" s="1733"/>
      <c r="S22" s="1734"/>
      <c r="T22" s="1735"/>
      <c r="U22" s="1736"/>
    </row>
    <row r="23" spans="1:21" ht="40.5" customHeight="1" x14ac:dyDescent="0.2">
      <c r="A23" s="1013" t="s">
        <v>2201</v>
      </c>
      <c r="B23" s="1005"/>
      <c r="C23" s="1008"/>
      <c r="D23" s="1012" t="s">
        <v>9</v>
      </c>
      <c r="E23" s="1084">
        <f t="shared" ref="E23:P23" ca="1" si="3">IF(E12&gt;0,E18/E12,0)</f>
        <v>0.42916656690688826</v>
      </c>
      <c r="F23" s="1084">
        <f t="shared" ca="1" si="3"/>
        <v>0.57904783531198334</v>
      </c>
      <c r="G23" s="1084">
        <f t="shared" ca="1" si="3"/>
        <v>1.2287367540435026</v>
      </c>
      <c r="H23" s="1084">
        <f t="shared" ca="1" si="3"/>
        <v>2.0397790804052449</v>
      </c>
      <c r="I23" s="1084">
        <f t="shared" ca="1" si="3"/>
        <v>3.0001063160599268</v>
      </c>
      <c r="J23" s="1084">
        <f t="shared" ca="1" si="3"/>
        <v>2.9042878895872479</v>
      </c>
      <c r="K23" s="1084">
        <f t="shared" ca="1" si="3"/>
        <v>2.954497272919999</v>
      </c>
      <c r="L23" s="1084">
        <f t="shared" ca="1" si="3"/>
        <v>2.8234090314188038</v>
      </c>
      <c r="M23" s="1084">
        <f t="shared" ca="1" si="3"/>
        <v>2.9640961492951079</v>
      </c>
      <c r="N23" s="1084">
        <f t="shared" ca="1" si="3"/>
        <v>1.712934358821399</v>
      </c>
      <c r="O23" s="1084">
        <f t="shared" ca="1" si="3"/>
        <v>0.92887941275201213</v>
      </c>
      <c r="P23" s="1084">
        <f t="shared" ca="1" si="3"/>
        <v>0.69372229215697001</v>
      </c>
      <c r="Q23" s="1489"/>
      <c r="R23" s="1028"/>
      <c r="S23" s="1717" t="s">
        <v>1968</v>
      </c>
      <c r="T23" s="22"/>
      <c r="U23" s="1013"/>
    </row>
    <row r="24" spans="1:21" ht="42.75" customHeight="1" x14ac:dyDescent="0.2">
      <c r="A24" s="1300" t="s">
        <v>2202</v>
      </c>
      <c r="B24" s="1036" t="s">
        <v>1824</v>
      </c>
      <c r="C24" s="1005"/>
      <c r="D24" s="1012" t="s">
        <v>9</v>
      </c>
      <c r="E24" s="1084">
        <f ca="1">IF(E23&gt;0,(E23+1/E23-1)/(E23+1/E23),1)</f>
        <v>0.63758454102370155</v>
      </c>
      <c r="F24" s="1084">
        <f t="shared" ref="F24:P24" ca="1" si="4">IF(F23&gt;0,(F23+1/F23-1)/(F23+1/F23),1)</f>
        <v>0.56635258117304554</v>
      </c>
      <c r="G24" s="1084">
        <f t="shared" ca="1" si="4"/>
        <v>0.51042326629725798</v>
      </c>
      <c r="H24" s="1084">
        <f t="shared" ca="1" si="4"/>
        <v>0.60474749637160841</v>
      </c>
      <c r="I24" s="1084">
        <f t="shared" ca="1" si="4"/>
        <v>0.7000085050813416</v>
      </c>
      <c r="J24" s="1084">
        <f t="shared" ca="1" si="4"/>
        <v>0.69217569463812822</v>
      </c>
      <c r="K24" s="1084">
        <f t="shared" ca="1" si="4"/>
        <v>0.69632224965413436</v>
      </c>
      <c r="L24" s="1084">
        <f t="shared" ca="1" si="4"/>
        <v>0.68529616825883599</v>
      </c>
      <c r="M24" s="1084">
        <f t="shared" ca="1" si="4"/>
        <v>0.69710435901466128</v>
      </c>
      <c r="N24" s="1084">
        <f t="shared" ca="1" si="4"/>
        <v>0.56459796397776096</v>
      </c>
      <c r="O24" s="1084">
        <f t="shared" ca="1" si="4"/>
        <v>0.50135765832869938</v>
      </c>
      <c r="P24" s="1084">
        <f t="shared" ca="1" si="4"/>
        <v>0.5316644709346996</v>
      </c>
      <c r="Q24" s="1028"/>
      <c r="R24" s="1028"/>
      <c r="S24" s="1751" t="s">
        <v>2377</v>
      </c>
      <c r="T24" s="22"/>
      <c r="U24" s="1013"/>
    </row>
    <row r="25" spans="1:21" ht="42.75" customHeight="1" x14ac:dyDescent="0.2">
      <c r="A25" s="1506" t="s">
        <v>2084</v>
      </c>
      <c r="B25" s="1507"/>
      <c r="C25" s="1005"/>
      <c r="D25" s="1006"/>
      <c r="E25" s="1505" t="str">
        <f>+Method_input!T115</f>
        <v>NO</v>
      </c>
      <c r="F25" s="1084"/>
      <c r="G25" s="1084"/>
      <c r="H25" s="1084"/>
      <c r="I25" s="1084"/>
      <c r="J25" s="1084"/>
      <c r="K25" s="1084"/>
      <c r="L25" s="1084"/>
      <c r="M25" s="1084"/>
      <c r="N25" s="1084"/>
      <c r="O25" s="1084"/>
      <c r="P25" s="1084"/>
      <c r="Q25" s="1028"/>
      <c r="R25" s="1028"/>
      <c r="S25" s="1717"/>
      <c r="T25" s="22"/>
      <c r="U25" s="1013"/>
    </row>
    <row r="26" spans="1:21" ht="34.5" customHeight="1" x14ac:dyDescent="0.2">
      <c r="A26" s="1087" t="s">
        <v>1830</v>
      </c>
      <c r="B26" s="1475" t="s">
        <v>1827</v>
      </c>
      <c r="C26" s="1021"/>
      <c r="D26" s="1012" t="s">
        <v>8</v>
      </c>
      <c r="E26" s="1028">
        <f t="shared" ref="E26:P26" ca="1" si="5">IF($E$25="YES",E24*MIN(E12,E18),MIN(E12,E18))</f>
        <v>108.63636363636363</v>
      </c>
      <c r="F26" s="1028">
        <f t="shared" ca="1" si="5"/>
        <v>123.63636363636363</v>
      </c>
      <c r="G26" s="1028">
        <f t="shared" ca="1" si="5"/>
        <v>173.86666666666665</v>
      </c>
      <c r="H26" s="1028">
        <f t="shared" ca="1" si="5"/>
        <v>134.15</v>
      </c>
      <c r="I26" s="1028">
        <f t="shared" ca="1" si="5"/>
        <v>97.723809523809521</v>
      </c>
      <c r="J26" s="1028">
        <f t="shared" ca="1" si="5"/>
        <v>106.8952380952381</v>
      </c>
      <c r="K26" s="1028">
        <f t="shared" ca="1" si="5"/>
        <v>112.30952380952381</v>
      </c>
      <c r="L26" s="1028">
        <f t="shared" ca="1" si="5"/>
        <v>109.15238095238095</v>
      </c>
      <c r="M26" s="1028">
        <f t="shared" ca="1" si="5"/>
        <v>102.43809523809524</v>
      </c>
      <c r="N26" s="1028">
        <f t="shared" ca="1" si="5"/>
        <v>142.23333333333332</v>
      </c>
      <c r="O26" s="1028">
        <f t="shared" ca="1" si="5"/>
        <v>183.63636363636363</v>
      </c>
      <c r="P26" s="1028">
        <f t="shared" ca="1" si="5"/>
        <v>153.63636363636363</v>
      </c>
      <c r="Q26" s="1028">
        <f ca="1">SUM(E26:P26)</f>
        <v>1548.3145021645023</v>
      </c>
      <c r="R26" s="1028"/>
      <c r="S26" s="1751" t="s">
        <v>2376</v>
      </c>
      <c r="T26"/>
      <c r="U26" s="1013"/>
    </row>
    <row r="27" spans="1:21" ht="37.5" customHeight="1" x14ac:dyDescent="0.2">
      <c r="A27" s="1086" t="s">
        <v>1828</v>
      </c>
      <c r="B27" s="1177" t="s">
        <v>1829</v>
      </c>
      <c r="C27" s="1027"/>
      <c r="D27" s="1006" t="s">
        <v>8</v>
      </c>
      <c r="E27" s="1028">
        <f t="shared" ref="E27:P27" ca="1" si="6">+E18-E26</f>
        <v>0</v>
      </c>
      <c r="F27" s="1028">
        <f t="shared" ca="1" si="6"/>
        <v>0</v>
      </c>
      <c r="G27" s="1028">
        <f t="shared" ca="1" si="6"/>
        <v>39.76969696969698</v>
      </c>
      <c r="H27" s="1028">
        <f t="shared" ca="1" si="6"/>
        <v>139.48636363636362</v>
      </c>
      <c r="I27" s="1028">
        <f t="shared" ca="1" si="6"/>
        <v>195.45800865800868</v>
      </c>
      <c r="J27" s="1028">
        <f t="shared" ca="1" si="6"/>
        <v>203.55930735930735</v>
      </c>
      <c r="K27" s="1028">
        <f t="shared" ca="1" si="6"/>
        <v>219.50865800865802</v>
      </c>
      <c r="L27" s="1028">
        <f t="shared" ca="1" si="6"/>
        <v>199.02943722943724</v>
      </c>
      <c r="M27" s="1028">
        <f t="shared" ca="1" si="6"/>
        <v>201.1982683982684</v>
      </c>
      <c r="N27" s="1028">
        <f t="shared" ca="1" si="6"/>
        <v>101.40303030303031</v>
      </c>
      <c r="O27" s="1028">
        <f t="shared" ca="1" si="6"/>
        <v>0</v>
      </c>
      <c r="P27" s="1028">
        <f t="shared" ca="1" si="6"/>
        <v>0</v>
      </c>
      <c r="Q27" s="1028">
        <f ca="1">SUM(E27:P27)</f>
        <v>1299.4127705627707</v>
      </c>
      <c r="R27" s="1028"/>
      <c r="S27" s="1751" t="s">
        <v>2378</v>
      </c>
      <c r="T27" s="22"/>
      <c r="U27" s="1013"/>
    </row>
    <row r="28" spans="1:21" ht="34.5" customHeight="1" x14ac:dyDescent="0.2">
      <c r="A28" s="1086" t="s">
        <v>1831</v>
      </c>
      <c r="B28" s="1177" t="s">
        <v>1832</v>
      </c>
      <c r="C28" s="1005"/>
      <c r="D28" s="1006" t="s">
        <v>8</v>
      </c>
      <c r="E28" s="1028">
        <f t="shared" ref="E28:P28" ca="1" si="7">MIN(E27,E13)</f>
        <v>0</v>
      </c>
      <c r="F28" s="1028">
        <f t="shared" ca="1" si="7"/>
        <v>0</v>
      </c>
      <c r="G28" s="1028">
        <f t="shared" ca="1" si="7"/>
        <v>0</v>
      </c>
      <c r="H28" s="1028">
        <f t="shared" ca="1" si="7"/>
        <v>0</v>
      </c>
      <c r="I28" s="1028">
        <f t="shared" ca="1" si="7"/>
        <v>0</v>
      </c>
      <c r="J28" s="1028">
        <f t="shared" ca="1" si="7"/>
        <v>0</v>
      </c>
      <c r="K28" s="1028">
        <f t="shared" ca="1" si="7"/>
        <v>0</v>
      </c>
      <c r="L28" s="1028">
        <f t="shared" ca="1" si="7"/>
        <v>0</v>
      </c>
      <c r="M28" s="1028">
        <f t="shared" ca="1" si="7"/>
        <v>0</v>
      </c>
      <c r="N28" s="1028">
        <f t="shared" ca="1" si="7"/>
        <v>0</v>
      </c>
      <c r="O28" s="1028">
        <f t="shared" ca="1" si="7"/>
        <v>0</v>
      </c>
      <c r="P28" s="1028">
        <f t="shared" ca="1" si="7"/>
        <v>0</v>
      </c>
      <c r="Q28" s="1028">
        <f ca="1">SUM(E28:P28)</f>
        <v>0</v>
      </c>
      <c r="R28" s="1028"/>
      <c r="S28" s="1751" t="s">
        <v>2379</v>
      </c>
      <c r="T28" s="22"/>
      <c r="U28" s="1013"/>
    </row>
    <row r="29" spans="1:21" ht="34.5" customHeight="1" x14ac:dyDescent="0.2">
      <c r="A29" s="1086" t="s">
        <v>1833</v>
      </c>
      <c r="B29" s="1178" t="s">
        <v>1834</v>
      </c>
      <c r="C29" s="1005"/>
      <c r="D29" s="1006" t="s">
        <v>8</v>
      </c>
      <c r="E29" s="1028">
        <f ca="1">+E27-E28</f>
        <v>0</v>
      </c>
      <c r="F29" s="1028">
        <f t="shared" ref="F29:P29" ca="1" si="8">+F27-F28</f>
        <v>0</v>
      </c>
      <c r="G29" s="1028">
        <f t="shared" ca="1" si="8"/>
        <v>39.76969696969698</v>
      </c>
      <c r="H29" s="1028">
        <f t="shared" ca="1" si="8"/>
        <v>139.48636363636362</v>
      </c>
      <c r="I29" s="1028">
        <f t="shared" ca="1" si="8"/>
        <v>195.45800865800868</v>
      </c>
      <c r="J29" s="1028">
        <f t="shared" ca="1" si="8"/>
        <v>203.55930735930735</v>
      </c>
      <c r="K29" s="1028">
        <f t="shared" ca="1" si="8"/>
        <v>219.50865800865802</v>
      </c>
      <c r="L29" s="1028">
        <f t="shared" ca="1" si="8"/>
        <v>199.02943722943724</v>
      </c>
      <c r="M29" s="1028">
        <f t="shared" ca="1" si="8"/>
        <v>201.1982683982684</v>
      </c>
      <c r="N29" s="1028">
        <f t="shared" ca="1" si="8"/>
        <v>101.40303030303031</v>
      </c>
      <c r="O29" s="1028">
        <f t="shared" ca="1" si="8"/>
        <v>0</v>
      </c>
      <c r="P29" s="1028">
        <f t="shared" ca="1" si="8"/>
        <v>0</v>
      </c>
      <c r="Q29" s="1008"/>
      <c r="R29" s="1008"/>
      <c r="S29" s="1751" t="s">
        <v>2380</v>
      </c>
      <c r="T29" s="1006"/>
      <c r="U29" s="1013"/>
    </row>
    <row r="30" spans="1:21" ht="34.5" customHeight="1" x14ac:dyDescent="0.2">
      <c r="A30" s="1086" t="s">
        <v>1835</v>
      </c>
      <c r="B30" s="1178" t="s">
        <v>1836</v>
      </c>
      <c r="C30" s="1008"/>
      <c r="D30" s="1008" t="s">
        <v>8</v>
      </c>
      <c r="E30" s="1028"/>
      <c r="F30" s="1028"/>
      <c r="G30" s="1028"/>
      <c r="H30" s="1028"/>
      <c r="I30" s="1028"/>
      <c r="J30" s="1028"/>
      <c r="K30" s="1028"/>
      <c r="L30" s="1028"/>
      <c r="M30" s="1028"/>
      <c r="N30" s="1028"/>
      <c r="O30" s="1028"/>
      <c r="P30" s="1028"/>
      <c r="Q30" s="1028">
        <f ca="1">SUM(E29:P29)</f>
        <v>1299.4127705627707</v>
      </c>
      <c r="R30" s="1028"/>
      <c r="S30" s="1751" t="s">
        <v>2381</v>
      </c>
      <c r="T30" s="1006"/>
      <c r="U30" s="1024"/>
    </row>
    <row r="31" spans="1:21" ht="34.5" customHeight="1" x14ac:dyDescent="0.2">
      <c r="A31" s="1086" t="s">
        <v>1837</v>
      </c>
      <c r="B31" s="1177" t="s">
        <v>1838</v>
      </c>
      <c r="C31" s="1008"/>
      <c r="D31" s="1008" t="s">
        <v>8</v>
      </c>
      <c r="E31" s="1028">
        <f t="shared" ref="E31:P31" ca="1" si="9">+E12-E26</f>
        <v>144.49696969696967</v>
      </c>
      <c r="F31" s="1028">
        <f t="shared" ca="1" si="9"/>
        <v>89.880303030303025</v>
      </c>
      <c r="G31" s="1028">
        <f t="shared" ca="1" si="9"/>
        <v>0</v>
      </c>
      <c r="H31" s="1028">
        <f t="shared" ca="1" si="9"/>
        <v>0</v>
      </c>
      <c r="I31" s="1028">
        <f t="shared" ca="1" si="9"/>
        <v>0</v>
      </c>
      <c r="J31" s="1028">
        <f t="shared" ca="1" si="9"/>
        <v>0</v>
      </c>
      <c r="K31" s="1028">
        <f t="shared" ca="1" si="9"/>
        <v>0</v>
      </c>
      <c r="L31" s="1028">
        <f t="shared" ca="1" si="9"/>
        <v>0</v>
      </c>
      <c r="M31" s="1028">
        <f t="shared" ca="1" si="9"/>
        <v>0</v>
      </c>
      <c r="N31" s="1028">
        <f t="shared" ca="1" si="9"/>
        <v>0</v>
      </c>
      <c r="O31" s="1028">
        <f t="shared" ca="1" si="9"/>
        <v>14.060303030303032</v>
      </c>
      <c r="P31" s="1028">
        <f t="shared" ca="1" si="9"/>
        <v>67.830303030303043</v>
      </c>
      <c r="Q31" s="1028"/>
      <c r="R31" s="1028"/>
      <c r="S31" s="1751" t="s">
        <v>2382</v>
      </c>
      <c r="T31" s="1008"/>
      <c r="U31" s="1013"/>
    </row>
    <row r="32" spans="1:21" ht="34.5" customHeight="1" x14ac:dyDescent="0.2">
      <c r="A32" s="1086" t="s">
        <v>1839</v>
      </c>
      <c r="B32" s="1177" t="s">
        <v>1840</v>
      </c>
      <c r="C32" s="1021"/>
      <c r="D32" s="1006" t="s">
        <v>8</v>
      </c>
      <c r="E32" s="1028"/>
      <c r="F32" s="1028"/>
      <c r="G32" s="1028"/>
      <c r="H32" s="1028"/>
      <c r="I32" s="1028"/>
      <c r="J32" s="1028"/>
      <c r="K32" s="1028"/>
      <c r="L32" s="1028"/>
      <c r="M32" s="1028"/>
      <c r="N32" s="1028"/>
      <c r="O32" s="1028"/>
      <c r="P32" s="1028"/>
      <c r="Q32" s="1028">
        <f ca="1">SUM(E31:P31)</f>
        <v>316.26787878787877</v>
      </c>
      <c r="R32" s="1028"/>
      <c r="S32" s="1751" t="s">
        <v>2383</v>
      </c>
      <c r="T32" s="22"/>
      <c r="U32" s="1013"/>
    </row>
    <row r="33" spans="1:21" ht="34.5" customHeight="1" x14ac:dyDescent="0.2">
      <c r="A33" s="1086" t="s">
        <v>1841</v>
      </c>
      <c r="B33" s="1177" t="s">
        <v>1842</v>
      </c>
      <c r="C33" s="1008"/>
      <c r="D33" s="1008" t="s">
        <v>8</v>
      </c>
      <c r="E33" s="1028"/>
      <c r="F33" s="1028"/>
      <c r="G33" s="1028"/>
      <c r="H33" s="1028"/>
      <c r="I33" s="1028"/>
      <c r="J33" s="1028"/>
      <c r="K33" s="1028"/>
      <c r="L33" s="1028"/>
      <c r="M33" s="1028"/>
      <c r="N33" s="1028"/>
      <c r="O33" s="1028"/>
      <c r="P33" s="1028"/>
      <c r="Q33" s="1028">
        <f ca="1">MIN(Q32,Q30)</f>
        <v>316.26787878787877</v>
      </c>
      <c r="R33" s="1028"/>
      <c r="S33" s="1751" t="s">
        <v>2384</v>
      </c>
      <c r="T33" s="1008"/>
      <c r="U33" s="1013"/>
    </row>
    <row r="34" spans="1:21" ht="34.5" customHeight="1" x14ac:dyDescent="0.2">
      <c r="A34" s="1086" t="s">
        <v>1843</v>
      </c>
      <c r="B34" s="1177" t="s">
        <v>1844</v>
      </c>
      <c r="C34" s="1021"/>
      <c r="D34" s="1006" t="s">
        <v>8</v>
      </c>
      <c r="E34" s="1028">
        <f ca="1">IF($Q$30&lt;&gt;0,$Q$33*E29/$Q$30,0)</f>
        <v>0</v>
      </c>
      <c r="F34" s="1028">
        <f t="shared" ref="F34:P34" ca="1" si="10">IF($Q$30&lt;&gt;0,$Q$33*F29/$Q$30,0)</f>
        <v>0</v>
      </c>
      <c r="G34" s="1028">
        <f t="shared" ca="1" si="10"/>
        <v>9.6796629874549893</v>
      </c>
      <c r="H34" s="1028">
        <f t="shared" ca="1" si="10"/>
        <v>33.949994448647267</v>
      </c>
      <c r="I34" s="1028">
        <f t="shared" ca="1" si="10"/>
        <v>47.573097010273727</v>
      </c>
      <c r="J34" s="1028">
        <f t="shared" ca="1" si="10"/>
        <v>49.54489582103735</v>
      </c>
      <c r="K34" s="1028">
        <f t="shared" ca="1" si="10"/>
        <v>53.426854973808759</v>
      </c>
      <c r="L34" s="1028">
        <f t="shared" ca="1" si="10"/>
        <v>48.442357467086801</v>
      </c>
      <c r="M34" s="1028">
        <f t="shared" ca="1" si="10"/>
        <v>48.970235635406013</v>
      </c>
      <c r="N34" s="1028">
        <f t="shared" ca="1" si="10"/>
        <v>24.68078044416384</v>
      </c>
      <c r="O34" s="1028">
        <f t="shared" ca="1" si="10"/>
        <v>0</v>
      </c>
      <c r="P34" s="1028">
        <f t="shared" ca="1" si="10"/>
        <v>0</v>
      </c>
      <c r="Q34" s="1088">
        <f ca="1">SUM(E34:P34)</f>
        <v>316.26787878787871</v>
      </c>
      <c r="R34" s="1088"/>
      <c r="S34" s="1751" t="s">
        <v>2385</v>
      </c>
      <c r="T34" s="22"/>
      <c r="U34" s="1013"/>
    </row>
    <row r="35" spans="1:21" ht="34.5" customHeight="1" x14ac:dyDescent="0.2">
      <c r="A35" s="1086" t="s">
        <v>1845</v>
      </c>
      <c r="B35" s="1178" t="s">
        <v>1846</v>
      </c>
      <c r="C35" s="1021"/>
      <c r="D35" s="1008" t="s">
        <v>8</v>
      </c>
      <c r="E35" s="1028">
        <f ca="1">IF($Q$32&lt;&gt;0,$Q$33*E31/$Q$32,0)</f>
        <v>144.49696969696967</v>
      </c>
      <c r="F35" s="1028">
        <f t="shared" ref="F35:P35" ca="1" si="11">IF($Q$32&lt;&gt;0,$Q$33*F31/$Q$32,0)</f>
        <v>89.880303030303025</v>
      </c>
      <c r="G35" s="1028">
        <f t="shared" ca="1" si="11"/>
        <v>0</v>
      </c>
      <c r="H35" s="1028">
        <f t="shared" ca="1" si="11"/>
        <v>0</v>
      </c>
      <c r="I35" s="1028">
        <f t="shared" ca="1" si="11"/>
        <v>0</v>
      </c>
      <c r="J35" s="1028">
        <f t="shared" ca="1" si="11"/>
        <v>0</v>
      </c>
      <c r="K35" s="1028">
        <f t="shared" ca="1" si="11"/>
        <v>0</v>
      </c>
      <c r="L35" s="1028">
        <f t="shared" ca="1" si="11"/>
        <v>0</v>
      </c>
      <c r="M35" s="1028">
        <f t="shared" ca="1" si="11"/>
        <v>0</v>
      </c>
      <c r="N35" s="1028">
        <f t="shared" ca="1" si="11"/>
        <v>0</v>
      </c>
      <c r="O35" s="1028">
        <f t="shared" ca="1" si="11"/>
        <v>14.060303030303032</v>
      </c>
      <c r="P35" s="1028">
        <f t="shared" ca="1" si="11"/>
        <v>67.830303030303043</v>
      </c>
      <c r="Q35" s="1088">
        <f ca="1">SUM(E35:P35)</f>
        <v>316.26787878787877</v>
      </c>
      <c r="R35" s="1088"/>
      <c r="S35" s="1751" t="s">
        <v>2386</v>
      </c>
      <c r="T35" s="1008"/>
      <c r="U35" s="1024"/>
    </row>
    <row r="36" spans="1:21" ht="34.5" customHeight="1" x14ac:dyDescent="0.2">
      <c r="A36" s="1086" t="s">
        <v>1847</v>
      </c>
      <c r="B36" s="1177" t="s">
        <v>1848</v>
      </c>
      <c r="C36" s="1008"/>
      <c r="D36" s="1008" t="s">
        <v>8</v>
      </c>
      <c r="E36" s="1028">
        <f ca="1">+E29-E34</f>
        <v>0</v>
      </c>
      <c r="F36" s="1028">
        <f t="shared" ref="F36:P36" ca="1" si="12">+F29-F34</f>
        <v>0</v>
      </c>
      <c r="G36" s="1028">
        <f t="shared" ca="1" si="12"/>
        <v>30.090033982241991</v>
      </c>
      <c r="H36" s="1028">
        <f t="shared" ca="1" si="12"/>
        <v>105.53636918771636</v>
      </c>
      <c r="I36" s="1028">
        <f t="shared" ca="1" si="12"/>
        <v>147.88491164773495</v>
      </c>
      <c r="J36" s="1028">
        <f t="shared" ca="1" si="12"/>
        <v>154.01441153827</v>
      </c>
      <c r="K36" s="1028">
        <f t="shared" ca="1" si="12"/>
        <v>166.08180303484926</v>
      </c>
      <c r="L36" s="1028">
        <f t="shared" ca="1" si="12"/>
        <v>150.58707976235044</v>
      </c>
      <c r="M36" s="1028">
        <f t="shared" ca="1" si="12"/>
        <v>152.22803276286237</v>
      </c>
      <c r="N36" s="1028">
        <f t="shared" ca="1" si="12"/>
        <v>76.722249858866462</v>
      </c>
      <c r="O36" s="1028">
        <f t="shared" ca="1" si="12"/>
        <v>0</v>
      </c>
      <c r="P36" s="1028">
        <f t="shared" ca="1" si="12"/>
        <v>0</v>
      </c>
      <c r="Q36" s="1088">
        <f ca="1">SUM(E36:P36)</f>
        <v>983.14489177489168</v>
      </c>
      <c r="R36" s="1088"/>
      <c r="S36" s="1751" t="s">
        <v>2387</v>
      </c>
      <c r="T36" s="1008"/>
      <c r="U36" s="1013"/>
    </row>
    <row r="37" spans="1:21" ht="34.5" customHeight="1" x14ac:dyDescent="0.2">
      <c r="A37" s="1086" t="s">
        <v>1849</v>
      </c>
      <c r="B37" s="1177" t="s">
        <v>1850</v>
      </c>
      <c r="C37" s="1005"/>
      <c r="D37" s="1006" t="s">
        <v>8</v>
      </c>
      <c r="E37" s="1028"/>
      <c r="F37" s="1028"/>
      <c r="G37" s="1028"/>
      <c r="H37" s="1028"/>
      <c r="I37" s="1028"/>
      <c r="J37" s="1028"/>
      <c r="K37" s="1028"/>
      <c r="L37" s="1028"/>
      <c r="M37" s="1028"/>
      <c r="N37" s="1028"/>
      <c r="O37" s="1028"/>
      <c r="P37" s="1028"/>
      <c r="Q37" s="1028">
        <f ca="1">+Q30-Q33</f>
        <v>983.1448917748919</v>
      </c>
      <c r="R37" s="1028"/>
      <c r="S37" s="1751" t="s">
        <v>2388</v>
      </c>
      <c r="T37" s="22"/>
      <c r="U37" s="1013"/>
    </row>
    <row r="38" spans="1:21" ht="34.5" customHeight="1" x14ac:dyDescent="0.2">
      <c r="A38" s="1086" t="s">
        <v>1851</v>
      </c>
      <c r="B38" s="1178" t="s">
        <v>1852</v>
      </c>
      <c r="C38" s="1008"/>
      <c r="D38" s="1008" t="s">
        <v>8</v>
      </c>
      <c r="E38" s="1028">
        <f ca="1">+E31-E35</f>
        <v>0</v>
      </c>
      <c r="F38" s="1028">
        <f t="shared" ref="F38:P38" ca="1" si="13">+F31-F35</f>
        <v>0</v>
      </c>
      <c r="G38" s="1028">
        <f t="shared" ca="1" si="13"/>
        <v>0</v>
      </c>
      <c r="H38" s="1028">
        <f t="shared" ca="1" si="13"/>
        <v>0</v>
      </c>
      <c r="I38" s="1028">
        <f t="shared" ca="1" si="13"/>
        <v>0</v>
      </c>
      <c r="J38" s="1028">
        <f t="shared" ca="1" si="13"/>
        <v>0</v>
      </c>
      <c r="K38" s="1028">
        <f t="shared" ca="1" si="13"/>
        <v>0</v>
      </c>
      <c r="L38" s="1028">
        <f t="shared" ca="1" si="13"/>
        <v>0</v>
      </c>
      <c r="M38" s="1028">
        <f t="shared" ca="1" si="13"/>
        <v>0</v>
      </c>
      <c r="N38" s="1028">
        <f t="shared" ca="1" si="13"/>
        <v>0</v>
      </c>
      <c r="O38" s="1028">
        <f t="shared" ca="1" si="13"/>
        <v>0</v>
      </c>
      <c r="P38" s="1028">
        <f t="shared" ca="1" si="13"/>
        <v>0</v>
      </c>
      <c r="Q38" s="1088">
        <f ca="1">SUM(E38:P38)</f>
        <v>0</v>
      </c>
      <c r="R38" s="1088"/>
      <c r="S38" s="1751" t="s">
        <v>2389</v>
      </c>
      <c r="T38" s="1008"/>
      <c r="U38" s="1013"/>
    </row>
    <row r="39" spans="1:21" ht="34.5" customHeight="1" x14ac:dyDescent="0.2">
      <c r="A39" s="1086" t="s">
        <v>1853</v>
      </c>
      <c r="B39" s="1178" t="s">
        <v>1854</v>
      </c>
      <c r="C39" s="1008"/>
      <c r="D39" s="1008" t="s">
        <v>8</v>
      </c>
      <c r="E39" s="1028"/>
      <c r="F39" s="1028"/>
      <c r="G39" s="1028"/>
      <c r="H39" s="1028"/>
      <c r="I39" s="1028"/>
      <c r="J39" s="1028"/>
      <c r="K39" s="1028"/>
      <c r="L39" s="1028"/>
      <c r="M39" s="1028"/>
      <c r="N39" s="1028"/>
      <c r="O39" s="1028"/>
      <c r="P39" s="1028"/>
      <c r="Q39" s="1028">
        <f ca="1">+Q32-Q35</f>
        <v>0</v>
      </c>
      <c r="R39" s="1028"/>
      <c r="S39" s="1751" t="s">
        <v>2390</v>
      </c>
      <c r="T39" s="1006"/>
      <c r="U39" s="1013"/>
    </row>
    <row r="40" spans="1:21" ht="34.5" customHeight="1" x14ac:dyDescent="0.2">
      <c r="A40" s="1090" t="s">
        <v>1855</v>
      </c>
      <c r="B40" s="1693" t="s">
        <v>2403</v>
      </c>
      <c r="C40" s="1014"/>
      <c r="D40" s="1008"/>
      <c r="E40" s="1083">
        <f>+Method_input!G57</f>
        <v>0</v>
      </c>
      <c r="F40" s="1028"/>
      <c r="G40" s="1028"/>
      <c r="H40" s="1028"/>
      <c r="I40" s="1028"/>
      <c r="J40" s="1028"/>
      <c r="K40" s="1028"/>
      <c r="L40" s="1028"/>
      <c r="M40" s="1028"/>
      <c r="N40" s="1028"/>
      <c r="O40" s="1028"/>
      <c r="P40" s="1028"/>
      <c r="Q40" s="1028"/>
      <c r="R40" s="1028"/>
      <c r="S40" s="1719"/>
      <c r="T40" s="1008"/>
      <c r="U40" s="1013" t="s">
        <v>1858</v>
      </c>
    </row>
    <row r="41" spans="1:21" ht="34.5" customHeight="1" x14ac:dyDescent="0.2">
      <c r="A41" s="1082" t="s">
        <v>1856</v>
      </c>
      <c r="B41" s="1165" t="s">
        <v>1857</v>
      </c>
      <c r="C41" s="1005"/>
      <c r="D41" s="1006" t="s">
        <v>8</v>
      </c>
      <c r="E41" s="1028">
        <f ca="1">+E31-$E$40*E35</f>
        <v>144.49696969696967</v>
      </c>
      <c r="F41" s="1028">
        <f t="shared" ref="F41:P41" ca="1" si="14">+F31-$E$40*F35</f>
        <v>89.880303030303025</v>
      </c>
      <c r="G41" s="1028">
        <f t="shared" ca="1" si="14"/>
        <v>0</v>
      </c>
      <c r="H41" s="1028">
        <f t="shared" ca="1" si="14"/>
        <v>0</v>
      </c>
      <c r="I41" s="1028">
        <f t="shared" ca="1" si="14"/>
        <v>0</v>
      </c>
      <c r="J41" s="1028">
        <f t="shared" ca="1" si="14"/>
        <v>0</v>
      </c>
      <c r="K41" s="1028">
        <f t="shared" ca="1" si="14"/>
        <v>0</v>
      </c>
      <c r="L41" s="1028">
        <f t="shared" ca="1" si="14"/>
        <v>0</v>
      </c>
      <c r="M41" s="1028">
        <f t="shared" ca="1" si="14"/>
        <v>0</v>
      </c>
      <c r="N41" s="1028">
        <f t="shared" ca="1" si="14"/>
        <v>0</v>
      </c>
      <c r="O41" s="1028">
        <f t="shared" ca="1" si="14"/>
        <v>14.060303030303032</v>
      </c>
      <c r="P41" s="1028">
        <f t="shared" ca="1" si="14"/>
        <v>67.830303030303043</v>
      </c>
      <c r="Q41" s="1088">
        <f ca="1">SUM(E41:P41)</f>
        <v>316.26787878787877</v>
      </c>
      <c r="R41" s="1088"/>
      <c r="S41" s="1751" t="s">
        <v>2391</v>
      </c>
      <c r="T41" s="22"/>
      <c r="U41" s="1013" t="s">
        <v>1859</v>
      </c>
    </row>
    <row r="42" spans="1:21" ht="34.5" customHeight="1" x14ac:dyDescent="0.2">
      <c r="A42" s="1166" t="s">
        <v>1861</v>
      </c>
      <c r="B42" s="1167" t="s">
        <v>1862</v>
      </c>
      <c r="C42" s="1005"/>
      <c r="D42" s="1006" t="s">
        <v>8</v>
      </c>
      <c r="E42" s="1028">
        <f t="shared" ref="E42:P42" ca="1" si="15">+E34*(1-$E$40)</f>
        <v>0</v>
      </c>
      <c r="F42" s="1028">
        <f t="shared" ca="1" si="15"/>
        <v>0</v>
      </c>
      <c r="G42" s="1028">
        <f t="shared" ca="1" si="15"/>
        <v>9.6796629874549893</v>
      </c>
      <c r="H42" s="1028">
        <f t="shared" ca="1" si="15"/>
        <v>33.949994448647267</v>
      </c>
      <c r="I42" s="1028">
        <f t="shared" ca="1" si="15"/>
        <v>47.573097010273727</v>
      </c>
      <c r="J42" s="1028">
        <f t="shared" ca="1" si="15"/>
        <v>49.54489582103735</v>
      </c>
      <c r="K42" s="1028">
        <f t="shared" ca="1" si="15"/>
        <v>53.426854973808759</v>
      </c>
      <c r="L42" s="1028">
        <f t="shared" ca="1" si="15"/>
        <v>48.442357467086801</v>
      </c>
      <c r="M42" s="1028">
        <f t="shared" ca="1" si="15"/>
        <v>48.970235635406013</v>
      </c>
      <c r="N42" s="1028">
        <f t="shared" ca="1" si="15"/>
        <v>24.68078044416384</v>
      </c>
      <c r="O42" s="1028">
        <f t="shared" ca="1" si="15"/>
        <v>0</v>
      </c>
      <c r="P42" s="1028">
        <f t="shared" ca="1" si="15"/>
        <v>0</v>
      </c>
      <c r="Q42" s="1088">
        <f ca="1">SUM(E42:P42)</f>
        <v>316.26787878787871</v>
      </c>
      <c r="R42" s="1088"/>
      <c r="S42" s="1751" t="s">
        <v>2392</v>
      </c>
      <c r="T42" s="22"/>
      <c r="U42" s="1013"/>
    </row>
    <row r="43" spans="1:21" ht="63.75" customHeight="1" x14ac:dyDescent="0.2">
      <c r="A43" s="1082" t="s">
        <v>1860</v>
      </c>
      <c r="B43" s="1165"/>
      <c r="C43" s="1008"/>
      <c r="D43" s="1008" t="s">
        <v>8</v>
      </c>
      <c r="E43" s="1028">
        <f t="shared" ref="E43:P43" ca="1" si="16">+E36-E42</f>
        <v>0</v>
      </c>
      <c r="F43" s="1028">
        <f t="shared" ca="1" si="16"/>
        <v>0</v>
      </c>
      <c r="G43" s="1028">
        <f t="shared" ca="1" si="16"/>
        <v>20.410370994787002</v>
      </c>
      <c r="H43" s="1028">
        <f t="shared" ca="1" si="16"/>
        <v>71.5863747390691</v>
      </c>
      <c r="I43" s="1028">
        <f t="shared" ca="1" si="16"/>
        <v>100.31181463746123</v>
      </c>
      <c r="J43" s="1028">
        <f t="shared" ca="1" si="16"/>
        <v>104.46951571723264</v>
      </c>
      <c r="K43" s="1028">
        <f t="shared" ca="1" si="16"/>
        <v>112.6549480610405</v>
      </c>
      <c r="L43" s="1028">
        <f t="shared" ca="1" si="16"/>
        <v>102.14472229526365</v>
      </c>
      <c r="M43" s="1028">
        <f t="shared" ca="1" si="16"/>
        <v>103.25779712745636</v>
      </c>
      <c r="N43" s="1028">
        <f t="shared" ca="1" si="16"/>
        <v>52.041469414702618</v>
      </c>
      <c r="O43" s="1028">
        <f t="shared" ca="1" si="16"/>
        <v>0</v>
      </c>
      <c r="P43" s="1028">
        <f t="shared" ca="1" si="16"/>
        <v>0</v>
      </c>
      <c r="Q43" s="1088">
        <f ca="1">SUM(E43:P43)</f>
        <v>666.87701298701313</v>
      </c>
      <c r="R43" s="1088"/>
      <c r="S43" s="1719"/>
      <c r="T43" s="1008"/>
      <c r="U43" s="1587" t="s">
        <v>2275</v>
      </c>
    </row>
    <row r="44" spans="1:21" ht="114" customHeight="1" x14ac:dyDescent="0.2">
      <c r="A44" s="1721" t="s">
        <v>1864</v>
      </c>
      <c r="B44" s="1722"/>
      <c r="C44" s="1722"/>
      <c r="D44" s="1723"/>
      <c r="E44" s="1724"/>
      <c r="F44" s="1724"/>
      <c r="G44" s="1724"/>
      <c r="H44" s="1724"/>
      <c r="I44" s="1724"/>
      <c r="J44" s="1724"/>
      <c r="K44" s="1724"/>
      <c r="L44" s="1724"/>
      <c r="M44" s="1724"/>
      <c r="N44" s="1724"/>
      <c r="O44" s="1724"/>
      <c r="P44" s="1724"/>
      <c r="Q44" s="1724"/>
      <c r="R44" s="1728"/>
      <c r="S44" s="1719" t="s">
        <v>2393</v>
      </c>
      <c r="T44" s="1008"/>
      <c r="U44" s="1013" t="s">
        <v>1872</v>
      </c>
    </row>
    <row r="45" spans="1:21" ht="34.5" customHeight="1" x14ac:dyDescent="0.2">
      <c r="A45" s="1029" t="s">
        <v>1866</v>
      </c>
      <c r="B45" s="1005"/>
      <c r="C45" s="1005"/>
      <c r="D45" s="1093" t="s">
        <v>1867</v>
      </c>
      <c r="E45" s="1026"/>
      <c r="F45" s="1026"/>
      <c r="G45" s="1026"/>
      <c r="H45" s="1026"/>
      <c r="I45" s="1026"/>
      <c r="J45" s="1026"/>
      <c r="K45" s="1026"/>
      <c r="L45" s="1026"/>
      <c r="M45" s="1026"/>
      <c r="N45" s="1026"/>
      <c r="O45" s="1026"/>
      <c r="P45" s="1026"/>
      <c r="Q45" s="1026"/>
      <c r="R45" s="1026"/>
      <c r="S45" s="1008"/>
      <c r="T45" s="1008" t="s">
        <v>1868</v>
      </c>
      <c r="U45" s="1013"/>
    </row>
    <row r="46" spans="1:21" ht="18" customHeight="1" x14ac:dyDescent="0.2">
      <c r="A46" s="1085" t="s">
        <v>1869</v>
      </c>
      <c r="B46" s="1033" t="s">
        <v>1870</v>
      </c>
      <c r="C46" s="1033"/>
      <c r="D46" s="1034"/>
      <c r="E46" s="1094">
        <v>1</v>
      </c>
      <c r="F46" s="1094">
        <v>1</v>
      </c>
      <c r="G46" s="1094">
        <v>1</v>
      </c>
      <c r="H46" s="1094">
        <v>1</v>
      </c>
      <c r="I46" s="1094">
        <v>1</v>
      </c>
      <c r="J46" s="1094">
        <v>1</v>
      </c>
      <c r="K46" s="1094">
        <v>1</v>
      </c>
      <c r="L46" s="1094">
        <v>1</v>
      </c>
      <c r="M46" s="1094">
        <v>1</v>
      </c>
      <c r="N46" s="1094">
        <v>1</v>
      </c>
      <c r="O46" s="1094">
        <v>1</v>
      </c>
      <c r="P46" s="1095">
        <v>1</v>
      </c>
      <c r="Q46" s="1096"/>
      <c r="R46" s="1096"/>
      <c r="S46" s="1097"/>
      <c r="T46" s="1097" t="s">
        <v>1858</v>
      </c>
      <c r="U46" s="1686" t="s">
        <v>1873</v>
      </c>
    </row>
    <row r="47" spans="1:21" ht="18" customHeight="1" x14ac:dyDescent="0.2">
      <c r="A47" s="1085" t="s">
        <v>1869</v>
      </c>
      <c r="B47" s="1033" t="s">
        <v>1871</v>
      </c>
      <c r="C47" s="1033"/>
      <c r="D47" s="1034"/>
      <c r="E47" s="1098">
        <v>0</v>
      </c>
      <c r="F47" s="1098">
        <v>0</v>
      </c>
      <c r="G47" s="1098">
        <v>0</v>
      </c>
      <c r="H47" s="1098">
        <v>0</v>
      </c>
      <c r="I47" s="1098">
        <v>0</v>
      </c>
      <c r="J47" s="1098">
        <v>0</v>
      </c>
      <c r="K47" s="1098">
        <v>0</v>
      </c>
      <c r="L47" s="1098">
        <v>0</v>
      </c>
      <c r="M47" s="1098">
        <v>0</v>
      </c>
      <c r="N47" s="1098">
        <v>0</v>
      </c>
      <c r="O47" s="1098">
        <v>0</v>
      </c>
      <c r="P47" s="1099">
        <v>0</v>
      </c>
      <c r="Q47" s="1096"/>
      <c r="R47" s="1096"/>
      <c r="S47" s="1097"/>
      <c r="T47" s="1097" t="s">
        <v>1858</v>
      </c>
      <c r="U47" s="1686"/>
    </row>
    <row r="48" spans="1:21" ht="34.5" customHeight="1" x14ac:dyDescent="0.2">
      <c r="A48" s="1024"/>
      <c r="B48" s="1005"/>
      <c r="C48" s="1005"/>
      <c r="D48" s="1006"/>
      <c r="E48" s="1026"/>
      <c r="F48" s="1026"/>
      <c r="G48" s="1026"/>
      <c r="H48" s="1026"/>
      <c r="I48" s="1026"/>
      <c r="J48" s="1026"/>
      <c r="K48" s="1026"/>
      <c r="L48" s="1026"/>
      <c r="M48" s="1026"/>
      <c r="N48" s="1026"/>
      <c r="O48" s="1026"/>
      <c r="P48" s="1026"/>
      <c r="Q48" s="1026"/>
      <c r="R48" s="1026"/>
      <c r="S48" s="1719"/>
      <c r="T48" s="1008"/>
      <c r="U48" s="1013"/>
    </row>
    <row r="49" spans="1:21" ht="24.75" customHeight="1" x14ac:dyDescent="0.2">
      <c r="A49" s="1024" t="str">
        <f>+Method_input!A42</f>
        <v>Solar delivered energy</v>
      </c>
      <c r="B49" s="1024" t="str">
        <f>+Method_input!B42</f>
        <v>Edel,sol,W</v>
      </c>
      <c r="C49" s="1005"/>
      <c r="D49" s="1008" t="s">
        <v>8</v>
      </c>
      <c r="E49" s="1030">
        <f ca="1">+Method_input!G42</f>
        <v>11.5</v>
      </c>
      <c r="F49" s="1030">
        <f ca="1">+Method_input!H42</f>
        <v>23</v>
      </c>
      <c r="G49" s="1030">
        <f ca="1">+Method_input!I42</f>
        <v>46</v>
      </c>
      <c r="H49" s="1030">
        <f ca="1">+Method_input!J42</f>
        <v>92</v>
      </c>
      <c r="I49" s="1030">
        <f ca="1">+Method_input!K42</f>
        <v>161</v>
      </c>
      <c r="J49" s="1030">
        <f ca="1">+Method_input!L42</f>
        <v>184</v>
      </c>
      <c r="K49" s="1030">
        <f ca="1">+Method_input!M42</f>
        <v>172.5</v>
      </c>
      <c r="L49" s="1030">
        <f ca="1">+Method_input!N42</f>
        <v>161</v>
      </c>
      <c r="M49" s="1030">
        <f ca="1">+Method_input!O42</f>
        <v>103.5</v>
      </c>
      <c r="N49" s="1030">
        <f ca="1">+Method_input!P42</f>
        <v>34.5</v>
      </c>
      <c r="O49" s="1030">
        <f ca="1">+Method_input!Q42</f>
        <v>18.399999999999999</v>
      </c>
      <c r="P49" s="1030">
        <f ca="1">+Method_input!R42</f>
        <v>11.5</v>
      </c>
      <c r="Q49" s="1030">
        <f t="shared" ref="Q49:Q55" ca="1" si="17">SUM(E49:P49)</f>
        <v>1018.9</v>
      </c>
      <c r="R49" s="1006" t="str">
        <f>+Method_input!G43</f>
        <v>sol</v>
      </c>
      <c r="S49" s="1719" t="s">
        <v>1969</v>
      </c>
      <c r="T49" s="1008"/>
      <c r="U49" s="1013" t="s">
        <v>1858</v>
      </c>
    </row>
    <row r="50" spans="1:21" ht="24.75" customHeight="1" x14ac:dyDescent="0.2">
      <c r="A50" s="1024" t="s">
        <v>2262</v>
      </c>
      <c r="B50" s="1024" t="s">
        <v>2267</v>
      </c>
      <c r="C50" s="1005"/>
      <c r="D50" s="1008" t="s">
        <v>8</v>
      </c>
      <c r="E50" s="1030">
        <f ca="1">+Method_input!G54</f>
        <v>45</v>
      </c>
      <c r="F50" s="1030">
        <f ca="1">+Method_input!H54</f>
        <v>60</v>
      </c>
      <c r="G50" s="1030">
        <f ca="1">+Method_input!I54</f>
        <v>150</v>
      </c>
      <c r="H50" s="1030">
        <f ca="1">+Method_input!J54</f>
        <v>210</v>
      </c>
      <c r="I50" s="1030">
        <f ca="1">+Method_input!K54</f>
        <v>255</v>
      </c>
      <c r="J50" s="1030">
        <f ca="1">+Method_input!L54</f>
        <v>285</v>
      </c>
      <c r="K50" s="1030">
        <f ca="1">+Method_input!M54</f>
        <v>300</v>
      </c>
      <c r="L50" s="1030">
        <f ca="1">+Method_input!N54</f>
        <v>270</v>
      </c>
      <c r="M50" s="1030">
        <f ca="1">+Method_input!O54</f>
        <v>240</v>
      </c>
      <c r="N50" s="1030">
        <f ca="1">+Method_input!P54</f>
        <v>180</v>
      </c>
      <c r="O50" s="1030">
        <f ca="1">+Method_input!Q54</f>
        <v>120</v>
      </c>
      <c r="P50" s="1030">
        <f ca="1">+Method_input!R54</f>
        <v>90</v>
      </c>
      <c r="Q50" s="1030">
        <f t="shared" ca="1" si="17"/>
        <v>2205</v>
      </c>
      <c r="R50" s="1030" t="str">
        <f>+Method_input!T54</f>
        <v>pv</v>
      </c>
      <c r="S50" s="1719" t="s">
        <v>1969</v>
      </c>
      <c r="T50" s="1008"/>
      <c r="U50" s="1013" t="s">
        <v>1858</v>
      </c>
    </row>
    <row r="51" spans="1:21" ht="24.75" customHeight="1" x14ac:dyDescent="0.2">
      <c r="A51" s="1024" t="str">
        <f>+Method_input!A44</f>
        <v xml:space="preserve">    Cogenerator input</v>
      </c>
      <c r="B51" s="1024" t="str">
        <f>+Method_input!B44</f>
        <v>EHW,CHP,in</v>
      </c>
      <c r="C51" s="1005"/>
      <c r="D51" s="1008" t="s">
        <v>8</v>
      </c>
      <c r="E51" s="1030">
        <f ca="1">+Method_input!G44</f>
        <v>181.81818181818181</v>
      </c>
      <c r="F51" s="1030">
        <f ca="1">+Method_input!H44</f>
        <v>181.81818181818181</v>
      </c>
      <c r="G51" s="1030">
        <f ca="1">+Method_input!I44</f>
        <v>181.81818181818181</v>
      </c>
      <c r="H51" s="1030">
        <f ca="1">+Method_input!J44</f>
        <v>181.81818181818181</v>
      </c>
      <c r="I51" s="1030">
        <f ca="1">+Method_input!K44</f>
        <v>109.09090909090909</v>
      </c>
      <c r="J51" s="1030">
        <f ca="1">+Method_input!L44</f>
        <v>72.727272727272734</v>
      </c>
      <c r="K51" s="1030">
        <f ca="1">+Method_input!M44</f>
        <v>90.909090909090907</v>
      </c>
      <c r="L51" s="1030">
        <f ca="1">+Method_input!N44</f>
        <v>109.09090909090909</v>
      </c>
      <c r="M51" s="1030">
        <f ca="1">+Method_input!O44</f>
        <v>181.81818181818181</v>
      </c>
      <c r="N51" s="1030">
        <f ca="1">+Method_input!P44</f>
        <v>181.81818181818181</v>
      </c>
      <c r="O51" s="1030">
        <f ca="1">+Method_input!Q44</f>
        <v>181.81818181818181</v>
      </c>
      <c r="P51" s="1030">
        <f ca="1">+Method_input!R44</f>
        <v>181.81818181818181</v>
      </c>
      <c r="Q51" s="1030">
        <f t="shared" ca="1" si="17"/>
        <v>1836.363636363636</v>
      </c>
      <c r="R51" s="1030" t="str">
        <f ca="1">+Method_input!G45</f>
        <v>gas</v>
      </c>
      <c r="S51" s="1719" t="s">
        <v>1969</v>
      </c>
      <c r="T51" s="1008"/>
      <c r="U51" s="1013" t="s">
        <v>1858</v>
      </c>
    </row>
    <row r="52" spans="1:21" ht="24.75" customHeight="1" x14ac:dyDescent="0.2">
      <c r="A52" s="1024" t="str">
        <f>+Method_input!A46</f>
        <v>Heat pump input</v>
      </c>
      <c r="B52" s="1024" t="str">
        <f>+Method_input!B46</f>
        <v>EHW,HP,in</v>
      </c>
      <c r="C52" s="1005"/>
      <c r="D52" s="1008" t="s">
        <v>8</v>
      </c>
      <c r="E52" s="1030">
        <f ca="1">+Method_input!G46</f>
        <v>0</v>
      </c>
      <c r="F52" s="1030">
        <f ca="1">+Method_input!H46</f>
        <v>0</v>
      </c>
      <c r="G52" s="1030">
        <f ca="1">+Method_input!I46</f>
        <v>0</v>
      </c>
      <c r="H52" s="1030">
        <f ca="1">+Method_input!J46</f>
        <v>0</v>
      </c>
      <c r="I52" s="1030">
        <f ca="1">+Method_input!K46</f>
        <v>0</v>
      </c>
      <c r="J52" s="1030">
        <f ca="1">+Method_input!L46</f>
        <v>0</v>
      </c>
      <c r="K52" s="1030">
        <f ca="1">+Method_input!M46</f>
        <v>0</v>
      </c>
      <c r="L52" s="1030">
        <f ca="1">+Method_input!N46</f>
        <v>0</v>
      </c>
      <c r="M52" s="1030">
        <f ca="1">+Method_input!O46</f>
        <v>0</v>
      </c>
      <c r="N52" s="1030">
        <f ca="1">+Method_input!P46</f>
        <v>0</v>
      </c>
      <c r="O52" s="1030">
        <f ca="1">+Method_input!Q46</f>
        <v>0</v>
      </c>
      <c r="P52" s="1030">
        <f ca="1">+Method_input!R46</f>
        <v>0</v>
      </c>
      <c r="Q52" s="1030">
        <f t="shared" ca="1" si="17"/>
        <v>0</v>
      </c>
      <c r="R52" s="1030" t="str">
        <f ca="1">+Method_input!G47</f>
        <v>el</v>
      </c>
      <c r="S52" s="1719" t="s">
        <v>1969</v>
      </c>
      <c r="T52" s="1008"/>
      <c r="U52" s="1013" t="s">
        <v>1858</v>
      </c>
    </row>
    <row r="53" spans="1:21" ht="24.75" customHeight="1" x14ac:dyDescent="0.2">
      <c r="A53" s="1024" t="str">
        <f>+Method_input!A48</f>
        <v>Environmental heat</v>
      </c>
      <c r="B53" s="1024" t="str">
        <f>+Method_input!B48</f>
        <v>EHP,env</v>
      </c>
      <c r="C53" s="1005"/>
      <c r="D53" s="1008" t="s">
        <v>8</v>
      </c>
      <c r="E53" s="1030">
        <f ca="1">+Method_input!G48</f>
        <v>33.333333333333329</v>
      </c>
      <c r="F53" s="1030">
        <f ca="1">+Method_input!H48</f>
        <v>33.333333333333329</v>
      </c>
      <c r="G53" s="1030">
        <f ca="1">+Method_input!I48</f>
        <v>33.333333333333329</v>
      </c>
      <c r="H53" s="1030">
        <f ca="1">+Method_input!J48</f>
        <v>33.333333333333329</v>
      </c>
      <c r="I53" s="1030">
        <f ca="1">+Method_input!K48</f>
        <v>0</v>
      </c>
      <c r="J53" s="1030">
        <f ca="1">+Method_input!L48</f>
        <v>0</v>
      </c>
      <c r="K53" s="1030">
        <f ca="1">+Method_input!M48</f>
        <v>0</v>
      </c>
      <c r="L53" s="1030">
        <f ca="1">+Method_input!N48</f>
        <v>0</v>
      </c>
      <c r="M53" s="1030">
        <f ca="1">+Method_input!O48</f>
        <v>6.6666666666666661</v>
      </c>
      <c r="N53" s="1030">
        <f ca="1">+Method_input!P48</f>
        <v>33.333333333333329</v>
      </c>
      <c r="O53" s="1030">
        <f ca="1">+Method_input!Q48</f>
        <v>33.333333333333329</v>
      </c>
      <c r="P53" s="1030">
        <f ca="1">+Method_input!R48</f>
        <v>33.333333333333329</v>
      </c>
      <c r="Q53" s="1030">
        <f t="shared" ca="1" si="17"/>
        <v>239.99999999999994</v>
      </c>
      <c r="R53" s="1006" t="str">
        <f>+Method_input!G49</f>
        <v>env</v>
      </c>
      <c r="S53" s="1719" t="s">
        <v>1969</v>
      </c>
      <c r="T53" s="1008"/>
      <c r="U53" s="1013" t="s">
        <v>1858</v>
      </c>
    </row>
    <row r="54" spans="1:21" ht="24.75" customHeight="1" x14ac:dyDescent="0.2">
      <c r="A54" s="1024" t="str">
        <f>+Method_input!A50</f>
        <v>Boiler input</v>
      </c>
      <c r="B54" s="1024" t="str">
        <f>+Method_input!B50</f>
        <v>EHW,boil,in</v>
      </c>
      <c r="C54" s="1005"/>
      <c r="D54" s="1008" t="s">
        <v>8</v>
      </c>
      <c r="E54" s="1030">
        <f ca="1">+Method_input!G50</f>
        <v>2822.2222222222222</v>
      </c>
      <c r="F54" s="1030">
        <f ca="1">+Method_input!H50</f>
        <v>2116.6666666666665</v>
      </c>
      <c r="G54" s="1030">
        <f ca="1">+Method_input!I50</f>
        <v>1400</v>
      </c>
      <c r="H54" s="1030">
        <f ca="1">+Method_input!J50</f>
        <v>661.11111111111109</v>
      </c>
      <c r="I54" s="1030">
        <f ca="1">+Method_input!K50</f>
        <v>0</v>
      </c>
      <c r="J54" s="1030">
        <f ca="1">+Method_input!L50</f>
        <v>0</v>
      </c>
      <c r="K54" s="1030">
        <f ca="1">+Method_input!M50</f>
        <v>0</v>
      </c>
      <c r="L54" s="1030">
        <f ca="1">+Method_input!N50</f>
        <v>0</v>
      </c>
      <c r="M54" s="1030">
        <f ca="1">+Method_input!O50</f>
        <v>0</v>
      </c>
      <c r="N54" s="1030">
        <f ca="1">+Method_input!P50</f>
        <v>855.55555555555554</v>
      </c>
      <c r="O54" s="1030">
        <f ca="1">+Method_input!Q50</f>
        <v>1843.3333333333333</v>
      </c>
      <c r="P54" s="1030">
        <f ca="1">+Method_input!R50</f>
        <v>2266.6666666666665</v>
      </c>
      <c r="Q54" s="1030">
        <f t="shared" ca="1" si="17"/>
        <v>11965.555555555555</v>
      </c>
      <c r="R54" s="1030" t="str">
        <f ca="1">+Method_input!G51</f>
        <v>gas</v>
      </c>
      <c r="S54" s="1719" t="s">
        <v>1969</v>
      </c>
      <c r="T54" s="1008"/>
      <c r="U54" s="1013" t="s">
        <v>1858</v>
      </c>
    </row>
    <row r="55" spans="1:21" ht="24.75" customHeight="1" x14ac:dyDescent="0.2">
      <c r="A55" s="1024" t="str">
        <f>+Method_input!A52</f>
        <v>Chiller input</v>
      </c>
      <c r="B55" s="1024" t="str">
        <f>+Method_input!B52</f>
        <v>EC,chllr,in</v>
      </c>
      <c r="C55" s="1005"/>
      <c r="D55" s="1008" t="s">
        <v>8</v>
      </c>
      <c r="E55" s="1030">
        <f ca="1">+Method_input!G52</f>
        <v>0</v>
      </c>
      <c r="F55" s="1030">
        <f ca="1">+Method_input!H52</f>
        <v>0</v>
      </c>
      <c r="G55" s="1030">
        <f ca="1">+Method_input!I52</f>
        <v>0</v>
      </c>
      <c r="H55" s="1030">
        <f ca="1">+Method_input!J52</f>
        <v>0</v>
      </c>
      <c r="I55" s="1030">
        <f ca="1">+Method_input!K52</f>
        <v>0</v>
      </c>
      <c r="J55" s="1030">
        <f ca="1">+Method_input!L52</f>
        <v>0</v>
      </c>
      <c r="K55" s="1030">
        <f ca="1">+Method_input!M52</f>
        <v>0</v>
      </c>
      <c r="L55" s="1030">
        <f ca="1">+Method_input!N52</f>
        <v>0</v>
      </c>
      <c r="M55" s="1030">
        <f ca="1">+Method_input!O52</f>
        <v>0</v>
      </c>
      <c r="N55" s="1030">
        <f ca="1">+Method_input!P52</f>
        <v>0</v>
      </c>
      <c r="O55" s="1030">
        <f ca="1">+Method_input!Q52</f>
        <v>0</v>
      </c>
      <c r="P55" s="1030">
        <f ca="1">+Method_input!R52</f>
        <v>0</v>
      </c>
      <c r="Q55" s="1030">
        <f t="shared" ca="1" si="17"/>
        <v>0</v>
      </c>
      <c r="R55" s="1030" t="str">
        <f ca="1">+Method_input!G53</f>
        <v>el</v>
      </c>
      <c r="S55" s="1719" t="s">
        <v>1969</v>
      </c>
      <c r="T55" s="1008"/>
      <c r="U55" s="1013" t="s">
        <v>1858</v>
      </c>
    </row>
    <row r="56" spans="1:21" ht="34.5" customHeight="1" x14ac:dyDescent="0.2">
      <c r="A56" s="1024"/>
      <c r="B56" s="1005"/>
      <c r="C56" s="1005"/>
      <c r="D56" s="1006"/>
      <c r="E56" s="1026"/>
      <c r="F56" s="1026"/>
      <c r="G56" s="1026"/>
      <c r="H56" s="1026"/>
      <c r="I56" s="1026"/>
      <c r="J56" s="1026"/>
      <c r="K56" s="1026"/>
      <c r="L56" s="1026"/>
      <c r="M56" s="1026"/>
      <c r="N56" s="1026"/>
      <c r="O56" s="1026"/>
      <c r="P56" s="1026"/>
      <c r="Q56" s="1026"/>
      <c r="R56" s="1026"/>
      <c r="S56" s="1719"/>
      <c r="T56" s="1008"/>
      <c r="U56" s="1013"/>
    </row>
    <row r="57" spans="1:21" ht="38.25" customHeight="1" x14ac:dyDescent="0.2">
      <c r="A57" s="1024" t="s">
        <v>2247</v>
      </c>
      <c r="B57" s="1005" t="s">
        <v>1911</v>
      </c>
      <c r="C57" s="1005"/>
      <c r="D57" s="1006" t="s">
        <v>8</v>
      </c>
      <c r="E57" s="1030">
        <f t="shared" ref="E57:P57" ca="1" si="18">SUMIF($R$49:$R$55,$R57,E$49:E$55)</f>
        <v>3004.0404040404042</v>
      </c>
      <c r="F57" s="1030">
        <f t="shared" ca="1" si="18"/>
        <v>2298.4848484848485</v>
      </c>
      <c r="G57" s="1030">
        <f t="shared" ca="1" si="18"/>
        <v>1581.8181818181818</v>
      </c>
      <c r="H57" s="1030">
        <f t="shared" ca="1" si="18"/>
        <v>842.92929292929284</v>
      </c>
      <c r="I57" s="1030">
        <f t="shared" ca="1" si="18"/>
        <v>109.09090909090909</v>
      </c>
      <c r="J57" s="1030">
        <f t="shared" ca="1" si="18"/>
        <v>72.727272727272734</v>
      </c>
      <c r="K57" s="1030">
        <f t="shared" ca="1" si="18"/>
        <v>90.909090909090907</v>
      </c>
      <c r="L57" s="1030">
        <f t="shared" ca="1" si="18"/>
        <v>109.09090909090909</v>
      </c>
      <c r="M57" s="1030">
        <f t="shared" ca="1" si="18"/>
        <v>181.81818181818181</v>
      </c>
      <c r="N57" s="1030">
        <f t="shared" ca="1" si="18"/>
        <v>1037.3737373737374</v>
      </c>
      <c r="O57" s="1030">
        <f t="shared" ca="1" si="18"/>
        <v>2025.151515151515</v>
      </c>
      <c r="P57" s="1030">
        <f t="shared" ca="1" si="18"/>
        <v>2448.4848484848485</v>
      </c>
      <c r="Q57" s="1030">
        <f ca="1">SUM(E57:P57)</f>
        <v>13801.919191919191</v>
      </c>
      <c r="R57" s="1026" t="str">
        <f>+Method_input!T66</f>
        <v>gas</v>
      </c>
      <c r="S57" s="1752" t="s">
        <v>2394</v>
      </c>
      <c r="T57"/>
      <c r="U57" s="1013" t="s">
        <v>1930</v>
      </c>
    </row>
    <row r="58" spans="1:21" x14ac:dyDescent="0.2">
      <c r="A58" s="1024" t="s">
        <v>1908</v>
      </c>
      <c r="B58" s="185" t="s">
        <v>1912</v>
      </c>
      <c r="C58" s="1005"/>
      <c r="D58" s="1006"/>
      <c r="E58" s="1114">
        <f>INDEX(Method_input!G$66:G$80,MATCH($R58,Method_input!$T$66:$T$80,0))</f>
        <v>1.1000000000000001</v>
      </c>
      <c r="F58" s="1114">
        <f>INDEX(Method_input!H$66:H$80,MATCH($R58,Method_input!$T$66:$T$80,0))</f>
        <v>1.1000000000000001</v>
      </c>
      <c r="G58" s="1114">
        <f>INDEX(Method_input!I$66:I$80,MATCH($R58,Method_input!$T$66:$T$80,0))</f>
        <v>1.1000000000000001</v>
      </c>
      <c r="H58" s="1114">
        <f>INDEX(Method_input!J$66:J$80,MATCH($R58,Method_input!$T$66:$T$80,0))</f>
        <v>1.1000000000000001</v>
      </c>
      <c r="I58" s="1114">
        <f>INDEX(Method_input!K$66:K$80,MATCH($R58,Method_input!$T$66:$T$80,0))</f>
        <v>1.1000000000000001</v>
      </c>
      <c r="J58" s="1114">
        <f>INDEX(Method_input!L$66:L$80,MATCH($R58,Method_input!$T$66:$T$80,0))</f>
        <v>1.1000000000000001</v>
      </c>
      <c r="K58" s="1114">
        <f>INDEX(Method_input!M$66:M$80,MATCH($R58,Method_input!$T$66:$T$80,0))</f>
        <v>1.1000000000000001</v>
      </c>
      <c r="L58" s="1114">
        <f>INDEX(Method_input!N$66:N$80,MATCH($R58,Method_input!$T$66:$T$80,0))</f>
        <v>1.1000000000000001</v>
      </c>
      <c r="M58" s="1114">
        <f>INDEX(Method_input!O$66:O$80,MATCH($R58,Method_input!$T$66:$T$80,0))</f>
        <v>1.1000000000000001</v>
      </c>
      <c r="N58" s="1114">
        <f>INDEX(Method_input!P$66:P$80,MATCH($R58,Method_input!$T$66:$T$80,0))</f>
        <v>1.1000000000000001</v>
      </c>
      <c r="O58" s="1114">
        <f>INDEX(Method_input!Q$66:Q$80,MATCH($R58,Method_input!$T$66:$T$80,0))</f>
        <v>1.1000000000000001</v>
      </c>
      <c r="P58" s="1114">
        <f>INDEX(Method_input!R$66:R$80,MATCH($R58,Method_input!$T$66:$T$80,0))</f>
        <v>1.1000000000000001</v>
      </c>
      <c r="Q58" s="1030"/>
      <c r="R58" s="1026" t="str">
        <f>+R57</f>
        <v>gas</v>
      </c>
      <c r="S58" s="1719" t="s">
        <v>1969</v>
      </c>
      <c r="T58" s="1008"/>
      <c r="U58" s="1013" t="s">
        <v>1927</v>
      </c>
    </row>
    <row r="59" spans="1:21" x14ac:dyDescent="0.2">
      <c r="A59" s="1024" t="s">
        <v>1913</v>
      </c>
      <c r="B59" s="185" t="s">
        <v>1914</v>
      </c>
      <c r="C59" s="1005"/>
      <c r="D59" s="1006"/>
      <c r="E59" s="1115">
        <f>INDEX(Method_input!G$82:G$96,MATCH($R59,Method_input!$T$82:$T$96,0))</f>
        <v>0</v>
      </c>
      <c r="F59" s="1115">
        <f>INDEX(Method_input!H$82:H$96,MATCH($R59,Method_input!$T$82:$T$96,0))</f>
        <v>0</v>
      </c>
      <c r="G59" s="1115">
        <f>INDEX(Method_input!I$82:I$96,MATCH($R59,Method_input!$T$82:$T$96,0))</f>
        <v>0</v>
      </c>
      <c r="H59" s="1115">
        <f>INDEX(Method_input!J$82:J$96,MATCH($R59,Method_input!$T$82:$T$96,0))</f>
        <v>0</v>
      </c>
      <c r="I59" s="1115">
        <f>INDEX(Method_input!K$82:K$96,MATCH($R59,Method_input!$T$82:$T$96,0))</f>
        <v>0</v>
      </c>
      <c r="J59" s="1115">
        <f>INDEX(Method_input!L$82:L$96,MATCH($R59,Method_input!$T$82:$T$96,0))</f>
        <v>0</v>
      </c>
      <c r="K59" s="1115">
        <f>INDEX(Method_input!M$82:M$96,MATCH($R59,Method_input!$T$82:$T$96,0))</f>
        <v>0</v>
      </c>
      <c r="L59" s="1115">
        <f>INDEX(Method_input!N$82:N$96,MATCH($R59,Method_input!$T$82:$T$96,0))</f>
        <v>0</v>
      </c>
      <c r="M59" s="1115">
        <f>INDEX(Method_input!O$82:O$96,MATCH($R59,Method_input!$T$82:$T$96,0))</f>
        <v>0</v>
      </c>
      <c r="N59" s="1115">
        <f>INDEX(Method_input!P$82:P$96,MATCH($R59,Method_input!$T$82:$T$96,0))</f>
        <v>0</v>
      </c>
      <c r="O59" s="1115">
        <f>INDEX(Method_input!Q$82:Q$96,MATCH($R59,Method_input!$T$82:$T$96,0))</f>
        <v>0</v>
      </c>
      <c r="P59" s="1115">
        <f>INDEX(Method_input!R$82:R$96,MATCH($R59,Method_input!$T$82:$T$96,0))</f>
        <v>0</v>
      </c>
      <c r="Q59" s="1030"/>
      <c r="R59" s="1026" t="str">
        <f>+R58</f>
        <v>gas</v>
      </c>
      <c r="S59" s="1719" t="s">
        <v>1969</v>
      </c>
      <c r="T59" s="1008"/>
      <c r="U59" s="1013" t="s">
        <v>1927</v>
      </c>
    </row>
    <row r="60" spans="1:21" ht="20.25" customHeight="1" x14ac:dyDescent="0.2">
      <c r="A60" s="1024" t="s">
        <v>1909</v>
      </c>
      <c r="B60" s="1005" t="s">
        <v>1972</v>
      </c>
      <c r="C60" s="1005"/>
      <c r="D60" s="1006" t="s">
        <v>8</v>
      </c>
      <c r="E60" s="1116">
        <f ca="1">+E57*E58</f>
        <v>3304.4444444444448</v>
      </c>
      <c r="F60" s="1116">
        <f t="shared" ref="F60:P60" ca="1" si="19">+F57*F58</f>
        <v>2528.3333333333335</v>
      </c>
      <c r="G60" s="1116">
        <f t="shared" ca="1" si="19"/>
        <v>1740</v>
      </c>
      <c r="H60" s="1116">
        <f t="shared" ca="1" si="19"/>
        <v>927.22222222222217</v>
      </c>
      <c r="I60" s="1116">
        <f t="shared" ca="1" si="19"/>
        <v>120.00000000000001</v>
      </c>
      <c r="J60" s="1116">
        <f t="shared" ca="1" si="19"/>
        <v>80.000000000000014</v>
      </c>
      <c r="K60" s="1116">
        <f t="shared" ca="1" si="19"/>
        <v>100</v>
      </c>
      <c r="L60" s="1116">
        <f t="shared" ca="1" si="19"/>
        <v>120.00000000000001</v>
      </c>
      <c r="M60" s="1116">
        <f t="shared" ca="1" si="19"/>
        <v>200</v>
      </c>
      <c r="N60" s="1116">
        <f t="shared" ca="1" si="19"/>
        <v>1141.1111111111113</v>
      </c>
      <c r="O60" s="1116">
        <f t="shared" ca="1" si="19"/>
        <v>2227.6666666666665</v>
      </c>
      <c r="P60" s="1116">
        <f t="shared" ca="1" si="19"/>
        <v>2693.3333333333335</v>
      </c>
      <c r="Q60" s="1116">
        <f t="shared" ref="Q60:Q61" ca="1" si="20">SUM(E60:P60)</f>
        <v>15182.111111111111</v>
      </c>
      <c r="R60" s="1026" t="s">
        <v>2248</v>
      </c>
      <c r="S60" s="1719" t="s">
        <v>2395</v>
      </c>
      <c r="T60" s="1543"/>
      <c r="U60" s="1013" t="s">
        <v>1928</v>
      </c>
    </row>
    <row r="61" spans="1:21" ht="20.25" customHeight="1" x14ac:dyDescent="0.2">
      <c r="A61" s="1024" t="s">
        <v>1910</v>
      </c>
      <c r="B61" s="1005" t="s">
        <v>1973</v>
      </c>
      <c r="C61" s="1005"/>
      <c r="D61" s="1006" t="s">
        <v>8</v>
      </c>
      <c r="E61" s="1117">
        <f ca="1">+E57*E59</f>
        <v>0</v>
      </c>
      <c r="F61" s="1117">
        <f t="shared" ref="F61:P61" ca="1" si="21">+F57*F59</f>
        <v>0</v>
      </c>
      <c r="G61" s="1117">
        <f t="shared" ca="1" si="21"/>
        <v>0</v>
      </c>
      <c r="H61" s="1117">
        <f t="shared" ca="1" si="21"/>
        <v>0</v>
      </c>
      <c r="I61" s="1117">
        <f t="shared" ca="1" si="21"/>
        <v>0</v>
      </c>
      <c r="J61" s="1117">
        <f t="shared" ca="1" si="21"/>
        <v>0</v>
      </c>
      <c r="K61" s="1117">
        <f t="shared" ca="1" si="21"/>
        <v>0</v>
      </c>
      <c r="L61" s="1117">
        <f t="shared" ca="1" si="21"/>
        <v>0</v>
      </c>
      <c r="M61" s="1117">
        <f t="shared" ca="1" si="21"/>
        <v>0</v>
      </c>
      <c r="N61" s="1117">
        <f t="shared" ca="1" si="21"/>
        <v>0</v>
      </c>
      <c r="O61" s="1117">
        <f t="shared" ca="1" si="21"/>
        <v>0</v>
      </c>
      <c r="P61" s="1117">
        <f t="shared" ca="1" si="21"/>
        <v>0</v>
      </c>
      <c r="Q61" s="1117">
        <f t="shared" ca="1" si="20"/>
        <v>0</v>
      </c>
      <c r="R61" s="1026" t="s">
        <v>2249</v>
      </c>
      <c r="S61" s="1719"/>
      <c r="T61" s="1544"/>
      <c r="U61" s="1013" t="s">
        <v>1929</v>
      </c>
    </row>
    <row r="62" spans="1:21" x14ac:dyDescent="0.2">
      <c r="A62" s="1024"/>
      <c r="B62" s="1005"/>
      <c r="C62" s="1005"/>
      <c r="D62" s="1006"/>
      <c r="E62" s="1026"/>
      <c r="F62" s="1026"/>
      <c r="G62" s="1026"/>
      <c r="H62" s="1026"/>
      <c r="I62" s="1026"/>
      <c r="J62" s="1026"/>
      <c r="K62" s="1026"/>
      <c r="L62" s="1026"/>
      <c r="M62" s="1026"/>
      <c r="N62" s="1026"/>
      <c r="O62" s="1026"/>
      <c r="P62" s="1026"/>
      <c r="Q62" s="1026"/>
      <c r="R62" s="1026"/>
      <c r="S62" s="1719"/>
      <c r="T62" s="1008"/>
      <c r="U62" s="1013"/>
    </row>
    <row r="63" spans="1:21" ht="38.25" customHeight="1" x14ac:dyDescent="0.2">
      <c r="A63" s="1024" t="s">
        <v>2241</v>
      </c>
      <c r="B63" s="1005" t="s">
        <v>2242</v>
      </c>
      <c r="C63" s="1005"/>
      <c r="D63" s="1006" t="s">
        <v>8</v>
      </c>
      <c r="E63" s="1030">
        <f t="shared" ref="E63:P63" ca="1" si="22">SUMIF($R$49:$R$55,$R63,E$49:E$55)</f>
        <v>0</v>
      </c>
      <c r="F63" s="1030">
        <f t="shared" ca="1" si="22"/>
        <v>0</v>
      </c>
      <c r="G63" s="1030">
        <f t="shared" ca="1" si="22"/>
        <v>0</v>
      </c>
      <c r="H63" s="1030">
        <f t="shared" ca="1" si="22"/>
        <v>0</v>
      </c>
      <c r="I63" s="1030">
        <f t="shared" ca="1" si="22"/>
        <v>0</v>
      </c>
      <c r="J63" s="1030">
        <f t="shared" ca="1" si="22"/>
        <v>0</v>
      </c>
      <c r="K63" s="1030">
        <f t="shared" ca="1" si="22"/>
        <v>0</v>
      </c>
      <c r="L63" s="1030">
        <f t="shared" ca="1" si="22"/>
        <v>0</v>
      </c>
      <c r="M63" s="1030">
        <f t="shared" ca="1" si="22"/>
        <v>0</v>
      </c>
      <c r="N63" s="1030">
        <f t="shared" ca="1" si="22"/>
        <v>0</v>
      </c>
      <c r="O63" s="1030">
        <f t="shared" ca="1" si="22"/>
        <v>0</v>
      </c>
      <c r="P63" s="1030">
        <f t="shared" ca="1" si="22"/>
        <v>0</v>
      </c>
      <c r="Q63" s="1030">
        <f ca="1">SUM(E63:P63)</f>
        <v>0</v>
      </c>
      <c r="R63" s="1026" t="str">
        <f>+Method_input!T67</f>
        <v>oil</v>
      </c>
      <c r="S63" s="1752" t="s">
        <v>2394</v>
      </c>
      <c r="T63"/>
      <c r="U63" s="1013" t="s">
        <v>1930</v>
      </c>
    </row>
    <row r="64" spans="1:21" x14ac:dyDescent="0.2">
      <c r="A64" s="1024" t="s">
        <v>1908</v>
      </c>
      <c r="B64" s="185" t="s">
        <v>2243</v>
      </c>
      <c r="C64" s="1005"/>
      <c r="D64" s="1006"/>
      <c r="E64" s="1114">
        <f>INDEX(Method_input!G$66:G$80,MATCH($R64,Method_input!$T$66:$T$80,0))</f>
        <v>1.1000000000000001</v>
      </c>
      <c r="F64" s="1114">
        <f>INDEX(Method_input!H$66:H$80,MATCH($R64,Method_input!$T$66:$T$80,0))</f>
        <v>1.1000000000000001</v>
      </c>
      <c r="G64" s="1114">
        <f>INDEX(Method_input!I$66:I$80,MATCH($R64,Method_input!$T$66:$T$80,0))</f>
        <v>1.1000000000000001</v>
      </c>
      <c r="H64" s="1114">
        <f>INDEX(Method_input!J$66:J$80,MATCH($R64,Method_input!$T$66:$T$80,0))</f>
        <v>1.1000000000000001</v>
      </c>
      <c r="I64" s="1114">
        <f>INDEX(Method_input!K$66:K$80,MATCH($R64,Method_input!$T$66:$T$80,0))</f>
        <v>1.1000000000000001</v>
      </c>
      <c r="J64" s="1114">
        <f>INDEX(Method_input!L$66:L$80,MATCH($R64,Method_input!$T$66:$T$80,0))</f>
        <v>1.1000000000000001</v>
      </c>
      <c r="K64" s="1114">
        <f>INDEX(Method_input!M$66:M$80,MATCH($R64,Method_input!$T$66:$T$80,0))</f>
        <v>1.1000000000000001</v>
      </c>
      <c r="L64" s="1114">
        <f>INDEX(Method_input!N$66:N$80,MATCH($R64,Method_input!$T$66:$T$80,0))</f>
        <v>1.1000000000000001</v>
      </c>
      <c r="M64" s="1114">
        <f>INDEX(Method_input!O$66:O$80,MATCH($R64,Method_input!$T$66:$T$80,0))</f>
        <v>1.1000000000000001</v>
      </c>
      <c r="N64" s="1114">
        <f>INDEX(Method_input!P$66:P$80,MATCH($R64,Method_input!$T$66:$T$80,0))</f>
        <v>1.1000000000000001</v>
      </c>
      <c r="O64" s="1114">
        <f>INDEX(Method_input!Q$66:Q$80,MATCH($R64,Method_input!$T$66:$T$80,0))</f>
        <v>1.1000000000000001</v>
      </c>
      <c r="P64" s="1114">
        <f>INDEX(Method_input!R$66:R$80,MATCH($R64,Method_input!$T$66:$T$80,0))</f>
        <v>1.1000000000000001</v>
      </c>
      <c r="Q64" s="1030"/>
      <c r="R64" s="1026" t="str">
        <f>+R63</f>
        <v>oil</v>
      </c>
      <c r="S64" s="1719" t="s">
        <v>1969</v>
      </c>
      <c r="T64" s="1008"/>
      <c r="U64" s="1013" t="s">
        <v>1927</v>
      </c>
    </row>
    <row r="65" spans="1:21" x14ac:dyDescent="0.2">
      <c r="A65" s="1024" t="s">
        <v>1913</v>
      </c>
      <c r="B65" s="185" t="s">
        <v>2244</v>
      </c>
      <c r="C65" s="1005"/>
      <c r="D65" s="1006"/>
      <c r="E65" s="1115">
        <f>INDEX(Method_input!G$82:G$96,MATCH($R65,Method_input!$T$82:$T$96,0))</f>
        <v>0</v>
      </c>
      <c r="F65" s="1115">
        <f>INDEX(Method_input!H$82:H$96,MATCH($R65,Method_input!$T$82:$T$96,0))</f>
        <v>0</v>
      </c>
      <c r="G65" s="1115">
        <f>INDEX(Method_input!I$82:I$96,MATCH($R65,Method_input!$T$82:$T$96,0))</f>
        <v>0</v>
      </c>
      <c r="H65" s="1115">
        <f>INDEX(Method_input!J$82:J$96,MATCH($R65,Method_input!$T$82:$T$96,0))</f>
        <v>0</v>
      </c>
      <c r="I65" s="1115">
        <f>INDEX(Method_input!K$82:K$96,MATCH($R65,Method_input!$T$82:$T$96,0))</f>
        <v>0</v>
      </c>
      <c r="J65" s="1115">
        <f>INDEX(Method_input!L$82:L$96,MATCH($R65,Method_input!$T$82:$T$96,0))</f>
        <v>0</v>
      </c>
      <c r="K65" s="1115">
        <f>INDEX(Method_input!M$82:M$96,MATCH($R65,Method_input!$T$82:$T$96,0))</f>
        <v>0</v>
      </c>
      <c r="L65" s="1115">
        <f>INDEX(Method_input!N$82:N$96,MATCH($R65,Method_input!$T$82:$T$96,0))</f>
        <v>0</v>
      </c>
      <c r="M65" s="1115">
        <f>INDEX(Method_input!O$82:O$96,MATCH($R65,Method_input!$T$82:$T$96,0))</f>
        <v>0</v>
      </c>
      <c r="N65" s="1115">
        <f>INDEX(Method_input!P$82:P$96,MATCH($R65,Method_input!$T$82:$T$96,0))</f>
        <v>0</v>
      </c>
      <c r="O65" s="1115">
        <f>INDEX(Method_input!Q$82:Q$96,MATCH($R65,Method_input!$T$82:$T$96,0))</f>
        <v>0</v>
      </c>
      <c r="P65" s="1115">
        <f>INDEX(Method_input!R$82:R$96,MATCH($R65,Method_input!$T$82:$T$96,0))</f>
        <v>0</v>
      </c>
      <c r="Q65" s="1030"/>
      <c r="R65" s="1026" t="str">
        <f>+R64</f>
        <v>oil</v>
      </c>
      <c r="S65" s="1719" t="s">
        <v>1969</v>
      </c>
      <c r="T65" s="1008"/>
      <c r="U65" s="1013" t="s">
        <v>1927</v>
      </c>
    </row>
    <row r="66" spans="1:21" ht="20.25" customHeight="1" x14ac:dyDescent="0.2">
      <c r="A66" s="1024" t="s">
        <v>1909</v>
      </c>
      <c r="B66" s="1005" t="s">
        <v>2245</v>
      </c>
      <c r="C66" s="1005"/>
      <c r="D66" s="1006" t="s">
        <v>8</v>
      </c>
      <c r="E66" s="1116">
        <f ca="1">+E63*E64</f>
        <v>0</v>
      </c>
      <c r="F66" s="1116">
        <f t="shared" ref="F66:P66" ca="1" si="23">+F63*F64</f>
        <v>0</v>
      </c>
      <c r="G66" s="1116">
        <f t="shared" ca="1" si="23"/>
        <v>0</v>
      </c>
      <c r="H66" s="1116">
        <f t="shared" ca="1" si="23"/>
        <v>0</v>
      </c>
      <c r="I66" s="1116">
        <f t="shared" ca="1" si="23"/>
        <v>0</v>
      </c>
      <c r="J66" s="1116">
        <f t="shared" ca="1" si="23"/>
        <v>0</v>
      </c>
      <c r="K66" s="1116">
        <f t="shared" ca="1" si="23"/>
        <v>0</v>
      </c>
      <c r="L66" s="1116">
        <f t="shared" ca="1" si="23"/>
        <v>0</v>
      </c>
      <c r="M66" s="1116">
        <f t="shared" ca="1" si="23"/>
        <v>0</v>
      </c>
      <c r="N66" s="1116">
        <f t="shared" ca="1" si="23"/>
        <v>0</v>
      </c>
      <c r="O66" s="1116">
        <f t="shared" ca="1" si="23"/>
        <v>0</v>
      </c>
      <c r="P66" s="1116">
        <f t="shared" ca="1" si="23"/>
        <v>0</v>
      </c>
      <c r="Q66" s="1116">
        <f t="shared" ref="Q66:Q67" ca="1" si="24">SUM(E66:P66)</f>
        <v>0</v>
      </c>
      <c r="R66" s="1026" t="s">
        <v>2248</v>
      </c>
      <c r="S66" s="1719" t="s">
        <v>2395</v>
      </c>
      <c r="T66" s="1543"/>
      <c r="U66" s="1013" t="s">
        <v>1928</v>
      </c>
    </row>
    <row r="67" spans="1:21" ht="20.25" customHeight="1" x14ac:dyDescent="0.2">
      <c r="A67" s="1024" t="s">
        <v>1910</v>
      </c>
      <c r="B67" s="1005" t="s">
        <v>2246</v>
      </c>
      <c r="C67" s="1005"/>
      <c r="D67" s="1006" t="s">
        <v>8</v>
      </c>
      <c r="E67" s="1117">
        <f ca="1">+E63*E65</f>
        <v>0</v>
      </c>
      <c r="F67" s="1117">
        <f t="shared" ref="F67:P67" ca="1" si="25">+F63*F65</f>
        <v>0</v>
      </c>
      <c r="G67" s="1117">
        <f t="shared" ca="1" si="25"/>
        <v>0</v>
      </c>
      <c r="H67" s="1117">
        <f t="shared" ca="1" si="25"/>
        <v>0</v>
      </c>
      <c r="I67" s="1117">
        <f t="shared" ca="1" si="25"/>
        <v>0</v>
      </c>
      <c r="J67" s="1117">
        <f t="shared" ca="1" si="25"/>
        <v>0</v>
      </c>
      <c r="K67" s="1117">
        <f t="shared" ca="1" si="25"/>
        <v>0</v>
      </c>
      <c r="L67" s="1117">
        <f t="shared" ca="1" si="25"/>
        <v>0</v>
      </c>
      <c r="M67" s="1117">
        <f t="shared" ca="1" si="25"/>
        <v>0</v>
      </c>
      <c r="N67" s="1117">
        <f t="shared" ca="1" si="25"/>
        <v>0</v>
      </c>
      <c r="O67" s="1117">
        <f t="shared" ca="1" si="25"/>
        <v>0</v>
      </c>
      <c r="P67" s="1117">
        <f t="shared" ca="1" si="25"/>
        <v>0</v>
      </c>
      <c r="Q67" s="1117">
        <f t="shared" ca="1" si="24"/>
        <v>0</v>
      </c>
      <c r="R67" s="1026" t="s">
        <v>2249</v>
      </c>
      <c r="S67" s="1719"/>
      <c r="T67" s="1544"/>
      <c r="U67" s="1013" t="s">
        <v>1929</v>
      </c>
    </row>
    <row r="68" spans="1:21" x14ac:dyDescent="0.2">
      <c r="A68" s="1024"/>
      <c r="B68" s="1005"/>
      <c r="C68" s="1005"/>
      <c r="D68" s="1006"/>
      <c r="E68" s="1026"/>
      <c r="F68" s="1026"/>
      <c r="G68" s="1026"/>
      <c r="H68" s="1026"/>
      <c r="I68" s="1026"/>
      <c r="J68" s="1026"/>
      <c r="K68" s="1026"/>
      <c r="L68" s="1026"/>
      <c r="M68" s="1026"/>
      <c r="N68" s="1026"/>
      <c r="O68" s="1026"/>
      <c r="P68" s="1026"/>
      <c r="Q68" s="1026"/>
      <c r="R68" s="1026"/>
      <c r="S68" s="1719"/>
      <c r="T68" s="1008"/>
      <c r="U68" s="1013"/>
    </row>
    <row r="69" spans="1:21" ht="38.25" customHeight="1" x14ac:dyDescent="0.2">
      <c r="A69" s="1024" t="str">
        <f>+Method_input!A68</f>
        <v>coal</v>
      </c>
      <c r="B69" s="1005" t="s">
        <v>2250</v>
      </c>
      <c r="C69" s="1005"/>
      <c r="D69" s="1006" t="s">
        <v>8</v>
      </c>
      <c r="E69" s="1030">
        <f t="shared" ref="E69:P69" ca="1" si="26">SUMIF($R$49:$R$55,$R69,E$49:E$55)</f>
        <v>0</v>
      </c>
      <c r="F69" s="1030">
        <f t="shared" ca="1" si="26"/>
        <v>0</v>
      </c>
      <c r="G69" s="1030">
        <f t="shared" ca="1" si="26"/>
        <v>0</v>
      </c>
      <c r="H69" s="1030">
        <f t="shared" ca="1" si="26"/>
        <v>0</v>
      </c>
      <c r="I69" s="1030">
        <f t="shared" ca="1" si="26"/>
        <v>0</v>
      </c>
      <c r="J69" s="1030">
        <f t="shared" ca="1" si="26"/>
        <v>0</v>
      </c>
      <c r="K69" s="1030">
        <f t="shared" ca="1" si="26"/>
        <v>0</v>
      </c>
      <c r="L69" s="1030">
        <f t="shared" ca="1" si="26"/>
        <v>0</v>
      </c>
      <c r="M69" s="1030">
        <f t="shared" ca="1" si="26"/>
        <v>0</v>
      </c>
      <c r="N69" s="1030">
        <f t="shared" ca="1" si="26"/>
        <v>0</v>
      </c>
      <c r="O69" s="1030">
        <f t="shared" ca="1" si="26"/>
        <v>0</v>
      </c>
      <c r="P69" s="1030">
        <f t="shared" ca="1" si="26"/>
        <v>0</v>
      </c>
      <c r="Q69" s="1030">
        <f ca="1">SUM(E69:P69)</f>
        <v>0</v>
      </c>
      <c r="R69" s="1026" t="str">
        <f>+Method_input!T68</f>
        <v>coal</v>
      </c>
      <c r="S69" s="1752" t="s">
        <v>2394</v>
      </c>
      <c r="T69"/>
      <c r="U69" s="1013" t="s">
        <v>1930</v>
      </c>
    </row>
    <row r="70" spans="1:21" x14ac:dyDescent="0.2">
      <c r="A70" s="1024" t="s">
        <v>1908</v>
      </c>
      <c r="B70" s="185" t="s">
        <v>2251</v>
      </c>
      <c r="C70" s="1005"/>
      <c r="D70" s="1006"/>
      <c r="E70" s="1114">
        <f>INDEX(Method_input!G$66:G$80,MATCH($R70,Method_input!$T$66:$T$80,0))</f>
        <v>1.1000000000000001</v>
      </c>
      <c r="F70" s="1114">
        <f>INDEX(Method_input!H$66:H$80,MATCH($R70,Method_input!$T$66:$T$80,0))</f>
        <v>1.1000000000000001</v>
      </c>
      <c r="G70" s="1114">
        <f>INDEX(Method_input!I$66:I$80,MATCH($R70,Method_input!$T$66:$T$80,0))</f>
        <v>1.1000000000000001</v>
      </c>
      <c r="H70" s="1114">
        <f>INDEX(Method_input!J$66:J$80,MATCH($R70,Method_input!$T$66:$T$80,0))</f>
        <v>1.1000000000000001</v>
      </c>
      <c r="I70" s="1114">
        <f>INDEX(Method_input!K$66:K$80,MATCH($R70,Method_input!$T$66:$T$80,0))</f>
        <v>1.1000000000000001</v>
      </c>
      <c r="J70" s="1114">
        <f>INDEX(Method_input!L$66:L$80,MATCH($R70,Method_input!$T$66:$T$80,0))</f>
        <v>1.1000000000000001</v>
      </c>
      <c r="K70" s="1114">
        <f>INDEX(Method_input!M$66:M$80,MATCH($R70,Method_input!$T$66:$T$80,0))</f>
        <v>1.1000000000000001</v>
      </c>
      <c r="L70" s="1114">
        <f>INDEX(Method_input!N$66:N$80,MATCH($R70,Method_input!$T$66:$T$80,0))</f>
        <v>1.1000000000000001</v>
      </c>
      <c r="M70" s="1114">
        <f>INDEX(Method_input!O$66:O$80,MATCH($R70,Method_input!$T$66:$T$80,0))</f>
        <v>1.1000000000000001</v>
      </c>
      <c r="N70" s="1114">
        <f>INDEX(Method_input!P$66:P$80,MATCH($R70,Method_input!$T$66:$T$80,0))</f>
        <v>1.1000000000000001</v>
      </c>
      <c r="O70" s="1114">
        <f>INDEX(Method_input!Q$66:Q$80,MATCH($R70,Method_input!$T$66:$T$80,0))</f>
        <v>1.1000000000000001</v>
      </c>
      <c r="P70" s="1114">
        <f>INDEX(Method_input!R$66:R$80,MATCH($R70,Method_input!$T$66:$T$80,0))</f>
        <v>1.1000000000000001</v>
      </c>
      <c r="Q70" s="1030"/>
      <c r="R70" s="1026" t="str">
        <f>+R69</f>
        <v>coal</v>
      </c>
      <c r="S70" s="1719" t="s">
        <v>1969</v>
      </c>
      <c r="T70" s="1008"/>
      <c r="U70" s="1013" t="s">
        <v>1927</v>
      </c>
    </row>
    <row r="71" spans="1:21" x14ac:dyDescent="0.2">
      <c r="A71" s="1024" t="s">
        <v>1913</v>
      </c>
      <c r="B71" s="185" t="s">
        <v>2252</v>
      </c>
      <c r="C71" s="1005"/>
      <c r="D71" s="1006"/>
      <c r="E71" s="1115">
        <f>INDEX(Method_input!G$82:G$96,MATCH($R71,Method_input!$T$82:$T$96,0))</f>
        <v>0</v>
      </c>
      <c r="F71" s="1115">
        <f>INDEX(Method_input!H$82:H$96,MATCH($R71,Method_input!$T$82:$T$96,0))</f>
        <v>0</v>
      </c>
      <c r="G71" s="1115">
        <f>INDEX(Method_input!I$82:I$96,MATCH($R71,Method_input!$T$82:$T$96,0))</f>
        <v>0</v>
      </c>
      <c r="H71" s="1115">
        <f>INDEX(Method_input!J$82:J$96,MATCH($R71,Method_input!$T$82:$T$96,0))</f>
        <v>0</v>
      </c>
      <c r="I71" s="1115">
        <f>INDEX(Method_input!K$82:K$96,MATCH($R71,Method_input!$T$82:$T$96,0))</f>
        <v>0</v>
      </c>
      <c r="J71" s="1115">
        <f>INDEX(Method_input!L$82:L$96,MATCH($R71,Method_input!$T$82:$T$96,0))</f>
        <v>0</v>
      </c>
      <c r="K71" s="1115">
        <f>INDEX(Method_input!M$82:M$96,MATCH($R71,Method_input!$T$82:$T$96,0))</f>
        <v>0</v>
      </c>
      <c r="L71" s="1115">
        <f>INDEX(Method_input!N$82:N$96,MATCH($R71,Method_input!$T$82:$T$96,0))</f>
        <v>0</v>
      </c>
      <c r="M71" s="1115">
        <f>INDEX(Method_input!O$82:O$96,MATCH($R71,Method_input!$T$82:$T$96,0))</f>
        <v>0</v>
      </c>
      <c r="N71" s="1115">
        <f>INDEX(Method_input!P$82:P$96,MATCH($R71,Method_input!$T$82:$T$96,0))</f>
        <v>0</v>
      </c>
      <c r="O71" s="1115">
        <f>INDEX(Method_input!Q$82:Q$96,MATCH($R71,Method_input!$T$82:$T$96,0))</f>
        <v>0</v>
      </c>
      <c r="P71" s="1115">
        <f>INDEX(Method_input!R$82:R$96,MATCH($R71,Method_input!$T$82:$T$96,0))</f>
        <v>0</v>
      </c>
      <c r="Q71" s="1030"/>
      <c r="R71" s="1026" t="str">
        <f>+R70</f>
        <v>coal</v>
      </c>
      <c r="S71" s="1719" t="s">
        <v>1969</v>
      </c>
      <c r="T71" s="1008"/>
      <c r="U71" s="1013" t="s">
        <v>1927</v>
      </c>
    </row>
    <row r="72" spans="1:21" ht="20.25" customHeight="1" x14ac:dyDescent="0.2">
      <c r="A72" s="1024" t="s">
        <v>1909</v>
      </c>
      <c r="B72" s="1005" t="s">
        <v>2253</v>
      </c>
      <c r="C72" s="1005"/>
      <c r="D72" s="1006" t="s">
        <v>8</v>
      </c>
      <c r="E72" s="1116">
        <f ca="1">+E69*E70</f>
        <v>0</v>
      </c>
      <c r="F72" s="1116">
        <f t="shared" ref="F72:P72" ca="1" si="27">+F69*F70</f>
        <v>0</v>
      </c>
      <c r="G72" s="1116">
        <f t="shared" ca="1" si="27"/>
        <v>0</v>
      </c>
      <c r="H72" s="1116">
        <f t="shared" ca="1" si="27"/>
        <v>0</v>
      </c>
      <c r="I72" s="1116">
        <f t="shared" ca="1" si="27"/>
        <v>0</v>
      </c>
      <c r="J72" s="1116">
        <f t="shared" ca="1" si="27"/>
        <v>0</v>
      </c>
      <c r="K72" s="1116">
        <f t="shared" ca="1" si="27"/>
        <v>0</v>
      </c>
      <c r="L72" s="1116">
        <f t="shared" ca="1" si="27"/>
        <v>0</v>
      </c>
      <c r="M72" s="1116">
        <f t="shared" ca="1" si="27"/>
        <v>0</v>
      </c>
      <c r="N72" s="1116">
        <f t="shared" ca="1" si="27"/>
        <v>0</v>
      </c>
      <c r="O72" s="1116">
        <f t="shared" ca="1" si="27"/>
        <v>0</v>
      </c>
      <c r="P72" s="1116">
        <f t="shared" ca="1" si="27"/>
        <v>0</v>
      </c>
      <c r="Q72" s="1116">
        <f t="shared" ref="Q72:Q73" ca="1" si="28">SUM(E72:P72)</f>
        <v>0</v>
      </c>
      <c r="R72" s="1026" t="s">
        <v>2248</v>
      </c>
      <c r="S72" s="1719" t="s">
        <v>2395</v>
      </c>
      <c r="T72" s="1543"/>
      <c r="U72" s="1013" t="s">
        <v>1928</v>
      </c>
    </row>
    <row r="73" spans="1:21" ht="20.25" customHeight="1" x14ac:dyDescent="0.2">
      <c r="A73" s="1024" t="s">
        <v>1910</v>
      </c>
      <c r="B73" s="1005" t="s">
        <v>2254</v>
      </c>
      <c r="C73" s="1005"/>
      <c r="D73" s="1006" t="s">
        <v>8</v>
      </c>
      <c r="E73" s="1117">
        <f ca="1">+E69*E71</f>
        <v>0</v>
      </c>
      <c r="F73" s="1117">
        <f t="shared" ref="F73:P73" ca="1" si="29">+F69*F71</f>
        <v>0</v>
      </c>
      <c r="G73" s="1117">
        <f t="shared" ca="1" si="29"/>
        <v>0</v>
      </c>
      <c r="H73" s="1117">
        <f t="shared" ca="1" si="29"/>
        <v>0</v>
      </c>
      <c r="I73" s="1117">
        <f t="shared" ca="1" si="29"/>
        <v>0</v>
      </c>
      <c r="J73" s="1117">
        <f t="shared" ca="1" si="29"/>
        <v>0</v>
      </c>
      <c r="K73" s="1117">
        <f t="shared" ca="1" si="29"/>
        <v>0</v>
      </c>
      <c r="L73" s="1117">
        <f t="shared" ca="1" si="29"/>
        <v>0</v>
      </c>
      <c r="M73" s="1117">
        <f t="shared" ca="1" si="29"/>
        <v>0</v>
      </c>
      <c r="N73" s="1117">
        <f t="shared" ca="1" si="29"/>
        <v>0</v>
      </c>
      <c r="O73" s="1117">
        <f t="shared" ca="1" si="29"/>
        <v>0</v>
      </c>
      <c r="P73" s="1117">
        <f t="shared" ca="1" si="29"/>
        <v>0</v>
      </c>
      <c r="Q73" s="1117">
        <f t="shared" ca="1" si="28"/>
        <v>0</v>
      </c>
      <c r="R73" s="1026" t="s">
        <v>2249</v>
      </c>
      <c r="S73" s="1719"/>
      <c r="T73" s="1544"/>
      <c r="U73" s="1013" t="s">
        <v>1929</v>
      </c>
    </row>
    <row r="74" spans="1:21" x14ac:dyDescent="0.2">
      <c r="A74" s="1024"/>
      <c r="B74" s="1005"/>
      <c r="C74" s="1005"/>
      <c r="D74" s="1006"/>
      <c r="E74" s="1026"/>
      <c r="F74" s="1026"/>
      <c r="G74" s="1026"/>
      <c r="H74" s="1026"/>
      <c r="I74" s="1026"/>
      <c r="J74" s="1026"/>
      <c r="K74" s="1026"/>
      <c r="L74" s="1026"/>
      <c r="M74" s="1026"/>
      <c r="N74" s="1026"/>
      <c r="O74" s="1026"/>
      <c r="P74" s="1026"/>
      <c r="Q74" s="1026"/>
      <c r="R74" s="1026"/>
      <c r="S74" s="1719"/>
      <c r="T74" s="1008"/>
      <c r="U74" s="1013"/>
    </row>
    <row r="75" spans="1:21" ht="38.25" customHeight="1" x14ac:dyDescent="0.2">
      <c r="A75" s="1024" t="str">
        <f>+Method_input!A69</f>
        <v>wood</v>
      </c>
      <c r="B75" s="1005" t="s">
        <v>2250</v>
      </c>
      <c r="C75" s="1005"/>
      <c r="D75" s="1006" t="s">
        <v>8</v>
      </c>
      <c r="E75" s="1030">
        <f t="shared" ref="E75:P75" ca="1" si="30">SUMIF($R$49:$R$55,$R75,E$49:E$55)</f>
        <v>0</v>
      </c>
      <c r="F75" s="1030">
        <f t="shared" ca="1" si="30"/>
        <v>0</v>
      </c>
      <c r="G75" s="1030">
        <f t="shared" ca="1" si="30"/>
        <v>0</v>
      </c>
      <c r="H75" s="1030">
        <f t="shared" ca="1" si="30"/>
        <v>0</v>
      </c>
      <c r="I75" s="1030">
        <f t="shared" ca="1" si="30"/>
        <v>0</v>
      </c>
      <c r="J75" s="1030">
        <f t="shared" ca="1" si="30"/>
        <v>0</v>
      </c>
      <c r="K75" s="1030">
        <f t="shared" ca="1" si="30"/>
        <v>0</v>
      </c>
      <c r="L75" s="1030">
        <f t="shared" ca="1" si="30"/>
        <v>0</v>
      </c>
      <c r="M75" s="1030">
        <f t="shared" ca="1" si="30"/>
        <v>0</v>
      </c>
      <c r="N75" s="1030">
        <f t="shared" ca="1" si="30"/>
        <v>0</v>
      </c>
      <c r="O75" s="1030">
        <f t="shared" ca="1" si="30"/>
        <v>0</v>
      </c>
      <c r="P75" s="1030">
        <f t="shared" ca="1" si="30"/>
        <v>0</v>
      </c>
      <c r="Q75" s="1030">
        <f ca="1">SUM(E75:P75)</f>
        <v>0</v>
      </c>
      <c r="R75" s="1026" t="str">
        <f>+Method_input!T69</f>
        <v>wood</v>
      </c>
      <c r="S75" s="1752" t="s">
        <v>2394</v>
      </c>
      <c r="T75"/>
      <c r="U75" s="1013" t="s">
        <v>1930</v>
      </c>
    </row>
    <row r="76" spans="1:21" x14ac:dyDescent="0.2">
      <c r="A76" s="1024" t="s">
        <v>1908</v>
      </c>
      <c r="B76" s="185" t="s">
        <v>2251</v>
      </c>
      <c r="C76" s="1005"/>
      <c r="D76" s="1006"/>
      <c r="E76" s="1114">
        <f>INDEX(Method_input!G$66:G$80,MATCH($R76,Method_input!$T$66:$T$80,0))</f>
        <v>0.2</v>
      </c>
      <c r="F76" s="1114">
        <f>INDEX(Method_input!H$66:H$80,MATCH($R76,Method_input!$T$66:$T$80,0))</f>
        <v>0.2</v>
      </c>
      <c r="G76" s="1114">
        <f>INDEX(Method_input!I$66:I$80,MATCH($R76,Method_input!$T$66:$T$80,0))</f>
        <v>0.2</v>
      </c>
      <c r="H76" s="1114">
        <f>INDEX(Method_input!J$66:J$80,MATCH($R76,Method_input!$T$66:$T$80,0))</f>
        <v>0.2</v>
      </c>
      <c r="I76" s="1114">
        <f>INDEX(Method_input!K$66:K$80,MATCH($R76,Method_input!$T$66:$T$80,0))</f>
        <v>0.2</v>
      </c>
      <c r="J76" s="1114">
        <f>INDEX(Method_input!L$66:L$80,MATCH($R76,Method_input!$T$66:$T$80,0))</f>
        <v>0.2</v>
      </c>
      <c r="K76" s="1114">
        <f>INDEX(Method_input!M$66:M$80,MATCH($R76,Method_input!$T$66:$T$80,0))</f>
        <v>0.2</v>
      </c>
      <c r="L76" s="1114">
        <f>INDEX(Method_input!N$66:N$80,MATCH($R76,Method_input!$T$66:$T$80,0))</f>
        <v>0.2</v>
      </c>
      <c r="M76" s="1114">
        <f>INDEX(Method_input!O$66:O$80,MATCH($R76,Method_input!$T$66:$T$80,0))</f>
        <v>0.2</v>
      </c>
      <c r="N76" s="1114">
        <f>INDEX(Method_input!P$66:P$80,MATCH($R76,Method_input!$T$66:$T$80,0))</f>
        <v>0.2</v>
      </c>
      <c r="O76" s="1114">
        <f>INDEX(Method_input!Q$66:Q$80,MATCH($R76,Method_input!$T$66:$T$80,0))</f>
        <v>0.2</v>
      </c>
      <c r="P76" s="1114">
        <f>INDEX(Method_input!R$66:R$80,MATCH($R76,Method_input!$T$66:$T$80,0))</f>
        <v>0.2</v>
      </c>
      <c r="Q76" s="1030"/>
      <c r="R76" s="1026" t="str">
        <f>+R75</f>
        <v>wood</v>
      </c>
      <c r="S76" s="1719" t="s">
        <v>1969</v>
      </c>
      <c r="T76" s="1008"/>
      <c r="U76" s="1013" t="s">
        <v>1927</v>
      </c>
    </row>
    <row r="77" spans="1:21" x14ac:dyDescent="0.2">
      <c r="A77" s="1024" t="s">
        <v>1913</v>
      </c>
      <c r="B77" s="185" t="s">
        <v>2252</v>
      </c>
      <c r="C77" s="1005"/>
      <c r="D77" s="1006"/>
      <c r="E77" s="1115">
        <f>INDEX(Method_input!G$82:G$96,MATCH($R77,Method_input!$T$82:$T$96,0))</f>
        <v>1</v>
      </c>
      <c r="F77" s="1115">
        <f>INDEX(Method_input!H$82:H$96,MATCH($R77,Method_input!$T$82:$T$96,0))</f>
        <v>1</v>
      </c>
      <c r="G77" s="1115">
        <f>INDEX(Method_input!I$82:I$96,MATCH($R77,Method_input!$T$82:$T$96,0))</f>
        <v>1</v>
      </c>
      <c r="H77" s="1115">
        <f>INDEX(Method_input!J$82:J$96,MATCH($R77,Method_input!$T$82:$T$96,0))</f>
        <v>1</v>
      </c>
      <c r="I77" s="1115">
        <f>INDEX(Method_input!K$82:K$96,MATCH($R77,Method_input!$T$82:$T$96,0))</f>
        <v>1</v>
      </c>
      <c r="J77" s="1115">
        <f>INDEX(Method_input!L$82:L$96,MATCH($R77,Method_input!$T$82:$T$96,0))</f>
        <v>1</v>
      </c>
      <c r="K77" s="1115">
        <f>INDEX(Method_input!M$82:M$96,MATCH($R77,Method_input!$T$82:$T$96,0))</f>
        <v>1</v>
      </c>
      <c r="L77" s="1115">
        <f>INDEX(Method_input!N$82:N$96,MATCH($R77,Method_input!$T$82:$T$96,0))</f>
        <v>1</v>
      </c>
      <c r="M77" s="1115">
        <f>INDEX(Method_input!O$82:O$96,MATCH($R77,Method_input!$T$82:$T$96,0))</f>
        <v>1</v>
      </c>
      <c r="N77" s="1115">
        <f>INDEX(Method_input!P$82:P$96,MATCH($R77,Method_input!$T$82:$T$96,0))</f>
        <v>1</v>
      </c>
      <c r="O77" s="1115">
        <f>INDEX(Method_input!Q$82:Q$96,MATCH($R77,Method_input!$T$82:$T$96,0))</f>
        <v>1</v>
      </c>
      <c r="P77" s="1115">
        <f>INDEX(Method_input!R$82:R$96,MATCH($R77,Method_input!$T$82:$T$96,0))</f>
        <v>1</v>
      </c>
      <c r="Q77" s="1030"/>
      <c r="R77" s="1026" t="str">
        <f>+R76</f>
        <v>wood</v>
      </c>
      <c r="S77" s="1719" t="s">
        <v>1969</v>
      </c>
      <c r="T77" s="1008"/>
      <c r="U77" s="1013" t="s">
        <v>1927</v>
      </c>
    </row>
    <row r="78" spans="1:21" ht="20.25" customHeight="1" x14ac:dyDescent="0.2">
      <c r="A78" s="1024" t="s">
        <v>1909</v>
      </c>
      <c r="B78" s="1005" t="s">
        <v>2253</v>
      </c>
      <c r="C78" s="1005"/>
      <c r="D78" s="1006" t="s">
        <v>8</v>
      </c>
      <c r="E78" s="1116">
        <f ca="1">+E75*E76</f>
        <v>0</v>
      </c>
      <c r="F78" s="1116">
        <f t="shared" ref="F78:P78" ca="1" si="31">+F75*F76</f>
        <v>0</v>
      </c>
      <c r="G78" s="1116">
        <f t="shared" ca="1" si="31"/>
        <v>0</v>
      </c>
      <c r="H78" s="1116">
        <f t="shared" ca="1" si="31"/>
        <v>0</v>
      </c>
      <c r="I78" s="1116">
        <f t="shared" ca="1" si="31"/>
        <v>0</v>
      </c>
      <c r="J78" s="1116">
        <f t="shared" ca="1" si="31"/>
        <v>0</v>
      </c>
      <c r="K78" s="1116">
        <f t="shared" ca="1" si="31"/>
        <v>0</v>
      </c>
      <c r="L78" s="1116">
        <f t="shared" ca="1" si="31"/>
        <v>0</v>
      </c>
      <c r="M78" s="1116">
        <f t="shared" ca="1" si="31"/>
        <v>0</v>
      </c>
      <c r="N78" s="1116">
        <f t="shared" ca="1" si="31"/>
        <v>0</v>
      </c>
      <c r="O78" s="1116">
        <f t="shared" ca="1" si="31"/>
        <v>0</v>
      </c>
      <c r="P78" s="1116">
        <f t="shared" ca="1" si="31"/>
        <v>0</v>
      </c>
      <c r="Q78" s="1116">
        <f t="shared" ref="Q78:Q79" ca="1" si="32">SUM(E78:P78)</f>
        <v>0</v>
      </c>
      <c r="R78" s="1026" t="s">
        <v>2248</v>
      </c>
      <c r="S78" s="1719" t="s">
        <v>2395</v>
      </c>
      <c r="T78" s="1543"/>
      <c r="U78" s="1013" t="s">
        <v>1928</v>
      </c>
    </row>
    <row r="79" spans="1:21" ht="20.25" customHeight="1" x14ac:dyDescent="0.2">
      <c r="A79" s="1024" t="s">
        <v>1910</v>
      </c>
      <c r="B79" s="1005" t="s">
        <v>2254</v>
      </c>
      <c r="C79" s="1005"/>
      <c r="D79" s="1006" t="s">
        <v>8</v>
      </c>
      <c r="E79" s="1117">
        <f ca="1">+E75*E77</f>
        <v>0</v>
      </c>
      <c r="F79" s="1117">
        <f t="shared" ref="F79:P79" ca="1" si="33">+F75*F77</f>
        <v>0</v>
      </c>
      <c r="G79" s="1117">
        <f t="shared" ca="1" si="33"/>
        <v>0</v>
      </c>
      <c r="H79" s="1117">
        <f t="shared" ca="1" si="33"/>
        <v>0</v>
      </c>
      <c r="I79" s="1117">
        <f t="shared" ca="1" si="33"/>
        <v>0</v>
      </c>
      <c r="J79" s="1117">
        <f t="shared" ca="1" si="33"/>
        <v>0</v>
      </c>
      <c r="K79" s="1117">
        <f t="shared" ca="1" si="33"/>
        <v>0</v>
      </c>
      <c r="L79" s="1117">
        <f t="shared" ca="1" si="33"/>
        <v>0</v>
      </c>
      <c r="M79" s="1117">
        <f t="shared" ca="1" si="33"/>
        <v>0</v>
      </c>
      <c r="N79" s="1117">
        <f t="shared" ca="1" si="33"/>
        <v>0</v>
      </c>
      <c r="O79" s="1117">
        <f t="shared" ca="1" si="33"/>
        <v>0</v>
      </c>
      <c r="P79" s="1117">
        <f t="shared" ca="1" si="33"/>
        <v>0</v>
      </c>
      <c r="Q79" s="1117">
        <f t="shared" ca="1" si="32"/>
        <v>0</v>
      </c>
      <c r="R79" s="1026" t="s">
        <v>2249</v>
      </c>
      <c r="S79" s="1719"/>
      <c r="T79" s="1544"/>
      <c r="U79" s="1013" t="s">
        <v>1929</v>
      </c>
    </row>
    <row r="80" spans="1:21" x14ac:dyDescent="0.2">
      <c r="A80" s="1024"/>
      <c r="B80" s="1005"/>
      <c r="C80" s="1005"/>
      <c r="D80" s="1006"/>
      <c r="E80" s="1026"/>
      <c r="F80" s="1026"/>
      <c r="G80" s="1026"/>
      <c r="H80" s="1026"/>
      <c r="I80" s="1026"/>
      <c r="J80" s="1026"/>
      <c r="K80" s="1026"/>
      <c r="L80" s="1026"/>
      <c r="M80" s="1026"/>
      <c r="N80" s="1026"/>
      <c r="O80" s="1026"/>
      <c r="P80" s="1026"/>
      <c r="Q80" s="1026"/>
      <c r="R80" s="1026"/>
      <c r="S80" s="1719"/>
      <c r="T80" s="1008"/>
      <c r="U80" s="1013"/>
    </row>
    <row r="81" spans="1:21" ht="38.25" customHeight="1" x14ac:dyDescent="0.2">
      <c r="A81" s="1024" t="str">
        <f>+Method_input!A70</f>
        <v>biomass</v>
      </c>
      <c r="B81" s="1005" t="s">
        <v>2250</v>
      </c>
      <c r="C81" s="1005"/>
      <c r="D81" s="1006" t="s">
        <v>8</v>
      </c>
      <c r="E81" s="1030">
        <f t="shared" ref="E81:P81" ca="1" si="34">SUMIF($R$49:$R$55,$R81,E$49:E$55)</f>
        <v>0</v>
      </c>
      <c r="F81" s="1030">
        <f t="shared" ca="1" si="34"/>
        <v>0</v>
      </c>
      <c r="G81" s="1030">
        <f t="shared" ca="1" si="34"/>
        <v>0</v>
      </c>
      <c r="H81" s="1030">
        <f t="shared" ca="1" si="34"/>
        <v>0</v>
      </c>
      <c r="I81" s="1030">
        <f t="shared" ca="1" si="34"/>
        <v>0</v>
      </c>
      <c r="J81" s="1030">
        <f t="shared" ca="1" si="34"/>
        <v>0</v>
      </c>
      <c r="K81" s="1030">
        <f t="shared" ca="1" si="34"/>
        <v>0</v>
      </c>
      <c r="L81" s="1030">
        <f t="shared" ca="1" si="34"/>
        <v>0</v>
      </c>
      <c r="M81" s="1030">
        <f t="shared" ca="1" si="34"/>
        <v>0</v>
      </c>
      <c r="N81" s="1030">
        <f t="shared" ca="1" si="34"/>
        <v>0</v>
      </c>
      <c r="O81" s="1030">
        <f t="shared" ca="1" si="34"/>
        <v>0</v>
      </c>
      <c r="P81" s="1030">
        <f t="shared" ca="1" si="34"/>
        <v>0</v>
      </c>
      <c r="Q81" s="1030">
        <f ca="1">SUM(E81:P81)</f>
        <v>0</v>
      </c>
      <c r="R81" s="1026" t="str">
        <f>+Method_input!T70</f>
        <v>biomass</v>
      </c>
      <c r="S81" s="1752" t="s">
        <v>2394</v>
      </c>
      <c r="T81"/>
      <c r="U81" s="1013" t="s">
        <v>1930</v>
      </c>
    </row>
    <row r="82" spans="1:21" x14ac:dyDescent="0.2">
      <c r="A82" s="1024" t="s">
        <v>1908</v>
      </c>
      <c r="B82" s="185" t="s">
        <v>2251</v>
      </c>
      <c r="C82" s="1005"/>
      <c r="D82" s="1006"/>
      <c r="E82" s="1114">
        <f>INDEX(Method_input!G$66:G$80,MATCH($R82,Method_input!$T$66:$T$80,0))</f>
        <v>0.2</v>
      </c>
      <c r="F82" s="1114">
        <f>INDEX(Method_input!H$66:H$80,MATCH($R82,Method_input!$T$66:$T$80,0))</f>
        <v>0.2</v>
      </c>
      <c r="G82" s="1114">
        <f>INDEX(Method_input!I$66:I$80,MATCH($R82,Method_input!$T$66:$T$80,0))</f>
        <v>0.2</v>
      </c>
      <c r="H82" s="1114">
        <f>INDEX(Method_input!J$66:J$80,MATCH($R82,Method_input!$T$66:$T$80,0))</f>
        <v>0.2</v>
      </c>
      <c r="I82" s="1114">
        <f>INDEX(Method_input!K$66:K$80,MATCH($R82,Method_input!$T$66:$T$80,0))</f>
        <v>0.2</v>
      </c>
      <c r="J82" s="1114">
        <f>INDEX(Method_input!L$66:L$80,MATCH($R82,Method_input!$T$66:$T$80,0))</f>
        <v>0.2</v>
      </c>
      <c r="K82" s="1114">
        <f>INDEX(Method_input!M$66:M$80,MATCH($R82,Method_input!$T$66:$T$80,0))</f>
        <v>0.2</v>
      </c>
      <c r="L82" s="1114">
        <f>INDEX(Method_input!N$66:N$80,MATCH($R82,Method_input!$T$66:$T$80,0))</f>
        <v>0.2</v>
      </c>
      <c r="M82" s="1114">
        <f>INDEX(Method_input!O$66:O$80,MATCH($R82,Method_input!$T$66:$T$80,0))</f>
        <v>0.2</v>
      </c>
      <c r="N82" s="1114">
        <f>INDEX(Method_input!P$66:P$80,MATCH($R82,Method_input!$T$66:$T$80,0))</f>
        <v>0.2</v>
      </c>
      <c r="O82" s="1114">
        <f>INDEX(Method_input!Q$66:Q$80,MATCH($R82,Method_input!$T$66:$T$80,0))</f>
        <v>0.2</v>
      </c>
      <c r="P82" s="1114">
        <f>INDEX(Method_input!R$66:R$80,MATCH($R82,Method_input!$T$66:$T$80,0))</f>
        <v>0.2</v>
      </c>
      <c r="Q82" s="1030"/>
      <c r="R82" s="1026" t="str">
        <f>+R81</f>
        <v>biomass</v>
      </c>
      <c r="S82" s="1719" t="s">
        <v>1969</v>
      </c>
      <c r="T82" s="1008"/>
      <c r="U82" s="1013" t="s">
        <v>1927</v>
      </c>
    </row>
    <row r="83" spans="1:21" x14ac:dyDescent="0.2">
      <c r="A83" s="1024" t="s">
        <v>1913</v>
      </c>
      <c r="B83" s="185" t="s">
        <v>2252</v>
      </c>
      <c r="C83" s="1005"/>
      <c r="D83" s="1006"/>
      <c r="E83" s="1115">
        <f>INDEX(Method_input!G$82:G$96,MATCH($R83,Method_input!$T$82:$T$96,0))</f>
        <v>1</v>
      </c>
      <c r="F83" s="1115">
        <f>INDEX(Method_input!H$82:H$96,MATCH($R83,Method_input!$T$82:$T$96,0))</f>
        <v>1</v>
      </c>
      <c r="G83" s="1115">
        <f>INDEX(Method_input!I$82:I$96,MATCH($R83,Method_input!$T$82:$T$96,0))</f>
        <v>1</v>
      </c>
      <c r="H83" s="1115">
        <f>INDEX(Method_input!J$82:J$96,MATCH($R83,Method_input!$T$82:$T$96,0))</f>
        <v>1</v>
      </c>
      <c r="I83" s="1115">
        <f>INDEX(Method_input!K$82:K$96,MATCH($R83,Method_input!$T$82:$T$96,0))</f>
        <v>1</v>
      </c>
      <c r="J83" s="1115">
        <f>INDEX(Method_input!L$82:L$96,MATCH($R83,Method_input!$T$82:$T$96,0))</f>
        <v>1</v>
      </c>
      <c r="K83" s="1115">
        <f>INDEX(Method_input!M$82:M$96,MATCH($R83,Method_input!$T$82:$T$96,0))</f>
        <v>1</v>
      </c>
      <c r="L83" s="1115">
        <f>INDEX(Method_input!N$82:N$96,MATCH($R83,Method_input!$T$82:$T$96,0))</f>
        <v>1</v>
      </c>
      <c r="M83" s="1115">
        <f>INDEX(Method_input!O$82:O$96,MATCH($R83,Method_input!$T$82:$T$96,0))</f>
        <v>1</v>
      </c>
      <c r="N83" s="1115">
        <f>INDEX(Method_input!P$82:P$96,MATCH($R83,Method_input!$T$82:$T$96,0))</f>
        <v>1</v>
      </c>
      <c r="O83" s="1115">
        <f>INDEX(Method_input!Q$82:Q$96,MATCH($R83,Method_input!$T$82:$T$96,0))</f>
        <v>1</v>
      </c>
      <c r="P83" s="1115">
        <f>INDEX(Method_input!R$82:R$96,MATCH($R83,Method_input!$T$82:$T$96,0))</f>
        <v>1</v>
      </c>
      <c r="Q83" s="1030"/>
      <c r="R83" s="1026" t="str">
        <f>+R82</f>
        <v>biomass</v>
      </c>
      <c r="S83" s="1719" t="s">
        <v>1969</v>
      </c>
      <c r="T83" s="1008"/>
      <c r="U83" s="1013" t="s">
        <v>1927</v>
      </c>
    </row>
    <row r="84" spans="1:21" ht="20.25" customHeight="1" x14ac:dyDescent="0.2">
      <c r="A84" s="1024" t="s">
        <v>1909</v>
      </c>
      <c r="B84" s="1005" t="s">
        <v>2253</v>
      </c>
      <c r="C84" s="1005"/>
      <c r="D84" s="1006" t="s">
        <v>8</v>
      </c>
      <c r="E84" s="1116">
        <f ca="1">+E81*E82</f>
        <v>0</v>
      </c>
      <c r="F84" s="1116">
        <f t="shared" ref="F84:P84" ca="1" si="35">+F81*F82</f>
        <v>0</v>
      </c>
      <c r="G84" s="1116">
        <f t="shared" ca="1" si="35"/>
        <v>0</v>
      </c>
      <c r="H84" s="1116">
        <f t="shared" ca="1" si="35"/>
        <v>0</v>
      </c>
      <c r="I84" s="1116">
        <f t="shared" ca="1" si="35"/>
        <v>0</v>
      </c>
      <c r="J84" s="1116">
        <f t="shared" ca="1" si="35"/>
        <v>0</v>
      </c>
      <c r="K84" s="1116">
        <f t="shared" ca="1" si="35"/>
        <v>0</v>
      </c>
      <c r="L84" s="1116">
        <f t="shared" ca="1" si="35"/>
        <v>0</v>
      </c>
      <c r="M84" s="1116">
        <f t="shared" ca="1" si="35"/>
        <v>0</v>
      </c>
      <c r="N84" s="1116">
        <f t="shared" ca="1" si="35"/>
        <v>0</v>
      </c>
      <c r="O84" s="1116">
        <f t="shared" ca="1" si="35"/>
        <v>0</v>
      </c>
      <c r="P84" s="1116">
        <f t="shared" ca="1" si="35"/>
        <v>0</v>
      </c>
      <c r="Q84" s="1116">
        <f t="shared" ref="Q84:Q85" ca="1" si="36">SUM(E84:P84)</f>
        <v>0</v>
      </c>
      <c r="R84" s="1026" t="s">
        <v>2248</v>
      </c>
      <c r="S84" s="1719" t="s">
        <v>2395</v>
      </c>
      <c r="T84" s="1543"/>
      <c r="U84" s="1013" t="s">
        <v>1928</v>
      </c>
    </row>
    <row r="85" spans="1:21" ht="20.25" customHeight="1" x14ac:dyDescent="0.2">
      <c r="A85" s="1024" t="s">
        <v>1910</v>
      </c>
      <c r="B85" s="1005" t="s">
        <v>2254</v>
      </c>
      <c r="C85" s="1005"/>
      <c r="D85" s="1006" t="s">
        <v>8</v>
      </c>
      <c r="E85" s="1117">
        <f ca="1">+E81*E83</f>
        <v>0</v>
      </c>
      <c r="F85" s="1117">
        <f t="shared" ref="F85:P85" ca="1" si="37">+F81*F83</f>
        <v>0</v>
      </c>
      <c r="G85" s="1117">
        <f t="shared" ca="1" si="37"/>
        <v>0</v>
      </c>
      <c r="H85" s="1117">
        <f t="shared" ca="1" si="37"/>
        <v>0</v>
      </c>
      <c r="I85" s="1117">
        <f t="shared" ca="1" si="37"/>
        <v>0</v>
      </c>
      <c r="J85" s="1117">
        <f t="shared" ca="1" si="37"/>
        <v>0</v>
      </c>
      <c r="K85" s="1117">
        <f t="shared" ca="1" si="37"/>
        <v>0</v>
      </c>
      <c r="L85" s="1117">
        <f t="shared" ca="1" si="37"/>
        <v>0</v>
      </c>
      <c r="M85" s="1117">
        <f t="shared" ca="1" si="37"/>
        <v>0</v>
      </c>
      <c r="N85" s="1117">
        <f t="shared" ca="1" si="37"/>
        <v>0</v>
      </c>
      <c r="O85" s="1117">
        <f t="shared" ca="1" si="37"/>
        <v>0</v>
      </c>
      <c r="P85" s="1117">
        <f t="shared" ca="1" si="37"/>
        <v>0</v>
      </c>
      <c r="Q85" s="1117">
        <f t="shared" ca="1" si="36"/>
        <v>0</v>
      </c>
      <c r="R85" s="1026" t="s">
        <v>2249</v>
      </c>
      <c r="S85" s="1719"/>
      <c r="T85" s="1544"/>
      <c r="U85" s="1013" t="s">
        <v>1929</v>
      </c>
    </row>
    <row r="86" spans="1:21" x14ac:dyDescent="0.2">
      <c r="A86" s="1024"/>
      <c r="B86" s="1005"/>
      <c r="C86" s="1005"/>
      <c r="D86" s="1006"/>
      <c r="E86" s="1026"/>
      <c r="F86" s="1026"/>
      <c r="G86" s="1026"/>
      <c r="H86" s="1026"/>
      <c r="I86" s="1026"/>
      <c r="J86" s="1026"/>
      <c r="K86" s="1026"/>
      <c r="L86" s="1026"/>
      <c r="M86" s="1026"/>
      <c r="N86" s="1026"/>
      <c r="O86" s="1026"/>
      <c r="P86" s="1026"/>
      <c r="Q86" s="1026"/>
      <c r="R86" s="1026"/>
      <c r="S86" s="1719"/>
      <c r="T86" s="1008"/>
      <c r="U86" s="1013"/>
    </row>
    <row r="87" spans="1:21" ht="38.25" customHeight="1" x14ac:dyDescent="0.2">
      <c r="A87" s="1024" t="str">
        <f>+Method_input!A71</f>
        <v>custom</v>
      </c>
      <c r="B87" s="1005" t="s">
        <v>2250</v>
      </c>
      <c r="C87" s="1005"/>
      <c r="D87" s="1006" t="s">
        <v>8</v>
      </c>
      <c r="E87" s="1030">
        <f t="shared" ref="E87:P87" ca="1" si="38">SUMIF($R$49:$R$55,$R87,E$49:E$55)</f>
        <v>0</v>
      </c>
      <c r="F87" s="1030">
        <f t="shared" ca="1" si="38"/>
        <v>0</v>
      </c>
      <c r="G87" s="1030">
        <f t="shared" ca="1" si="38"/>
        <v>0</v>
      </c>
      <c r="H87" s="1030">
        <f t="shared" ca="1" si="38"/>
        <v>0</v>
      </c>
      <c r="I87" s="1030">
        <f t="shared" ca="1" si="38"/>
        <v>0</v>
      </c>
      <c r="J87" s="1030">
        <f t="shared" ca="1" si="38"/>
        <v>0</v>
      </c>
      <c r="K87" s="1030">
        <f t="shared" ca="1" si="38"/>
        <v>0</v>
      </c>
      <c r="L87" s="1030">
        <f t="shared" ca="1" si="38"/>
        <v>0</v>
      </c>
      <c r="M87" s="1030">
        <f t="shared" ca="1" si="38"/>
        <v>0</v>
      </c>
      <c r="N87" s="1030">
        <f t="shared" ca="1" si="38"/>
        <v>0</v>
      </c>
      <c r="O87" s="1030">
        <f t="shared" ca="1" si="38"/>
        <v>0</v>
      </c>
      <c r="P87" s="1030">
        <f t="shared" ca="1" si="38"/>
        <v>0</v>
      </c>
      <c r="Q87" s="1030">
        <f ca="1">SUM(E87:P87)</f>
        <v>0</v>
      </c>
      <c r="R87" s="1026" t="str">
        <f>+Method_input!A71</f>
        <v>custom</v>
      </c>
      <c r="S87" s="1752" t="s">
        <v>2394</v>
      </c>
      <c r="T87"/>
      <c r="U87" s="1013" t="s">
        <v>1930</v>
      </c>
    </row>
    <row r="88" spans="1:21" x14ac:dyDescent="0.2">
      <c r="A88" s="1024" t="s">
        <v>1908</v>
      </c>
      <c r="B88" s="185" t="s">
        <v>2251</v>
      </c>
      <c r="C88" s="1005"/>
      <c r="D88" s="1006"/>
      <c r="E88" s="1114">
        <f>INDEX(Method_input!G$66:G$80,MATCH($R88,Method_input!$T$66:$T$80,0))</f>
        <v>1</v>
      </c>
      <c r="F88" s="1114">
        <f>INDEX(Method_input!H$66:H$80,MATCH($R88,Method_input!$T$66:$T$80,0))</f>
        <v>1</v>
      </c>
      <c r="G88" s="1114">
        <f>INDEX(Method_input!I$66:I$80,MATCH($R88,Method_input!$T$66:$T$80,0))</f>
        <v>1</v>
      </c>
      <c r="H88" s="1114">
        <f>INDEX(Method_input!J$66:J$80,MATCH($R88,Method_input!$T$66:$T$80,0))</f>
        <v>1</v>
      </c>
      <c r="I88" s="1114">
        <f>INDEX(Method_input!K$66:K$80,MATCH($R88,Method_input!$T$66:$T$80,0))</f>
        <v>1</v>
      </c>
      <c r="J88" s="1114">
        <f>INDEX(Method_input!L$66:L$80,MATCH($R88,Method_input!$T$66:$T$80,0))</f>
        <v>1</v>
      </c>
      <c r="K88" s="1114">
        <f>INDEX(Method_input!M$66:M$80,MATCH($R88,Method_input!$T$66:$T$80,0))</f>
        <v>1</v>
      </c>
      <c r="L88" s="1114">
        <f>INDEX(Method_input!N$66:N$80,MATCH($R88,Method_input!$T$66:$T$80,0))</f>
        <v>1</v>
      </c>
      <c r="M88" s="1114">
        <f>INDEX(Method_input!O$66:O$80,MATCH($R88,Method_input!$T$66:$T$80,0))</f>
        <v>1</v>
      </c>
      <c r="N88" s="1114">
        <f>INDEX(Method_input!P$66:P$80,MATCH($R88,Method_input!$T$66:$T$80,0))</f>
        <v>1</v>
      </c>
      <c r="O88" s="1114">
        <f>INDEX(Method_input!Q$66:Q$80,MATCH($R88,Method_input!$T$66:$T$80,0))</f>
        <v>1</v>
      </c>
      <c r="P88" s="1114">
        <f>INDEX(Method_input!R$66:R$80,MATCH($R88,Method_input!$T$66:$T$80,0))</f>
        <v>1</v>
      </c>
      <c r="Q88" s="1030"/>
      <c r="R88" s="1026" t="str">
        <f>+R87</f>
        <v>custom</v>
      </c>
      <c r="S88" s="1719" t="s">
        <v>1969</v>
      </c>
      <c r="T88" s="1008"/>
      <c r="U88" s="1013" t="s">
        <v>1927</v>
      </c>
    </row>
    <row r="89" spans="1:21" x14ac:dyDescent="0.2">
      <c r="A89" s="1024" t="s">
        <v>1913</v>
      </c>
      <c r="B89" s="185" t="s">
        <v>2252</v>
      </c>
      <c r="C89" s="1005"/>
      <c r="D89" s="1006"/>
      <c r="E89" s="1115">
        <f>INDEX(Method_input!G$82:G$96,MATCH($R89,Method_input!$T$82:$T$96,0))</f>
        <v>0</v>
      </c>
      <c r="F89" s="1115">
        <f>INDEX(Method_input!H$82:H$96,MATCH($R89,Method_input!$T$82:$T$96,0))</f>
        <v>0</v>
      </c>
      <c r="G89" s="1115">
        <f>INDEX(Method_input!I$82:I$96,MATCH($R89,Method_input!$T$82:$T$96,0))</f>
        <v>0</v>
      </c>
      <c r="H89" s="1115">
        <f>INDEX(Method_input!J$82:J$96,MATCH($R89,Method_input!$T$82:$T$96,0))</f>
        <v>0</v>
      </c>
      <c r="I89" s="1115">
        <f>INDEX(Method_input!K$82:K$96,MATCH($R89,Method_input!$T$82:$T$96,0))</f>
        <v>0</v>
      </c>
      <c r="J89" s="1115">
        <f>INDEX(Method_input!L$82:L$96,MATCH($R89,Method_input!$T$82:$T$96,0))</f>
        <v>0</v>
      </c>
      <c r="K89" s="1115">
        <f>INDEX(Method_input!M$82:M$96,MATCH($R89,Method_input!$T$82:$T$96,0))</f>
        <v>0</v>
      </c>
      <c r="L89" s="1115">
        <f>INDEX(Method_input!N$82:N$96,MATCH($R89,Method_input!$T$82:$T$96,0))</f>
        <v>0</v>
      </c>
      <c r="M89" s="1115">
        <f>INDEX(Method_input!O$82:O$96,MATCH($R89,Method_input!$T$82:$T$96,0))</f>
        <v>0</v>
      </c>
      <c r="N89" s="1115">
        <f>INDEX(Method_input!P$82:P$96,MATCH($R89,Method_input!$T$82:$T$96,0))</f>
        <v>0</v>
      </c>
      <c r="O89" s="1115">
        <f>INDEX(Method_input!Q$82:Q$96,MATCH($R89,Method_input!$T$82:$T$96,0))</f>
        <v>0</v>
      </c>
      <c r="P89" s="1115">
        <f>INDEX(Method_input!R$82:R$96,MATCH($R89,Method_input!$T$82:$T$96,0))</f>
        <v>0</v>
      </c>
      <c r="Q89" s="1030"/>
      <c r="R89" s="1026" t="str">
        <f>+R88</f>
        <v>custom</v>
      </c>
      <c r="S89" s="1719" t="s">
        <v>1969</v>
      </c>
      <c r="T89" s="1008"/>
      <c r="U89" s="1013" t="s">
        <v>1927</v>
      </c>
    </row>
    <row r="90" spans="1:21" ht="20.25" customHeight="1" x14ac:dyDescent="0.2">
      <c r="A90" s="1024" t="s">
        <v>1909</v>
      </c>
      <c r="B90" s="1005" t="s">
        <v>2253</v>
      </c>
      <c r="C90" s="1005"/>
      <c r="D90" s="1006" t="s">
        <v>8</v>
      </c>
      <c r="E90" s="1116">
        <f ca="1">+E87*E88</f>
        <v>0</v>
      </c>
      <c r="F90" s="1116">
        <f t="shared" ref="F90:P90" ca="1" si="39">+F87*F88</f>
        <v>0</v>
      </c>
      <c r="G90" s="1116">
        <f t="shared" ca="1" si="39"/>
        <v>0</v>
      </c>
      <c r="H90" s="1116">
        <f t="shared" ca="1" si="39"/>
        <v>0</v>
      </c>
      <c r="I90" s="1116">
        <f t="shared" ca="1" si="39"/>
        <v>0</v>
      </c>
      <c r="J90" s="1116">
        <f t="shared" ca="1" si="39"/>
        <v>0</v>
      </c>
      <c r="K90" s="1116">
        <f t="shared" ca="1" si="39"/>
        <v>0</v>
      </c>
      <c r="L90" s="1116">
        <f t="shared" ca="1" si="39"/>
        <v>0</v>
      </c>
      <c r="M90" s="1116">
        <f t="shared" ca="1" si="39"/>
        <v>0</v>
      </c>
      <c r="N90" s="1116">
        <f t="shared" ca="1" si="39"/>
        <v>0</v>
      </c>
      <c r="O90" s="1116">
        <f t="shared" ca="1" si="39"/>
        <v>0</v>
      </c>
      <c r="P90" s="1116">
        <f t="shared" ca="1" si="39"/>
        <v>0</v>
      </c>
      <c r="Q90" s="1116">
        <f t="shared" ref="Q90:Q91" ca="1" si="40">SUM(E90:P90)</f>
        <v>0</v>
      </c>
      <c r="R90" s="1026" t="s">
        <v>2248</v>
      </c>
      <c r="S90" s="1719" t="s">
        <v>2395</v>
      </c>
      <c r="T90" s="1543"/>
      <c r="U90" s="1013" t="s">
        <v>1928</v>
      </c>
    </row>
    <row r="91" spans="1:21" ht="20.25" customHeight="1" x14ac:dyDescent="0.2">
      <c r="A91" s="1024" t="s">
        <v>1910</v>
      </c>
      <c r="B91" s="1005" t="s">
        <v>2254</v>
      </c>
      <c r="C91" s="1005"/>
      <c r="D91" s="1006" t="s">
        <v>8</v>
      </c>
      <c r="E91" s="1117">
        <f ca="1">+E87*E89</f>
        <v>0</v>
      </c>
      <c r="F91" s="1117">
        <f t="shared" ref="F91:P91" ca="1" si="41">+F87*F89</f>
        <v>0</v>
      </c>
      <c r="G91" s="1117">
        <f t="shared" ca="1" si="41"/>
        <v>0</v>
      </c>
      <c r="H91" s="1117">
        <f t="shared" ca="1" si="41"/>
        <v>0</v>
      </c>
      <c r="I91" s="1117">
        <f t="shared" ca="1" si="41"/>
        <v>0</v>
      </c>
      <c r="J91" s="1117">
        <f t="shared" ca="1" si="41"/>
        <v>0</v>
      </c>
      <c r="K91" s="1117">
        <f t="shared" ca="1" si="41"/>
        <v>0</v>
      </c>
      <c r="L91" s="1117">
        <f t="shared" ca="1" si="41"/>
        <v>0</v>
      </c>
      <c r="M91" s="1117">
        <f t="shared" ca="1" si="41"/>
        <v>0</v>
      </c>
      <c r="N91" s="1117">
        <f t="shared" ca="1" si="41"/>
        <v>0</v>
      </c>
      <c r="O91" s="1117">
        <f t="shared" ca="1" si="41"/>
        <v>0</v>
      </c>
      <c r="P91" s="1117">
        <f t="shared" ca="1" si="41"/>
        <v>0</v>
      </c>
      <c r="Q91" s="1117">
        <f t="shared" ca="1" si="40"/>
        <v>0</v>
      </c>
      <c r="R91" s="1026" t="s">
        <v>2249</v>
      </c>
      <c r="S91" s="1719"/>
      <c r="T91" s="1544"/>
      <c r="U91" s="1013" t="s">
        <v>1929</v>
      </c>
    </row>
    <row r="92" spans="1:21" x14ac:dyDescent="0.2">
      <c r="A92" s="1024"/>
      <c r="B92" s="1005"/>
      <c r="C92" s="1005"/>
      <c r="D92" s="1006"/>
      <c r="E92" s="1026"/>
      <c r="F92" s="1026"/>
      <c r="G92" s="1026"/>
      <c r="H92" s="1026"/>
      <c r="I92" s="1026"/>
      <c r="J92" s="1026"/>
      <c r="K92" s="1026"/>
      <c r="L92" s="1026"/>
      <c r="M92" s="1026"/>
      <c r="N92" s="1026"/>
      <c r="O92" s="1026"/>
      <c r="P92" s="1026"/>
      <c r="Q92" s="1026"/>
      <c r="R92" s="1026"/>
      <c r="S92" s="1719"/>
      <c r="T92" s="1008"/>
      <c r="U92" s="1013"/>
    </row>
    <row r="93" spans="1:21" ht="38.25" customHeight="1" x14ac:dyDescent="0.2">
      <c r="A93" s="1024" t="str">
        <f>+Method_input!A72</f>
        <v>District heating</v>
      </c>
      <c r="B93" s="1005" t="s">
        <v>2250</v>
      </c>
      <c r="C93" s="1005"/>
      <c r="D93" s="1006" t="s">
        <v>8</v>
      </c>
      <c r="E93" s="1030">
        <f t="shared" ref="E93:P93" ca="1" si="42">SUMIF($R$49:$R$55,$R93,E$49:E$55)</f>
        <v>0</v>
      </c>
      <c r="F93" s="1030">
        <f t="shared" ca="1" si="42"/>
        <v>0</v>
      </c>
      <c r="G93" s="1030">
        <f t="shared" ca="1" si="42"/>
        <v>0</v>
      </c>
      <c r="H93" s="1030">
        <f t="shared" ca="1" si="42"/>
        <v>0</v>
      </c>
      <c r="I93" s="1030">
        <f t="shared" ca="1" si="42"/>
        <v>0</v>
      </c>
      <c r="J93" s="1030">
        <f t="shared" ca="1" si="42"/>
        <v>0</v>
      </c>
      <c r="K93" s="1030">
        <f t="shared" ca="1" si="42"/>
        <v>0</v>
      </c>
      <c r="L93" s="1030">
        <f t="shared" ca="1" si="42"/>
        <v>0</v>
      </c>
      <c r="M93" s="1030">
        <f t="shared" ca="1" si="42"/>
        <v>0</v>
      </c>
      <c r="N93" s="1030">
        <f t="shared" ca="1" si="42"/>
        <v>0</v>
      </c>
      <c r="O93" s="1030">
        <f t="shared" ca="1" si="42"/>
        <v>0</v>
      </c>
      <c r="P93" s="1030">
        <f t="shared" ca="1" si="42"/>
        <v>0</v>
      </c>
      <c r="Q93" s="1030">
        <f ca="1">SUM(E93:P93)</f>
        <v>0</v>
      </c>
      <c r="R93" s="1026" t="str">
        <f>+Method_input!T72</f>
        <v>dh</v>
      </c>
      <c r="S93" s="1752" t="s">
        <v>2394</v>
      </c>
      <c r="T93"/>
      <c r="U93" s="1013" t="s">
        <v>1930</v>
      </c>
    </row>
    <row r="94" spans="1:21" x14ac:dyDescent="0.2">
      <c r="A94" s="1024" t="s">
        <v>1908</v>
      </c>
      <c r="B94" s="185" t="s">
        <v>2251</v>
      </c>
      <c r="C94" s="1005"/>
      <c r="D94" s="1006"/>
      <c r="E94" s="1114">
        <f>INDEX(Method_input!G$66:G$80,MATCH($R94,Method_input!$T$66:$T$80,0))</f>
        <v>1.3</v>
      </c>
      <c r="F94" s="1114">
        <f>INDEX(Method_input!H$66:H$80,MATCH($R94,Method_input!$T$66:$T$80,0))</f>
        <v>1.3</v>
      </c>
      <c r="G94" s="1114">
        <f>INDEX(Method_input!I$66:I$80,MATCH($R94,Method_input!$T$66:$T$80,0))</f>
        <v>1.3</v>
      </c>
      <c r="H94" s="1114">
        <f>INDEX(Method_input!J$66:J$80,MATCH($R94,Method_input!$T$66:$T$80,0))</f>
        <v>1.3</v>
      </c>
      <c r="I94" s="1114">
        <f>INDEX(Method_input!K$66:K$80,MATCH($R94,Method_input!$T$66:$T$80,0))</f>
        <v>1.3</v>
      </c>
      <c r="J94" s="1114">
        <f>INDEX(Method_input!L$66:L$80,MATCH($R94,Method_input!$T$66:$T$80,0))</f>
        <v>1.3</v>
      </c>
      <c r="K94" s="1114">
        <f>INDEX(Method_input!M$66:M$80,MATCH($R94,Method_input!$T$66:$T$80,0))</f>
        <v>1.3</v>
      </c>
      <c r="L94" s="1114">
        <f>INDEX(Method_input!N$66:N$80,MATCH($R94,Method_input!$T$66:$T$80,0))</f>
        <v>1.3</v>
      </c>
      <c r="M94" s="1114">
        <f>INDEX(Method_input!O$66:O$80,MATCH($R94,Method_input!$T$66:$T$80,0))</f>
        <v>1.3</v>
      </c>
      <c r="N94" s="1114">
        <f>INDEX(Method_input!P$66:P$80,MATCH($R94,Method_input!$T$66:$T$80,0))</f>
        <v>1.3</v>
      </c>
      <c r="O94" s="1114">
        <f>INDEX(Method_input!Q$66:Q$80,MATCH($R94,Method_input!$T$66:$T$80,0))</f>
        <v>1.3</v>
      </c>
      <c r="P94" s="1114">
        <f>INDEX(Method_input!R$66:R$80,MATCH($R94,Method_input!$T$66:$T$80,0))</f>
        <v>1.3</v>
      </c>
      <c r="Q94" s="1030"/>
      <c r="R94" s="1026" t="str">
        <f>+R93</f>
        <v>dh</v>
      </c>
      <c r="S94" s="1719" t="s">
        <v>1969</v>
      </c>
      <c r="T94" s="1008"/>
      <c r="U94" s="1013" t="s">
        <v>1927</v>
      </c>
    </row>
    <row r="95" spans="1:21" x14ac:dyDescent="0.2">
      <c r="A95" s="1024" t="s">
        <v>1913</v>
      </c>
      <c r="B95" s="185" t="s">
        <v>2252</v>
      </c>
      <c r="C95" s="1005"/>
      <c r="D95" s="1006"/>
      <c r="E95" s="1115">
        <f>INDEX(Method_input!G$82:G$96,MATCH($R95,Method_input!$T$82:$T$96,0))</f>
        <v>0</v>
      </c>
      <c r="F95" s="1115">
        <f>INDEX(Method_input!H$82:H$96,MATCH($R95,Method_input!$T$82:$T$96,0))</f>
        <v>0</v>
      </c>
      <c r="G95" s="1115">
        <f>INDEX(Method_input!I$82:I$96,MATCH($R95,Method_input!$T$82:$T$96,0))</f>
        <v>0</v>
      </c>
      <c r="H95" s="1115">
        <f>INDEX(Method_input!J$82:J$96,MATCH($R95,Method_input!$T$82:$T$96,0))</f>
        <v>0</v>
      </c>
      <c r="I95" s="1115">
        <f>INDEX(Method_input!K$82:K$96,MATCH($R95,Method_input!$T$82:$T$96,0))</f>
        <v>0</v>
      </c>
      <c r="J95" s="1115">
        <f>INDEX(Method_input!L$82:L$96,MATCH($R95,Method_input!$T$82:$T$96,0))</f>
        <v>0</v>
      </c>
      <c r="K95" s="1115">
        <f>INDEX(Method_input!M$82:M$96,MATCH($R95,Method_input!$T$82:$T$96,0))</f>
        <v>0</v>
      </c>
      <c r="L95" s="1115">
        <f>INDEX(Method_input!N$82:N$96,MATCH($R95,Method_input!$T$82:$T$96,0))</f>
        <v>0</v>
      </c>
      <c r="M95" s="1115">
        <f>INDEX(Method_input!O$82:O$96,MATCH($R95,Method_input!$T$82:$T$96,0))</f>
        <v>0</v>
      </c>
      <c r="N95" s="1115">
        <f>INDEX(Method_input!P$82:P$96,MATCH($R95,Method_input!$T$82:$T$96,0))</f>
        <v>0</v>
      </c>
      <c r="O95" s="1115">
        <f>INDEX(Method_input!Q$82:Q$96,MATCH($R95,Method_input!$T$82:$T$96,0))</f>
        <v>0</v>
      </c>
      <c r="P95" s="1115">
        <f>INDEX(Method_input!R$82:R$96,MATCH($R95,Method_input!$T$82:$T$96,0))</f>
        <v>0</v>
      </c>
      <c r="Q95" s="1030"/>
      <c r="R95" s="1026" t="str">
        <f>+R94</f>
        <v>dh</v>
      </c>
      <c r="S95" s="1719" t="s">
        <v>1969</v>
      </c>
      <c r="T95" s="1008"/>
      <c r="U95" s="1013" t="s">
        <v>1927</v>
      </c>
    </row>
    <row r="96" spans="1:21" ht="20.25" customHeight="1" x14ac:dyDescent="0.2">
      <c r="A96" s="1024" t="s">
        <v>1909</v>
      </c>
      <c r="B96" s="1005" t="s">
        <v>2253</v>
      </c>
      <c r="C96" s="1005"/>
      <c r="D96" s="1006" t="s">
        <v>8</v>
      </c>
      <c r="E96" s="1116">
        <f ca="1">+E93*E94</f>
        <v>0</v>
      </c>
      <c r="F96" s="1116">
        <f t="shared" ref="F96:P96" ca="1" si="43">+F93*F94</f>
        <v>0</v>
      </c>
      <c r="G96" s="1116">
        <f t="shared" ca="1" si="43"/>
        <v>0</v>
      </c>
      <c r="H96" s="1116">
        <f t="shared" ca="1" si="43"/>
        <v>0</v>
      </c>
      <c r="I96" s="1116">
        <f t="shared" ca="1" si="43"/>
        <v>0</v>
      </c>
      <c r="J96" s="1116">
        <f t="shared" ca="1" si="43"/>
        <v>0</v>
      </c>
      <c r="K96" s="1116">
        <f t="shared" ca="1" si="43"/>
        <v>0</v>
      </c>
      <c r="L96" s="1116">
        <f t="shared" ca="1" si="43"/>
        <v>0</v>
      </c>
      <c r="M96" s="1116">
        <f t="shared" ca="1" si="43"/>
        <v>0</v>
      </c>
      <c r="N96" s="1116">
        <f t="shared" ca="1" si="43"/>
        <v>0</v>
      </c>
      <c r="O96" s="1116">
        <f t="shared" ca="1" si="43"/>
        <v>0</v>
      </c>
      <c r="P96" s="1116">
        <f t="shared" ca="1" si="43"/>
        <v>0</v>
      </c>
      <c r="Q96" s="1116">
        <f t="shared" ref="Q96:Q97" ca="1" si="44">SUM(E96:P96)</f>
        <v>0</v>
      </c>
      <c r="R96" s="1026" t="s">
        <v>2248</v>
      </c>
      <c r="S96" s="1719" t="s">
        <v>2395</v>
      </c>
      <c r="T96" s="1543"/>
      <c r="U96" s="1013" t="s">
        <v>1928</v>
      </c>
    </row>
    <row r="97" spans="1:21" ht="20.25" customHeight="1" x14ac:dyDescent="0.2">
      <c r="A97" s="1024" t="s">
        <v>1910</v>
      </c>
      <c r="B97" s="1005" t="s">
        <v>2254</v>
      </c>
      <c r="C97" s="1005"/>
      <c r="D97" s="1006" t="s">
        <v>8</v>
      </c>
      <c r="E97" s="1117">
        <f ca="1">+E93*E95</f>
        <v>0</v>
      </c>
      <c r="F97" s="1117">
        <f t="shared" ref="F97:P97" ca="1" si="45">+F93*F95</f>
        <v>0</v>
      </c>
      <c r="G97" s="1117">
        <f t="shared" ca="1" si="45"/>
        <v>0</v>
      </c>
      <c r="H97" s="1117">
        <f t="shared" ca="1" si="45"/>
        <v>0</v>
      </c>
      <c r="I97" s="1117">
        <f t="shared" ca="1" si="45"/>
        <v>0</v>
      </c>
      <c r="J97" s="1117">
        <f t="shared" ca="1" si="45"/>
        <v>0</v>
      </c>
      <c r="K97" s="1117">
        <f t="shared" ca="1" si="45"/>
        <v>0</v>
      </c>
      <c r="L97" s="1117">
        <f t="shared" ca="1" si="45"/>
        <v>0</v>
      </c>
      <c r="M97" s="1117">
        <f t="shared" ca="1" si="45"/>
        <v>0</v>
      </c>
      <c r="N97" s="1117">
        <f t="shared" ca="1" si="45"/>
        <v>0</v>
      </c>
      <c r="O97" s="1117">
        <f t="shared" ca="1" si="45"/>
        <v>0</v>
      </c>
      <c r="P97" s="1117">
        <f t="shared" ca="1" si="45"/>
        <v>0</v>
      </c>
      <c r="Q97" s="1117">
        <f t="shared" ca="1" si="44"/>
        <v>0</v>
      </c>
      <c r="R97" s="1026" t="s">
        <v>2249</v>
      </c>
      <c r="S97" s="1719"/>
      <c r="T97" s="1544"/>
      <c r="U97" s="1013" t="s">
        <v>1929</v>
      </c>
    </row>
    <row r="98" spans="1:21" x14ac:dyDescent="0.2">
      <c r="A98" s="1024"/>
      <c r="B98" s="1005"/>
      <c r="C98" s="1005"/>
      <c r="D98" s="1006"/>
      <c r="E98" s="1026"/>
      <c r="F98" s="1026"/>
      <c r="G98" s="1026"/>
      <c r="H98" s="1026"/>
      <c r="I98" s="1026"/>
      <c r="J98" s="1026"/>
      <c r="K98" s="1026"/>
      <c r="L98" s="1026"/>
      <c r="M98" s="1026"/>
      <c r="N98" s="1026"/>
      <c r="O98" s="1026"/>
      <c r="P98" s="1026"/>
      <c r="Q98" s="1026"/>
      <c r="R98" s="1026"/>
      <c r="S98" s="1719"/>
      <c r="T98" s="1008"/>
      <c r="U98" s="1013"/>
    </row>
    <row r="99" spans="1:21" ht="38.25" customHeight="1" x14ac:dyDescent="0.2">
      <c r="A99" s="1024" t="str">
        <f>+Method_input!A73</f>
        <v>District cooling</v>
      </c>
      <c r="B99" s="1005" t="s">
        <v>2250</v>
      </c>
      <c r="C99" s="1005"/>
      <c r="D99" s="1006" t="s">
        <v>8</v>
      </c>
      <c r="E99" s="1030">
        <f t="shared" ref="E99:P99" ca="1" si="46">SUMIF($R$49:$R$55,$R99,E$49:E$55)</f>
        <v>0</v>
      </c>
      <c r="F99" s="1030">
        <f t="shared" ca="1" si="46"/>
        <v>0</v>
      </c>
      <c r="G99" s="1030">
        <f t="shared" ca="1" si="46"/>
        <v>0</v>
      </c>
      <c r="H99" s="1030">
        <f t="shared" ca="1" si="46"/>
        <v>0</v>
      </c>
      <c r="I99" s="1030">
        <f t="shared" ca="1" si="46"/>
        <v>0</v>
      </c>
      <c r="J99" s="1030">
        <f t="shared" ca="1" si="46"/>
        <v>0</v>
      </c>
      <c r="K99" s="1030">
        <f t="shared" ca="1" si="46"/>
        <v>0</v>
      </c>
      <c r="L99" s="1030">
        <f t="shared" ca="1" si="46"/>
        <v>0</v>
      </c>
      <c r="M99" s="1030">
        <f t="shared" ca="1" si="46"/>
        <v>0</v>
      </c>
      <c r="N99" s="1030">
        <f t="shared" ca="1" si="46"/>
        <v>0</v>
      </c>
      <c r="O99" s="1030">
        <f t="shared" ca="1" si="46"/>
        <v>0</v>
      </c>
      <c r="P99" s="1030">
        <f t="shared" ca="1" si="46"/>
        <v>0</v>
      </c>
      <c r="Q99" s="1030">
        <f ca="1">SUM(E99:P99)</f>
        <v>0</v>
      </c>
      <c r="R99" s="1026" t="str">
        <f>+Method_input!T73</f>
        <v>dc</v>
      </c>
      <c r="S99" s="1752" t="s">
        <v>2394</v>
      </c>
      <c r="T99"/>
      <c r="U99" s="1013" t="s">
        <v>1930</v>
      </c>
    </row>
    <row r="100" spans="1:21" x14ac:dyDescent="0.2">
      <c r="A100" s="1024" t="s">
        <v>1908</v>
      </c>
      <c r="B100" s="185" t="s">
        <v>2251</v>
      </c>
      <c r="C100" s="1005"/>
      <c r="D100" s="1006"/>
      <c r="E100" s="1114">
        <f>INDEX(Method_input!G$66:G$80,MATCH($R100,Method_input!$T$66:$T$80,0))</f>
        <v>1.3</v>
      </c>
      <c r="F100" s="1114">
        <f>INDEX(Method_input!H$66:H$80,MATCH($R100,Method_input!$T$66:$T$80,0))</f>
        <v>1.3</v>
      </c>
      <c r="G100" s="1114">
        <f>INDEX(Method_input!I$66:I$80,MATCH($R100,Method_input!$T$66:$T$80,0))</f>
        <v>1.3</v>
      </c>
      <c r="H100" s="1114">
        <f>INDEX(Method_input!J$66:J$80,MATCH($R100,Method_input!$T$66:$T$80,0))</f>
        <v>1.3</v>
      </c>
      <c r="I100" s="1114">
        <f>INDEX(Method_input!K$66:K$80,MATCH($R100,Method_input!$T$66:$T$80,0))</f>
        <v>1.3</v>
      </c>
      <c r="J100" s="1114">
        <f>INDEX(Method_input!L$66:L$80,MATCH($R100,Method_input!$T$66:$T$80,0))</f>
        <v>1.3</v>
      </c>
      <c r="K100" s="1114">
        <f>INDEX(Method_input!M$66:M$80,MATCH($R100,Method_input!$T$66:$T$80,0))</f>
        <v>1.3</v>
      </c>
      <c r="L100" s="1114">
        <f>INDEX(Method_input!N$66:N$80,MATCH($R100,Method_input!$T$66:$T$80,0))</f>
        <v>1.3</v>
      </c>
      <c r="M100" s="1114">
        <f>INDEX(Method_input!O$66:O$80,MATCH($R100,Method_input!$T$66:$T$80,0))</f>
        <v>1.3</v>
      </c>
      <c r="N100" s="1114">
        <f>INDEX(Method_input!P$66:P$80,MATCH($R100,Method_input!$T$66:$T$80,0))</f>
        <v>1.3</v>
      </c>
      <c r="O100" s="1114">
        <f>INDEX(Method_input!Q$66:Q$80,MATCH($R100,Method_input!$T$66:$T$80,0))</f>
        <v>1.3</v>
      </c>
      <c r="P100" s="1114">
        <f>INDEX(Method_input!R$66:R$80,MATCH($R100,Method_input!$T$66:$T$80,0))</f>
        <v>1.3</v>
      </c>
      <c r="Q100" s="1030"/>
      <c r="R100" s="1026" t="str">
        <f>+R99</f>
        <v>dc</v>
      </c>
      <c r="S100" s="1719" t="s">
        <v>1969</v>
      </c>
      <c r="T100" s="1008"/>
      <c r="U100" s="1013" t="s">
        <v>1927</v>
      </c>
    </row>
    <row r="101" spans="1:21" x14ac:dyDescent="0.2">
      <c r="A101" s="1024" t="s">
        <v>1913</v>
      </c>
      <c r="B101" s="185" t="s">
        <v>2252</v>
      </c>
      <c r="C101" s="1005"/>
      <c r="D101" s="1006"/>
      <c r="E101" s="1115">
        <f>INDEX(Method_input!G$82:G$96,MATCH($R101,Method_input!$T$82:$T$96,0))</f>
        <v>0</v>
      </c>
      <c r="F101" s="1115">
        <f>INDEX(Method_input!H$82:H$96,MATCH($R101,Method_input!$T$82:$T$96,0))</f>
        <v>0</v>
      </c>
      <c r="G101" s="1115">
        <f>INDEX(Method_input!I$82:I$96,MATCH($R101,Method_input!$T$82:$T$96,0))</f>
        <v>0</v>
      </c>
      <c r="H101" s="1115">
        <f>INDEX(Method_input!J$82:J$96,MATCH($R101,Method_input!$T$82:$T$96,0))</f>
        <v>0</v>
      </c>
      <c r="I101" s="1115">
        <f>INDEX(Method_input!K$82:K$96,MATCH($R101,Method_input!$T$82:$T$96,0))</f>
        <v>0</v>
      </c>
      <c r="J101" s="1115">
        <f>INDEX(Method_input!L$82:L$96,MATCH($R101,Method_input!$T$82:$T$96,0))</f>
        <v>0</v>
      </c>
      <c r="K101" s="1115">
        <f>INDEX(Method_input!M$82:M$96,MATCH($R101,Method_input!$T$82:$T$96,0))</f>
        <v>0</v>
      </c>
      <c r="L101" s="1115">
        <f>INDEX(Method_input!N$82:N$96,MATCH($R101,Method_input!$T$82:$T$96,0))</f>
        <v>0</v>
      </c>
      <c r="M101" s="1115">
        <f>INDEX(Method_input!O$82:O$96,MATCH($R101,Method_input!$T$82:$T$96,0))</f>
        <v>0</v>
      </c>
      <c r="N101" s="1115">
        <f>INDEX(Method_input!P$82:P$96,MATCH($R101,Method_input!$T$82:$T$96,0))</f>
        <v>0</v>
      </c>
      <c r="O101" s="1115">
        <f>INDEX(Method_input!Q$82:Q$96,MATCH($R101,Method_input!$T$82:$T$96,0))</f>
        <v>0</v>
      </c>
      <c r="P101" s="1115">
        <f>INDEX(Method_input!R$82:R$96,MATCH($R101,Method_input!$T$82:$T$96,0))</f>
        <v>0</v>
      </c>
      <c r="Q101" s="1030"/>
      <c r="R101" s="1026" t="str">
        <f>+R100</f>
        <v>dc</v>
      </c>
      <c r="S101" s="1719" t="s">
        <v>1969</v>
      </c>
      <c r="T101" s="1008"/>
      <c r="U101" s="1013" t="s">
        <v>1927</v>
      </c>
    </row>
    <row r="102" spans="1:21" ht="20.25" customHeight="1" x14ac:dyDescent="0.2">
      <c r="A102" s="1024" t="s">
        <v>1909</v>
      </c>
      <c r="B102" s="1005" t="s">
        <v>2253</v>
      </c>
      <c r="C102" s="1005"/>
      <c r="D102" s="1006" t="s">
        <v>8</v>
      </c>
      <c r="E102" s="1116">
        <f ca="1">+E99*E100</f>
        <v>0</v>
      </c>
      <c r="F102" s="1116">
        <f t="shared" ref="F102:P102" ca="1" si="47">+F99*F100</f>
        <v>0</v>
      </c>
      <c r="G102" s="1116">
        <f t="shared" ca="1" si="47"/>
        <v>0</v>
      </c>
      <c r="H102" s="1116">
        <f t="shared" ca="1" si="47"/>
        <v>0</v>
      </c>
      <c r="I102" s="1116">
        <f t="shared" ca="1" si="47"/>
        <v>0</v>
      </c>
      <c r="J102" s="1116">
        <f t="shared" ca="1" si="47"/>
        <v>0</v>
      </c>
      <c r="K102" s="1116">
        <f t="shared" ca="1" si="47"/>
        <v>0</v>
      </c>
      <c r="L102" s="1116">
        <f t="shared" ca="1" si="47"/>
        <v>0</v>
      </c>
      <c r="M102" s="1116">
        <f t="shared" ca="1" si="47"/>
        <v>0</v>
      </c>
      <c r="N102" s="1116">
        <f t="shared" ca="1" si="47"/>
        <v>0</v>
      </c>
      <c r="O102" s="1116">
        <f t="shared" ca="1" si="47"/>
        <v>0</v>
      </c>
      <c r="P102" s="1116">
        <f t="shared" ca="1" si="47"/>
        <v>0</v>
      </c>
      <c r="Q102" s="1116">
        <f t="shared" ref="Q102:Q103" ca="1" si="48">SUM(E102:P102)</f>
        <v>0</v>
      </c>
      <c r="R102" s="1026" t="s">
        <v>2248</v>
      </c>
      <c r="S102" s="1719" t="s">
        <v>2395</v>
      </c>
      <c r="T102" s="1543"/>
      <c r="U102" s="1013" t="s">
        <v>1928</v>
      </c>
    </row>
    <row r="103" spans="1:21" ht="20.25" customHeight="1" x14ac:dyDescent="0.2">
      <c r="A103" s="1024" t="s">
        <v>1910</v>
      </c>
      <c r="B103" s="1005" t="s">
        <v>2254</v>
      </c>
      <c r="C103" s="1005"/>
      <c r="D103" s="1006" t="s">
        <v>8</v>
      </c>
      <c r="E103" s="1117">
        <f ca="1">+E99*E101</f>
        <v>0</v>
      </c>
      <c r="F103" s="1117">
        <f t="shared" ref="F103:P103" ca="1" si="49">+F99*F101</f>
        <v>0</v>
      </c>
      <c r="G103" s="1117">
        <f t="shared" ca="1" si="49"/>
        <v>0</v>
      </c>
      <c r="H103" s="1117">
        <f t="shared" ca="1" si="49"/>
        <v>0</v>
      </c>
      <c r="I103" s="1117">
        <f t="shared" ca="1" si="49"/>
        <v>0</v>
      </c>
      <c r="J103" s="1117">
        <f t="shared" ca="1" si="49"/>
        <v>0</v>
      </c>
      <c r="K103" s="1117">
        <f t="shared" ca="1" si="49"/>
        <v>0</v>
      </c>
      <c r="L103" s="1117">
        <f t="shared" ca="1" si="49"/>
        <v>0</v>
      </c>
      <c r="M103" s="1117">
        <f t="shared" ca="1" si="49"/>
        <v>0</v>
      </c>
      <c r="N103" s="1117">
        <f t="shared" ca="1" si="49"/>
        <v>0</v>
      </c>
      <c r="O103" s="1117">
        <f t="shared" ca="1" si="49"/>
        <v>0</v>
      </c>
      <c r="P103" s="1117">
        <f t="shared" ca="1" si="49"/>
        <v>0</v>
      </c>
      <c r="Q103" s="1117">
        <f t="shared" ca="1" si="48"/>
        <v>0</v>
      </c>
      <c r="R103" s="1026" t="s">
        <v>2249</v>
      </c>
      <c r="S103" s="1719"/>
      <c r="T103" s="1544"/>
      <c r="U103" s="1013" t="s">
        <v>1929</v>
      </c>
    </row>
    <row r="104" spans="1:21" x14ac:dyDescent="0.2">
      <c r="A104" s="1024"/>
      <c r="B104" s="1005"/>
      <c r="C104" s="1005"/>
      <c r="D104" s="1006"/>
      <c r="E104" s="1026"/>
      <c r="F104" s="1026"/>
      <c r="G104" s="1026"/>
      <c r="H104" s="1026"/>
      <c r="I104" s="1026"/>
      <c r="J104" s="1026"/>
      <c r="K104" s="1026"/>
      <c r="L104" s="1026"/>
      <c r="M104" s="1026"/>
      <c r="N104" s="1026"/>
      <c r="O104" s="1026"/>
      <c r="P104" s="1026"/>
      <c r="Q104" s="1026"/>
      <c r="R104" s="1026"/>
      <c r="S104" s="1719"/>
      <c r="T104" s="1008"/>
      <c r="U104" s="1013"/>
    </row>
    <row r="105" spans="1:21" ht="38.25" customHeight="1" x14ac:dyDescent="0.2">
      <c r="A105" s="1024" t="str">
        <f>+Method_input!A74</f>
        <v>Thermal solar</v>
      </c>
      <c r="B105" s="1005" t="s">
        <v>1915</v>
      </c>
      <c r="C105" s="1005"/>
      <c r="D105" s="1006" t="s">
        <v>8</v>
      </c>
      <c r="E105" s="1030">
        <f t="shared" ref="E105:P105" ca="1" si="50">SUMIF($R$49:$R$55,$R105,E$49:E$55)</f>
        <v>11.5</v>
      </c>
      <c r="F105" s="1030">
        <f t="shared" ca="1" si="50"/>
        <v>23</v>
      </c>
      <c r="G105" s="1030">
        <f t="shared" ca="1" si="50"/>
        <v>46</v>
      </c>
      <c r="H105" s="1030">
        <f t="shared" ca="1" si="50"/>
        <v>92</v>
      </c>
      <c r="I105" s="1030">
        <f t="shared" ca="1" si="50"/>
        <v>161</v>
      </c>
      <c r="J105" s="1030">
        <f t="shared" ca="1" si="50"/>
        <v>184</v>
      </c>
      <c r="K105" s="1030">
        <f t="shared" ca="1" si="50"/>
        <v>172.5</v>
      </c>
      <c r="L105" s="1030">
        <f t="shared" ca="1" si="50"/>
        <v>161</v>
      </c>
      <c r="M105" s="1030">
        <f t="shared" ca="1" si="50"/>
        <v>103.5</v>
      </c>
      <c r="N105" s="1030">
        <f t="shared" ca="1" si="50"/>
        <v>34.5</v>
      </c>
      <c r="O105" s="1030">
        <f t="shared" ca="1" si="50"/>
        <v>18.399999999999999</v>
      </c>
      <c r="P105" s="1030">
        <f t="shared" ca="1" si="50"/>
        <v>11.5</v>
      </c>
      <c r="Q105" s="1030">
        <f ca="1">SUM(E105:P105)</f>
        <v>1018.9</v>
      </c>
      <c r="R105" s="1026" t="str">
        <f>+Method_input!T74</f>
        <v>sol</v>
      </c>
      <c r="S105" s="1752" t="s">
        <v>2394</v>
      </c>
      <c r="T105" s="1008"/>
      <c r="U105" s="1013" t="s">
        <v>1930</v>
      </c>
    </row>
    <row r="106" spans="1:21" x14ac:dyDescent="0.2">
      <c r="A106" s="1024" t="s">
        <v>1908</v>
      </c>
      <c r="B106" s="185" t="s">
        <v>1916</v>
      </c>
      <c r="C106" s="1005"/>
      <c r="D106" s="1006"/>
      <c r="E106" s="1114">
        <f>INDEX(Method_input!G$66:G$80,MATCH($R106,Method_input!$T$66:$T$80,0))</f>
        <v>0</v>
      </c>
      <c r="F106" s="1114">
        <f>INDEX(Method_input!H$66:H$80,MATCH($R106,Method_input!$T$66:$T$80,0))</f>
        <v>0</v>
      </c>
      <c r="G106" s="1114">
        <f>INDEX(Method_input!I$66:I$80,MATCH($R106,Method_input!$T$66:$T$80,0))</f>
        <v>0</v>
      </c>
      <c r="H106" s="1114">
        <f>INDEX(Method_input!J$66:J$80,MATCH($R106,Method_input!$T$66:$T$80,0))</f>
        <v>0</v>
      </c>
      <c r="I106" s="1114">
        <f>INDEX(Method_input!K$66:K$80,MATCH($R106,Method_input!$T$66:$T$80,0))</f>
        <v>0</v>
      </c>
      <c r="J106" s="1114">
        <f>INDEX(Method_input!L$66:L$80,MATCH($R106,Method_input!$T$66:$T$80,0))</f>
        <v>0</v>
      </c>
      <c r="K106" s="1114">
        <f>INDEX(Method_input!M$66:M$80,MATCH($R106,Method_input!$T$66:$T$80,0))</f>
        <v>0</v>
      </c>
      <c r="L106" s="1114">
        <f>INDEX(Method_input!N$66:N$80,MATCH($R106,Method_input!$T$66:$T$80,0))</f>
        <v>0</v>
      </c>
      <c r="M106" s="1114">
        <f>INDEX(Method_input!O$66:O$80,MATCH($R106,Method_input!$T$66:$T$80,0))</f>
        <v>0</v>
      </c>
      <c r="N106" s="1114">
        <f>INDEX(Method_input!P$66:P$80,MATCH($R106,Method_input!$T$66:$T$80,0))</f>
        <v>0</v>
      </c>
      <c r="O106" s="1114">
        <f>INDEX(Method_input!Q$66:Q$80,MATCH($R106,Method_input!$T$66:$T$80,0))</f>
        <v>0</v>
      </c>
      <c r="P106" s="1114">
        <f>INDEX(Method_input!R$66:R$80,MATCH($R106,Method_input!$T$66:$T$80,0))</f>
        <v>0</v>
      </c>
      <c r="Q106" s="1030"/>
      <c r="R106" s="1026" t="str">
        <f>+R105</f>
        <v>sol</v>
      </c>
      <c r="S106" s="1719" t="s">
        <v>1969</v>
      </c>
      <c r="T106" s="1008"/>
      <c r="U106" s="1013" t="s">
        <v>1927</v>
      </c>
    </row>
    <row r="107" spans="1:21" x14ac:dyDescent="0.2">
      <c r="A107" s="1024" t="s">
        <v>1913</v>
      </c>
      <c r="B107" s="185" t="s">
        <v>1917</v>
      </c>
      <c r="C107" s="1005"/>
      <c r="D107" s="1006"/>
      <c r="E107" s="1115">
        <f>INDEX(Method_input!G$82:G$96,MATCH($R107,Method_input!$T$82:$T$96,0))</f>
        <v>1</v>
      </c>
      <c r="F107" s="1115">
        <f>INDEX(Method_input!H$82:H$96,MATCH($R107,Method_input!$T$82:$T$96,0))</f>
        <v>1</v>
      </c>
      <c r="G107" s="1115">
        <f>INDEX(Method_input!I$82:I$96,MATCH($R107,Method_input!$T$82:$T$96,0))</f>
        <v>1</v>
      </c>
      <c r="H107" s="1115">
        <f>INDEX(Method_input!J$82:J$96,MATCH($R107,Method_input!$T$82:$T$96,0))</f>
        <v>1</v>
      </c>
      <c r="I107" s="1115">
        <f>INDEX(Method_input!K$82:K$96,MATCH($R107,Method_input!$T$82:$T$96,0))</f>
        <v>1</v>
      </c>
      <c r="J107" s="1115">
        <f>INDEX(Method_input!L$82:L$96,MATCH($R107,Method_input!$T$82:$T$96,0))</f>
        <v>1</v>
      </c>
      <c r="K107" s="1115">
        <f>INDEX(Method_input!M$82:M$96,MATCH($R107,Method_input!$T$82:$T$96,0))</f>
        <v>1</v>
      </c>
      <c r="L107" s="1115">
        <f>INDEX(Method_input!N$82:N$96,MATCH($R107,Method_input!$T$82:$T$96,0))</f>
        <v>1</v>
      </c>
      <c r="M107" s="1115">
        <f>INDEX(Method_input!O$82:O$96,MATCH($R107,Method_input!$T$82:$T$96,0))</f>
        <v>1</v>
      </c>
      <c r="N107" s="1115">
        <f>INDEX(Method_input!P$82:P$96,MATCH($R107,Method_input!$T$82:$T$96,0))</f>
        <v>1</v>
      </c>
      <c r="O107" s="1115">
        <f>INDEX(Method_input!Q$82:Q$96,MATCH($R107,Method_input!$T$82:$T$96,0))</f>
        <v>1</v>
      </c>
      <c r="P107" s="1115">
        <f>INDEX(Method_input!R$82:R$96,MATCH($R107,Method_input!$T$82:$T$96,0))</f>
        <v>1</v>
      </c>
      <c r="Q107" s="1030"/>
      <c r="R107" s="1026" t="str">
        <f>+R106</f>
        <v>sol</v>
      </c>
      <c r="S107" s="1719" t="s">
        <v>1969</v>
      </c>
      <c r="T107" s="1008"/>
      <c r="U107" s="1013" t="s">
        <v>1927</v>
      </c>
    </row>
    <row r="108" spans="1:21" ht="20.25" customHeight="1" x14ac:dyDescent="0.2">
      <c r="A108" s="1024" t="s">
        <v>1909</v>
      </c>
      <c r="B108" s="1005" t="s">
        <v>1974</v>
      </c>
      <c r="C108" s="1005"/>
      <c r="D108" s="1006" t="s">
        <v>8</v>
      </c>
      <c r="E108" s="1116">
        <f ca="1">+E105*E106</f>
        <v>0</v>
      </c>
      <c r="F108" s="1116">
        <f t="shared" ref="F108:P108" ca="1" si="51">+F105*F106</f>
        <v>0</v>
      </c>
      <c r="G108" s="1116">
        <f t="shared" ca="1" si="51"/>
        <v>0</v>
      </c>
      <c r="H108" s="1116">
        <f t="shared" ca="1" si="51"/>
        <v>0</v>
      </c>
      <c r="I108" s="1116">
        <f t="shared" ca="1" si="51"/>
        <v>0</v>
      </c>
      <c r="J108" s="1116">
        <f t="shared" ca="1" si="51"/>
        <v>0</v>
      </c>
      <c r="K108" s="1116">
        <f t="shared" ca="1" si="51"/>
        <v>0</v>
      </c>
      <c r="L108" s="1116">
        <f t="shared" ca="1" si="51"/>
        <v>0</v>
      </c>
      <c r="M108" s="1116">
        <f t="shared" ca="1" si="51"/>
        <v>0</v>
      </c>
      <c r="N108" s="1116">
        <f t="shared" ca="1" si="51"/>
        <v>0</v>
      </c>
      <c r="O108" s="1116">
        <f t="shared" ca="1" si="51"/>
        <v>0</v>
      </c>
      <c r="P108" s="1116">
        <f t="shared" ca="1" si="51"/>
        <v>0</v>
      </c>
      <c r="Q108" s="1116">
        <f t="shared" ref="Q108:Q109" ca="1" si="52">SUM(E108:P108)</f>
        <v>0</v>
      </c>
      <c r="R108" s="1026" t="s">
        <v>2248</v>
      </c>
      <c r="S108" s="1719" t="s">
        <v>2395</v>
      </c>
      <c r="T108" s="1543"/>
      <c r="U108" s="1013" t="s">
        <v>1928</v>
      </c>
    </row>
    <row r="109" spans="1:21" ht="20.25" customHeight="1" x14ac:dyDescent="0.2">
      <c r="A109" s="1024" t="s">
        <v>1910</v>
      </c>
      <c r="B109" s="1005" t="s">
        <v>1975</v>
      </c>
      <c r="C109" s="1005"/>
      <c r="D109" s="1006" t="s">
        <v>8</v>
      </c>
      <c r="E109" s="1117">
        <f ca="1">+E105*E107</f>
        <v>11.5</v>
      </c>
      <c r="F109" s="1117">
        <f t="shared" ref="F109:P109" ca="1" si="53">+F105*F107</f>
        <v>23</v>
      </c>
      <c r="G109" s="1117">
        <f t="shared" ca="1" si="53"/>
        <v>46</v>
      </c>
      <c r="H109" s="1117">
        <f t="shared" ca="1" si="53"/>
        <v>92</v>
      </c>
      <c r="I109" s="1117">
        <f t="shared" ca="1" si="53"/>
        <v>161</v>
      </c>
      <c r="J109" s="1117">
        <f t="shared" ca="1" si="53"/>
        <v>184</v>
      </c>
      <c r="K109" s="1117">
        <f t="shared" ca="1" si="53"/>
        <v>172.5</v>
      </c>
      <c r="L109" s="1117">
        <f t="shared" ca="1" si="53"/>
        <v>161</v>
      </c>
      <c r="M109" s="1117">
        <f t="shared" ca="1" si="53"/>
        <v>103.5</v>
      </c>
      <c r="N109" s="1117">
        <f t="shared" ca="1" si="53"/>
        <v>34.5</v>
      </c>
      <c r="O109" s="1117">
        <f t="shared" ca="1" si="53"/>
        <v>18.399999999999999</v>
      </c>
      <c r="P109" s="1117">
        <f t="shared" ca="1" si="53"/>
        <v>11.5</v>
      </c>
      <c r="Q109" s="1117">
        <f t="shared" ca="1" si="52"/>
        <v>1018.9</v>
      </c>
      <c r="R109" s="1026" t="s">
        <v>2249</v>
      </c>
      <c r="S109" s="1719"/>
      <c r="T109" s="1544"/>
      <c r="U109" s="1013" t="s">
        <v>1929</v>
      </c>
    </row>
    <row r="110" spans="1:21" x14ac:dyDescent="0.2">
      <c r="A110" s="1024"/>
      <c r="B110" s="1005"/>
      <c r="C110" s="1005"/>
      <c r="D110" s="1006"/>
      <c r="E110" s="1026"/>
      <c r="F110" s="1026"/>
      <c r="G110" s="1026"/>
      <c r="H110" s="1026"/>
      <c r="I110" s="1026"/>
      <c r="J110" s="1026"/>
      <c r="K110" s="1026"/>
      <c r="L110" s="1026"/>
      <c r="M110" s="1026"/>
      <c r="N110" s="1026"/>
      <c r="O110" s="1026"/>
      <c r="P110" s="1026"/>
      <c r="Q110" s="1026"/>
      <c r="R110" s="1026"/>
      <c r="S110" s="1719"/>
      <c r="T110" s="1008"/>
      <c r="U110" s="1013"/>
    </row>
    <row r="111" spans="1:21" ht="38.25" customHeight="1" x14ac:dyDescent="0.2">
      <c r="A111" s="1024" t="str">
        <f>+Method_input!A75</f>
        <v>Photovoltaic</v>
      </c>
      <c r="B111" s="1005" t="s">
        <v>1915</v>
      </c>
      <c r="C111" s="1005"/>
      <c r="D111" s="1006" t="s">
        <v>8</v>
      </c>
      <c r="E111" s="1030">
        <f t="shared" ref="E111:P111" ca="1" si="54">SUMIF($R$49:$R$55,$R111,E$49:E$55)</f>
        <v>45</v>
      </c>
      <c r="F111" s="1030">
        <f t="shared" ca="1" si="54"/>
        <v>60</v>
      </c>
      <c r="G111" s="1030">
        <f t="shared" ca="1" si="54"/>
        <v>150</v>
      </c>
      <c r="H111" s="1030">
        <f t="shared" ca="1" si="54"/>
        <v>210</v>
      </c>
      <c r="I111" s="1030">
        <f t="shared" ca="1" si="54"/>
        <v>255</v>
      </c>
      <c r="J111" s="1030">
        <f t="shared" ca="1" si="54"/>
        <v>285</v>
      </c>
      <c r="K111" s="1030">
        <f t="shared" ca="1" si="54"/>
        <v>300</v>
      </c>
      <c r="L111" s="1030">
        <f t="shared" ca="1" si="54"/>
        <v>270</v>
      </c>
      <c r="M111" s="1030">
        <f t="shared" ca="1" si="54"/>
        <v>240</v>
      </c>
      <c r="N111" s="1030">
        <f t="shared" ca="1" si="54"/>
        <v>180</v>
      </c>
      <c r="O111" s="1030">
        <f t="shared" ca="1" si="54"/>
        <v>120</v>
      </c>
      <c r="P111" s="1030">
        <f t="shared" ca="1" si="54"/>
        <v>90</v>
      </c>
      <c r="Q111" s="1030">
        <f ca="1">SUM(E111:P111)</f>
        <v>2205</v>
      </c>
      <c r="R111" s="1026" t="str">
        <f>+Method_input!T75</f>
        <v>pv</v>
      </c>
      <c r="S111" s="1752" t="s">
        <v>2394</v>
      </c>
      <c r="T111" s="1008"/>
      <c r="U111" s="1013" t="s">
        <v>1930</v>
      </c>
    </row>
    <row r="112" spans="1:21" x14ac:dyDescent="0.2">
      <c r="A112" s="1024" t="s">
        <v>1908</v>
      </c>
      <c r="B112" s="185" t="s">
        <v>2255</v>
      </c>
      <c r="C112" s="1005"/>
      <c r="D112" s="1006"/>
      <c r="E112" s="1114">
        <f>INDEX(Method_input!G$66:G$80,MATCH($R112,Method_input!$T$66:$T$80,0))</f>
        <v>0</v>
      </c>
      <c r="F112" s="1114">
        <f>INDEX(Method_input!H$66:H$80,MATCH($R112,Method_input!$T$66:$T$80,0))</f>
        <v>0</v>
      </c>
      <c r="G112" s="1114">
        <f>INDEX(Method_input!I$66:I$80,MATCH($R112,Method_input!$T$66:$T$80,0))</f>
        <v>0</v>
      </c>
      <c r="H112" s="1114">
        <f>INDEX(Method_input!J$66:J$80,MATCH($R112,Method_input!$T$66:$T$80,0))</f>
        <v>0</v>
      </c>
      <c r="I112" s="1114">
        <f>INDEX(Method_input!K$66:K$80,MATCH($R112,Method_input!$T$66:$T$80,0))</f>
        <v>0</v>
      </c>
      <c r="J112" s="1114">
        <f>INDEX(Method_input!L$66:L$80,MATCH($R112,Method_input!$T$66:$T$80,0))</f>
        <v>0</v>
      </c>
      <c r="K112" s="1114">
        <f>INDEX(Method_input!M$66:M$80,MATCH($R112,Method_input!$T$66:$T$80,0))</f>
        <v>0</v>
      </c>
      <c r="L112" s="1114">
        <f>INDEX(Method_input!N$66:N$80,MATCH($R112,Method_input!$T$66:$T$80,0))</f>
        <v>0</v>
      </c>
      <c r="M112" s="1114">
        <f>INDEX(Method_input!O$66:O$80,MATCH($R112,Method_input!$T$66:$T$80,0))</f>
        <v>0</v>
      </c>
      <c r="N112" s="1114">
        <f>INDEX(Method_input!P$66:P$80,MATCH($R112,Method_input!$T$66:$T$80,0))</f>
        <v>0</v>
      </c>
      <c r="O112" s="1114">
        <f>INDEX(Method_input!Q$66:Q$80,MATCH($R112,Method_input!$T$66:$T$80,0))</f>
        <v>0</v>
      </c>
      <c r="P112" s="1114">
        <f>INDEX(Method_input!R$66:R$80,MATCH($R112,Method_input!$T$66:$T$80,0))</f>
        <v>0</v>
      </c>
      <c r="Q112" s="1030"/>
      <c r="R112" s="1026" t="str">
        <f>+R111</f>
        <v>pv</v>
      </c>
      <c r="S112" s="1719" t="s">
        <v>1969</v>
      </c>
      <c r="T112" s="1008"/>
      <c r="U112" s="1013" t="s">
        <v>1927</v>
      </c>
    </row>
    <row r="113" spans="1:23" x14ac:dyDescent="0.2">
      <c r="A113" s="1024" t="s">
        <v>1913</v>
      </c>
      <c r="B113" s="185" t="s">
        <v>2256</v>
      </c>
      <c r="C113" s="1005"/>
      <c r="D113" s="1006"/>
      <c r="E113" s="1115">
        <f>INDEX(Method_input!G$82:G$96,MATCH($R113,Method_input!$T$82:$T$96,0))</f>
        <v>1</v>
      </c>
      <c r="F113" s="1115">
        <f>INDEX(Method_input!H$82:H$96,MATCH($R113,Method_input!$T$82:$T$96,0))</f>
        <v>1</v>
      </c>
      <c r="G113" s="1115">
        <f>INDEX(Method_input!I$82:I$96,MATCH($R113,Method_input!$T$82:$T$96,0))</f>
        <v>1</v>
      </c>
      <c r="H113" s="1115">
        <f>INDEX(Method_input!J$82:J$96,MATCH($R113,Method_input!$T$82:$T$96,0))</f>
        <v>1</v>
      </c>
      <c r="I113" s="1115">
        <f>INDEX(Method_input!K$82:K$96,MATCH($R113,Method_input!$T$82:$T$96,0))</f>
        <v>1</v>
      </c>
      <c r="J113" s="1115">
        <f>INDEX(Method_input!L$82:L$96,MATCH($R113,Method_input!$T$82:$T$96,0))</f>
        <v>1</v>
      </c>
      <c r="K113" s="1115">
        <f>INDEX(Method_input!M$82:M$96,MATCH($R113,Method_input!$T$82:$T$96,0))</f>
        <v>1</v>
      </c>
      <c r="L113" s="1115">
        <f>INDEX(Method_input!N$82:N$96,MATCH($R113,Method_input!$T$82:$T$96,0))</f>
        <v>1</v>
      </c>
      <c r="M113" s="1115">
        <f>INDEX(Method_input!O$82:O$96,MATCH($R113,Method_input!$T$82:$T$96,0))</f>
        <v>1</v>
      </c>
      <c r="N113" s="1115">
        <f>INDEX(Method_input!P$82:P$96,MATCH($R113,Method_input!$T$82:$T$96,0))</f>
        <v>1</v>
      </c>
      <c r="O113" s="1115">
        <f>INDEX(Method_input!Q$82:Q$96,MATCH($R113,Method_input!$T$82:$T$96,0))</f>
        <v>1</v>
      </c>
      <c r="P113" s="1115">
        <f>INDEX(Method_input!R$82:R$96,MATCH($R113,Method_input!$T$82:$T$96,0))</f>
        <v>1</v>
      </c>
      <c r="Q113" s="1030"/>
      <c r="R113" s="1026" t="str">
        <f>+R112</f>
        <v>pv</v>
      </c>
      <c r="S113" s="1719" t="s">
        <v>1969</v>
      </c>
      <c r="T113" s="1008"/>
      <c r="U113" s="1013" t="s">
        <v>1927</v>
      </c>
    </row>
    <row r="114" spans="1:23" ht="20.25" customHeight="1" x14ac:dyDescent="0.2">
      <c r="A114" s="1024" t="s">
        <v>1909</v>
      </c>
      <c r="B114" s="1005" t="s">
        <v>2257</v>
      </c>
      <c r="C114" s="1005"/>
      <c r="D114" s="1006" t="s">
        <v>8</v>
      </c>
      <c r="E114" s="1116">
        <f ca="1">+E111*E112</f>
        <v>0</v>
      </c>
      <c r="F114" s="1116">
        <f t="shared" ref="F114:P114" ca="1" si="55">+F111*F112</f>
        <v>0</v>
      </c>
      <c r="G114" s="1116">
        <f t="shared" ca="1" si="55"/>
        <v>0</v>
      </c>
      <c r="H114" s="1116">
        <f t="shared" ca="1" si="55"/>
        <v>0</v>
      </c>
      <c r="I114" s="1116">
        <f t="shared" ca="1" si="55"/>
        <v>0</v>
      </c>
      <c r="J114" s="1116">
        <f t="shared" ca="1" si="55"/>
        <v>0</v>
      </c>
      <c r="K114" s="1116">
        <f t="shared" ca="1" si="55"/>
        <v>0</v>
      </c>
      <c r="L114" s="1116">
        <f t="shared" ca="1" si="55"/>
        <v>0</v>
      </c>
      <c r="M114" s="1116">
        <f t="shared" ca="1" si="55"/>
        <v>0</v>
      </c>
      <c r="N114" s="1116">
        <f t="shared" ca="1" si="55"/>
        <v>0</v>
      </c>
      <c r="O114" s="1116">
        <f t="shared" ca="1" si="55"/>
        <v>0</v>
      </c>
      <c r="P114" s="1116">
        <f t="shared" ca="1" si="55"/>
        <v>0</v>
      </c>
      <c r="Q114" s="1116">
        <f t="shared" ref="Q114:Q115" ca="1" si="56">SUM(E114:P114)</f>
        <v>0</v>
      </c>
      <c r="R114" s="1026" t="s">
        <v>2248</v>
      </c>
      <c r="S114" s="1719" t="s">
        <v>2395</v>
      </c>
      <c r="T114" s="1543"/>
      <c r="U114" s="1013" t="s">
        <v>1928</v>
      </c>
    </row>
    <row r="115" spans="1:23" ht="20.25" customHeight="1" x14ac:dyDescent="0.2">
      <c r="A115" s="1024" t="s">
        <v>1910</v>
      </c>
      <c r="B115" s="1005" t="s">
        <v>2258</v>
      </c>
      <c r="C115" s="1005"/>
      <c r="D115" s="1006" t="s">
        <v>8</v>
      </c>
      <c r="E115" s="1117">
        <f ca="1">+E111*E113</f>
        <v>45</v>
      </c>
      <c r="F115" s="1117">
        <f t="shared" ref="F115:P115" ca="1" si="57">+F111*F113</f>
        <v>60</v>
      </c>
      <c r="G115" s="1117">
        <f t="shared" ca="1" si="57"/>
        <v>150</v>
      </c>
      <c r="H115" s="1117">
        <f t="shared" ca="1" si="57"/>
        <v>210</v>
      </c>
      <c r="I115" s="1117">
        <f t="shared" ca="1" si="57"/>
        <v>255</v>
      </c>
      <c r="J115" s="1117">
        <f t="shared" ca="1" si="57"/>
        <v>285</v>
      </c>
      <c r="K115" s="1117">
        <f t="shared" ca="1" si="57"/>
        <v>300</v>
      </c>
      <c r="L115" s="1117">
        <f t="shared" ca="1" si="57"/>
        <v>270</v>
      </c>
      <c r="M115" s="1117">
        <f t="shared" ca="1" si="57"/>
        <v>240</v>
      </c>
      <c r="N115" s="1117">
        <f t="shared" ca="1" si="57"/>
        <v>180</v>
      </c>
      <c r="O115" s="1117">
        <f t="shared" ca="1" si="57"/>
        <v>120</v>
      </c>
      <c r="P115" s="1117">
        <f t="shared" ca="1" si="57"/>
        <v>90</v>
      </c>
      <c r="Q115" s="1117">
        <f t="shared" ca="1" si="56"/>
        <v>2205</v>
      </c>
      <c r="R115" s="1026" t="s">
        <v>2249</v>
      </c>
      <c r="S115" s="1719"/>
      <c r="T115" s="1544"/>
      <c r="U115" s="1013" t="s">
        <v>1929</v>
      </c>
    </row>
    <row r="116" spans="1:23" x14ac:dyDescent="0.2">
      <c r="A116" s="1024"/>
      <c r="B116" s="1005"/>
      <c r="C116" s="1005"/>
      <c r="D116" s="1006"/>
      <c r="E116" s="1026"/>
      <c r="F116" s="1026"/>
      <c r="G116" s="1026"/>
      <c r="H116" s="1026"/>
      <c r="I116" s="1026"/>
      <c r="J116" s="1026"/>
      <c r="K116" s="1026"/>
      <c r="L116" s="1026"/>
      <c r="M116" s="1026"/>
      <c r="N116" s="1026"/>
      <c r="O116" s="1026"/>
      <c r="P116" s="1026"/>
      <c r="Q116" s="1026"/>
      <c r="R116" s="1026"/>
      <c r="S116" s="1719"/>
      <c r="T116" s="1008"/>
      <c r="U116" s="1013"/>
    </row>
    <row r="117" spans="1:23" ht="38.25" customHeight="1" x14ac:dyDescent="0.2">
      <c r="A117" s="1024" t="s">
        <v>1918</v>
      </c>
      <c r="B117" s="1005" t="s">
        <v>1919</v>
      </c>
      <c r="C117" s="1005"/>
      <c r="D117" s="1006" t="s">
        <v>8</v>
      </c>
      <c r="E117" s="1030">
        <f t="shared" ref="E117:P117" ca="1" si="58">SUMIF($R$49:$R$55,$R117,E$49:E$55)</f>
        <v>33.333333333333329</v>
      </c>
      <c r="F117" s="1030">
        <f t="shared" ca="1" si="58"/>
        <v>33.333333333333329</v>
      </c>
      <c r="G117" s="1030">
        <f t="shared" ca="1" si="58"/>
        <v>33.333333333333329</v>
      </c>
      <c r="H117" s="1030">
        <f t="shared" ca="1" si="58"/>
        <v>33.333333333333329</v>
      </c>
      <c r="I117" s="1030">
        <f t="shared" ca="1" si="58"/>
        <v>0</v>
      </c>
      <c r="J117" s="1030">
        <f t="shared" ca="1" si="58"/>
        <v>0</v>
      </c>
      <c r="K117" s="1030">
        <f t="shared" ca="1" si="58"/>
        <v>0</v>
      </c>
      <c r="L117" s="1030">
        <f t="shared" ca="1" si="58"/>
        <v>0</v>
      </c>
      <c r="M117" s="1030">
        <f t="shared" ca="1" si="58"/>
        <v>6.6666666666666661</v>
      </c>
      <c r="N117" s="1030">
        <f t="shared" ca="1" si="58"/>
        <v>33.333333333333329</v>
      </c>
      <c r="O117" s="1030">
        <f t="shared" ca="1" si="58"/>
        <v>33.333333333333329</v>
      </c>
      <c r="P117" s="1030">
        <f t="shared" ca="1" si="58"/>
        <v>33.333333333333329</v>
      </c>
      <c r="Q117" s="1030">
        <f ca="1">SUM(E117:P117)</f>
        <v>239.99999999999994</v>
      </c>
      <c r="R117" s="1026" t="s">
        <v>784</v>
      </c>
      <c r="S117" s="1752" t="s">
        <v>2394</v>
      </c>
      <c r="T117" s="1008"/>
      <c r="U117" s="1013" t="s">
        <v>1930</v>
      </c>
    </row>
    <row r="118" spans="1:23" x14ac:dyDescent="0.2">
      <c r="A118" s="1024" t="s">
        <v>1908</v>
      </c>
      <c r="B118" s="185" t="s">
        <v>1920</v>
      </c>
      <c r="C118" s="1005"/>
      <c r="D118" s="1006"/>
      <c r="E118" s="1114">
        <f>INDEX(Method_input!G$66:G$80,MATCH($R118,Method_input!$T$66:$T$80,0))</f>
        <v>0</v>
      </c>
      <c r="F118" s="1114">
        <f>INDEX(Method_input!H$66:H$80,MATCH($R118,Method_input!$T$66:$T$80,0))</f>
        <v>0</v>
      </c>
      <c r="G118" s="1114">
        <f>INDEX(Method_input!I$66:I$80,MATCH($R118,Method_input!$T$66:$T$80,0))</f>
        <v>0</v>
      </c>
      <c r="H118" s="1114">
        <f>INDEX(Method_input!J$66:J$80,MATCH($R118,Method_input!$T$66:$T$80,0))</f>
        <v>0</v>
      </c>
      <c r="I118" s="1114">
        <f>INDEX(Method_input!K$66:K$80,MATCH($R118,Method_input!$T$66:$T$80,0))</f>
        <v>0</v>
      </c>
      <c r="J118" s="1114">
        <f>INDEX(Method_input!L$66:L$80,MATCH($R118,Method_input!$T$66:$T$80,0))</f>
        <v>0</v>
      </c>
      <c r="K118" s="1114">
        <f>INDEX(Method_input!M$66:M$80,MATCH($R118,Method_input!$T$66:$T$80,0))</f>
        <v>0</v>
      </c>
      <c r="L118" s="1114">
        <f>INDEX(Method_input!N$66:N$80,MATCH($R118,Method_input!$T$66:$T$80,0))</f>
        <v>0</v>
      </c>
      <c r="M118" s="1114">
        <f>INDEX(Method_input!O$66:O$80,MATCH($R118,Method_input!$T$66:$T$80,0))</f>
        <v>0</v>
      </c>
      <c r="N118" s="1114">
        <f>INDEX(Method_input!P$66:P$80,MATCH($R118,Method_input!$T$66:$T$80,0))</f>
        <v>0</v>
      </c>
      <c r="O118" s="1114">
        <f>INDEX(Method_input!Q$66:Q$80,MATCH($R118,Method_input!$T$66:$T$80,0))</f>
        <v>0</v>
      </c>
      <c r="P118" s="1114">
        <f>INDEX(Method_input!R$66:R$80,MATCH($R118,Method_input!$T$66:$T$80,0))</f>
        <v>0</v>
      </c>
      <c r="Q118" s="1030"/>
      <c r="R118" s="1026" t="str">
        <f>+R117</f>
        <v>env</v>
      </c>
      <c r="S118" s="1719" t="s">
        <v>1969</v>
      </c>
      <c r="T118" s="1008"/>
      <c r="U118" s="1013" t="s">
        <v>1927</v>
      </c>
    </row>
    <row r="119" spans="1:23" x14ac:dyDescent="0.2">
      <c r="A119" s="1024" t="s">
        <v>1913</v>
      </c>
      <c r="B119" s="185" t="s">
        <v>1921</v>
      </c>
      <c r="C119" s="1005"/>
      <c r="D119" s="1006"/>
      <c r="E119" s="1115">
        <f>INDEX(Method_input!G$82:G$96,MATCH($R119,Method_input!$T$82:$T$96,0))</f>
        <v>1</v>
      </c>
      <c r="F119" s="1115">
        <f>INDEX(Method_input!H$82:H$96,MATCH($R119,Method_input!$T$82:$T$96,0))</f>
        <v>1</v>
      </c>
      <c r="G119" s="1115">
        <f>INDEX(Method_input!I$82:I$96,MATCH($R119,Method_input!$T$82:$T$96,0))</f>
        <v>1</v>
      </c>
      <c r="H119" s="1115">
        <f>INDEX(Method_input!J$82:J$96,MATCH($R119,Method_input!$T$82:$T$96,0))</f>
        <v>1</v>
      </c>
      <c r="I119" s="1115">
        <f>INDEX(Method_input!K$82:K$96,MATCH($R119,Method_input!$T$82:$T$96,0))</f>
        <v>1</v>
      </c>
      <c r="J119" s="1115">
        <f>INDEX(Method_input!L$82:L$96,MATCH($R119,Method_input!$T$82:$T$96,0))</f>
        <v>1</v>
      </c>
      <c r="K119" s="1115">
        <f>INDEX(Method_input!M$82:M$96,MATCH($R119,Method_input!$T$82:$T$96,0))</f>
        <v>1</v>
      </c>
      <c r="L119" s="1115">
        <f>INDEX(Method_input!N$82:N$96,MATCH($R119,Method_input!$T$82:$T$96,0))</f>
        <v>1</v>
      </c>
      <c r="M119" s="1115">
        <f>INDEX(Method_input!O$82:O$96,MATCH($R119,Method_input!$T$82:$T$96,0))</f>
        <v>1</v>
      </c>
      <c r="N119" s="1115">
        <f>INDEX(Method_input!P$82:P$96,MATCH($R119,Method_input!$T$82:$T$96,0))</f>
        <v>1</v>
      </c>
      <c r="O119" s="1115">
        <f>INDEX(Method_input!Q$82:Q$96,MATCH($R119,Method_input!$T$82:$T$96,0))</f>
        <v>1</v>
      </c>
      <c r="P119" s="1115">
        <f>INDEX(Method_input!R$82:R$96,MATCH($R119,Method_input!$T$82:$T$96,0))</f>
        <v>1</v>
      </c>
      <c r="Q119" s="1030"/>
      <c r="R119" s="1026" t="str">
        <f>+R118</f>
        <v>env</v>
      </c>
      <c r="S119" s="1719" t="s">
        <v>1969</v>
      </c>
      <c r="T119" s="1008"/>
      <c r="U119" s="1013" t="s">
        <v>1927</v>
      </c>
    </row>
    <row r="120" spans="1:23" ht="20.25" customHeight="1" x14ac:dyDescent="0.2">
      <c r="A120" s="1024" t="s">
        <v>1909</v>
      </c>
      <c r="B120" s="1005" t="s">
        <v>1976</v>
      </c>
      <c r="C120" s="1005"/>
      <c r="D120" s="1006" t="s">
        <v>8</v>
      </c>
      <c r="E120" s="1116">
        <f ca="1">+E117*E118</f>
        <v>0</v>
      </c>
      <c r="F120" s="1116">
        <f t="shared" ref="F120:P120" ca="1" si="59">+F117*F118</f>
        <v>0</v>
      </c>
      <c r="G120" s="1116">
        <f t="shared" ca="1" si="59"/>
        <v>0</v>
      </c>
      <c r="H120" s="1116">
        <f t="shared" ca="1" si="59"/>
        <v>0</v>
      </c>
      <c r="I120" s="1116">
        <f t="shared" ca="1" si="59"/>
        <v>0</v>
      </c>
      <c r="J120" s="1116">
        <f t="shared" ca="1" si="59"/>
        <v>0</v>
      </c>
      <c r="K120" s="1116">
        <f t="shared" ca="1" si="59"/>
        <v>0</v>
      </c>
      <c r="L120" s="1116">
        <f t="shared" ca="1" si="59"/>
        <v>0</v>
      </c>
      <c r="M120" s="1116">
        <f t="shared" ca="1" si="59"/>
        <v>0</v>
      </c>
      <c r="N120" s="1116">
        <f t="shared" ca="1" si="59"/>
        <v>0</v>
      </c>
      <c r="O120" s="1116">
        <f t="shared" ca="1" si="59"/>
        <v>0</v>
      </c>
      <c r="P120" s="1116">
        <f t="shared" ca="1" si="59"/>
        <v>0</v>
      </c>
      <c r="Q120" s="1116">
        <f t="shared" ref="Q120:Q124" ca="1" si="60">SUM(E120:P120)</f>
        <v>0</v>
      </c>
      <c r="R120" s="1026" t="s">
        <v>2248</v>
      </c>
      <c r="S120" s="1719" t="s">
        <v>2395</v>
      </c>
      <c r="T120" s="1543"/>
      <c r="U120" s="1013" t="s">
        <v>1928</v>
      </c>
    </row>
    <row r="121" spans="1:23" ht="20.25" customHeight="1" x14ac:dyDescent="0.2">
      <c r="A121" s="1024" t="s">
        <v>1910</v>
      </c>
      <c r="B121" s="1005" t="s">
        <v>1977</v>
      </c>
      <c r="C121" s="1005"/>
      <c r="D121" s="1006" t="s">
        <v>8</v>
      </c>
      <c r="E121" s="1117">
        <f ca="1">+E117*E119</f>
        <v>33.333333333333329</v>
      </c>
      <c r="F121" s="1117">
        <f t="shared" ref="F121:P121" ca="1" si="61">+F117*F119</f>
        <v>33.333333333333329</v>
      </c>
      <c r="G121" s="1117">
        <f t="shared" ca="1" si="61"/>
        <v>33.333333333333329</v>
      </c>
      <c r="H121" s="1117">
        <f t="shared" ca="1" si="61"/>
        <v>33.333333333333329</v>
      </c>
      <c r="I121" s="1117">
        <f t="shared" ca="1" si="61"/>
        <v>0</v>
      </c>
      <c r="J121" s="1117">
        <f t="shared" ca="1" si="61"/>
        <v>0</v>
      </c>
      <c r="K121" s="1117">
        <f t="shared" ca="1" si="61"/>
        <v>0</v>
      </c>
      <c r="L121" s="1117">
        <f t="shared" ca="1" si="61"/>
        <v>0</v>
      </c>
      <c r="M121" s="1117">
        <f t="shared" ca="1" si="61"/>
        <v>6.6666666666666661</v>
      </c>
      <c r="N121" s="1117">
        <f t="shared" ca="1" si="61"/>
        <v>33.333333333333329</v>
      </c>
      <c r="O121" s="1117">
        <f t="shared" ca="1" si="61"/>
        <v>33.333333333333329</v>
      </c>
      <c r="P121" s="1117">
        <f t="shared" ca="1" si="61"/>
        <v>33.333333333333329</v>
      </c>
      <c r="Q121" s="1117">
        <f t="shared" ca="1" si="60"/>
        <v>239.99999999999994</v>
      </c>
      <c r="R121" s="1026" t="s">
        <v>2249</v>
      </c>
      <c r="S121" s="1719"/>
      <c r="T121" s="1544"/>
      <c r="U121" s="1013" t="s">
        <v>1929</v>
      </c>
    </row>
    <row r="122" spans="1:23" ht="12" customHeight="1" x14ac:dyDescent="0.2">
      <c r="A122" s="1024"/>
      <c r="B122" s="1005"/>
      <c r="C122" s="1005"/>
      <c r="D122" s="1006"/>
      <c r="E122" s="1026"/>
      <c r="F122" s="1026"/>
      <c r="G122" s="1026"/>
      <c r="H122" s="1026"/>
      <c r="I122" s="1026"/>
      <c r="J122" s="1026"/>
      <c r="K122" s="1026"/>
      <c r="L122" s="1026"/>
      <c r="M122" s="1026"/>
      <c r="N122" s="1026"/>
      <c r="O122" s="1026"/>
      <c r="P122" s="1026"/>
      <c r="Q122" s="1026"/>
      <c r="R122" s="1026"/>
      <c r="S122" s="1719"/>
      <c r="T122" s="1008"/>
      <c r="U122" s="1013"/>
    </row>
    <row r="123" spans="1:23" ht="28.5" customHeight="1" x14ac:dyDescent="0.2">
      <c r="A123" s="1545" t="s">
        <v>2259</v>
      </c>
      <c r="B123" s="1005" t="s">
        <v>2260</v>
      </c>
      <c r="C123" s="1005"/>
      <c r="D123" s="1006" t="s">
        <v>8</v>
      </c>
      <c r="E123" s="1116">
        <f ca="1">SUMIF($R$57:$R$122,$R123,E$57:E$122)</f>
        <v>3304.4444444444448</v>
      </c>
      <c r="F123" s="1116">
        <f t="shared" ref="F123:P124" ca="1" si="62">SUMIF($R$57:$R$122,$R123,F$57:F$122)</f>
        <v>2528.3333333333335</v>
      </c>
      <c r="G123" s="1116">
        <f t="shared" ca="1" si="62"/>
        <v>1740</v>
      </c>
      <c r="H123" s="1116">
        <f t="shared" ca="1" si="62"/>
        <v>927.22222222222217</v>
      </c>
      <c r="I123" s="1116">
        <f t="shared" ca="1" si="62"/>
        <v>120.00000000000001</v>
      </c>
      <c r="J123" s="1116">
        <f t="shared" ca="1" si="62"/>
        <v>80.000000000000014</v>
      </c>
      <c r="K123" s="1116">
        <f t="shared" ca="1" si="62"/>
        <v>100</v>
      </c>
      <c r="L123" s="1116">
        <f t="shared" ca="1" si="62"/>
        <v>120.00000000000001</v>
      </c>
      <c r="M123" s="1116">
        <f t="shared" ca="1" si="62"/>
        <v>200</v>
      </c>
      <c r="N123" s="1116">
        <f t="shared" ca="1" si="62"/>
        <v>1141.1111111111113</v>
      </c>
      <c r="O123" s="1116">
        <f t="shared" ca="1" si="62"/>
        <v>2227.6666666666665</v>
      </c>
      <c r="P123" s="1116">
        <f t="shared" ca="1" si="62"/>
        <v>2693.3333333333335</v>
      </c>
      <c r="Q123" s="1116">
        <f t="shared" ca="1" si="60"/>
        <v>15182.111111111111</v>
      </c>
      <c r="R123" s="1026" t="s">
        <v>2248</v>
      </c>
      <c r="S123" s="1752" t="s">
        <v>2396</v>
      </c>
      <c r="T123" s="1543"/>
      <c r="U123" s="1577" t="s">
        <v>2276</v>
      </c>
    </row>
    <row r="124" spans="1:23" ht="28.5" customHeight="1" x14ac:dyDescent="0.2">
      <c r="A124" s="1546"/>
      <c r="B124" s="1005" t="s">
        <v>2261</v>
      </c>
      <c r="C124" s="1005"/>
      <c r="D124" s="1006" t="s">
        <v>8</v>
      </c>
      <c r="E124" s="1117">
        <f ca="1">SUMIF($R$57:$R$122,$R124,E$57:E$122)</f>
        <v>89.833333333333329</v>
      </c>
      <c r="F124" s="1117">
        <f t="shared" ca="1" si="62"/>
        <v>116.33333333333333</v>
      </c>
      <c r="G124" s="1117">
        <f t="shared" ca="1" si="62"/>
        <v>229.33333333333331</v>
      </c>
      <c r="H124" s="1117">
        <f t="shared" ca="1" si="62"/>
        <v>335.33333333333331</v>
      </c>
      <c r="I124" s="1117">
        <f t="shared" ca="1" si="62"/>
        <v>416</v>
      </c>
      <c r="J124" s="1117">
        <f t="shared" ca="1" si="62"/>
        <v>469</v>
      </c>
      <c r="K124" s="1117">
        <f t="shared" ca="1" si="62"/>
        <v>472.5</v>
      </c>
      <c r="L124" s="1117">
        <f t="shared" ca="1" si="62"/>
        <v>431</v>
      </c>
      <c r="M124" s="1117">
        <f t="shared" ca="1" si="62"/>
        <v>350.16666666666669</v>
      </c>
      <c r="N124" s="1117">
        <f t="shared" ca="1" si="62"/>
        <v>247.83333333333331</v>
      </c>
      <c r="O124" s="1117">
        <f t="shared" ca="1" si="62"/>
        <v>171.73333333333335</v>
      </c>
      <c r="P124" s="1117">
        <f t="shared" ca="1" si="62"/>
        <v>134.83333333333331</v>
      </c>
      <c r="Q124" s="1117">
        <f t="shared" ca="1" si="60"/>
        <v>3463.9</v>
      </c>
      <c r="R124" s="1026" t="s">
        <v>2249</v>
      </c>
      <c r="S124" s="1752" t="s">
        <v>2396</v>
      </c>
      <c r="T124" s="1544"/>
      <c r="U124" s="1578"/>
    </row>
    <row r="125" spans="1:23" ht="12" customHeight="1" x14ac:dyDescent="0.2">
      <c r="A125" s="1024"/>
      <c r="B125" s="1005"/>
      <c r="C125" s="1005"/>
      <c r="D125" s="1006"/>
      <c r="E125" s="1026"/>
      <c r="F125" s="1026"/>
      <c r="G125" s="1026"/>
      <c r="H125" s="1026"/>
      <c r="I125" s="1026"/>
      <c r="J125" s="1026"/>
      <c r="K125" s="1026"/>
      <c r="L125" s="1026"/>
      <c r="M125" s="1026"/>
      <c r="N125" s="1026"/>
      <c r="O125" s="1026"/>
      <c r="P125" s="1026"/>
      <c r="Q125" s="1026"/>
      <c r="R125" s="1026"/>
      <c r="S125" s="1719"/>
      <c r="T125" s="1008"/>
      <c r="U125" s="1013"/>
    </row>
    <row r="126" spans="1:23" x14ac:dyDescent="0.2">
      <c r="A126" s="1024"/>
      <c r="B126" s="1005"/>
      <c r="C126" s="1005"/>
      <c r="D126" s="1006"/>
      <c r="E126" s="1026"/>
      <c r="F126" s="1026"/>
      <c r="G126" s="1026"/>
      <c r="H126" s="1026"/>
      <c r="I126" s="1026"/>
      <c r="J126" s="1026"/>
      <c r="K126" s="1026"/>
      <c r="L126" s="1026"/>
      <c r="M126" s="1026"/>
      <c r="N126" s="1026"/>
      <c r="O126" s="1026"/>
      <c r="P126" s="1026"/>
      <c r="Q126" s="1026"/>
      <c r="R126" s="1026"/>
      <c r="S126" s="1719"/>
      <c r="T126" s="1008"/>
      <c r="U126" s="1013"/>
      <c r="W126" s="996" t="s">
        <v>1883</v>
      </c>
    </row>
    <row r="127" spans="1:23" x14ac:dyDescent="0.2">
      <c r="A127" s="1024" t="s">
        <v>1924</v>
      </c>
      <c r="B127" s="1089" t="s">
        <v>1857</v>
      </c>
      <c r="C127" s="1005"/>
      <c r="D127" s="1006"/>
      <c r="E127" s="1028">
        <f t="shared" ref="E127:P127" ca="1" si="63">+E41</f>
        <v>144.49696969696967</v>
      </c>
      <c r="F127" s="1028">
        <f t="shared" ca="1" si="63"/>
        <v>89.880303030303025</v>
      </c>
      <c r="G127" s="1028">
        <f t="shared" ca="1" si="63"/>
        <v>0</v>
      </c>
      <c r="H127" s="1028">
        <f t="shared" ca="1" si="63"/>
        <v>0</v>
      </c>
      <c r="I127" s="1028">
        <f t="shared" ca="1" si="63"/>
        <v>0</v>
      </c>
      <c r="J127" s="1028">
        <f t="shared" ca="1" si="63"/>
        <v>0</v>
      </c>
      <c r="K127" s="1028">
        <f t="shared" ca="1" si="63"/>
        <v>0</v>
      </c>
      <c r="L127" s="1028">
        <f t="shared" ca="1" si="63"/>
        <v>0</v>
      </c>
      <c r="M127" s="1028">
        <f t="shared" ca="1" si="63"/>
        <v>0</v>
      </c>
      <c r="N127" s="1028">
        <f t="shared" ca="1" si="63"/>
        <v>0</v>
      </c>
      <c r="O127" s="1028">
        <f t="shared" ca="1" si="63"/>
        <v>14.060303030303032</v>
      </c>
      <c r="P127" s="1028">
        <f t="shared" ca="1" si="63"/>
        <v>67.830303030303043</v>
      </c>
      <c r="R127" s="1026" t="s">
        <v>43</v>
      </c>
      <c r="S127" s="1719"/>
      <c r="T127" s="1008" t="s">
        <v>1968</v>
      </c>
      <c r="U127" s="1013" t="s">
        <v>1931</v>
      </c>
    </row>
    <row r="128" spans="1:23" x14ac:dyDescent="0.2">
      <c r="A128" s="1024" t="s">
        <v>1908</v>
      </c>
      <c r="B128" s="185" t="s">
        <v>1970</v>
      </c>
      <c r="C128" s="1005"/>
      <c r="D128" s="1006"/>
      <c r="E128" s="1114">
        <f>INDEX(Method_input!G$66:G$80,MATCH($R127,Method_input!$T$66:$T$80,0))</f>
        <v>2.2999999999999998</v>
      </c>
      <c r="F128" s="1114">
        <f>INDEX(Method_input!H$66:H$80,MATCH($R127,Method_input!$T$66:$T$80,0))</f>
        <v>2.2999999999999998</v>
      </c>
      <c r="G128" s="1114">
        <f>INDEX(Method_input!I$66:I$80,MATCH($R127,Method_input!$T$66:$T$80,0))</f>
        <v>2.2999999999999998</v>
      </c>
      <c r="H128" s="1114">
        <f>INDEX(Method_input!J$66:J$80,MATCH($R127,Method_input!$T$66:$T$80,0))</f>
        <v>2.2999999999999998</v>
      </c>
      <c r="I128" s="1114">
        <f>INDEX(Method_input!K$66:K$80,MATCH($R127,Method_input!$T$66:$T$80,0))</f>
        <v>2.2999999999999998</v>
      </c>
      <c r="J128" s="1114">
        <f>INDEX(Method_input!L$66:L$80,MATCH($R127,Method_input!$T$66:$T$80,0))</f>
        <v>2.2999999999999998</v>
      </c>
      <c r="K128" s="1114">
        <f>INDEX(Method_input!M$66:M$80,MATCH($R127,Method_input!$T$66:$T$80,0))</f>
        <v>2.2999999999999998</v>
      </c>
      <c r="L128" s="1114">
        <f>INDEX(Method_input!N$66:N$80,MATCH($R127,Method_input!$T$66:$T$80,0))</f>
        <v>2.2999999999999998</v>
      </c>
      <c r="M128" s="1114">
        <f>INDEX(Method_input!O$66:O$80,MATCH($R127,Method_input!$T$66:$T$80,0))</f>
        <v>2.2999999999999998</v>
      </c>
      <c r="N128" s="1114">
        <f>INDEX(Method_input!P$66:P$80,MATCH($R127,Method_input!$T$66:$T$80,0))</f>
        <v>2.2999999999999998</v>
      </c>
      <c r="O128" s="1114">
        <f>INDEX(Method_input!Q$66:Q$80,MATCH($R127,Method_input!$T$66:$T$80,0))</f>
        <v>2.2999999999999998</v>
      </c>
      <c r="P128" s="1114">
        <f>INDEX(Method_input!R$66:R$80,MATCH($R127,Method_input!$T$66:$T$80,0))</f>
        <v>2.2999999999999998</v>
      </c>
      <c r="Q128" s="1026"/>
      <c r="R128" s="1026"/>
      <c r="S128" s="1719" t="s">
        <v>1969</v>
      </c>
      <c r="T128" s="1008" t="s">
        <v>1858</v>
      </c>
      <c r="U128" s="1013" t="s">
        <v>1927</v>
      </c>
    </row>
    <row r="129" spans="1:21" x14ac:dyDescent="0.2">
      <c r="A129" s="1024" t="s">
        <v>1913</v>
      </c>
      <c r="B129" s="185" t="s">
        <v>1971</v>
      </c>
      <c r="C129" s="1005"/>
      <c r="D129" s="1006"/>
      <c r="E129" s="1115">
        <f>INDEX(Method_input!G$82:G$96,MATCH($R127,Method_input!$T$82:$T$96,0))</f>
        <v>0.2</v>
      </c>
      <c r="F129" s="1115">
        <f>INDEX(Method_input!H$82:H$96,MATCH($R127,Method_input!$T$82:$T$96,0))</f>
        <v>0.2</v>
      </c>
      <c r="G129" s="1115">
        <f>INDEX(Method_input!I$82:I$96,MATCH($R127,Method_input!$T$82:$T$96,0))</f>
        <v>0.2</v>
      </c>
      <c r="H129" s="1115">
        <f>INDEX(Method_input!J$82:J$96,MATCH($R127,Method_input!$T$82:$T$96,0))</f>
        <v>0.2</v>
      </c>
      <c r="I129" s="1115">
        <f>INDEX(Method_input!K$82:K$96,MATCH($R127,Method_input!$T$82:$T$96,0))</f>
        <v>0.2</v>
      </c>
      <c r="J129" s="1115">
        <f>INDEX(Method_input!L$82:L$96,MATCH($R127,Method_input!$T$82:$T$96,0))</f>
        <v>0.2</v>
      </c>
      <c r="K129" s="1115">
        <f>INDEX(Method_input!M$82:M$96,MATCH($R127,Method_input!$T$82:$T$96,0))</f>
        <v>0.2</v>
      </c>
      <c r="L129" s="1115">
        <f>INDEX(Method_input!N$82:N$96,MATCH($R127,Method_input!$T$82:$T$96,0))</f>
        <v>0.2</v>
      </c>
      <c r="M129" s="1115">
        <f>INDEX(Method_input!O$82:O$96,MATCH($R127,Method_input!$T$82:$T$96,0))</f>
        <v>0.2</v>
      </c>
      <c r="N129" s="1115">
        <f>INDEX(Method_input!P$82:P$96,MATCH($R127,Method_input!$T$82:$T$96,0))</f>
        <v>0.2</v>
      </c>
      <c r="O129" s="1115">
        <f>INDEX(Method_input!Q$82:Q$96,MATCH($R127,Method_input!$T$82:$T$96,0))</f>
        <v>0.2</v>
      </c>
      <c r="P129" s="1115">
        <f>INDEX(Method_input!R$82:R$96,MATCH($R127,Method_input!$T$82:$T$96,0))</f>
        <v>0.2</v>
      </c>
      <c r="Q129" s="1026"/>
      <c r="R129" s="1026"/>
      <c r="S129" s="1719" t="s">
        <v>1969</v>
      </c>
      <c r="T129" s="1008" t="s">
        <v>1858</v>
      </c>
      <c r="U129" s="1013" t="s">
        <v>1927</v>
      </c>
    </row>
    <row r="130" spans="1:21" ht="15.75" x14ac:dyDescent="0.2">
      <c r="A130" s="1024" t="s">
        <v>1909</v>
      </c>
      <c r="B130" s="1005" t="s">
        <v>1978</v>
      </c>
      <c r="C130" s="1005"/>
      <c r="D130" s="1006" t="s">
        <v>8</v>
      </c>
      <c r="E130" s="1116">
        <f ca="1">+E127*E128</f>
        <v>332.34303030303022</v>
      </c>
      <c r="F130" s="1116">
        <f t="shared" ref="F130:P130" ca="1" si="64">+F127*F128</f>
        <v>206.72469696969694</v>
      </c>
      <c r="G130" s="1116">
        <f t="shared" ca="1" si="64"/>
        <v>0</v>
      </c>
      <c r="H130" s="1116">
        <f t="shared" ca="1" si="64"/>
        <v>0</v>
      </c>
      <c r="I130" s="1116">
        <f t="shared" ca="1" si="64"/>
        <v>0</v>
      </c>
      <c r="J130" s="1116">
        <f t="shared" ca="1" si="64"/>
        <v>0</v>
      </c>
      <c r="K130" s="1116">
        <f t="shared" ca="1" si="64"/>
        <v>0</v>
      </c>
      <c r="L130" s="1116">
        <f t="shared" ca="1" si="64"/>
        <v>0</v>
      </c>
      <c r="M130" s="1116">
        <f t="shared" ca="1" si="64"/>
        <v>0</v>
      </c>
      <c r="N130" s="1116">
        <f t="shared" ca="1" si="64"/>
        <v>0</v>
      </c>
      <c r="O130" s="1116">
        <f t="shared" ca="1" si="64"/>
        <v>32.338696969696969</v>
      </c>
      <c r="P130" s="1116">
        <f t="shared" ca="1" si="64"/>
        <v>156.00969696969699</v>
      </c>
      <c r="Q130" s="1026"/>
      <c r="R130" s="1026"/>
      <c r="S130" s="1752" t="s">
        <v>2353</v>
      </c>
      <c r="T130" s="1008"/>
      <c r="U130" s="1013" t="s">
        <v>1928</v>
      </c>
    </row>
    <row r="131" spans="1:21" ht="15.75" x14ac:dyDescent="0.2">
      <c r="A131" s="1024" t="s">
        <v>1910</v>
      </c>
      <c r="B131" s="1005" t="s">
        <v>1979</v>
      </c>
      <c r="C131" s="1005"/>
      <c r="D131" s="1006" t="s">
        <v>8</v>
      </c>
      <c r="E131" s="1117">
        <f ca="1">+E127*E129</f>
        <v>28.899393939393935</v>
      </c>
      <c r="F131" s="1117">
        <f t="shared" ref="F131:P131" ca="1" si="65">+F127*F129</f>
        <v>17.976060606060607</v>
      </c>
      <c r="G131" s="1117">
        <f t="shared" ca="1" si="65"/>
        <v>0</v>
      </c>
      <c r="H131" s="1117">
        <f t="shared" ca="1" si="65"/>
        <v>0</v>
      </c>
      <c r="I131" s="1117">
        <f t="shared" ca="1" si="65"/>
        <v>0</v>
      </c>
      <c r="J131" s="1117">
        <f t="shared" ca="1" si="65"/>
        <v>0</v>
      </c>
      <c r="K131" s="1117">
        <f t="shared" ca="1" si="65"/>
        <v>0</v>
      </c>
      <c r="L131" s="1117">
        <f t="shared" ca="1" si="65"/>
        <v>0</v>
      </c>
      <c r="M131" s="1117">
        <f t="shared" ca="1" si="65"/>
        <v>0</v>
      </c>
      <c r="N131" s="1117">
        <f t="shared" ca="1" si="65"/>
        <v>0</v>
      </c>
      <c r="O131" s="1117">
        <f t="shared" ca="1" si="65"/>
        <v>2.8120606060606068</v>
      </c>
      <c r="P131" s="1117">
        <f t="shared" ca="1" si="65"/>
        <v>13.56606060606061</v>
      </c>
      <c r="Q131" s="1026"/>
      <c r="R131" s="1026"/>
      <c r="S131" s="1752" t="s">
        <v>2353</v>
      </c>
      <c r="T131" s="1008"/>
      <c r="U131" s="1013" t="s">
        <v>1929</v>
      </c>
    </row>
    <row r="132" spans="1:21" ht="34.5" customHeight="1" x14ac:dyDescent="0.2">
      <c r="A132" s="1024"/>
      <c r="B132" s="1005"/>
      <c r="C132" s="1005"/>
      <c r="D132" s="1006"/>
      <c r="E132" s="1026"/>
      <c r="F132" s="1026"/>
      <c r="G132" s="1026"/>
      <c r="H132" s="1026"/>
      <c r="I132" s="1026"/>
      <c r="J132" s="1026"/>
      <c r="K132" s="1026"/>
      <c r="L132" s="1026"/>
      <c r="M132" s="1026"/>
      <c r="N132" s="1026"/>
      <c r="O132" s="1026"/>
      <c r="P132" s="1026"/>
      <c r="Q132" s="1026"/>
      <c r="R132" s="1026"/>
      <c r="S132" s="1719"/>
      <c r="T132" s="1008"/>
      <c r="U132" s="1013"/>
    </row>
    <row r="133" spans="1:21" ht="25.5" x14ac:dyDescent="0.2">
      <c r="A133" s="1091" t="s">
        <v>1933</v>
      </c>
      <c r="B133" s="1033" t="s">
        <v>1932</v>
      </c>
      <c r="C133" s="1005"/>
      <c r="D133" s="1006" t="s">
        <v>8</v>
      </c>
      <c r="E133" s="1116">
        <f ca="1">+E130+E123</f>
        <v>3636.7874747474752</v>
      </c>
      <c r="F133" s="1116">
        <f t="shared" ref="F133:P133" ca="1" si="66">+F130+F123</f>
        <v>2735.0580303030306</v>
      </c>
      <c r="G133" s="1116">
        <f t="shared" ca="1" si="66"/>
        <v>1740</v>
      </c>
      <c r="H133" s="1116">
        <f t="shared" ca="1" si="66"/>
        <v>927.22222222222217</v>
      </c>
      <c r="I133" s="1116">
        <f t="shared" ca="1" si="66"/>
        <v>120.00000000000001</v>
      </c>
      <c r="J133" s="1116">
        <f t="shared" ca="1" si="66"/>
        <v>80.000000000000014</v>
      </c>
      <c r="K133" s="1116">
        <f t="shared" ca="1" si="66"/>
        <v>100</v>
      </c>
      <c r="L133" s="1116">
        <f t="shared" ca="1" si="66"/>
        <v>120.00000000000001</v>
      </c>
      <c r="M133" s="1116">
        <f t="shared" ca="1" si="66"/>
        <v>200</v>
      </c>
      <c r="N133" s="1116">
        <f t="shared" ca="1" si="66"/>
        <v>1141.1111111111113</v>
      </c>
      <c r="O133" s="1116">
        <f t="shared" ca="1" si="66"/>
        <v>2260.0053636363637</v>
      </c>
      <c r="P133" s="1116">
        <f t="shared" ca="1" si="66"/>
        <v>2849.3430303030304</v>
      </c>
      <c r="Q133" s="1116">
        <f ca="1">SUM(E133:P133)</f>
        <v>15909.527232323233</v>
      </c>
      <c r="R133" s="1116"/>
      <c r="S133" s="1752" t="s">
        <v>2314</v>
      </c>
      <c r="T133" s="1543"/>
      <c r="U133" s="1013" t="s">
        <v>1936</v>
      </c>
    </row>
    <row r="134" spans="1:21" ht="25.5" x14ac:dyDescent="0.2">
      <c r="A134" s="1091" t="s">
        <v>1934</v>
      </c>
      <c r="B134" s="1033" t="s">
        <v>1932</v>
      </c>
      <c r="C134" s="1005"/>
      <c r="D134" s="1006" t="s">
        <v>8</v>
      </c>
      <c r="E134" s="1117">
        <f ca="1">+E131+E124</f>
        <v>118.73272727272726</v>
      </c>
      <c r="F134" s="1117">
        <f t="shared" ref="F134:P134" ca="1" si="67">+F131+F124</f>
        <v>134.30939393939394</v>
      </c>
      <c r="G134" s="1117">
        <f t="shared" ca="1" si="67"/>
        <v>229.33333333333331</v>
      </c>
      <c r="H134" s="1117">
        <f t="shared" ca="1" si="67"/>
        <v>335.33333333333331</v>
      </c>
      <c r="I134" s="1117">
        <f t="shared" ca="1" si="67"/>
        <v>416</v>
      </c>
      <c r="J134" s="1117">
        <f t="shared" ca="1" si="67"/>
        <v>469</v>
      </c>
      <c r="K134" s="1117">
        <f t="shared" ca="1" si="67"/>
        <v>472.5</v>
      </c>
      <c r="L134" s="1117">
        <f t="shared" ca="1" si="67"/>
        <v>431</v>
      </c>
      <c r="M134" s="1117">
        <f t="shared" ca="1" si="67"/>
        <v>350.16666666666669</v>
      </c>
      <c r="N134" s="1117">
        <f t="shared" ca="1" si="67"/>
        <v>247.83333333333331</v>
      </c>
      <c r="O134" s="1117">
        <f t="shared" ca="1" si="67"/>
        <v>174.54539393939396</v>
      </c>
      <c r="P134" s="1117">
        <f t="shared" ca="1" si="67"/>
        <v>148.39939393939392</v>
      </c>
      <c r="Q134" s="1117">
        <f ca="1">SUM(E134:P134)</f>
        <v>3527.1535757575757</v>
      </c>
      <c r="R134" s="1117"/>
      <c r="S134" s="1752" t="s">
        <v>2314</v>
      </c>
      <c r="T134" s="1544"/>
      <c r="U134" s="1013" t="s">
        <v>1936</v>
      </c>
    </row>
    <row r="135" spans="1:21" ht="34.5" customHeight="1" x14ac:dyDescent="0.2">
      <c r="A135" s="1024"/>
      <c r="B135" s="1005"/>
      <c r="C135" s="1005"/>
      <c r="D135" s="1006"/>
      <c r="E135" s="1026"/>
      <c r="F135" s="1026"/>
      <c r="G135" s="1026"/>
      <c r="H135" s="1026"/>
      <c r="I135" s="1026"/>
      <c r="J135" s="1026"/>
      <c r="K135" s="1026"/>
      <c r="L135" s="1026"/>
      <c r="M135" s="1026"/>
      <c r="N135" s="1026"/>
      <c r="O135" s="1026"/>
      <c r="P135" s="1026"/>
      <c r="Q135" s="1026"/>
      <c r="R135" s="1026"/>
      <c r="S135" s="1719"/>
      <c r="T135" s="1008"/>
      <c r="U135" s="1013"/>
    </row>
    <row r="136" spans="1:21" ht="34.5" customHeight="1" x14ac:dyDescent="0.2">
      <c r="A136" s="1721" t="s">
        <v>1935</v>
      </c>
      <c r="B136" s="1722"/>
      <c r="C136" s="1722"/>
      <c r="D136" s="1723"/>
      <c r="E136" s="1724"/>
      <c r="F136" s="1724"/>
      <c r="G136" s="1724"/>
      <c r="H136" s="1724"/>
      <c r="I136" s="1724"/>
      <c r="J136" s="1724"/>
      <c r="K136" s="1724"/>
      <c r="L136" s="1724"/>
      <c r="M136" s="1724"/>
      <c r="N136" s="1724"/>
      <c r="O136" s="1724"/>
      <c r="P136" s="1724"/>
      <c r="Q136" s="1724"/>
      <c r="R136" s="1724"/>
      <c r="S136" s="1725"/>
      <c r="T136" s="1725"/>
      <c r="U136" s="1726"/>
    </row>
    <row r="137" spans="1:21" ht="34.5" customHeight="1" x14ac:dyDescent="0.2">
      <c r="A137" s="1302" t="s">
        <v>1937</v>
      </c>
      <c r="B137" s="1005"/>
      <c r="C137" s="1005"/>
      <c r="D137" s="1006"/>
      <c r="E137" s="1026"/>
      <c r="F137" s="1026"/>
      <c r="G137" s="1026"/>
      <c r="H137" s="1026"/>
      <c r="I137" s="1026"/>
      <c r="J137" s="1026"/>
      <c r="K137" s="1026"/>
      <c r="L137" s="1026"/>
      <c r="M137" s="1026"/>
      <c r="N137" s="1026"/>
      <c r="O137" s="1026"/>
      <c r="P137" s="1026"/>
      <c r="Q137" s="1026"/>
      <c r="R137" s="1026"/>
      <c r="S137" s="1719"/>
      <c r="T137" s="1008"/>
      <c r="U137" s="1013"/>
    </row>
    <row r="138" spans="1:21" x14ac:dyDescent="0.2">
      <c r="A138" s="1878" t="s">
        <v>2135</v>
      </c>
      <c r="B138" s="1127" t="s">
        <v>2132</v>
      </c>
      <c r="C138" s="1005"/>
      <c r="D138" s="1006"/>
      <c r="E138" s="1114">
        <f>+Method_input!G75</f>
        <v>0</v>
      </c>
      <c r="F138" s="1114">
        <f>+Method_input!H75</f>
        <v>0</v>
      </c>
      <c r="G138" s="1114">
        <f>+Method_input!I75</f>
        <v>0</v>
      </c>
      <c r="H138" s="1114">
        <f>+Method_input!J75</f>
        <v>0</v>
      </c>
      <c r="I138" s="1114">
        <f>+Method_input!K75</f>
        <v>0</v>
      </c>
      <c r="J138" s="1114">
        <f>+Method_input!L75</f>
        <v>0</v>
      </c>
      <c r="K138" s="1114">
        <f>+Method_input!M75</f>
        <v>0</v>
      </c>
      <c r="L138" s="1114">
        <f>+Method_input!N75</f>
        <v>0</v>
      </c>
      <c r="M138" s="1114">
        <f>+Method_input!O75</f>
        <v>0</v>
      </c>
      <c r="N138" s="1114">
        <f>+Method_input!P75</f>
        <v>0</v>
      </c>
      <c r="O138" s="1114">
        <f>+Method_input!Q75</f>
        <v>0</v>
      </c>
      <c r="P138" s="1114">
        <f>+Method_input!R75</f>
        <v>0</v>
      </c>
      <c r="Q138" s="1026"/>
      <c r="R138" s="1026"/>
      <c r="S138" s="1719" t="s">
        <v>2117</v>
      </c>
      <c r="T138" s="1008" t="s">
        <v>2277</v>
      </c>
      <c r="U138" s="1013"/>
    </row>
    <row r="139" spans="1:21" x14ac:dyDescent="0.2">
      <c r="A139" s="1879"/>
      <c r="B139" s="1128" t="s">
        <v>2133</v>
      </c>
      <c r="C139" s="1005"/>
      <c r="D139" s="1006"/>
      <c r="E139" s="1115">
        <f>+Method_input!G91</f>
        <v>1</v>
      </c>
      <c r="F139" s="1115">
        <f>+Method_input!H91</f>
        <v>1</v>
      </c>
      <c r="G139" s="1115">
        <f>+Method_input!I91</f>
        <v>1</v>
      </c>
      <c r="H139" s="1115">
        <f>+Method_input!J91</f>
        <v>1</v>
      </c>
      <c r="I139" s="1115">
        <f>+Method_input!K91</f>
        <v>1</v>
      </c>
      <c r="J139" s="1115">
        <f>+Method_input!L91</f>
        <v>1</v>
      </c>
      <c r="K139" s="1115">
        <f>+Method_input!M91</f>
        <v>1</v>
      </c>
      <c r="L139" s="1115">
        <f>+Method_input!N91</f>
        <v>1</v>
      </c>
      <c r="M139" s="1115">
        <f>+Method_input!O91</f>
        <v>1</v>
      </c>
      <c r="N139" s="1115">
        <f>+Method_input!P91</f>
        <v>1</v>
      </c>
      <c r="O139" s="1115">
        <f>+Method_input!Q91</f>
        <v>1</v>
      </c>
      <c r="P139" s="1115">
        <f>+Method_input!R91</f>
        <v>1</v>
      </c>
      <c r="Q139" s="1026"/>
      <c r="R139" s="1026"/>
      <c r="S139" s="1719" t="s">
        <v>2117</v>
      </c>
      <c r="T139" s="1008" t="s">
        <v>2277</v>
      </c>
      <c r="U139" s="1013"/>
    </row>
    <row r="140" spans="1:21" x14ac:dyDescent="0.2">
      <c r="A140" s="1878" t="s">
        <v>2286</v>
      </c>
      <c r="B140" s="1005"/>
      <c r="C140" s="1005"/>
      <c r="D140" s="1006"/>
      <c r="E140" s="1581">
        <f>+E138</f>
        <v>0</v>
      </c>
      <c r="F140" s="1581">
        <f t="shared" ref="F140:P140" si="68">+F138</f>
        <v>0</v>
      </c>
      <c r="G140" s="1581">
        <f t="shared" si="68"/>
        <v>0</v>
      </c>
      <c r="H140" s="1581">
        <f t="shared" si="68"/>
        <v>0</v>
      </c>
      <c r="I140" s="1581">
        <f t="shared" si="68"/>
        <v>0</v>
      </c>
      <c r="J140" s="1581">
        <f t="shared" si="68"/>
        <v>0</v>
      </c>
      <c r="K140" s="1581">
        <f t="shared" si="68"/>
        <v>0</v>
      </c>
      <c r="L140" s="1581">
        <f t="shared" si="68"/>
        <v>0</v>
      </c>
      <c r="M140" s="1581">
        <f t="shared" si="68"/>
        <v>0</v>
      </c>
      <c r="N140" s="1581">
        <f t="shared" si="68"/>
        <v>0</v>
      </c>
      <c r="O140" s="1581">
        <f t="shared" si="68"/>
        <v>0</v>
      </c>
      <c r="P140" s="1581">
        <f t="shared" si="68"/>
        <v>0</v>
      </c>
      <c r="Q140" s="1026"/>
      <c r="R140" s="1026"/>
      <c r="S140" s="1719"/>
      <c r="T140" s="1008"/>
      <c r="U140" s="1687" t="s">
        <v>2287</v>
      </c>
    </row>
    <row r="141" spans="1:21" x14ac:dyDescent="0.2">
      <c r="A141" s="1879"/>
      <c r="B141" s="1005"/>
      <c r="C141" s="1005"/>
      <c r="D141" s="1006"/>
      <c r="E141" s="1582">
        <f t="shared" ref="E141:P141" si="69">+E139</f>
        <v>1</v>
      </c>
      <c r="F141" s="1582">
        <f t="shared" si="69"/>
        <v>1</v>
      </c>
      <c r="G141" s="1582">
        <f t="shared" si="69"/>
        <v>1</v>
      </c>
      <c r="H141" s="1582">
        <f t="shared" si="69"/>
        <v>1</v>
      </c>
      <c r="I141" s="1582">
        <f t="shared" si="69"/>
        <v>1</v>
      </c>
      <c r="J141" s="1582">
        <f t="shared" si="69"/>
        <v>1</v>
      </c>
      <c r="K141" s="1582">
        <f t="shared" si="69"/>
        <v>1</v>
      </c>
      <c r="L141" s="1582">
        <f t="shared" si="69"/>
        <v>1</v>
      </c>
      <c r="M141" s="1582">
        <f t="shared" si="69"/>
        <v>1</v>
      </c>
      <c r="N141" s="1582">
        <f t="shared" si="69"/>
        <v>1</v>
      </c>
      <c r="O141" s="1582">
        <f t="shared" si="69"/>
        <v>1</v>
      </c>
      <c r="P141" s="1582">
        <f t="shared" si="69"/>
        <v>1</v>
      </c>
      <c r="Q141" s="1026"/>
      <c r="R141" s="1026"/>
      <c r="S141" s="1719"/>
      <c r="T141" s="1008"/>
      <c r="U141" s="1687" t="s">
        <v>2287</v>
      </c>
    </row>
    <row r="142" spans="1:21" x14ac:dyDescent="0.2">
      <c r="A142" s="1297"/>
      <c r="B142" s="1005"/>
      <c r="C142" s="1005"/>
      <c r="D142" s="1006"/>
      <c r="E142" s="1114"/>
      <c r="F142" s="1114"/>
      <c r="G142" s="1114"/>
      <c r="H142" s="1114"/>
      <c r="I142" s="1114"/>
      <c r="J142" s="1114"/>
      <c r="K142" s="1114"/>
      <c r="L142" s="1114"/>
      <c r="M142" s="1114"/>
      <c r="N142" s="1114"/>
      <c r="O142" s="1114"/>
      <c r="P142" s="1114"/>
      <c r="Q142" s="1026"/>
      <c r="R142" s="1026"/>
      <c r="S142" s="1719"/>
      <c r="T142" s="1008"/>
      <c r="U142" s="1013"/>
    </row>
    <row r="143" spans="1:21" x14ac:dyDescent="0.2">
      <c r="A143" s="1297" t="s">
        <v>2121</v>
      </c>
      <c r="B143" s="1005" t="s">
        <v>2122</v>
      </c>
      <c r="C143" s="1005"/>
      <c r="D143" s="1006"/>
      <c r="E143" s="1299">
        <f>+Method_input!G122</f>
        <v>0.65</v>
      </c>
      <c r="F143" s="1299">
        <f>+Method_input!H122</f>
        <v>0.65</v>
      </c>
      <c r="G143" s="1299">
        <f>+Method_input!I122</f>
        <v>0.65</v>
      </c>
      <c r="H143" s="1299">
        <f>+Method_input!J122</f>
        <v>0.65</v>
      </c>
      <c r="I143" s="1299">
        <f>+Method_input!K122</f>
        <v>0.65</v>
      </c>
      <c r="J143" s="1299">
        <f>+Method_input!L122</f>
        <v>0.65</v>
      </c>
      <c r="K143" s="1299">
        <f>+Method_input!M122</f>
        <v>0.65</v>
      </c>
      <c r="L143" s="1299">
        <f>+Method_input!N122</f>
        <v>0.65</v>
      </c>
      <c r="M143" s="1299">
        <f>+Method_input!O122</f>
        <v>0.65</v>
      </c>
      <c r="N143" s="1299">
        <f>+Method_input!P122</f>
        <v>0.65</v>
      </c>
      <c r="O143" s="1299">
        <f>+Method_input!Q122</f>
        <v>0.65</v>
      </c>
      <c r="P143" s="1299">
        <f>+Method_input!R122</f>
        <v>0.65</v>
      </c>
      <c r="Q143" s="1026"/>
      <c r="R143" s="1026"/>
      <c r="S143" s="1719" t="s">
        <v>1969</v>
      </c>
      <c r="T143" s="1008"/>
      <c r="U143" s="1013" t="s">
        <v>2124</v>
      </c>
    </row>
    <row r="144" spans="1:21" x14ac:dyDescent="0.2">
      <c r="A144" s="1297"/>
      <c r="B144" s="1005"/>
      <c r="C144" s="1005"/>
      <c r="D144" s="1006"/>
      <c r="E144" s="1115"/>
      <c r="F144" s="1115"/>
      <c r="G144" s="1115"/>
      <c r="H144" s="1115"/>
      <c r="I144" s="1115"/>
      <c r="J144" s="1115"/>
      <c r="K144" s="1115"/>
      <c r="L144" s="1115"/>
      <c r="M144" s="1115"/>
      <c r="N144" s="1115"/>
      <c r="O144" s="1115"/>
      <c r="P144" s="1115"/>
      <c r="Q144" s="1026"/>
      <c r="R144" s="1026"/>
      <c r="S144" s="1719"/>
      <c r="T144" s="1008"/>
      <c r="U144" s="1013"/>
    </row>
    <row r="145" spans="1:21" x14ac:dyDescent="0.2">
      <c r="A145" s="1297" t="s">
        <v>2123</v>
      </c>
      <c r="B145" s="1006" t="str">
        <f>+B51</f>
        <v>EHW,CHP,in</v>
      </c>
      <c r="C145" s="1005"/>
      <c r="D145" s="1006" t="s">
        <v>8</v>
      </c>
      <c r="E145" s="1030">
        <f t="shared" ref="E145:P145" ca="1" si="70">+E51</f>
        <v>181.81818181818181</v>
      </c>
      <c r="F145" s="1030">
        <f t="shared" ca="1" si="70"/>
        <v>181.81818181818181</v>
      </c>
      <c r="G145" s="1030">
        <f t="shared" ca="1" si="70"/>
        <v>181.81818181818181</v>
      </c>
      <c r="H145" s="1030">
        <f t="shared" ca="1" si="70"/>
        <v>181.81818181818181</v>
      </c>
      <c r="I145" s="1030">
        <f t="shared" ca="1" si="70"/>
        <v>109.09090909090909</v>
      </c>
      <c r="J145" s="1030">
        <f t="shared" ca="1" si="70"/>
        <v>72.727272727272734</v>
      </c>
      <c r="K145" s="1030">
        <f t="shared" ca="1" si="70"/>
        <v>90.909090909090907</v>
      </c>
      <c r="L145" s="1030">
        <f t="shared" ca="1" si="70"/>
        <v>109.09090909090909</v>
      </c>
      <c r="M145" s="1030">
        <f t="shared" ca="1" si="70"/>
        <v>181.81818181818181</v>
      </c>
      <c r="N145" s="1030">
        <f t="shared" ca="1" si="70"/>
        <v>181.81818181818181</v>
      </c>
      <c r="O145" s="1030">
        <f t="shared" ca="1" si="70"/>
        <v>181.81818181818181</v>
      </c>
      <c r="P145" s="1030">
        <f t="shared" ca="1" si="70"/>
        <v>181.81818181818181</v>
      </c>
      <c r="Q145" s="1030">
        <f ca="1">SUM(E145:P145)</f>
        <v>1836.363636363636</v>
      </c>
      <c r="R145" s="1301" t="str">
        <f ca="1">+R51</f>
        <v>gas</v>
      </c>
      <c r="S145" s="1719" t="s">
        <v>1969</v>
      </c>
      <c r="T145" s="1008"/>
      <c r="U145" s="1013" t="s">
        <v>2124</v>
      </c>
    </row>
    <row r="146" spans="1:21" x14ac:dyDescent="0.2">
      <c r="A146" s="1024" t="s">
        <v>1908</v>
      </c>
      <c r="B146" s="185" t="s">
        <v>2125</v>
      </c>
      <c r="C146" s="1005"/>
      <c r="D146" s="1006"/>
      <c r="E146" s="1114">
        <f ca="1">INDEX(Method_input!G$66:G$80,MATCH($R146,Method_input!$T$66:$T$80,0))</f>
        <v>1.1000000000000001</v>
      </c>
      <c r="F146" s="1114">
        <f ca="1">INDEX(Method_input!H$66:H$80,MATCH($R146,Method_input!$T$66:$T$80,0))</f>
        <v>1.1000000000000001</v>
      </c>
      <c r="G146" s="1114">
        <f ca="1">INDEX(Method_input!I$66:I$80,MATCH($R146,Method_input!$T$66:$T$80,0))</f>
        <v>1.1000000000000001</v>
      </c>
      <c r="H146" s="1114">
        <f ca="1">INDEX(Method_input!J$66:J$80,MATCH($R146,Method_input!$T$66:$T$80,0))</f>
        <v>1.1000000000000001</v>
      </c>
      <c r="I146" s="1114">
        <f ca="1">INDEX(Method_input!K$66:K$80,MATCH($R146,Method_input!$T$66:$T$80,0))</f>
        <v>1.1000000000000001</v>
      </c>
      <c r="J146" s="1114">
        <f ca="1">INDEX(Method_input!L$66:L$80,MATCH($R146,Method_input!$T$66:$T$80,0))</f>
        <v>1.1000000000000001</v>
      </c>
      <c r="K146" s="1114">
        <f ca="1">INDEX(Method_input!M$66:M$80,MATCH($R146,Method_input!$T$66:$T$80,0))</f>
        <v>1.1000000000000001</v>
      </c>
      <c r="L146" s="1114">
        <f ca="1">INDEX(Method_input!N$66:N$80,MATCH($R146,Method_input!$T$66:$T$80,0))</f>
        <v>1.1000000000000001</v>
      </c>
      <c r="M146" s="1114">
        <f ca="1">INDEX(Method_input!O$66:O$80,MATCH($R146,Method_input!$T$66:$T$80,0))</f>
        <v>1.1000000000000001</v>
      </c>
      <c r="N146" s="1114">
        <f ca="1">INDEX(Method_input!P$66:P$80,MATCH($R146,Method_input!$T$66:$T$80,0))</f>
        <v>1.1000000000000001</v>
      </c>
      <c r="O146" s="1114">
        <f ca="1">INDEX(Method_input!Q$66:Q$80,MATCH($R146,Method_input!$T$66:$T$80,0))</f>
        <v>1.1000000000000001</v>
      </c>
      <c r="P146" s="1114">
        <f ca="1">INDEX(Method_input!R$66:R$80,MATCH($R146,Method_input!$T$66:$T$80,0))</f>
        <v>1.1000000000000001</v>
      </c>
      <c r="Q146" s="1030"/>
      <c r="R146" s="1026" t="str">
        <f ca="1">+R145</f>
        <v>gas</v>
      </c>
      <c r="S146" s="1719" t="s">
        <v>1968</v>
      </c>
      <c r="T146" s="1008"/>
      <c r="U146" s="1013"/>
    </row>
    <row r="147" spans="1:21" x14ac:dyDescent="0.2">
      <c r="A147" s="1024" t="s">
        <v>1913</v>
      </c>
      <c r="B147" s="185" t="s">
        <v>2126</v>
      </c>
      <c r="C147" s="1005"/>
      <c r="D147" s="1006"/>
      <c r="E147" s="1115">
        <f ca="1">INDEX(Method_input!G$82:G$96,MATCH($R147,Method_input!$T$82:$T$96,0))</f>
        <v>0</v>
      </c>
      <c r="F147" s="1115">
        <f ca="1">INDEX(Method_input!H$82:H$96,MATCH($R147,Method_input!$T$82:$T$96,0))</f>
        <v>0</v>
      </c>
      <c r="G147" s="1115">
        <f ca="1">INDEX(Method_input!I$82:I$96,MATCH($R147,Method_input!$T$82:$T$96,0))</f>
        <v>0</v>
      </c>
      <c r="H147" s="1115">
        <f ca="1">INDEX(Method_input!J$82:J$96,MATCH($R147,Method_input!$T$82:$T$96,0))</f>
        <v>0</v>
      </c>
      <c r="I147" s="1115">
        <f ca="1">INDEX(Method_input!K$82:K$96,MATCH($R147,Method_input!$T$82:$T$96,0))</f>
        <v>0</v>
      </c>
      <c r="J147" s="1115">
        <f ca="1">INDEX(Method_input!L$82:L$96,MATCH($R147,Method_input!$T$82:$T$96,0))</f>
        <v>0</v>
      </c>
      <c r="K147" s="1115">
        <f ca="1">INDEX(Method_input!M$82:M$96,MATCH($R147,Method_input!$T$82:$T$96,0))</f>
        <v>0</v>
      </c>
      <c r="L147" s="1115">
        <f ca="1">INDEX(Method_input!N$82:N$96,MATCH($R147,Method_input!$T$82:$T$96,0))</f>
        <v>0</v>
      </c>
      <c r="M147" s="1115">
        <f ca="1">INDEX(Method_input!O$82:O$96,MATCH($R147,Method_input!$T$82:$T$96,0))</f>
        <v>0</v>
      </c>
      <c r="N147" s="1115">
        <f ca="1">INDEX(Method_input!P$82:P$96,MATCH($R147,Method_input!$T$82:$T$96,0))</f>
        <v>0</v>
      </c>
      <c r="O147" s="1115">
        <f ca="1">INDEX(Method_input!Q$82:Q$96,MATCH($R147,Method_input!$T$82:$T$96,0))</f>
        <v>0</v>
      </c>
      <c r="P147" s="1115">
        <f ca="1">INDEX(Method_input!R$82:R$96,MATCH($R147,Method_input!$T$82:$T$96,0))</f>
        <v>0</v>
      </c>
      <c r="Q147" s="1030"/>
      <c r="R147" s="1026" t="str">
        <f ca="1">+R146</f>
        <v>gas</v>
      </c>
      <c r="S147" s="1719" t="s">
        <v>1968</v>
      </c>
      <c r="T147" s="1008"/>
      <c r="U147" s="1013"/>
    </row>
    <row r="148" spans="1:21" ht="18" customHeight="1" x14ac:dyDescent="0.2">
      <c r="A148" s="1876" t="s">
        <v>2129</v>
      </c>
      <c r="B148" s="1129" t="s">
        <v>2130</v>
      </c>
      <c r="C148" s="1005"/>
      <c r="D148" s="1006" t="s">
        <v>8</v>
      </c>
      <c r="E148" s="1116">
        <f t="shared" ref="E148:P148" ca="1" si="71">+E145*E146</f>
        <v>200</v>
      </c>
      <c r="F148" s="1116">
        <f t="shared" ca="1" si="71"/>
        <v>200</v>
      </c>
      <c r="G148" s="1116">
        <f t="shared" ca="1" si="71"/>
        <v>200</v>
      </c>
      <c r="H148" s="1116">
        <f t="shared" ca="1" si="71"/>
        <v>200</v>
      </c>
      <c r="I148" s="1116">
        <f t="shared" ca="1" si="71"/>
        <v>120.00000000000001</v>
      </c>
      <c r="J148" s="1116">
        <f t="shared" ca="1" si="71"/>
        <v>80.000000000000014</v>
      </c>
      <c r="K148" s="1116">
        <f t="shared" ca="1" si="71"/>
        <v>100</v>
      </c>
      <c r="L148" s="1116">
        <f t="shared" ca="1" si="71"/>
        <v>120.00000000000001</v>
      </c>
      <c r="M148" s="1116">
        <f t="shared" ca="1" si="71"/>
        <v>200</v>
      </c>
      <c r="N148" s="1116">
        <f t="shared" ca="1" si="71"/>
        <v>200</v>
      </c>
      <c r="O148" s="1116">
        <f t="shared" ca="1" si="71"/>
        <v>200</v>
      </c>
      <c r="P148" s="1116">
        <f t="shared" ca="1" si="71"/>
        <v>200</v>
      </c>
      <c r="Q148" s="1116">
        <f t="shared" ref="Q148:Q151" ca="1" si="72">SUM(E148:P148)</f>
        <v>2020</v>
      </c>
      <c r="R148" s="1026"/>
      <c r="S148" s="1752" t="s">
        <v>2317</v>
      </c>
      <c r="T148" s="1543"/>
      <c r="U148" s="1013"/>
    </row>
    <row r="149" spans="1:21" ht="18" customHeight="1" x14ac:dyDescent="0.2">
      <c r="A149" s="1877"/>
      <c r="B149" s="1129" t="s">
        <v>2131</v>
      </c>
      <c r="C149" s="1005"/>
      <c r="D149" s="1006" t="s">
        <v>8</v>
      </c>
      <c r="E149" s="1117">
        <f t="shared" ref="E149:P149" ca="1" si="73">+E145*E147</f>
        <v>0</v>
      </c>
      <c r="F149" s="1117">
        <f t="shared" ca="1" si="73"/>
        <v>0</v>
      </c>
      <c r="G149" s="1117">
        <f t="shared" ca="1" si="73"/>
        <v>0</v>
      </c>
      <c r="H149" s="1117">
        <f t="shared" ca="1" si="73"/>
        <v>0</v>
      </c>
      <c r="I149" s="1117">
        <f t="shared" ca="1" si="73"/>
        <v>0</v>
      </c>
      <c r="J149" s="1117">
        <f t="shared" ca="1" si="73"/>
        <v>0</v>
      </c>
      <c r="K149" s="1117">
        <f t="shared" ca="1" si="73"/>
        <v>0</v>
      </c>
      <c r="L149" s="1117">
        <f t="shared" ca="1" si="73"/>
        <v>0</v>
      </c>
      <c r="M149" s="1117">
        <f t="shared" ca="1" si="73"/>
        <v>0</v>
      </c>
      <c r="N149" s="1117">
        <f t="shared" ca="1" si="73"/>
        <v>0</v>
      </c>
      <c r="O149" s="1117">
        <f t="shared" ca="1" si="73"/>
        <v>0</v>
      </c>
      <c r="P149" s="1117">
        <f t="shared" ca="1" si="73"/>
        <v>0</v>
      </c>
      <c r="Q149" s="1117">
        <f t="shared" ca="1" si="72"/>
        <v>0</v>
      </c>
      <c r="R149" s="1026"/>
      <c r="S149" s="1752" t="s">
        <v>2317</v>
      </c>
      <c r="T149" s="1544"/>
      <c r="U149" s="1013"/>
    </row>
    <row r="150" spans="1:21" ht="18" customHeight="1" x14ac:dyDescent="0.2">
      <c r="A150" s="1876" t="s">
        <v>2136</v>
      </c>
      <c r="B150" s="1129" t="s">
        <v>2137</v>
      </c>
      <c r="C150" s="1005"/>
      <c r="D150" s="1006" t="s">
        <v>8</v>
      </c>
      <c r="E150" s="1116">
        <f ca="1">+E148*E$143</f>
        <v>130</v>
      </c>
      <c r="F150" s="1116">
        <f t="shared" ref="F150:P150" ca="1" si="74">+F148*F$143</f>
        <v>130</v>
      </c>
      <c r="G150" s="1116">
        <f t="shared" ca="1" si="74"/>
        <v>130</v>
      </c>
      <c r="H150" s="1116">
        <f t="shared" ca="1" si="74"/>
        <v>130</v>
      </c>
      <c r="I150" s="1116">
        <f t="shared" ca="1" si="74"/>
        <v>78.000000000000014</v>
      </c>
      <c r="J150" s="1116">
        <f t="shared" ca="1" si="74"/>
        <v>52.000000000000014</v>
      </c>
      <c r="K150" s="1116">
        <f t="shared" ca="1" si="74"/>
        <v>65</v>
      </c>
      <c r="L150" s="1116">
        <f t="shared" ca="1" si="74"/>
        <v>78.000000000000014</v>
      </c>
      <c r="M150" s="1116">
        <f t="shared" ca="1" si="74"/>
        <v>130</v>
      </c>
      <c r="N150" s="1116">
        <f t="shared" ca="1" si="74"/>
        <v>130</v>
      </c>
      <c r="O150" s="1116">
        <f t="shared" ca="1" si="74"/>
        <v>130</v>
      </c>
      <c r="P150" s="1116">
        <f t="shared" ca="1" si="74"/>
        <v>130</v>
      </c>
      <c r="Q150" s="1116">
        <f t="shared" ca="1" si="72"/>
        <v>1313</v>
      </c>
      <c r="R150" s="1026"/>
      <c r="S150" s="1752" t="s">
        <v>2316</v>
      </c>
      <c r="T150" s="1543"/>
      <c r="U150" s="1013"/>
    </row>
    <row r="151" spans="1:21" ht="18" customHeight="1" x14ac:dyDescent="0.2">
      <c r="A151" s="1877"/>
      <c r="B151" s="1129" t="s">
        <v>2138</v>
      </c>
      <c r="C151" s="1005"/>
      <c r="D151" s="1006" t="s">
        <v>8</v>
      </c>
      <c r="E151" s="1117">
        <f ca="1">+E149*E$143</f>
        <v>0</v>
      </c>
      <c r="F151" s="1117">
        <f t="shared" ref="F151:P151" ca="1" si="75">+F149*F$143</f>
        <v>0</v>
      </c>
      <c r="G151" s="1117">
        <f t="shared" ca="1" si="75"/>
        <v>0</v>
      </c>
      <c r="H151" s="1117">
        <f t="shared" ca="1" si="75"/>
        <v>0</v>
      </c>
      <c r="I151" s="1117">
        <f t="shared" ca="1" si="75"/>
        <v>0</v>
      </c>
      <c r="J151" s="1117">
        <f t="shared" ca="1" si="75"/>
        <v>0</v>
      </c>
      <c r="K151" s="1117">
        <f t="shared" ca="1" si="75"/>
        <v>0</v>
      </c>
      <c r="L151" s="1117">
        <f t="shared" ca="1" si="75"/>
        <v>0</v>
      </c>
      <c r="M151" s="1117">
        <f t="shared" ca="1" si="75"/>
        <v>0</v>
      </c>
      <c r="N151" s="1117">
        <f t="shared" ca="1" si="75"/>
        <v>0</v>
      </c>
      <c r="O151" s="1117">
        <f t="shared" ca="1" si="75"/>
        <v>0</v>
      </c>
      <c r="P151" s="1117">
        <f t="shared" ca="1" si="75"/>
        <v>0</v>
      </c>
      <c r="Q151" s="1117">
        <f t="shared" ca="1" si="72"/>
        <v>0</v>
      </c>
      <c r="R151" s="1026"/>
      <c r="S151" s="1752" t="s">
        <v>2316</v>
      </c>
      <c r="T151" s="1544"/>
      <c r="U151" s="1013"/>
    </row>
    <row r="152" spans="1:21" ht="18" customHeight="1" thickBot="1" x14ac:dyDescent="0.25">
      <c r="A152" s="1227" t="s">
        <v>2076</v>
      </c>
      <c r="B152" s="1220" t="s">
        <v>2080</v>
      </c>
      <c r="C152" s="1005"/>
      <c r="D152" s="1006" t="s">
        <v>8</v>
      </c>
      <c r="E152" s="1030">
        <f t="shared" ref="E152:P152" ca="1" si="76">+E16</f>
        <v>63.636363636363633</v>
      </c>
      <c r="F152" s="1030">
        <f t="shared" ca="1" si="76"/>
        <v>63.636363636363633</v>
      </c>
      <c r="G152" s="1030">
        <f t="shared" ca="1" si="76"/>
        <v>63.636363636363633</v>
      </c>
      <c r="H152" s="1030">
        <f t="shared" ca="1" si="76"/>
        <v>63.636363636363633</v>
      </c>
      <c r="I152" s="1030">
        <f t="shared" ca="1" si="76"/>
        <v>38.181818181818187</v>
      </c>
      <c r="J152" s="1030">
        <f t="shared" ca="1" si="76"/>
        <v>25.454545454545453</v>
      </c>
      <c r="K152" s="1030">
        <f t="shared" ca="1" si="76"/>
        <v>31.818181818181817</v>
      </c>
      <c r="L152" s="1030">
        <f t="shared" ca="1" si="76"/>
        <v>38.181818181818187</v>
      </c>
      <c r="M152" s="1030">
        <f t="shared" ca="1" si="76"/>
        <v>63.636363636363633</v>
      </c>
      <c r="N152" s="1030">
        <f t="shared" ca="1" si="76"/>
        <v>63.636363636363633</v>
      </c>
      <c r="O152" s="1030">
        <f t="shared" ca="1" si="76"/>
        <v>63.636363636363633</v>
      </c>
      <c r="P152" s="1030">
        <f t="shared" ca="1" si="76"/>
        <v>63.636363636363633</v>
      </c>
      <c r="Q152" s="1030">
        <f ca="1">SUM(E152:P152)</f>
        <v>642.72727272727275</v>
      </c>
      <c r="R152" s="1026"/>
      <c r="S152" s="1719" t="s">
        <v>1968</v>
      </c>
      <c r="T152" s="1008"/>
      <c r="U152" s="1013" t="s">
        <v>2139</v>
      </c>
    </row>
    <row r="153" spans="1:21" ht="24.75" customHeight="1" x14ac:dyDescent="0.2">
      <c r="A153" s="1876" t="s">
        <v>2134</v>
      </c>
      <c r="B153" s="1127" t="s">
        <v>2132</v>
      </c>
      <c r="C153" s="1005"/>
      <c r="D153" s="1006"/>
      <c r="E153" s="1114">
        <f ca="1">+IF(E$152&gt;0,E150/E$152,0)</f>
        <v>2.0428571428571431</v>
      </c>
      <c r="F153" s="1114">
        <f t="shared" ref="F153:P153" ca="1" si="77">+IF(F$152&gt;0,F150/F$152,0)</f>
        <v>2.0428571428571431</v>
      </c>
      <c r="G153" s="1114">
        <f t="shared" ca="1" si="77"/>
        <v>2.0428571428571431</v>
      </c>
      <c r="H153" s="1114">
        <f t="shared" ca="1" si="77"/>
        <v>2.0428571428571431</v>
      </c>
      <c r="I153" s="1114">
        <f t="shared" ca="1" si="77"/>
        <v>2.0428571428571431</v>
      </c>
      <c r="J153" s="1114">
        <f t="shared" ca="1" si="77"/>
        <v>2.0428571428571436</v>
      </c>
      <c r="K153" s="1114">
        <f t="shared" ca="1" si="77"/>
        <v>2.0428571428571431</v>
      </c>
      <c r="L153" s="1114">
        <f t="shared" ca="1" si="77"/>
        <v>2.0428571428571431</v>
      </c>
      <c r="M153" s="1114">
        <f t="shared" ca="1" si="77"/>
        <v>2.0428571428571431</v>
      </c>
      <c r="N153" s="1114">
        <f t="shared" ca="1" si="77"/>
        <v>2.0428571428571431</v>
      </c>
      <c r="O153" s="1114">
        <f t="shared" ca="1" si="77"/>
        <v>2.0428571428571431</v>
      </c>
      <c r="P153" s="1114">
        <f t="shared" ca="1" si="77"/>
        <v>2.0428571428571431</v>
      </c>
      <c r="Q153" s="1026"/>
      <c r="R153" s="1026"/>
      <c r="S153" s="1752" t="s">
        <v>2315</v>
      </c>
      <c r="T153" s="1543"/>
      <c r="U153" s="1013"/>
    </row>
    <row r="154" spans="1:21" ht="24.75" customHeight="1" x14ac:dyDescent="0.2">
      <c r="A154" s="1877"/>
      <c r="B154" s="1128" t="s">
        <v>2133</v>
      </c>
      <c r="C154" s="1005"/>
      <c r="D154" s="1006"/>
      <c r="E154" s="1115">
        <f ca="1">+IF(E$152&gt;0,E151/E$152,0)</f>
        <v>0</v>
      </c>
      <c r="F154" s="1115">
        <f t="shared" ref="F154:P154" ca="1" si="78">+IF(F$152&gt;0,F151/F$152,0)</f>
        <v>0</v>
      </c>
      <c r="G154" s="1115">
        <f t="shared" ca="1" si="78"/>
        <v>0</v>
      </c>
      <c r="H154" s="1115">
        <f t="shared" ca="1" si="78"/>
        <v>0</v>
      </c>
      <c r="I154" s="1115">
        <f t="shared" ca="1" si="78"/>
        <v>0</v>
      </c>
      <c r="J154" s="1115">
        <f t="shared" ca="1" si="78"/>
        <v>0</v>
      </c>
      <c r="K154" s="1115">
        <f t="shared" ca="1" si="78"/>
        <v>0</v>
      </c>
      <c r="L154" s="1115">
        <f t="shared" ca="1" si="78"/>
        <v>0</v>
      </c>
      <c r="M154" s="1115">
        <f t="shared" ca="1" si="78"/>
        <v>0</v>
      </c>
      <c r="N154" s="1115">
        <f t="shared" ca="1" si="78"/>
        <v>0</v>
      </c>
      <c r="O154" s="1115">
        <f t="shared" ca="1" si="78"/>
        <v>0</v>
      </c>
      <c r="P154" s="1115">
        <f t="shared" ca="1" si="78"/>
        <v>0</v>
      </c>
      <c r="Q154" s="1026"/>
      <c r="R154" s="1026"/>
      <c r="S154" s="1752" t="s">
        <v>2315</v>
      </c>
      <c r="T154" s="1544"/>
      <c r="U154" s="1013"/>
    </row>
    <row r="155" spans="1:21" ht="26.25" customHeight="1" x14ac:dyDescent="0.2">
      <c r="A155" s="1303" t="s">
        <v>2140</v>
      </c>
      <c r="B155" s="1005"/>
      <c r="C155" s="1005"/>
      <c r="D155" s="1006"/>
      <c r="E155" s="1115"/>
      <c r="F155" s="1115"/>
      <c r="G155" s="1115"/>
      <c r="H155" s="1115"/>
      <c r="I155" s="1115"/>
      <c r="J155" s="1115"/>
      <c r="K155" s="1115"/>
      <c r="L155" s="1115"/>
      <c r="M155" s="1115"/>
      <c r="N155" s="1115"/>
      <c r="O155" s="1115"/>
      <c r="P155" s="1115"/>
      <c r="Q155" s="1026"/>
      <c r="R155" s="1026"/>
      <c r="S155" s="1719"/>
      <c r="T155" s="1008"/>
      <c r="U155" s="1013"/>
    </row>
    <row r="156" spans="1:21" ht="25.5" x14ac:dyDescent="0.2">
      <c r="A156" s="1304" t="s">
        <v>2141</v>
      </c>
      <c r="B156" s="1005"/>
      <c r="C156" s="1005"/>
      <c r="D156" s="1006"/>
      <c r="E156" s="1115"/>
      <c r="F156" s="1115"/>
      <c r="G156" s="1115"/>
      <c r="H156" s="1115"/>
      <c r="I156" s="1115"/>
      <c r="J156" s="1115"/>
      <c r="K156" s="1115"/>
      <c r="L156" s="1115"/>
      <c r="M156" s="1115"/>
      <c r="N156" s="1115"/>
      <c r="O156" s="1115"/>
      <c r="P156" s="1115"/>
      <c r="Q156" s="1026"/>
      <c r="S156" s="1719"/>
      <c r="T156" s="1008"/>
      <c r="U156" s="1013"/>
    </row>
    <row r="157" spans="1:21" x14ac:dyDescent="0.2">
      <c r="A157" s="1297" t="s">
        <v>2188</v>
      </c>
      <c r="B157" s="1477" t="s">
        <v>2195</v>
      </c>
      <c r="C157" s="1005"/>
      <c r="D157" s="1006"/>
      <c r="E157" s="1115"/>
      <c r="F157" s="1115"/>
      <c r="G157" s="1115"/>
      <c r="H157" s="1115"/>
      <c r="I157" s="1115"/>
      <c r="J157" s="1115"/>
      <c r="K157" s="1115"/>
      <c r="L157" s="1115"/>
      <c r="M157" s="1115"/>
      <c r="N157" s="1115"/>
      <c r="O157" s="1115"/>
      <c r="P157" s="1115"/>
      <c r="Q157" s="1026"/>
      <c r="R157" s="1026" t="str">
        <f>+Method_input!T124</f>
        <v>el_pv</v>
      </c>
      <c r="S157" s="1719"/>
      <c r="T157" s="1008"/>
      <c r="U157" s="1013" t="s">
        <v>2139</v>
      </c>
    </row>
    <row r="158" spans="1:21" x14ac:dyDescent="0.2">
      <c r="A158" s="1297" t="s">
        <v>2189</v>
      </c>
      <c r="B158" s="1477" t="s">
        <v>2196</v>
      </c>
      <c r="C158" s="1005"/>
      <c r="D158" s="1006"/>
      <c r="E158" s="1115"/>
      <c r="F158" s="1115"/>
      <c r="G158" s="1115"/>
      <c r="H158" s="1115"/>
      <c r="I158" s="1115"/>
      <c r="J158" s="1115"/>
      <c r="K158" s="1115"/>
      <c r="L158" s="1115"/>
      <c r="M158" s="1115"/>
      <c r="N158" s="1115"/>
      <c r="O158" s="1115"/>
      <c r="P158" s="1115"/>
      <c r="Q158" s="1026"/>
      <c r="R158" s="1026" t="str">
        <f>+Method_input!T125</f>
        <v>el_wind</v>
      </c>
      <c r="S158" s="1719"/>
      <c r="T158" s="1008"/>
      <c r="U158" s="1013" t="s">
        <v>2139</v>
      </c>
    </row>
    <row r="159" spans="1:21" x14ac:dyDescent="0.2">
      <c r="A159" s="1297" t="s">
        <v>2190</v>
      </c>
      <c r="B159" s="1477" t="s">
        <v>2197</v>
      </c>
      <c r="C159" s="1005"/>
      <c r="D159" s="1006"/>
      <c r="E159" s="1115"/>
      <c r="F159" s="1115"/>
      <c r="G159" s="1115"/>
      <c r="H159" s="1115"/>
      <c r="I159" s="1115"/>
      <c r="J159" s="1115"/>
      <c r="K159" s="1115"/>
      <c r="L159" s="1115"/>
      <c r="M159" s="1115"/>
      <c r="N159" s="1115"/>
      <c r="O159" s="1115"/>
      <c r="P159" s="1115"/>
      <c r="Q159" s="1026"/>
      <c r="R159" s="1026" t="str">
        <f>+Method_input!T126</f>
        <v>el_chp</v>
      </c>
      <c r="S159" s="1719"/>
      <c r="T159" s="1008"/>
      <c r="U159" s="1013" t="s">
        <v>2139</v>
      </c>
    </row>
    <row r="160" spans="1:21" x14ac:dyDescent="0.2">
      <c r="A160" s="1297"/>
      <c r="B160" s="1005"/>
      <c r="C160" s="1005"/>
      <c r="D160" s="1006"/>
      <c r="E160" s="1115"/>
      <c r="F160" s="1115"/>
      <c r="G160" s="1115"/>
      <c r="H160" s="1115"/>
      <c r="I160" s="1115"/>
      <c r="J160" s="1115"/>
      <c r="K160" s="1115"/>
      <c r="L160" s="1115"/>
      <c r="M160" s="1115"/>
      <c r="N160" s="1115"/>
      <c r="O160" s="1115"/>
      <c r="P160" s="1115"/>
      <c r="Q160" s="1026"/>
      <c r="R160" s="1026"/>
      <c r="S160" s="1719"/>
      <c r="T160" s="1008"/>
      <c r="U160" s="1013"/>
    </row>
    <row r="161" spans="1:21" ht="24.75" customHeight="1" x14ac:dyDescent="0.2">
      <c r="A161" s="1300" t="s">
        <v>2142</v>
      </c>
      <c r="B161" s="1005" t="s">
        <v>2320</v>
      </c>
      <c r="C161" s="1005"/>
      <c r="D161" s="1006" t="s">
        <v>8</v>
      </c>
      <c r="E161" s="1030">
        <f ca="1">+E12</f>
        <v>253.1333333333333</v>
      </c>
      <c r="F161" s="1030">
        <f t="shared" ref="F161:P161" ca="1" si="79">+F12</f>
        <v>213.51666666666665</v>
      </c>
      <c r="G161" s="1030">
        <f t="shared" ca="1" si="79"/>
        <v>173.86666666666665</v>
      </c>
      <c r="H161" s="1030">
        <f t="shared" ca="1" si="79"/>
        <v>134.15</v>
      </c>
      <c r="I161" s="1030">
        <f t="shared" ca="1" si="79"/>
        <v>97.723809523809521</v>
      </c>
      <c r="J161" s="1030">
        <f t="shared" ca="1" si="79"/>
        <v>106.8952380952381</v>
      </c>
      <c r="K161" s="1030">
        <f t="shared" ca="1" si="79"/>
        <v>112.30952380952381</v>
      </c>
      <c r="L161" s="1030">
        <f t="shared" ca="1" si="79"/>
        <v>109.15238095238095</v>
      </c>
      <c r="M161" s="1030">
        <f t="shared" ca="1" si="79"/>
        <v>102.43809523809524</v>
      </c>
      <c r="N161" s="1030">
        <f t="shared" ca="1" si="79"/>
        <v>142.23333333333332</v>
      </c>
      <c r="O161" s="1030">
        <f t="shared" ca="1" si="79"/>
        <v>197.69666666666666</v>
      </c>
      <c r="P161" s="1030">
        <f t="shared" ca="1" si="79"/>
        <v>221.46666666666667</v>
      </c>
      <c r="Q161" s="1030">
        <f ca="1">SUM(E161:P161)</f>
        <v>1864.5823809523811</v>
      </c>
      <c r="R161" s="1026"/>
      <c r="S161" s="1752" t="s">
        <v>2319</v>
      </c>
      <c r="T161"/>
      <c r="U161" s="1013" t="s">
        <v>2291</v>
      </c>
    </row>
    <row r="162" spans="1:21" x14ac:dyDescent="0.2">
      <c r="A162" s="1300"/>
      <c r="B162" s="1005"/>
      <c r="C162" s="1005"/>
      <c r="D162" s="1006"/>
      <c r="E162" s="1030"/>
      <c r="F162" s="1030"/>
      <c r="G162" s="1030"/>
      <c r="H162" s="1030"/>
      <c r="I162" s="1030"/>
      <c r="J162" s="1030"/>
      <c r="K162" s="1030"/>
      <c r="L162" s="1030"/>
      <c r="M162" s="1030"/>
      <c r="N162" s="1030"/>
      <c r="O162" s="1030"/>
      <c r="P162" s="1030"/>
      <c r="Q162" s="1030"/>
      <c r="R162" s="1026"/>
      <c r="S162" s="1719"/>
      <c r="T162" s="1008"/>
      <c r="U162" s="1013"/>
    </row>
    <row r="163" spans="1:21" x14ac:dyDescent="0.2">
      <c r="A163" s="1300" t="s">
        <v>2143</v>
      </c>
      <c r="B163" s="1005" t="s">
        <v>2187</v>
      </c>
      <c r="C163" s="1005"/>
      <c r="D163" s="1006" t="s">
        <v>8</v>
      </c>
      <c r="E163" s="1030">
        <f ca="1">SUMIF($R$15:$R$17,$R163,E$15:E$17)</f>
        <v>45</v>
      </c>
      <c r="F163" s="1030">
        <f t="shared" ref="F163:P163" ca="1" si="80">SUMIF($R$15:$R$17,$R163,F$15:F$17)</f>
        <v>60</v>
      </c>
      <c r="G163" s="1030">
        <f t="shared" ca="1" si="80"/>
        <v>150</v>
      </c>
      <c r="H163" s="1030">
        <f t="shared" ca="1" si="80"/>
        <v>210</v>
      </c>
      <c r="I163" s="1030">
        <f t="shared" ca="1" si="80"/>
        <v>255</v>
      </c>
      <c r="J163" s="1030">
        <f t="shared" ca="1" si="80"/>
        <v>285</v>
      </c>
      <c r="K163" s="1030">
        <f t="shared" ca="1" si="80"/>
        <v>300</v>
      </c>
      <c r="L163" s="1030">
        <f t="shared" ca="1" si="80"/>
        <v>270</v>
      </c>
      <c r="M163" s="1030">
        <f t="shared" ca="1" si="80"/>
        <v>240</v>
      </c>
      <c r="N163" s="1030">
        <f t="shared" ca="1" si="80"/>
        <v>180</v>
      </c>
      <c r="O163" s="1030">
        <f t="shared" ca="1" si="80"/>
        <v>120</v>
      </c>
      <c r="P163" s="1030">
        <f t="shared" ca="1" si="80"/>
        <v>90</v>
      </c>
      <c r="Q163" s="1030">
        <f t="shared" ref="Q163:Q164" ca="1" si="81">SUM(E163:P163)</f>
        <v>2205</v>
      </c>
      <c r="R163" s="1026" t="str">
        <f>+R157</f>
        <v>el_pv</v>
      </c>
      <c r="S163" s="1719"/>
      <c r="T163" s="1008"/>
      <c r="U163" s="1013" t="s">
        <v>2288</v>
      </c>
    </row>
    <row r="164" spans="1:21" ht="27" customHeight="1" x14ac:dyDescent="0.2">
      <c r="A164" s="1300" t="s">
        <v>2144</v>
      </c>
      <c r="B164" s="1005" t="s">
        <v>2325</v>
      </c>
      <c r="C164" s="1005"/>
      <c r="D164" s="1006" t="s">
        <v>8</v>
      </c>
      <c r="E164" s="1030">
        <f t="shared" ref="E164:P164" ca="1" si="82">MIN(E163,E161)</f>
        <v>45</v>
      </c>
      <c r="F164" s="1030">
        <f t="shared" ca="1" si="82"/>
        <v>60</v>
      </c>
      <c r="G164" s="1030">
        <f t="shared" ca="1" si="82"/>
        <v>150</v>
      </c>
      <c r="H164" s="1030">
        <f t="shared" ca="1" si="82"/>
        <v>134.15</v>
      </c>
      <c r="I164" s="1030">
        <f t="shared" ca="1" si="82"/>
        <v>97.723809523809521</v>
      </c>
      <c r="J164" s="1030">
        <f t="shared" ca="1" si="82"/>
        <v>106.8952380952381</v>
      </c>
      <c r="K164" s="1030">
        <f t="shared" ca="1" si="82"/>
        <v>112.30952380952381</v>
      </c>
      <c r="L164" s="1030">
        <f t="shared" ca="1" si="82"/>
        <v>109.15238095238095</v>
      </c>
      <c r="M164" s="1030">
        <f t="shared" ca="1" si="82"/>
        <v>102.43809523809524</v>
      </c>
      <c r="N164" s="1030">
        <f t="shared" ca="1" si="82"/>
        <v>142.23333333333332</v>
      </c>
      <c r="O164" s="1030">
        <f t="shared" ca="1" si="82"/>
        <v>120</v>
      </c>
      <c r="P164" s="1030">
        <f t="shared" ca="1" si="82"/>
        <v>90</v>
      </c>
      <c r="Q164" s="1030">
        <f t="shared" ca="1" si="81"/>
        <v>1269.902380952381</v>
      </c>
      <c r="R164" s="1026" t="str">
        <f>+R163&amp;"_used"</f>
        <v>el_pv_used</v>
      </c>
      <c r="S164" s="1752" t="s">
        <v>2321</v>
      </c>
      <c r="T164" s="4"/>
      <c r="U164" s="1013"/>
    </row>
    <row r="165" spans="1:21" x14ac:dyDescent="0.2">
      <c r="B165" s="1005"/>
      <c r="C165" s="1005"/>
      <c r="D165" s="1006"/>
      <c r="E165" s="1115"/>
      <c r="F165" s="1115"/>
      <c r="G165" s="1115"/>
      <c r="H165" s="1115"/>
      <c r="I165" s="1115"/>
      <c r="J165" s="1115"/>
      <c r="K165" s="1115"/>
      <c r="L165" s="1115"/>
      <c r="M165" s="1115"/>
      <c r="N165" s="1115"/>
      <c r="O165" s="1115"/>
      <c r="P165" s="1115"/>
      <c r="Q165" s="1026"/>
      <c r="R165" s="1026"/>
      <c r="S165" s="1719"/>
      <c r="T165" s="1008"/>
      <c r="U165" s="1013"/>
    </row>
    <row r="166" spans="1:21" ht="29.25" customHeight="1" x14ac:dyDescent="0.2">
      <c r="A166" s="1300" t="s">
        <v>2145</v>
      </c>
      <c r="B166" s="1005" t="s">
        <v>2322</v>
      </c>
      <c r="C166" s="1005"/>
      <c r="D166" s="1006" t="s">
        <v>8</v>
      </c>
      <c r="E166" s="1030">
        <f t="shared" ref="E166:P166" ca="1" si="83">+E161-E164</f>
        <v>208.1333333333333</v>
      </c>
      <c r="F166" s="1030">
        <f t="shared" ca="1" si="83"/>
        <v>153.51666666666665</v>
      </c>
      <c r="G166" s="1030">
        <f t="shared" ca="1" si="83"/>
        <v>23.866666666666646</v>
      </c>
      <c r="H166" s="1030">
        <f t="shared" ca="1" si="83"/>
        <v>0</v>
      </c>
      <c r="I166" s="1030">
        <f t="shared" ca="1" si="83"/>
        <v>0</v>
      </c>
      <c r="J166" s="1030">
        <f t="shared" ca="1" si="83"/>
        <v>0</v>
      </c>
      <c r="K166" s="1030">
        <f t="shared" ca="1" si="83"/>
        <v>0</v>
      </c>
      <c r="L166" s="1030">
        <f t="shared" ca="1" si="83"/>
        <v>0</v>
      </c>
      <c r="M166" s="1030">
        <f t="shared" ca="1" si="83"/>
        <v>0</v>
      </c>
      <c r="N166" s="1030">
        <f t="shared" ca="1" si="83"/>
        <v>0</v>
      </c>
      <c r="O166" s="1030">
        <f t="shared" ca="1" si="83"/>
        <v>77.696666666666658</v>
      </c>
      <c r="P166" s="1030">
        <f t="shared" ca="1" si="83"/>
        <v>131.46666666666667</v>
      </c>
      <c r="Q166" s="1030">
        <f ca="1">SUM(E166:P166)</f>
        <v>594.67999999999995</v>
      </c>
      <c r="R166" s="1026"/>
      <c r="S166" s="1752" t="s">
        <v>2323</v>
      </c>
      <c r="T166"/>
      <c r="U166" s="1013" t="s">
        <v>2145</v>
      </c>
    </row>
    <row r="167" spans="1:21" x14ac:dyDescent="0.2">
      <c r="A167" s="1300" t="s">
        <v>2146</v>
      </c>
      <c r="B167" s="1005" t="s">
        <v>2324</v>
      </c>
      <c r="C167" s="1005"/>
      <c r="D167" s="1006" t="s">
        <v>8</v>
      </c>
      <c r="E167" s="1030">
        <f>SUMIF($R$15:$R$17,$R167,E$15:E$17)</f>
        <v>0</v>
      </c>
      <c r="F167" s="1030">
        <f t="shared" ref="F167:P167" si="84">SUMIF($R$15:$R$17,$R167,F$15:F$17)</f>
        <v>0</v>
      </c>
      <c r="G167" s="1030">
        <f t="shared" si="84"/>
        <v>0</v>
      </c>
      <c r="H167" s="1030">
        <f t="shared" si="84"/>
        <v>0</v>
      </c>
      <c r="I167" s="1030">
        <f t="shared" si="84"/>
        <v>0</v>
      </c>
      <c r="J167" s="1030">
        <f t="shared" si="84"/>
        <v>0</v>
      </c>
      <c r="K167" s="1030">
        <f t="shared" si="84"/>
        <v>0</v>
      </c>
      <c r="L167" s="1030">
        <f t="shared" si="84"/>
        <v>0</v>
      </c>
      <c r="M167" s="1030">
        <f t="shared" si="84"/>
        <v>0</v>
      </c>
      <c r="N167" s="1030">
        <f t="shared" si="84"/>
        <v>0</v>
      </c>
      <c r="O167" s="1030">
        <f t="shared" si="84"/>
        <v>0</v>
      </c>
      <c r="P167" s="1030">
        <f t="shared" si="84"/>
        <v>0</v>
      </c>
      <c r="Q167" s="1030">
        <f t="shared" ref="Q167:Q174" si="85">SUM(E167:P167)</f>
        <v>0</v>
      </c>
      <c r="R167" s="1026" t="str">
        <f>+R158</f>
        <v>el_wind</v>
      </c>
      <c r="S167" s="1719"/>
      <c r="T167" s="1008"/>
      <c r="U167" s="1013" t="s">
        <v>2289</v>
      </c>
    </row>
    <row r="168" spans="1:21" ht="27" customHeight="1" x14ac:dyDescent="0.2">
      <c r="A168" s="1300" t="s">
        <v>2147</v>
      </c>
      <c r="B168" s="1005" t="s">
        <v>2326</v>
      </c>
      <c r="C168" s="1005"/>
      <c r="D168" s="1006" t="s">
        <v>8</v>
      </c>
      <c r="E168" s="1030">
        <f ca="1">MIN(E167,E166)</f>
        <v>0</v>
      </c>
      <c r="F168" s="1030">
        <f t="shared" ref="F168:P168" ca="1" si="86">MIN(F167,F166)</f>
        <v>0</v>
      </c>
      <c r="G168" s="1030">
        <f t="shared" ca="1" si="86"/>
        <v>0</v>
      </c>
      <c r="H168" s="1030">
        <f t="shared" ca="1" si="86"/>
        <v>0</v>
      </c>
      <c r="I168" s="1030">
        <f t="shared" ca="1" si="86"/>
        <v>0</v>
      </c>
      <c r="J168" s="1030">
        <f t="shared" ca="1" si="86"/>
        <v>0</v>
      </c>
      <c r="K168" s="1030">
        <f t="shared" ca="1" si="86"/>
        <v>0</v>
      </c>
      <c r="L168" s="1030">
        <f t="shared" ca="1" si="86"/>
        <v>0</v>
      </c>
      <c r="M168" s="1030">
        <f t="shared" ca="1" si="86"/>
        <v>0</v>
      </c>
      <c r="N168" s="1030">
        <f t="shared" ca="1" si="86"/>
        <v>0</v>
      </c>
      <c r="O168" s="1030">
        <f t="shared" ca="1" si="86"/>
        <v>0</v>
      </c>
      <c r="P168" s="1030">
        <f t="shared" ca="1" si="86"/>
        <v>0</v>
      </c>
      <c r="Q168" s="1030">
        <f t="shared" ca="1" si="85"/>
        <v>0</v>
      </c>
      <c r="R168" s="1026" t="str">
        <f>+R167&amp;"_used"</f>
        <v>el_wind_used</v>
      </c>
      <c r="S168" s="1752" t="s">
        <v>2321</v>
      </c>
      <c r="T168"/>
      <c r="U168" s="1013"/>
    </row>
    <row r="169" spans="1:21" x14ac:dyDescent="0.2">
      <c r="A169" s="1300"/>
      <c r="B169" s="1005"/>
      <c r="C169" s="1005"/>
      <c r="D169" s="1006"/>
      <c r="E169" s="1115"/>
      <c r="F169" s="1115"/>
      <c r="G169" s="1115"/>
      <c r="H169" s="1115"/>
      <c r="I169" s="1115"/>
      <c r="J169" s="1115"/>
      <c r="K169" s="1115"/>
      <c r="L169" s="1115"/>
      <c r="M169" s="1115"/>
      <c r="N169" s="1115"/>
      <c r="O169" s="1115"/>
      <c r="P169" s="1115"/>
      <c r="Q169" s="1026"/>
      <c r="R169" s="1026"/>
      <c r="S169" s="1719"/>
      <c r="T169" s="1008"/>
      <c r="U169" s="1013"/>
    </row>
    <row r="170" spans="1:21" ht="29.25" customHeight="1" x14ac:dyDescent="0.2">
      <c r="A170" s="1300" t="s">
        <v>2145</v>
      </c>
      <c r="B170" s="1005" t="s">
        <v>2327</v>
      </c>
      <c r="C170" s="1005"/>
      <c r="D170" s="1006" t="s">
        <v>8</v>
      </c>
      <c r="E170" s="1030">
        <f ca="1">+E166-E168</f>
        <v>208.1333333333333</v>
      </c>
      <c r="F170" s="1030">
        <f t="shared" ref="F170:P170" ca="1" si="87">+F166-F168</f>
        <v>153.51666666666665</v>
      </c>
      <c r="G170" s="1030">
        <f t="shared" ca="1" si="87"/>
        <v>23.866666666666646</v>
      </c>
      <c r="H170" s="1030">
        <f t="shared" ca="1" si="87"/>
        <v>0</v>
      </c>
      <c r="I170" s="1030">
        <f t="shared" ca="1" si="87"/>
        <v>0</v>
      </c>
      <c r="J170" s="1030">
        <f t="shared" ca="1" si="87"/>
        <v>0</v>
      </c>
      <c r="K170" s="1030">
        <f t="shared" ca="1" si="87"/>
        <v>0</v>
      </c>
      <c r="L170" s="1030">
        <f t="shared" ca="1" si="87"/>
        <v>0</v>
      </c>
      <c r="M170" s="1030">
        <f t="shared" ca="1" si="87"/>
        <v>0</v>
      </c>
      <c r="N170" s="1030">
        <f t="shared" ca="1" si="87"/>
        <v>0</v>
      </c>
      <c r="O170" s="1030">
        <f t="shared" ca="1" si="87"/>
        <v>77.696666666666658</v>
      </c>
      <c r="P170" s="1030">
        <f t="shared" ca="1" si="87"/>
        <v>131.46666666666667</v>
      </c>
      <c r="Q170" s="1030">
        <f t="shared" ca="1" si="85"/>
        <v>594.67999999999995</v>
      </c>
      <c r="R170" s="1026"/>
      <c r="S170" s="1752" t="s">
        <v>2323</v>
      </c>
      <c r="T170"/>
      <c r="U170" s="1013"/>
    </row>
    <row r="171" spans="1:21" x14ac:dyDescent="0.2">
      <c r="A171" s="1300" t="s">
        <v>2268</v>
      </c>
      <c r="B171" s="1005" t="s">
        <v>2328</v>
      </c>
      <c r="C171" s="1005"/>
      <c r="D171" s="1006" t="s">
        <v>8</v>
      </c>
      <c r="E171" s="1030">
        <f ca="1">SUMIF($R$15:$R$17,$R171,E$15:E$17)</f>
        <v>63.636363636363633</v>
      </c>
      <c r="F171" s="1030">
        <f t="shared" ref="F171:P171" ca="1" si="88">SUMIF($R$15:$R$17,$R171,F$15:F$17)</f>
        <v>63.636363636363633</v>
      </c>
      <c r="G171" s="1030">
        <f t="shared" ca="1" si="88"/>
        <v>63.636363636363633</v>
      </c>
      <c r="H171" s="1030">
        <f t="shared" ca="1" si="88"/>
        <v>63.636363636363633</v>
      </c>
      <c r="I171" s="1030">
        <f t="shared" ca="1" si="88"/>
        <v>38.181818181818187</v>
      </c>
      <c r="J171" s="1030">
        <f t="shared" ca="1" si="88"/>
        <v>25.454545454545453</v>
      </c>
      <c r="K171" s="1030">
        <f t="shared" ca="1" si="88"/>
        <v>31.818181818181817</v>
      </c>
      <c r="L171" s="1030">
        <f t="shared" ca="1" si="88"/>
        <v>38.181818181818187</v>
      </c>
      <c r="M171" s="1030">
        <f t="shared" ca="1" si="88"/>
        <v>63.636363636363633</v>
      </c>
      <c r="N171" s="1030">
        <f t="shared" ca="1" si="88"/>
        <v>63.636363636363633</v>
      </c>
      <c r="O171" s="1030">
        <f t="shared" ca="1" si="88"/>
        <v>63.636363636363633</v>
      </c>
      <c r="P171" s="1030">
        <f t="shared" ca="1" si="88"/>
        <v>63.636363636363633</v>
      </c>
      <c r="Q171" s="1030">
        <f t="shared" ca="1" si="85"/>
        <v>642.72727272727275</v>
      </c>
      <c r="R171" s="1026" t="str">
        <f>+R159</f>
        <v>el_chp</v>
      </c>
      <c r="S171" s="1719"/>
      <c r="T171" s="1008"/>
      <c r="U171" s="1013" t="s">
        <v>2290</v>
      </c>
    </row>
    <row r="172" spans="1:21" ht="27" customHeight="1" x14ac:dyDescent="0.2">
      <c r="A172" s="1300" t="s">
        <v>2269</v>
      </c>
      <c r="B172" s="1005" t="s">
        <v>2329</v>
      </c>
      <c r="C172" s="1005"/>
      <c r="D172" s="1006" t="s">
        <v>8</v>
      </c>
      <c r="E172" s="1030">
        <f ca="1">MIN(E171,E170)</f>
        <v>63.636363636363633</v>
      </c>
      <c r="F172" s="1030">
        <f t="shared" ref="F172:P172" ca="1" si="89">MIN(F171,F170)</f>
        <v>63.636363636363633</v>
      </c>
      <c r="G172" s="1030">
        <f t="shared" ca="1" si="89"/>
        <v>23.866666666666646</v>
      </c>
      <c r="H172" s="1030">
        <f t="shared" ca="1" si="89"/>
        <v>0</v>
      </c>
      <c r="I172" s="1030">
        <f t="shared" ca="1" si="89"/>
        <v>0</v>
      </c>
      <c r="J172" s="1030">
        <f t="shared" ca="1" si="89"/>
        <v>0</v>
      </c>
      <c r="K172" s="1030">
        <f t="shared" ca="1" si="89"/>
        <v>0</v>
      </c>
      <c r="L172" s="1030">
        <f t="shared" ca="1" si="89"/>
        <v>0</v>
      </c>
      <c r="M172" s="1030">
        <f t="shared" ca="1" si="89"/>
        <v>0</v>
      </c>
      <c r="N172" s="1030">
        <f t="shared" ca="1" si="89"/>
        <v>0</v>
      </c>
      <c r="O172" s="1030">
        <f t="shared" ca="1" si="89"/>
        <v>63.636363636363633</v>
      </c>
      <c r="P172" s="1030">
        <f t="shared" ca="1" si="89"/>
        <v>63.636363636363633</v>
      </c>
      <c r="Q172" s="1030">
        <f t="shared" ca="1" si="85"/>
        <v>278.41212121212118</v>
      </c>
      <c r="R172" s="1026" t="str">
        <f>+R171&amp;"_used"</f>
        <v>el_chp_used</v>
      </c>
      <c r="S172" s="1752" t="s">
        <v>2321</v>
      </c>
      <c r="T172"/>
      <c r="U172" s="1013"/>
    </row>
    <row r="173" spans="1:21" x14ac:dyDescent="0.2">
      <c r="A173" s="1300"/>
      <c r="B173" s="1005"/>
      <c r="C173" s="1005"/>
      <c r="D173" s="1006"/>
      <c r="E173" s="1115"/>
      <c r="F173" s="1115"/>
      <c r="G173" s="1115"/>
      <c r="H173" s="1115"/>
      <c r="I173" s="1115"/>
      <c r="J173" s="1115"/>
      <c r="K173" s="1115"/>
      <c r="L173" s="1115"/>
      <c r="M173" s="1115"/>
      <c r="N173" s="1115"/>
      <c r="O173" s="1115"/>
      <c r="P173" s="1115"/>
      <c r="Q173" s="1026"/>
      <c r="R173" s="1026"/>
      <c r="S173" s="1719"/>
      <c r="T173" s="1008"/>
      <c r="U173" s="1013"/>
    </row>
    <row r="174" spans="1:21" ht="29.25" customHeight="1" x14ac:dyDescent="0.2">
      <c r="A174" s="1300" t="s">
        <v>2145</v>
      </c>
      <c r="B174" s="1005" t="s">
        <v>2330</v>
      </c>
      <c r="C174" s="1005"/>
      <c r="D174" s="1006" t="s">
        <v>8</v>
      </c>
      <c r="E174" s="1030">
        <f ca="1">+E170-E172</f>
        <v>144.49696969696967</v>
      </c>
      <c r="F174" s="1030">
        <f t="shared" ref="F174:P174" ca="1" si="90">+F170-F172</f>
        <v>89.880303030303025</v>
      </c>
      <c r="G174" s="1030">
        <f t="shared" ca="1" si="90"/>
        <v>0</v>
      </c>
      <c r="H174" s="1030">
        <f t="shared" ca="1" si="90"/>
        <v>0</v>
      </c>
      <c r="I174" s="1030">
        <f t="shared" ca="1" si="90"/>
        <v>0</v>
      </c>
      <c r="J174" s="1030">
        <f t="shared" ca="1" si="90"/>
        <v>0</v>
      </c>
      <c r="K174" s="1030">
        <f t="shared" ca="1" si="90"/>
        <v>0</v>
      </c>
      <c r="L174" s="1030">
        <f t="shared" ca="1" si="90"/>
        <v>0</v>
      </c>
      <c r="M174" s="1030">
        <f t="shared" ca="1" si="90"/>
        <v>0</v>
      </c>
      <c r="N174" s="1030">
        <f t="shared" ca="1" si="90"/>
        <v>0</v>
      </c>
      <c r="O174" s="1030">
        <f t="shared" ca="1" si="90"/>
        <v>14.060303030303025</v>
      </c>
      <c r="P174" s="1030">
        <f t="shared" ca="1" si="90"/>
        <v>67.830303030303043</v>
      </c>
      <c r="Q174" s="1030">
        <f t="shared" ca="1" si="85"/>
        <v>316.26787878787877</v>
      </c>
      <c r="R174" s="1026"/>
      <c r="S174" s="1752" t="s">
        <v>2323</v>
      </c>
      <c r="T174"/>
      <c r="U174" s="1013" t="s">
        <v>2292</v>
      </c>
    </row>
    <row r="175" spans="1:21" x14ac:dyDescent="0.2">
      <c r="A175" s="1300"/>
      <c r="B175" s="1005"/>
      <c r="C175" s="1005"/>
      <c r="D175" s="1006"/>
      <c r="E175" s="1115"/>
      <c r="F175" s="1115"/>
      <c r="G175" s="1115"/>
      <c r="H175" s="1115"/>
      <c r="I175" s="1115"/>
      <c r="J175" s="1115"/>
      <c r="K175" s="1115"/>
      <c r="L175" s="1115"/>
      <c r="M175" s="1115"/>
      <c r="N175" s="1115"/>
      <c r="O175" s="1115"/>
      <c r="P175" s="1115"/>
      <c r="Q175" s="1026"/>
      <c r="R175" s="1026"/>
      <c r="S175" s="1719"/>
      <c r="T175" s="1008"/>
      <c r="U175" s="1013"/>
    </row>
    <row r="176" spans="1:21" x14ac:dyDescent="0.2">
      <c r="A176" s="1300" t="s">
        <v>2152</v>
      </c>
      <c r="B176" s="1005" t="s">
        <v>2342</v>
      </c>
      <c r="C176" s="1005"/>
      <c r="D176" s="1006" t="s">
        <v>8</v>
      </c>
      <c r="E176" s="1030">
        <f ca="1">SUMIF($R$163:$R$172,$R176,E$163:E$172)</f>
        <v>45</v>
      </c>
      <c r="F176" s="1030">
        <f t="shared" ref="F176:P178" ca="1" si="91">SUMIF($R$163:$R$172,$R176,F$163:F$172)</f>
        <v>60</v>
      </c>
      <c r="G176" s="1030">
        <f t="shared" ca="1" si="91"/>
        <v>150</v>
      </c>
      <c r="H176" s="1030">
        <f t="shared" ca="1" si="91"/>
        <v>134.15</v>
      </c>
      <c r="I176" s="1030">
        <f t="shared" ca="1" si="91"/>
        <v>97.723809523809521</v>
      </c>
      <c r="J176" s="1030">
        <f t="shared" ca="1" si="91"/>
        <v>106.8952380952381</v>
      </c>
      <c r="K176" s="1030">
        <f t="shared" ca="1" si="91"/>
        <v>112.30952380952381</v>
      </c>
      <c r="L176" s="1030">
        <f t="shared" ca="1" si="91"/>
        <v>109.15238095238095</v>
      </c>
      <c r="M176" s="1030">
        <f t="shared" ca="1" si="91"/>
        <v>102.43809523809524</v>
      </c>
      <c r="N176" s="1030">
        <f t="shared" ca="1" si="91"/>
        <v>142.23333333333332</v>
      </c>
      <c r="O176" s="1030">
        <f t="shared" ca="1" si="91"/>
        <v>120</v>
      </c>
      <c r="P176" s="1030">
        <f t="shared" ca="1" si="91"/>
        <v>90</v>
      </c>
      <c r="Q176" s="1030">
        <f ca="1">SUM(E176:P176)</f>
        <v>1269.902380952381</v>
      </c>
      <c r="R176" s="1026" t="str">
        <f>R15&amp;"_used"</f>
        <v>el_pv_used</v>
      </c>
      <c r="S176" s="1719" t="s">
        <v>1968</v>
      </c>
      <c r="T176" s="1547" t="s">
        <v>2345</v>
      </c>
      <c r="U176" s="1587" t="s">
        <v>2293</v>
      </c>
    </row>
    <row r="177" spans="1:21" x14ac:dyDescent="0.2">
      <c r="A177" s="1579" t="s">
        <v>2151</v>
      </c>
      <c r="B177" s="1005" t="s">
        <v>2343</v>
      </c>
      <c r="C177" s="1005"/>
      <c r="D177" s="1006" t="s">
        <v>8</v>
      </c>
      <c r="E177" s="1030">
        <f ca="1">SUMIF($R$163:$R$172,$R177,E$163:E$172)</f>
        <v>63.636363636363633</v>
      </c>
      <c r="F177" s="1030">
        <f t="shared" ca="1" si="91"/>
        <v>63.636363636363633</v>
      </c>
      <c r="G177" s="1030">
        <f t="shared" ca="1" si="91"/>
        <v>23.866666666666646</v>
      </c>
      <c r="H177" s="1030">
        <f t="shared" ca="1" si="91"/>
        <v>0</v>
      </c>
      <c r="I177" s="1030">
        <f t="shared" ca="1" si="91"/>
        <v>0</v>
      </c>
      <c r="J177" s="1030">
        <f t="shared" ca="1" si="91"/>
        <v>0</v>
      </c>
      <c r="K177" s="1030">
        <f t="shared" ca="1" si="91"/>
        <v>0</v>
      </c>
      <c r="L177" s="1030">
        <f t="shared" ca="1" si="91"/>
        <v>0</v>
      </c>
      <c r="M177" s="1030">
        <f t="shared" ca="1" si="91"/>
        <v>0</v>
      </c>
      <c r="N177" s="1030">
        <f t="shared" ca="1" si="91"/>
        <v>0</v>
      </c>
      <c r="O177" s="1030">
        <f t="shared" ca="1" si="91"/>
        <v>63.636363636363633</v>
      </c>
      <c r="P177" s="1030">
        <f t="shared" ca="1" si="91"/>
        <v>63.636363636363633</v>
      </c>
      <c r="Q177" s="1030">
        <f t="shared" ref="Q177" ca="1" si="92">SUM(E177:P177)</f>
        <v>278.41212121212118</v>
      </c>
      <c r="R177" s="1026" t="str">
        <f>R16&amp;"_used"</f>
        <v>el_chp_used</v>
      </c>
      <c r="S177" s="1719" t="s">
        <v>1968</v>
      </c>
      <c r="T177" s="1547" t="s">
        <v>2345</v>
      </c>
      <c r="U177" s="1587" t="s">
        <v>2293</v>
      </c>
    </row>
    <row r="178" spans="1:21" x14ac:dyDescent="0.2">
      <c r="A178" s="1013" t="s">
        <v>2279</v>
      </c>
      <c r="B178" s="1005" t="s">
        <v>2344</v>
      </c>
      <c r="C178" s="1008"/>
      <c r="D178" s="1006" t="s">
        <v>8</v>
      </c>
      <c r="E178" s="1030">
        <f ca="1">SUMIF($R$163:$R$172,$R178,E$163:E$172)</f>
        <v>0</v>
      </c>
      <c r="F178" s="1030">
        <f t="shared" ca="1" si="91"/>
        <v>0</v>
      </c>
      <c r="G178" s="1030">
        <f t="shared" ca="1" si="91"/>
        <v>0</v>
      </c>
      <c r="H178" s="1030">
        <f t="shared" ca="1" si="91"/>
        <v>0</v>
      </c>
      <c r="I178" s="1030">
        <f t="shared" ca="1" si="91"/>
        <v>0</v>
      </c>
      <c r="J178" s="1030">
        <f t="shared" ca="1" si="91"/>
        <v>0</v>
      </c>
      <c r="K178" s="1030">
        <f t="shared" ca="1" si="91"/>
        <v>0</v>
      </c>
      <c r="L178" s="1030">
        <f t="shared" ca="1" si="91"/>
        <v>0</v>
      </c>
      <c r="M178" s="1030">
        <f t="shared" ca="1" si="91"/>
        <v>0</v>
      </c>
      <c r="N178" s="1030">
        <f t="shared" ca="1" si="91"/>
        <v>0</v>
      </c>
      <c r="O178" s="1030">
        <f t="shared" ca="1" si="91"/>
        <v>0</v>
      </c>
      <c r="P178" s="1030">
        <f t="shared" ca="1" si="91"/>
        <v>0</v>
      </c>
      <c r="Q178" s="1030">
        <f t="shared" ref="Q178" ca="1" si="93">SUM(E178:P178)</f>
        <v>0</v>
      </c>
      <c r="R178" s="1026" t="str">
        <f>R17&amp;"_used"</f>
        <v>el_wind_used</v>
      </c>
      <c r="S178" s="1719" t="s">
        <v>1968</v>
      </c>
      <c r="T178" s="1547" t="s">
        <v>2345</v>
      </c>
      <c r="U178" s="1587" t="s">
        <v>2293</v>
      </c>
    </row>
    <row r="179" spans="1:21" x14ac:dyDescent="0.2">
      <c r="A179" s="1008"/>
      <c r="B179" s="1008"/>
      <c r="C179" s="1008"/>
      <c r="D179" s="1008"/>
      <c r="E179" s="1008"/>
      <c r="F179" s="1008"/>
      <c r="G179" s="1008"/>
      <c r="H179" s="1008"/>
      <c r="I179" s="1008"/>
      <c r="J179" s="1008"/>
      <c r="K179" s="1008"/>
      <c r="L179" s="1008"/>
      <c r="M179" s="1008"/>
      <c r="N179" s="1008"/>
      <c r="O179" s="1008"/>
      <c r="P179" s="1008"/>
      <c r="Q179" s="1026"/>
      <c r="R179" s="1026"/>
      <c r="S179" s="1719"/>
      <c r="T179" s="1008"/>
      <c r="U179" s="1013"/>
    </row>
    <row r="180" spans="1:21" x14ac:dyDescent="0.2">
      <c r="A180" s="1300" t="s">
        <v>2150</v>
      </c>
      <c r="B180" s="1005" t="s">
        <v>2335</v>
      </c>
      <c r="C180" s="1005"/>
      <c r="D180" s="1006" t="s">
        <v>8</v>
      </c>
      <c r="E180" s="1030">
        <f t="shared" ref="E180:P180" ca="1" si="94">+E176*E$24</f>
        <v>28.69130434606657</v>
      </c>
      <c r="F180" s="1030">
        <f t="shared" ca="1" si="94"/>
        <v>33.981154870382731</v>
      </c>
      <c r="G180" s="1030">
        <f t="shared" ca="1" si="94"/>
        <v>76.563489944588696</v>
      </c>
      <c r="H180" s="1030">
        <f t="shared" ca="1" si="94"/>
        <v>81.126876638251275</v>
      </c>
      <c r="I180" s="1030">
        <f t="shared" ca="1" si="94"/>
        <v>68.40749781561567</v>
      </c>
      <c r="J180" s="1030">
        <f t="shared" ca="1" si="94"/>
        <v>73.990285682079545</v>
      </c>
      <c r="K180" s="1030">
        <f t="shared" ca="1" si="94"/>
        <v>78.203620276632179</v>
      </c>
      <c r="L180" s="1030">
        <f t="shared" ca="1" si="94"/>
        <v>74.801708422995418</v>
      </c>
      <c r="M180" s="1030">
        <f t="shared" ca="1" si="94"/>
        <v>71.410042719635214</v>
      </c>
      <c r="N180" s="1030">
        <f t="shared" ca="1" si="94"/>
        <v>80.30465040977019</v>
      </c>
      <c r="O180" s="1030">
        <f t="shared" ca="1" si="94"/>
        <v>60.162918999443924</v>
      </c>
      <c r="P180" s="1030">
        <f t="shared" ca="1" si="94"/>
        <v>47.849802384122967</v>
      </c>
      <c r="Q180" s="1030">
        <f ca="1">SUM(E180:P180)</f>
        <v>775.49335250958438</v>
      </c>
      <c r="R180" s="1026"/>
      <c r="S180" s="1752" t="s">
        <v>2331</v>
      </c>
      <c r="T180" s="1588"/>
      <c r="U180" s="1587" t="s">
        <v>2341</v>
      </c>
    </row>
    <row r="181" spans="1:21" x14ac:dyDescent="0.2">
      <c r="A181" s="1579" t="s">
        <v>2149</v>
      </c>
      <c r="B181" s="1005" t="s">
        <v>2336</v>
      </c>
      <c r="C181" s="1005"/>
      <c r="D181" s="1006" t="s">
        <v>8</v>
      </c>
      <c r="E181" s="1030">
        <f t="shared" ref="E181:P182" ca="1" si="95">+E177*E$24</f>
        <v>40.573561701508275</v>
      </c>
      <c r="F181" s="1030">
        <f t="shared" ca="1" si="95"/>
        <v>36.040618801921077</v>
      </c>
      <c r="G181" s="1030">
        <f t="shared" ca="1" si="95"/>
        <v>12.18210195562788</v>
      </c>
      <c r="H181" s="1030">
        <f t="shared" ca="1" si="95"/>
        <v>0</v>
      </c>
      <c r="I181" s="1030">
        <f t="shared" ca="1" si="95"/>
        <v>0</v>
      </c>
      <c r="J181" s="1030">
        <f t="shared" ca="1" si="95"/>
        <v>0</v>
      </c>
      <c r="K181" s="1030">
        <f t="shared" ca="1" si="95"/>
        <v>0</v>
      </c>
      <c r="L181" s="1030">
        <f t="shared" ca="1" si="95"/>
        <v>0</v>
      </c>
      <c r="M181" s="1030">
        <f t="shared" ca="1" si="95"/>
        <v>0</v>
      </c>
      <c r="N181" s="1030">
        <f t="shared" ca="1" si="95"/>
        <v>0</v>
      </c>
      <c r="O181" s="1030">
        <f t="shared" ca="1" si="95"/>
        <v>31.904578257280868</v>
      </c>
      <c r="P181" s="1030">
        <f t="shared" ca="1" si="95"/>
        <v>33.833193604935424</v>
      </c>
      <c r="Q181" s="1030">
        <f t="shared" ref="Q181:Q186" ca="1" si="96">SUM(E181:P181)</f>
        <v>154.53405432127352</v>
      </c>
      <c r="R181" s="1026"/>
      <c r="S181" s="1752" t="s">
        <v>2331</v>
      </c>
      <c r="T181"/>
      <c r="U181" s="1587" t="s">
        <v>2341</v>
      </c>
    </row>
    <row r="182" spans="1:21" x14ac:dyDescent="0.2">
      <c r="A182" s="1579" t="s">
        <v>2283</v>
      </c>
      <c r="B182" s="1005" t="s">
        <v>2337</v>
      </c>
      <c r="C182" s="1005"/>
      <c r="D182" s="1006" t="s">
        <v>8</v>
      </c>
      <c r="E182" s="1030">
        <f t="shared" ca="1" si="95"/>
        <v>0</v>
      </c>
      <c r="F182" s="1030">
        <f t="shared" ca="1" si="95"/>
        <v>0</v>
      </c>
      <c r="G182" s="1030">
        <f t="shared" ca="1" si="95"/>
        <v>0</v>
      </c>
      <c r="H182" s="1030">
        <f t="shared" ca="1" si="95"/>
        <v>0</v>
      </c>
      <c r="I182" s="1030">
        <f t="shared" ca="1" si="95"/>
        <v>0</v>
      </c>
      <c r="J182" s="1030">
        <f t="shared" ca="1" si="95"/>
        <v>0</v>
      </c>
      <c r="K182" s="1030">
        <f t="shared" ca="1" si="95"/>
        <v>0</v>
      </c>
      <c r="L182" s="1030">
        <f t="shared" ca="1" si="95"/>
        <v>0</v>
      </c>
      <c r="M182" s="1030">
        <f t="shared" ca="1" si="95"/>
        <v>0</v>
      </c>
      <c r="N182" s="1030">
        <f t="shared" ca="1" si="95"/>
        <v>0</v>
      </c>
      <c r="O182" s="1030">
        <f t="shared" ca="1" si="95"/>
        <v>0</v>
      </c>
      <c r="P182" s="1030">
        <f t="shared" ca="1" si="95"/>
        <v>0</v>
      </c>
      <c r="Q182" s="1030">
        <f t="shared" ca="1" si="96"/>
        <v>0</v>
      </c>
      <c r="R182" s="1026"/>
      <c r="S182" s="1752" t="s">
        <v>2331</v>
      </c>
      <c r="T182" s="1544"/>
      <c r="U182" s="1587" t="s">
        <v>2341</v>
      </c>
    </row>
    <row r="183" spans="1:21" x14ac:dyDescent="0.2">
      <c r="A183" s="1579"/>
      <c r="B183" s="1005"/>
      <c r="C183" s="1005"/>
      <c r="D183" s="1006"/>
      <c r="E183" s="1030"/>
      <c r="F183" s="1030"/>
      <c r="G183" s="1030"/>
      <c r="H183" s="1030"/>
      <c r="I183" s="1030"/>
      <c r="J183" s="1030"/>
      <c r="K183" s="1030"/>
      <c r="L183" s="1030"/>
      <c r="M183" s="1030"/>
      <c r="N183" s="1030"/>
      <c r="O183" s="1030"/>
      <c r="P183" s="1030"/>
      <c r="Q183" s="1030"/>
      <c r="R183" s="1026"/>
      <c r="S183" s="1719"/>
      <c r="T183" s="1008"/>
      <c r="U183" s="1013"/>
    </row>
    <row r="184" spans="1:21" x14ac:dyDescent="0.2">
      <c r="A184" s="1305" t="s">
        <v>2154</v>
      </c>
      <c r="B184" s="1005" t="s">
        <v>2338</v>
      </c>
      <c r="C184" s="1072"/>
      <c r="D184" s="1006" t="s">
        <v>8</v>
      </c>
      <c r="E184" s="1307">
        <f t="shared" ref="E184:P184" ca="1" si="97">+E15-E180</f>
        <v>16.30869565393343</v>
      </c>
      <c r="F184" s="1307">
        <f t="shared" ca="1" si="97"/>
        <v>26.018845129617269</v>
      </c>
      <c r="G184" s="1307">
        <f t="shared" ca="1" si="97"/>
        <v>73.436510055411304</v>
      </c>
      <c r="H184" s="1307">
        <f t="shared" ca="1" si="97"/>
        <v>128.87312336174872</v>
      </c>
      <c r="I184" s="1307">
        <f t="shared" ca="1" si="97"/>
        <v>186.59250218438433</v>
      </c>
      <c r="J184" s="1307">
        <f t="shared" ca="1" si="97"/>
        <v>211.00971431792044</v>
      </c>
      <c r="K184" s="1307">
        <f t="shared" ca="1" si="97"/>
        <v>221.79637972336781</v>
      </c>
      <c r="L184" s="1307">
        <f t="shared" ca="1" si="97"/>
        <v>195.19829157700457</v>
      </c>
      <c r="M184" s="1307">
        <f t="shared" ca="1" si="97"/>
        <v>168.58995728036479</v>
      </c>
      <c r="N184" s="1307">
        <f t="shared" ca="1" si="97"/>
        <v>99.69534959022981</v>
      </c>
      <c r="O184" s="1307">
        <f t="shared" ca="1" si="97"/>
        <v>59.837081000556076</v>
      </c>
      <c r="P184" s="1307">
        <f t="shared" ca="1" si="97"/>
        <v>42.150197615877033</v>
      </c>
      <c r="Q184" s="1307">
        <f ca="1">SUM(E184:P184)</f>
        <v>1429.5066474904156</v>
      </c>
      <c r="R184" s="1026"/>
      <c r="S184" s="1752" t="s">
        <v>2332</v>
      </c>
      <c r="T184" s="1588"/>
      <c r="U184" s="1587" t="s">
        <v>2341</v>
      </c>
    </row>
    <row r="185" spans="1:21" x14ac:dyDescent="0.2">
      <c r="A185" s="1580" t="s">
        <v>2153</v>
      </c>
      <c r="B185" s="1005" t="s">
        <v>2339</v>
      </c>
      <c r="C185" s="1072"/>
      <c r="D185" s="1006" t="s">
        <v>8</v>
      </c>
      <c r="E185" s="1307">
        <f t="shared" ref="E185:P185" ca="1" si="98">+E16-E181</f>
        <v>23.062801934855358</v>
      </c>
      <c r="F185" s="1307">
        <f t="shared" ca="1" si="98"/>
        <v>27.595744834442556</v>
      </c>
      <c r="G185" s="1307">
        <f t="shared" ca="1" si="98"/>
        <v>51.454261680735755</v>
      </c>
      <c r="H185" s="1307">
        <f t="shared" ca="1" si="98"/>
        <v>63.636363636363633</v>
      </c>
      <c r="I185" s="1307">
        <f t="shared" ca="1" si="98"/>
        <v>38.181818181818187</v>
      </c>
      <c r="J185" s="1307">
        <f t="shared" ca="1" si="98"/>
        <v>25.454545454545453</v>
      </c>
      <c r="K185" s="1307">
        <f t="shared" ca="1" si="98"/>
        <v>31.818181818181817</v>
      </c>
      <c r="L185" s="1307">
        <f t="shared" ca="1" si="98"/>
        <v>38.181818181818187</v>
      </c>
      <c r="M185" s="1307">
        <f t="shared" ca="1" si="98"/>
        <v>63.636363636363633</v>
      </c>
      <c r="N185" s="1307">
        <f t="shared" ca="1" si="98"/>
        <v>63.636363636363633</v>
      </c>
      <c r="O185" s="1307">
        <f t="shared" ca="1" si="98"/>
        <v>31.731785379082766</v>
      </c>
      <c r="P185" s="1307">
        <f t="shared" ca="1" si="98"/>
        <v>29.803170031428209</v>
      </c>
      <c r="Q185" s="1307">
        <f t="shared" ca="1" si="96"/>
        <v>488.19321840599912</v>
      </c>
      <c r="R185" s="1026"/>
      <c r="S185" s="1752" t="s">
        <v>2332</v>
      </c>
      <c r="T185" s="1589"/>
      <c r="U185" s="1587" t="s">
        <v>2341</v>
      </c>
    </row>
    <row r="186" spans="1:21" x14ac:dyDescent="0.2">
      <c r="A186" s="1580" t="s">
        <v>2280</v>
      </c>
      <c r="B186" s="1005" t="s">
        <v>2340</v>
      </c>
      <c r="C186" s="1072"/>
      <c r="D186" s="1006" t="s">
        <v>8</v>
      </c>
      <c r="E186" s="1307">
        <f ca="1">+E17-E182</f>
        <v>0</v>
      </c>
      <c r="F186" s="1307">
        <f t="shared" ref="F186:P186" ca="1" si="99">+F17-F182</f>
        <v>0</v>
      </c>
      <c r="G186" s="1307">
        <f t="shared" ca="1" si="99"/>
        <v>0</v>
      </c>
      <c r="H186" s="1307">
        <f t="shared" ca="1" si="99"/>
        <v>0</v>
      </c>
      <c r="I186" s="1307">
        <f t="shared" ca="1" si="99"/>
        <v>0</v>
      </c>
      <c r="J186" s="1307">
        <f t="shared" ca="1" si="99"/>
        <v>0</v>
      </c>
      <c r="K186" s="1307">
        <f t="shared" ca="1" si="99"/>
        <v>0</v>
      </c>
      <c r="L186" s="1307">
        <f t="shared" ca="1" si="99"/>
        <v>0</v>
      </c>
      <c r="M186" s="1307">
        <f t="shared" ca="1" si="99"/>
        <v>0</v>
      </c>
      <c r="N186" s="1307">
        <f t="shared" ca="1" si="99"/>
        <v>0</v>
      </c>
      <c r="O186" s="1307">
        <f t="shared" ca="1" si="99"/>
        <v>0</v>
      </c>
      <c r="P186" s="1307">
        <f t="shared" ca="1" si="99"/>
        <v>0</v>
      </c>
      <c r="Q186" s="1307">
        <f t="shared" ca="1" si="96"/>
        <v>0</v>
      </c>
      <c r="R186" s="1026"/>
      <c r="S186" s="1752" t="s">
        <v>2332</v>
      </c>
      <c r="T186" s="1544"/>
      <c r="U186" s="1587" t="s">
        <v>2341</v>
      </c>
    </row>
    <row r="187" spans="1:21" x14ac:dyDescent="0.2">
      <c r="A187" s="1300"/>
      <c r="B187" s="1005"/>
      <c r="C187" s="1005"/>
      <c r="D187" s="1006"/>
      <c r="E187" s="1115"/>
      <c r="F187" s="1115"/>
      <c r="G187" s="1115"/>
      <c r="H187" s="1115"/>
      <c r="I187" s="1115"/>
      <c r="J187" s="1115"/>
      <c r="K187" s="1115"/>
      <c r="L187" s="1115"/>
      <c r="M187" s="1115"/>
      <c r="N187" s="1115"/>
      <c r="O187" s="1115"/>
      <c r="P187" s="1115"/>
      <c r="Q187" s="1026"/>
      <c r="R187" s="1026"/>
      <c r="S187" s="1719"/>
      <c r="T187" s="1008"/>
      <c r="U187" s="1013"/>
    </row>
    <row r="188" spans="1:21" x14ac:dyDescent="0.2">
      <c r="A188" s="1305" t="s">
        <v>2148</v>
      </c>
      <c r="B188" s="1005"/>
      <c r="C188" s="1005"/>
      <c r="D188" s="1006"/>
      <c r="E188" s="1115"/>
      <c r="F188" s="1115"/>
      <c r="G188" s="1115"/>
      <c r="H188" s="1115"/>
      <c r="I188" s="1115"/>
      <c r="J188" s="1115"/>
      <c r="K188" s="1115"/>
      <c r="L188" s="1115"/>
      <c r="M188" s="1115"/>
      <c r="N188" s="1115"/>
      <c r="O188" s="1115"/>
      <c r="P188" s="1115"/>
      <c r="Q188" s="1026"/>
      <c r="R188" s="1026"/>
      <c r="S188" s="1719"/>
      <c r="T188" s="1008"/>
      <c r="U188" s="1013"/>
    </row>
    <row r="189" spans="1:21" ht="22.5" customHeight="1" x14ac:dyDescent="0.2">
      <c r="A189" s="1579" t="s">
        <v>2156</v>
      </c>
      <c r="B189" s="1005" t="s">
        <v>2346</v>
      </c>
      <c r="C189" s="1005"/>
      <c r="D189" s="1006"/>
      <c r="E189" s="1306">
        <f t="shared" ref="E189:P189" ca="1" si="100">IF(E$18&gt;0,E15/E$18,0)</f>
        <v>0.41422594142259417</v>
      </c>
      <c r="F189" s="1306">
        <f t="shared" ca="1" si="100"/>
        <v>0.48529411764705888</v>
      </c>
      <c r="G189" s="1306">
        <f t="shared" ca="1" si="100"/>
        <v>0.7021276595744681</v>
      </c>
      <c r="H189" s="1306">
        <f t="shared" ca="1" si="100"/>
        <v>0.76744186046511631</v>
      </c>
      <c r="I189" s="1306">
        <f t="shared" ca="1" si="100"/>
        <v>0.86976744186046506</v>
      </c>
      <c r="J189" s="1306">
        <f t="shared" ca="1" si="100"/>
        <v>0.91800878477306003</v>
      </c>
      <c r="K189" s="1306">
        <f t="shared" ca="1" si="100"/>
        <v>0.90410958904109595</v>
      </c>
      <c r="L189" s="1306">
        <f t="shared" ca="1" si="100"/>
        <v>0.87610619469026552</v>
      </c>
      <c r="M189" s="1306">
        <f t="shared" ca="1" si="100"/>
        <v>0.79041916167664672</v>
      </c>
      <c r="N189" s="1306">
        <f t="shared" ca="1" si="100"/>
        <v>0.73880597014925375</v>
      </c>
      <c r="O189" s="1306">
        <f t="shared" ca="1" si="100"/>
        <v>0.65346534653465349</v>
      </c>
      <c r="P189" s="1306">
        <f t="shared" ca="1" si="100"/>
        <v>0.58579881656804733</v>
      </c>
      <c r="Q189" s="1026"/>
      <c r="R189" s="1026"/>
      <c r="S189" s="1752" t="s">
        <v>2333</v>
      </c>
      <c r="T189" s="1588"/>
      <c r="U189" s="1013"/>
    </row>
    <row r="190" spans="1:21" ht="22.5" customHeight="1" x14ac:dyDescent="0.2">
      <c r="A190" s="1300" t="s">
        <v>2155</v>
      </c>
      <c r="B190" s="1005" t="s">
        <v>2348</v>
      </c>
      <c r="C190" s="1005"/>
      <c r="D190" s="1006"/>
      <c r="E190" s="1306">
        <f t="shared" ref="E190:P190" ca="1" si="101">IF(E$18&gt;0,E16/E$18,0)</f>
        <v>0.58577405857740583</v>
      </c>
      <c r="F190" s="1306">
        <f t="shared" ca="1" si="101"/>
        <v>0.51470588235294124</v>
      </c>
      <c r="G190" s="1306">
        <f t="shared" ca="1" si="101"/>
        <v>0.2978723404255319</v>
      </c>
      <c r="H190" s="1306">
        <f t="shared" ca="1" si="101"/>
        <v>0.23255813953488372</v>
      </c>
      <c r="I190" s="1306">
        <f t="shared" ca="1" si="101"/>
        <v>0.13023255813953491</v>
      </c>
      <c r="J190" s="1306">
        <f t="shared" ca="1" si="101"/>
        <v>8.1991215226939973E-2</v>
      </c>
      <c r="K190" s="1306">
        <f t="shared" ca="1" si="101"/>
        <v>9.5890410958904104E-2</v>
      </c>
      <c r="L190" s="1306">
        <f t="shared" ca="1" si="101"/>
        <v>0.12389380530973453</v>
      </c>
      <c r="M190" s="1306">
        <f t="shared" ca="1" si="101"/>
        <v>0.20958083832335328</v>
      </c>
      <c r="N190" s="1306">
        <f t="shared" ca="1" si="101"/>
        <v>0.26119402985074625</v>
      </c>
      <c r="O190" s="1306">
        <f t="shared" ca="1" si="101"/>
        <v>0.34653465346534651</v>
      </c>
      <c r="P190" s="1306">
        <f t="shared" ca="1" si="101"/>
        <v>0.41420118343195267</v>
      </c>
      <c r="Q190" s="1026"/>
      <c r="R190" s="1026"/>
      <c r="S190" s="1752" t="s">
        <v>2333</v>
      </c>
      <c r="T190"/>
      <c r="U190" s="1013"/>
    </row>
    <row r="191" spans="1:21" ht="22.5" customHeight="1" x14ac:dyDescent="0.2">
      <c r="A191" s="1300" t="s">
        <v>2284</v>
      </c>
      <c r="B191" s="1005" t="s">
        <v>2347</v>
      </c>
      <c r="C191" s="1005"/>
      <c r="D191" s="1006"/>
      <c r="E191" s="1306">
        <f t="shared" ref="E191:P191" ca="1" si="102">IF(E$18&gt;0,E17/E$18,0)</f>
        <v>0</v>
      </c>
      <c r="F191" s="1306">
        <f t="shared" ca="1" si="102"/>
        <v>0</v>
      </c>
      <c r="G191" s="1306">
        <f t="shared" ca="1" si="102"/>
        <v>0</v>
      </c>
      <c r="H191" s="1306">
        <f t="shared" ca="1" si="102"/>
        <v>0</v>
      </c>
      <c r="I191" s="1306">
        <f t="shared" ca="1" si="102"/>
        <v>0</v>
      </c>
      <c r="J191" s="1306">
        <f t="shared" ca="1" si="102"/>
        <v>0</v>
      </c>
      <c r="K191" s="1306">
        <f t="shared" ca="1" si="102"/>
        <v>0</v>
      </c>
      <c r="L191" s="1306">
        <f t="shared" ca="1" si="102"/>
        <v>0</v>
      </c>
      <c r="M191" s="1306">
        <f t="shared" ca="1" si="102"/>
        <v>0</v>
      </c>
      <c r="N191" s="1306">
        <f t="shared" ca="1" si="102"/>
        <v>0</v>
      </c>
      <c r="O191" s="1306">
        <f t="shared" ca="1" si="102"/>
        <v>0</v>
      </c>
      <c r="P191" s="1306">
        <f t="shared" ca="1" si="102"/>
        <v>0</v>
      </c>
      <c r="Q191" s="1026"/>
      <c r="R191" s="1026"/>
      <c r="S191" s="1752" t="s">
        <v>2333</v>
      </c>
      <c r="T191" s="1544"/>
      <c r="U191" s="1013"/>
    </row>
    <row r="192" spans="1:21" x14ac:dyDescent="0.2">
      <c r="A192" s="1300" t="s">
        <v>2150</v>
      </c>
      <c r="B192" s="1005" t="s">
        <v>2335</v>
      </c>
      <c r="C192" s="1005"/>
      <c r="D192" s="1006" t="s">
        <v>8</v>
      </c>
      <c r="E192" s="1030">
        <f t="shared" ref="E192:P192" ca="1" si="103">+E$26*E189</f>
        <v>45</v>
      </c>
      <c r="F192" s="1030">
        <f t="shared" ca="1" si="103"/>
        <v>60</v>
      </c>
      <c r="G192" s="1030">
        <f t="shared" ca="1" si="103"/>
        <v>122.07659574468084</v>
      </c>
      <c r="H192" s="1030">
        <f t="shared" ca="1" si="103"/>
        <v>102.95232558139536</v>
      </c>
      <c r="I192" s="1030">
        <f t="shared" ca="1" si="103"/>
        <v>84.996987818383161</v>
      </c>
      <c r="J192" s="1030">
        <f t="shared" ca="1" si="103"/>
        <v>98.130767621836441</v>
      </c>
      <c r="K192" s="1030">
        <f t="shared" ca="1" si="103"/>
        <v>101.54011741682976</v>
      </c>
      <c r="L192" s="1030">
        <f t="shared" ca="1" si="103"/>
        <v>95.629077117572692</v>
      </c>
      <c r="M192" s="1030">
        <f t="shared" ca="1" si="103"/>
        <v>80.969033361847735</v>
      </c>
      <c r="N192" s="1030">
        <f t="shared" ca="1" si="103"/>
        <v>105.08283582089551</v>
      </c>
      <c r="O192" s="1030">
        <f t="shared" ca="1" si="103"/>
        <v>120</v>
      </c>
      <c r="P192" s="1030">
        <f t="shared" ca="1" si="103"/>
        <v>90</v>
      </c>
      <c r="Q192" s="1030">
        <f ca="1">SUM(E192:P192)</f>
        <v>1106.3777404834416</v>
      </c>
      <c r="R192" s="1026"/>
      <c r="S192" s="1752" t="s">
        <v>2334</v>
      </c>
      <c r="T192" s="1588"/>
      <c r="U192" s="1577"/>
    </row>
    <row r="193" spans="1:21" x14ac:dyDescent="0.2">
      <c r="A193" s="1579" t="s">
        <v>2149</v>
      </c>
      <c r="B193" s="1005" t="s">
        <v>2336</v>
      </c>
      <c r="C193" s="1005"/>
      <c r="D193" s="1006" t="s">
        <v>8</v>
      </c>
      <c r="E193" s="1030">
        <f t="shared" ref="E193:P193" ca="1" si="104">+E$26*E190</f>
        <v>63.636363636363626</v>
      </c>
      <c r="F193" s="1030">
        <f t="shared" ca="1" si="104"/>
        <v>63.63636363636364</v>
      </c>
      <c r="G193" s="1030">
        <f t="shared" ca="1" si="104"/>
        <v>51.790070921985809</v>
      </c>
      <c r="H193" s="1030">
        <f t="shared" ca="1" si="104"/>
        <v>31.197674418604652</v>
      </c>
      <c r="I193" s="1030">
        <f t="shared" ca="1" si="104"/>
        <v>12.726821705426358</v>
      </c>
      <c r="J193" s="1030">
        <f t="shared" ca="1" si="104"/>
        <v>8.7644704734016603</v>
      </c>
      <c r="K193" s="1030">
        <f t="shared" ca="1" si="104"/>
        <v>10.769406392694064</v>
      </c>
      <c r="L193" s="1030">
        <f t="shared" ca="1" si="104"/>
        <v>13.52330383480826</v>
      </c>
      <c r="M193" s="1030">
        <f t="shared" ca="1" si="104"/>
        <v>21.469061876247505</v>
      </c>
      <c r="N193" s="1030">
        <f t="shared" ca="1" si="104"/>
        <v>37.150497512437802</v>
      </c>
      <c r="O193" s="1030">
        <f t="shared" ca="1" si="104"/>
        <v>63.636363636363626</v>
      </c>
      <c r="P193" s="1030">
        <f t="shared" ca="1" si="104"/>
        <v>63.636363636363633</v>
      </c>
      <c r="Q193" s="1030">
        <f t="shared" ref="Q193" ca="1" si="105">SUM(E193:P193)</f>
        <v>441.93676168106066</v>
      </c>
      <c r="R193" s="1026"/>
      <c r="S193" s="1752" t="s">
        <v>2334</v>
      </c>
      <c r="T193"/>
      <c r="U193" s="1590" t="s">
        <v>2294</v>
      </c>
    </row>
    <row r="194" spans="1:21" x14ac:dyDescent="0.2">
      <c r="A194" s="1579" t="s">
        <v>2283</v>
      </c>
      <c r="B194" s="1005" t="s">
        <v>2337</v>
      </c>
      <c r="C194" s="1005"/>
      <c r="D194" s="1006" t="s">
        <v>8</v>
      </c>
      <c r="E194" s="1030">
        <f t="shared" ref="E194:P194" ca="1" si="106">+E$26*E191</f>
        <v>0</v>
      </c>
      <c r="F194" s="1030">
        <f t="shared" ca="1" si="106"/>
        <v>0</v>
      </c>
      <c r="G194" s="1030">
        <f t="shared" ca="1" si="106"/>
        <v>0</v>
      </c>
      <c r="H194" s="1030">
        <f t="shared" ca="1" si="106"/>
        <v>0</v>
      </c>
      <c r="I194" s="1030">
        <f t="shared" ca="1" si="106"/>
        <v>0</v>
      </c>
      <c r="J194" s="1030">
        <f t="shared" ca="1" si="106"/>
        <v>0</v>
      </c>
      <c r="K194" s="1030">
        <f t="shared" ca="1" si="106"/>
        <v>0</v>
      </c>
      <c r="L194" s="1030">
        <f t="shared" ca="1" si="106"/>
        <v>0</v>
      </c>
      <c r="M194" s="1030">
        <f t="shared" ca="1" si="106"/>
        <v>0</v>
      </c>
      <c r="N194" s="1030">
        <f t="shared" ca="1" si="106"/>
        <v>0</v>
      </c>
      <c r="O194" s="1030">
        <f t="shared" ca="1" si="106"/>
        <v>0</v>
      </c>
      <c r="P194" s="1030">
        <f t="shared" ca="1" si="106"/>
        <v>0</v>
      </c>
      <c r="Q194" s="1030">
        <f t="shared" ref="Q194" ca="1" si="107">SUM(E194:P194)</f>
        <v>0</v>
      </c>
      <c r="R194" s="1026"/>
      <c r="S194" s="1752" t="s">
        <v>2334</v>
      </c>
      <c r="T194" s="1544"/>
      <c r="U194" s="1578"/>
    </row>
    <row r="195" spans="1:21" x14ac:dyDescent="0.2">
      <c r="A195" s="1305" t="s">
        <v>2154</v>
      </c>
      <c r="B195" s="1005" t="s">
        <v>2338</v>
      </c>
      <c r="C195" s="1072"/>
      <c r="D195" s="1006" t="s">
        <v>8</v>
      </c>
      <c r="E195" s="1307">
        <f t="shared" ref="E195:P195" ca="1" si="108">+E15-E192</f>
        <v>0</v>
      </c>
      <c r="F195" s="1307">
        <f t="shared" ca="1" si="108"/>
        <v>0</v>
      </c>
      <c r="G195" s="1307">
        <f t="shared" ca="1" si="108"/>
        <v>27.923404255319156</v>
      </c>
      <c r="H195" s="1307">
        <f t="shared" ca="1" si="108"/>
        <v>107.04767441860464</v>
      </c>
      <c r="I195" s="1307">
        <f t="shared" ca="1" si="108"/>
        <v>170.00301218161684</v>
      </c>
      <c r="J195" s="1307">
        <f t="shared" ca="1" si="108"/>
        <v>186.86923237816356</v>
      </c>
      <c r="K195" s="1307">
        <f t="shared" ca="1" si="108"/>
        <v>198.45988258317024</v>
      </c>
      <c r="L195" s="1307">
        <f t="shared" ca="1" si="108"/>
        <v>174.37092288242729</v>
      </c>
      <c r="M195" s="1307">
        <f t="shared" ca="1" si="108"/>
        <v>159.03096663815228</v>
      </c>
      <c r="N195" s="1307">
        <f t="shared" ca="1" si="108"/>
        <v>74.917164179104489</v>
      </c>
      <c r="O195" s="1307">
        <f t="shared" ca="1" si="108"/>
        <v>0</v>
      </c>
      <c r="P195" s="1307">
        <f t="shared" ca="1" si="108"/>
        <v>0</v>
      </c>
      <c r="Q195" s="1307">
        <f ca="1">SUM(E195:P195)</f>
        <v>1098.6222595165584</v>
      </c>
      <c r="R195" s="1026"/>
      <c r="S195" s="1752" t="s">
        <v>2350</v>
      </c>
      <c r="T195" s="1588"/>
      <c r="U195" s="1013"/>
    </row>
    <row r="196" spans="1:21" x14ac:dyDescent="0.2">
      <c r="A196" s="1308" t="s">
        <v>2153</v>
      </c>
      <c r="B196" s="1005" t="s">
        <v>2339</v>
      </c>
      <c r="C196" s="1072"/>
      <c r="D196" s="1006" t="s">
        <v>8</v>
      </c>
      <c r="E196" s="1307">
        <f t="shared" ref="E196:P196" ca="1" si="109">+E16-E193</f>
        <v>0</v>
      </c>
      <c r="F196" s="1307">
        <f t="shared" ca="1" si="109"/>
        <v>0</v>
      </c>
      <c r="G196" s="1307">
        <f t="shared" ca="1" si="109"/>
        <v>11.846292714377824</v>
      </c>
      <c r="H196" s="1307">
        <f t="shared" ca="1" si="109"/>
        <v>32.438689217758977</v>
      </c>
      <c r="I196" s="1307">
        <f t="shared" ca="1" si="109"/>
        <v>25.454996476391827</v>
      </c>
      <c r="J196" s="1307">
        <f t="shared" ca="1" si="109"/>
        <v>16.690074981143795</v>
      </c>
      <c r="K196" s="1307">
        <f t="shared" ca="1" si="109"/>
        <v>21.048775425487754</v>
      </c>
      <c r="L196" s="1307">
        <f t="shared" ca="1" si="109"/>
        <v>24.658514347009927</v>
      </c>
      <c r="M196" s="1307">
        <f t="shared" ca="1" si="109"/>
        <v>42.167301760116132</v>
      </c>
      <c r="N196" s="1307">
        <f t="shared" ca="1" si="109"/>
        <v>26.485866123925831</v>
      </c>
      <c r="O196" s="1307">
        <f t="shared" ca="1" si="109"/>
        <v>0</v>
      </c>
      <c r="P196" s="1307">
        <f t="shared" ca="1" si="109"/>
        <v>0</v>
      </c>
      <c r="Q196" s="1307">
        <f t="shared" ref="Q196" ca="1" si="110">SUM(E196:P196)</f>
        <v>200.79051104621206</v>
      </c>
      <c r="R196" s="1026"/>
      <c r="S196" s="1752" t="s">
        <v>2350</v>
      </c>
      <c r="T196"/>
      <c r="U196" s="1013"/>
    </row>
    <row r="197" spans="1:21" x14ac:dyDescent="0.2">
      <c r="A197" s="1297" t="s">
        <v>2285</v>
      </c>
      <c r="B197" s="1005" t="s">
        <v>2340</v>
      </c>
      <c r="C197" s="1005"/>
      <c r="D197" s="1006" t="s">
        <v>8</v>
      </c>
      <c r="E197" s="1307">
        <f t="shared" ref="E197:P197" ca="1" si="111">+E17-E194</f>
        <v>0</v>
      </c>
      <c r="F197" s="1307">
        <f t="shared" ca="1" si="111"/>
        <v>0</v>
      </c>
      <c r="G197" s="1307">
        <f t="shared" ca="1" si="111"/>
        <v>0</v>
      </c>
      <c r="H197" s="1307">
        <f t="shared" ca="1" si="111"/>
        <v>0</v>
      </c>
      <c r="I197" s="1307">
        <f t="shared" ca="1" si="111"/>
        <v>0</v>
      </c>
      <c r="J197" s="1307">
        <f t="shared" ca="1" si="111"/>
        <v>0</v>
      </c>
      <c r="K197" s="1307">
        <f t="shared" ca="1" si="111"/>
        <v>0</v>
      </c>
      <c r="L197" s="1307">
        <f t="shared" ca="1" si="111"/>
        <v>0</v>
      </c>
      <c r="M197" s="1307">
        <f t="shared" ca="1" si="111"/>
        <v>0</v>
      </c>
      <c r="N197" s="1307">
        <f t="shared" ca="1" si="111"/>
        <v>0</v>
      </c>
      <c r="O197" s="1307">
        <f t="shared" ca="1" si="111"/>
        <v>0</v>
      </c>
      <c r="P197" s="1307">
        <f t="shared" ca="1" si="111"/>
        <v>0</v>
      </c>
      <c r="Q197" s="1307">
        <f t="shared" ref="Q197" ca="1" si="112">SUM(E197:P197)</f>
        <v>0</v>
      </c>
      <c r="R197" s="1026"/>
      <c r="S197" s="1752" t="s">
        <v>2350</v>
      </c>
      <c r="T197" s="1544"/>
      <c r="U197" s="1013"/>
    </row>
    <row r="198" spans="1:21" x14ac:dyDescent="0.2">
      <c r="A198" s="1297"/>
      <c r="B198" s="1005"/>
      <c r="C198" s="1005"/>
      <c r="D198" s="1006"/>
      <c r="E198" s="1115"/>
      <c r="F198" s="1115"/>
      <c r="G198" s="1115"/>
      <c r="H198" s="1115"/>
      <c r="I198" s="1115"/>
      <c r="J198" s="1115"/>
      <c r="K198" s="1115"/>
      <c r="L198" s="1115"/>
      <c r="M198" s="1115"/>
      <c r="N198" s="1115"/>
      <c r="O198" s="1115"/>
      <c r="P198" s="1115"/>
      <c r="Q198" s="1026"/>
      <c r="R198" s="1026"/>
      <c r="S198" s="1719"/>
      <c r="T198" s="1008"/>
      <c r="U198" s="1013"/>
    </row>
    <row r="199" spans="1:21" x14ac:dyDescent="0.2">
      <c r="A199" s="1297" t="s">
        <v>2157</v>
      </c>
      <c r="B199" s="1005"/>
      <c r="C199" s="1005"/>
      <c r="D199" s="1006"/>
      <c r="E199" s="1115"/>
      <c r="F199" s="1115"/>
      <c r="G199" s="1115"/>
      <c r="H199" s="1115"/>
      <c r="I199" s="1115"/>
      <c r="J199" s="1115"/>
      <c r="K199" s="1115"/>
      <c r="L199" s="1115"/>
      <c r="M199" s="1115"/>
      <c r="N199" s="1115"/>
      <c r="O199" s="1115"/>
      <c r="P199" s="1115"/>
      <c r="Q199" s="1026"/>
      <c r="R199" s="1026"/>
      <c r="S199" s="1719"/>
      <c r="T199" s="1008"/>
      <c r="U199" s="1013"/>
    </row>
    <row r="200" spans="1:21" x14ac:dyDescent="0.2">
      <c r="A200" s="1305" t="s">
        <v>2154</v>
      </c>
      <c r="B200" s="1005" t="s">
        <v>2338</v>
      </c>
      <c r="C200" s="1005"/>
      <c r="D200" s="1006" t="s">
        <v>8</v>
      </c>
      <c r="E200" s="1307">
        <f ca="1">IF($R$157='National options'!$R$11,E195,E184)</f>
        <v>16.30869565393343</v>
      </c>
      <c r="F200" s="1307">
        <f ca="1">IF($R$157='National options'!$R$11,F195,F184)</f>
        <v>26.018845129617269</v>
      </c>
      <c r="G200" s="1307">
        <f ca="1">IF($R$157='National options'!$R$11,G195,G184)</f>
        <v>73.436510055411304</v>
      </c>
      <c r="H200" s="1307">
        <f ca="1">IF($R$157='National options'!$R$11,H195,H184)</f>
        <v>128.87312336174872</v>
      </c>
      <c r="I200" s="1307">
        <f ca="1">IF($R$157='National options'!$R$11,I195,I184)</f>
        <v>186.59250218438433</v>
      </c>
      <c r="J200" s="1307">
        <f ca="1">IF($R$157='National options'!$R$11,J195,J184)</f>
        <v>211.00971431792044</v>
      </c>
      <c r="K200" s="1307">
        <f ca="1">IF($R$157='National options'!$R$11,K195,K184)</f>
        <v>221.79637972336781</v>
      </c>
      <c r="L200" s="1307">
        <f ca="1">IF($R$157='National options'!$R$11,L195,L184)</f>
        <v>195.19829157700457</v>
      </c>
      <c r="M200" s="1307">
        <f ca="1">IF($R$157='National options'!$R$11,M195,M184)</f>
        <v>168.58995728036479</v>
      </c>
      <c r="N200" s="1307">
        <f ca="1">IF($R$157='National options'!$R$11,N195,N184)</f>
        <v>99.69534959022981</v>
      </c>
      <c r="O200" s="1307">
        <f ca="1">IF($R$157='National options'!$R$11,O195,O184)</f>
        <v>59.837081000556076</v>
      </c>
      <c r="P200" s="1307">
        <f ca="1">IF($R$157='National options'!$R$11,P195,P184)</f>
        <v>42.150197615877033</v>
      </c>
      <c r="Q200" s="1307">
        <f ca="1">SUM(E200:P200)</f>
        <v>1429.5066474904156</v>
      </c>
      <c r="R200" s="1026"/>
      <c r="S200" s="1719" t="s">
        <v>1968</v>
      </c>
      <c r="T200" s="1008" t="s">
        <v>2295</v>
      </c>
      <c r="U200" s="1013" t="s">
        <v>2296</v>
      </c>
    </row>
    <row r="201" spans="1:21" x14ac:dyDescent="0.2">
      <c r="A201" s="1308" t="s">
        <v>2153</v>
      </c>
      <c r="B201" s="1005" t="s">
        <v>2339</v>
      </c>
      <c r="C201" s="1005"/>
      <c r="D201" s="1006" t="s">
        <v>8</v>
      </c>
      <c r="E201" s="1307">
        <f ca="1">IF($R$157='National options'!$R$11,E196,E185)</f>
        <v>23.062801934855358</v>
      </c>
      <c r="F201" s="1307">
        <f ca="1">IF($R$157='National options'!$R$11,F196,F185)</f>
        <v>27.595744834442556</v>
      </c>
      <c r="G201" s="1307">
        <f ca="1">IF($R$157='National options'!$R$11,G196,G185)</f>
        <v>51.454261680735755</v>
      </c>
      <c r="H201" s="1307">
        <f ca="1">IF($R$157='National options'!$R$11,H196,H185)</f>
        <v>63.636363636363633</v>
      </c>
      <c r="I201" s="1307">
        <f ca="1">IF($R$157='National options'!$R$11,I196,I185)</f>
        <v>38.181818181818187</v>
      </c>
      <c r="J201" s="1307">
        <f ca="1">IF($R$157='National options'!$R$11,J196,J185)</f>
        <v>25.454545454545453</v>
      </c>
      <c r="K201" s="1307">
        <f ca="1">IF($R$157='National options'!$R$11,K196,K185)</f>
        <v>31.818181818181817</v>
      </c>
      <c r="L201" s="1307">
        <f ca="1">IF($R$157='National options'!$R$11,L196,L185)</f>
        <v>38.181818181818187</v>
      </c>
      <c r="M201" s="1307">
        <f ca="1">IF($R$157='National options'!$R$11,M196,M185)</f>
        <v>63.636363636363633</v>
      </c>
      <c r="N201" s="1307">
        <f ca="1">IF($R$157='National options'!$R$11,N196,N185)</f>
        <v>63.636363636363633</v>
      </c>
      <c r="O201" s="1307">
        <f ca="1">IF($R$157='National options'!$R$11,O196,O185)</f>
        <v>31.731785379082766</v>
      </c>
      <c r="P201" s="1307">
        <f ca="1">IF($R$157='National options'!$R$11,P196,P185)</f>
        <v>29.803170031428209</v>
      </c>
      <c r="Q201" s="1307">
        <f t="shared" ref="Q201:Q202" ca="1" si="113">SUM(E201:P201)</f>
        <v>488.19321840599912</v>
      </c>
      <c r="R201" s="1026"/>
      <c r="S201" s="1719" t="s">
        <v>1968</v>
      </c>
      <c r="T201" s="1008" t="s">
        <v>2295</v>
      </c>
      <c r="U201" s="1013" t="s">
        <v>2296</v>
      </c>
    </row>
    <row r="202" spans="1:21" x14ac:dyDescent="0.2">
      <c r="A202" s="1297" t="s">
        <v>2285</v>
      </c>
      <c r="B202" s="1005" t="s">
        <v>2340</v>
      </c>
      <c r="C202" s="1005"/>
      <c r="D202" s="1006" t="s">
        <v>8</v>
      </c>
      <c r="E202" s="1307">
        <f ca="1">IF($R$157='National options'!$R$11,E197,E186)</f>
        <v>0</v>
      </c>
      <c r="F202" s="1307">
        <f ca="1">IF($R$157='National options'!$R$11,F197,F186)</f>
        <v>0</v>
      </c>
      <c r="G202" s="1307">
        <f ca="1">IF($R$157='National options'!$R$11,G197,G186)</f>
        <v>0</v>
      </c>
      <c r="H202" s="1307">
        <f ca="1">IF($R$157='National options'!$R$11,H197,H186)</f>
        <v>0</v>
      </c>
      <c r="I202" s="1307">
        <f ca="1">IF($R$157='National options'!$R$11,I197,I186)</f>
        <v>0</v>
      </c>
      <c r="J202" s="1307">
        <f ca="1">IF($R$157='National options'!$R$11,J197,J186)</f>
        <v>0</v>
      </c>
      <c r="K202" s="1307">
        <f ca="1">IF($R$157='National options'!$R$11,K197,K186)</f>
        <v>0</v>
      </c>
      <c r="L202" s="1307">
        <f ca="1">IF($R$157='National options'!$R$11,L197,L186)</f>
        <v>0</v>
      </c>
      <c r="M202" s="1307">
        <f ca="1">IF($R$157='National options'!$R$11,M197,M186)</f>
        <v>0</v>
      </c>
      <c r="N202" s="1307">
        <f ca="1">IF($R$157='National options'!$R$11,N197,N186)</f>
        <v>0</v>
      </c>
      <c r="O202" s="1307">
        <f ca="1">IF($R$157='National options'!$R$11,O197,O186)</f>
        <v>0</v>
      </c>
      <c r="P202" s="1307">
        <f ca="1">IF($R$157='National options'!$R$11,P197,P186)</f>
        <v>0</v>
      </c>
      <c r="Q202" s="1307">
        <f t="shared" ca="1" si="113"/>
        <v>0</v>
      </c>
      <c r="R202" s="1026"/>
      <c r="S202" s="1719" t="s">
        <v>1968</v>
      </c>
      <c r="T202" s="1008" t="s">
        <v>2295</v>
      </c>
      <c r="U202" s="1013" t="s">
        <v>2296</v>
      </c>
    </row>
    <row r="203" spans="1:21" x14ac:dyDescent="0.2">
      <c r="A203" s="1297"/>
      <c r="B203" s="1005"/>
      <c r="C203" s="1005"/>
      <c r="D203" s="1006"/>
      <c r="E203" s="1115"/>
      <c r="F203" s="1115"/>
      <c r="G203" s="1115"/>
      <c r="H203" s="1115"/>
      <c r="I203" s="1115"/>
      <c r="J203" s="1115"/>
      <c r="K203" s="1115"/>
      <c r="L203" s="1115"/>
      <c r="M203" s="1115"/>
      <c r="N203" s="1115"/>
      <c r="O203" s="1115"/>
      <c r="P203" s="1115"/>
      <c r="Q203" s="1026"/>
      <c r="R203" s="1026"/>
      <c r="S203" s="1719"/>
      <c r="T203" s="1008"/>
      <c r="U203" s="1013"/>
    </row>
    <row r="204" spans="1:21" x14ac:dyDescent="0.2">
      <c r="A204" s="1297" t="s">
        <v>2158</v>
      </c>
      <c r="B204" s="1005" t="s">
        <v>2349</v>
      </c>
      <c r="C204" s="1005"/>
      <c r="D204" s="1006" t="s">
        <v>8</v>
      </c>
      <c r="E204" s="1307">
        <f ca="1">SUM(E200:E202)</f>
        <v>39.371497588788785</v>
      </c>
      <c r="F204" s="1307">
        <f t="shared" ref="F204:P204" ca="1" si="114">SUM(F200:F202)</f>
        <v>53.614589964059824</v>
      </c>
      <c r="G204" s="1307">
        <f t="shared" ca="1" si="114"/>
        <v>124.89077173614706</v>
      </c>
      <c r="H204" s="1307">
        <f t="shared" ca="1" si="114"/>
        <v>192.50948699811235</v>
      </c>
      <c r="I204" s="1307">
        <f t="shared" ca="1" si="114"/>
        <v>224.77432036620252</v>
      </c>
      <c r="J204" s="1307">
        <f t="shared" ca="1" si="114"/>
        <v>236.46425977246588</v>
      </c>
      <c r="K204" s="1307">
        <f t="shared" ca="1" si="114"/>
        <v>253.61456154154962</v>
      </c>
      <c r="L204" s="1307">
        <f t="shared" ca="1" si="114"/>
        <v>233.38010975882275</v>
      </c>
      <c r="M204" s="1307">
        <f t="shared" ca="1" si="114"/>
        <v>232.22632091672841</v>
      </c>
      <c r="N204" s="1307">
        <f t="shared" ca="1" si="114"/>
        <v>163.33171322659345</v>
      </c>
      <c r="O204" s="1307">
        <f t="shared" ca="1" si="114"/>
        <v>91.568866379638848</v>
      </c>
      <c r="P204" s="1307">
        <f t="shared" ca="1" si="114"/>
        <v>71.953367647305242</v>
      </c>
      <c r="Q204" s="1307">
        <f ca="1">SUM(E204:P204)</f>
        <v>1917.6998658964146</v>
      </c>
      <c r="R204" s="1026"/>
      <c r="S204" s="1719" t="s">
        <v>1968</v>
      </c>
      <c r="T204" s="1008"/>
      <c r="U204" s="1587" t="s">
        <v>2351</v>
      </c>
    </row>
    <row r="205" spans="1:21" x14ac:dyDescent="0.2">
      <c r="A205" s="1297"/>
      <c r="B205" s="1005"/>
      <c r="C205" s="1005"/>
      <c r="D205" s="1006"/>
      <c r="E205" s="1115"/>
      <c r="F205" s="1115"/>
      <c r="G205" s="1115"/>
      <c r="H205" s="1115"/>
      <c r="I205" s="1115"/>
      <c r="J205" s="1115"/>
      <c r="K205" s="1115"/>
      <c r="L205" s="1115"/>
      <c r="M205" s="1115"/>
      <c r="N205" s="1115"/>
      <c r="O205" s="1115"/>
      <c r="P205" s="1115"/>
      <c r="Q205" s="1026"/>
      <c r="R205" s="1026"/>
      <c r="S205" s="1719"/>
      <c r="T205" s="1008"/>
      <c r="U205" s="1013"/>
    </row>
    <row r="206" spans="1:21" ht="27.75" customHeight="1" x14ac:dyDescent="0.2">
      <c r="A206" s="1125" t="s">
        <v>1950</v>
      </c>
      <c r="B206" s="1127" t="s">
        <v>1949</v>
      </c>
      <c r="C206" s="1005"/>
      <c r="D206" s="1006"/>
      <c r="E206" s="1114">
        <f ca="1">IF(E$204&gt;0,(E$200*E138+E153*E$201+E$202*E140)/E$204,0)</f>
        <v>1.1966527196652723</v>
      </c>
      <c r="F206" s="1114">
        <f t="shared" ref="F206:P206" ca="1" si="115">IF(F$204&gt;0,(F$200*F138+F153*F$201+F$202*F140)/F$204,0)</f>
        <v>1.0514705882352942</v>
      </c>
      <c r="G206" s="1114">
        <f t="shared" ca="1" si="115"/>
        <v>0.84164509950344579</v>
      </c>
      <c r="H206" s="1114">
        <f t="shared" ca="1" si="115"/>
        <v>0.67529139486655387</v>
      </c>
      <c r="I206" s="1114">
        <f t="shared" ca="1" si="115"/>
        <v>0.34701472958709145</v>
      </c>
      <c r="J206" s="1114">
        <f t="shared" ca="1" si="115"/>
        <v>0.21990638268140911</v>
      </c>
      <c r="K206" s="1114">
        <f t="shared" ca="1" si="115"/>
        <v>0.25629443201095953</v>
      </c>
      <c r="L206" s="1114">
        <f t="shared" ca="1" si="115"/>
        <v>0.33421871332825226</v>
      </c>
      <c r="M206" s="1114">
        <f t="shared" ca="1" si="115"/>
        <v>0.55979873205938324</v>
      </c>
      <c r="N206" s="1114">
        <f t="shared" ca="1" si="115"/>
        <v>0.79592626215613327</v>
      </c>
      <c r="O206" s="1114">
        <f t="shared" ca="1" si="115"/>
        <v>0.70792079207920799</v>
      </c>
      <c r="P206" s="1114">
        <f t="shared" ca="1" si="115"/>
        <v>0.84615384615384637</v>
      </c>
      <c r="Q206" s="1026"/>
      <c r="R206" s="1026"/>
      <c r="S206" s="1752" t="s">
        <v>2318</v>
      </c>
      <c r="T206"/>
      <c r="U206" s="1013"/>
    </row>
    <row r="207" spans="1:21" ht="27.75" customHeight="1" x14ac:dyDescent="0.2">
      <c r="A207" s="1126"/>
      <c r="B207" s="1128" t="s">
        <v>1948</v>
      </c>
      <c r="C207" s="1005"/>
      <c r="D207" s="1006"/>
      <c r="E207" s="1115">
        <f ca="1">IF(E$204&gt;0,(E$200*E139+E154*E$201+E$202*E141)/E$204,0)</f>
        <v>0.41422594142259417</v>
      </c>
      <c r="F207" s="1115">
        <f t="shared" ref="F207:P207" ca="1" si="116">IF(F$204&gt;0,(F$200*F139+F154*F$201+F$202*F141)/F$204,0)</f>
        <v>0.48529411764705882</v>
      </c>
      <c r="G207" s="1115">
        <f t="shared" ca="1" si="116"/>
        <v>0.58800589534796366</v>
      </c>
      <c r="H207" s="1115">
        <f t="shared" ca="1" si="116"/>
        <v>0.669437778736652</v>
      </c>
      <c r="I207" s="1115">
        <f t="shared" ca="1" si="116"/>
        <v>0.8301326498524727</v>
      </c>
      <c r="J207" s="1115">
        <f t="shared" ca="1" si="116"/>
        <v>0.89235351896714254</v>
      </c>
      <c r="K207" s="1115">
        <f t="shared" ca="1" si="116"/>
        <v>0.8745411871275024</v>
      </c>
      <c r="L207" s="1115">
        <f t="shared" ca="1" si="116"/>
        <v>0.83639643403512132</v>
      </c>
      <c r="M207" s="1115">
        <f t="shared" ca="1" si="116"/>
        <v>0.72597264864225997</v>
      </c>
      <c r="N207" s="1115">
        <f t="shared" ca="1" si="116"/>
        <v>0.610385745797697</v>
      </c>
      <c r="O207" s="1115">
        <f t="shared" ca="1" si="116"/>
        <v>0.65346534653465338</v>
      </c>
      <c r="P207" s="1115">
        <f t="shared" ca="1" si="116"/>
        <v>0.58579881656804733</v>
      </c>
      <c r="Q207" s="1026"/>
      <c r="R207" s="1026"/>
      <c r="S207" s="1752" t="s">
        <v>2318</v>
      </c>
      <c r="T207" s="1544"/>
      <c r="U207" s="1013"/>
    </row>
    <row r="208" spans="1:21" ht="34.5" customHeight="1" x14ac:dyDescent="0.2">
      <c r="A208" s="1833" t="s">
        <v>1951</v>
      </c>
      <c r="B208" s="1124"/>
      <c r="C208" s="1005"/>
      <c r="D208" s="1006"/>
      <c r="E208" s="1026"/>
      <c r="F208" s="1026"/>
      <c r="G208" s="1026"/>
      <c r="H208" s="1026"/>
      <c r="I208" s="1026"/>
      <c r="J208" s="1026"/>
      <c r="K208" s="1026"/>
      <c r="L208" s="1026"/>
      <c r="M208" s="1026"/>
      <c r="N208" s="1026"/>
      <c r="O208" s="1026"/>
      <c r="P208" s="1026"/>
      <c r="Q208" s="1026"/>
      <c r="R208" s="1026"/>
      <c r="S208" s="1719"/>
      <c r="T208" s="1008"/>
      <c r="U208" s="1013"/>
    </row>
    <row r="209" spans="1:21" ht="15" customHeight="1" x14ac:dyDescent="0.2">
      <c r="A209" s="1122" t="s">
        <v>1938</v>
      </c>
      <c r="B209" s="1670" t="s">
        <v>2355</v>
      </c>
      <c r="C209" s="1005"/>
      <c r="D209" s="1006" t="s">
        <v>8</v>
      </c>
      <c r="E209" s="1116">
        <f t="shared" ref="E209:P209" ca="1" si="117">+E28*E206</f>
        <v>0</v>
      </c>
      <c r="F209" s="1116">
        <f t="shared" ca="1" si="117"/>
        <v>0</v>
      </c>
      <c r="G209" s="1116">
        <f t="shared" ca="1" si="117"/>
        <v>0</v>
      </c>
      <c r="H209" s="1116">
        <f t="shared" ca="1" si="117"/>
        <v>0</v>
      </c>
      <c r="I209" s="1116">
        <f t="shared" ca="1" si="117"/>
        <v>0</v>
      </c>
      <c r="J209" s="1116">
        <f t="shared" ca="1" si="117"/>
        <v>0</v>
      </c>
      <c r="K209" s="1116">
        <f t="shared" ca="1" si="117"/>
        <v>0</v>
      </c>
      <c r="L209" s="1116">
        <f t="shared" ca="1" si="117"/>
        <v>0</v>
      </c>
      <c r="M209" s="1116">
        <f t="shared" ca="1" si="117"/>
        <v>0</v>
      </c>
      <c r="N209" s="1116">
        <f t="shared" ca="1" si="117"/>
        <v>0</v>
      </c>
      <c r="O209" s="1116">
        <f t="shared" ca="1" si="117"/>
        <v>0</v>
      </c>
      <c r="P209" s="1116">
        <f t="shared" ca="1" si="117"/>
        <v>0</v>
      </c>
      <c r="Q209" s="1139">
        <f t="shared" ref="Q209:Q216" ca="1" si="118">SUM(E209:P209)</f>
        <v>0</v>
      </c>
      <c r="R209" s="1026"/>
      <c r="S209" s="1752" t="s">
        <v>2367</v>
      </c>
      <c r="T209" s="1008"/>
      <c r="U209" s="1013"/>
    </row>
    <row r="210" spans="1:21" ht="15" customHeight="1" x14ac:dyDescent="0.2">
      <c r="A210" s="1123"/>
      <c r="B210" s="1671" t="s">
        <v>2356</v>
      </c>
      <c r="C210" s="1005"/>
      <c r="D210" s="1006" t="s">
        <v>8</v>
      </c>
      <c r="E210" s="1117">
        <f t="shared" ref="E210:P210" ca="1" si="119">+E28*E207</f>
        <v>0</v>
      </c>
      <c r="F210" s="1117">
        <f t="shared" ca="1" si="119"/>
        <v>0</v>
      </c>
      <c r="G210" s="1117">
        <f t="shared" ca="1" si="119"/>
        <v>0</v>
      </c>
      <c r="H210" s="1117">
        <f t="shared" ca="1" si="119"/>
        <v>0</v>
      </c>
      <c r="I210" s="1117">
        <f t="shared" ca="1" si="119"/>
        <v>0</v>
      </c>
      <c r="J210" s="1117">
        <f t="shared" ca="1" si="119"/>
        <v>0</v>
      </c>
      <c r="K210" s="1117">
        <f t="shared" ca="1" si="119"/>
        <v>0</v>
      </c>
      <c r="L210" s="1117">
        <f t="shared" ca="1" si="119"/>
        <v>0</v>
      </c>
      <c r="M210" s="1117">
        <f t="shared" ca="1" si="119"/>
        <v>0</v>
      </c>
      <c r="N210" s="1117">
        <f t="shared" ca="1" si="119"/>
        <v>0</v>
      </c>
      <c r="O210" s="1117">
        <f t="shared" ca="1" si="119"/>
        <v>0</v>
      </c>
      <c r="P210" s="1117">
        <f t="shared" ca="1" si="119"/>
        <v>0</v>
      </c>
      <c r="Q210" s="1140">
        <f t="shared" ca="1" si="118"/>
        <v>0</v>
      </c>
      <c r="R210" s="1026"/>
      <c r="S210" s="1752" t="s">
        <v>2367</v>
      </c>
      <c r="T210" s="1008"/>
      <c r="U210" s="1013"/>
    </row>
    <row r="211" spans="1:21" ht="15" customHeight="1" x14ac:dyDescent="0.2">
      <c r="A211" s="1122" t="s">
        <v>1861</v>
      </c>
      <c r="B211" s="1129" t="s">
        <v>1940</v>
      </c>
      <c r="C211" s="1005"/>
      <c r="D211" s="1006" t="s">
        <v>8</v>
      </c>
      <c r="E211" s="1116">
        <f t="shared" ref="E211:P211" ca="1" si="120">+E42*E206</f>
        <v>0</v>
      </c>
      <c r="F211" s="1116">
        <f t="shared" ca="1" si="120"/>
        <v>0</v>
      </c>
      <c r="G211" s="1116">
        <f t="shared" ca="1" si="120"/>
        <v>8.146840918236375</v>
      </c>
      <c r="H211" s="1116">
        <f t="shared" ca="1" si="120"/>
        <v>22.926139106938773</v>
      </c>
      <c r="I211" s="1116">
        <f t="shared" ca="1" si="120"/>
        <v>16.508565394640605</v>
      </c>
      <c r="J211" s="1116">
        <f t="shared" ca="1" si="120"/>
        <v>10.895238820331587</v>
      </c>
      <c r="K211" s="1116">
        <f t="shared" ca="1" si="120"/>
        <v>13.693005449644224</v>
      </c>
      <c r="L211" s="1116">
        <f t="shared" ca="1" si="120"/>
        <v>16.190342383237002</v>
      </c>
      <c r="M211" s="1116">
        <f t="shared" ca="1" si="120"/>
        <v>27.413475817349511</v>
      </c>
      <c r="N211" s="1116">
        <f t="shared" ca="1" si="120"/>
        <v>19.644081326019517</v>
      </c>
      <c r="O211" s="1116">
        <f t="shared" ca="1" si="120"/>
        <v>0</v>
      </c>
      <c r="P211" s="1116">
        <f t="shared" ca="1" si="120"/>
        <v>0</v>
      </c>
      <c r="Q211" s="1139">
        <f t="shared" ca="1" si="118"/>
        <v>135.41768921639758</v>
      </c>
      <c r="R211" s="1026"/>
      <c r="S211" s="1752" t="s">
        <v>2368</v>
      </c>
      <c r="T211" s="1008"/>
      <c r="U211" s="1013"/>
    </row>
    <row r="212" spans="1:21" ht="15" customHeight="1" x14ac:dyDescent="0.2">
      <c r="A212" s="1123"/>
      <c r="B212" s="1130" t="s">
        <v>1939</v>
      </c>
      <c r="C212" s="1005"/>
      <c r="D212" s="1006" t="s">
        <v>8</v>
      </c>
      <c r="E212" s="1117">
        <f t="shared" ref="E212:P212" ca="1" si="121">+E42*E207</f>
        <v>0</v>
      </c>
      <c r="F212" s="1117">
        <f t="shared" ca="1" si="121"/>
        <v>0</v>
      </c>
      <c r="G212" s="1117">
        <f t="shared" ca="1" si="121"/>
        <v>5.6916989016050161</v>
      </c>
      <c r="H212" s="1117">
        <f t="shared" ca="1" si="121"/>
        <v>22.727408871824093</v>
      </c>
      <c r="I212" s="1117">
        <f t="shared" ca="1" si="121"/>
        <v>39.491981082827273</v>
      </c>
      <c r="J212" s="1117">
        <f t="shared" ca="1" si="121"/>
        <v>44.211562132763156</v>
      </c>
      <c r="K212" s="1117">
        <f t="shared" ca="1" si="121"/>
        <v>46.723985173283616</v>
      </c>
      <c r="L212" s="1117">
        <f t="shared" ca="1" si="121"/>
        <v>40.517015041726033</v>
      </c>
      <c r="M212" s="1117">
        <f t="shared" ca="1" si="121"/>
        <v>35.551051668871288</v>
      </c>
      <c r="N212" s="1117">
        <f t="shared" ca="1" si="121"/>
        <v>15.064796578280161</v>
      </c>
      <c r="O212" s="1117">
        <f t="shared" ca="1" si="121"/>
        <v>0</v>
      </c>
      <c r="P212" s="1117">
        <f t="shared" ca="1" si="121"/>
        <v>0</v>
      </c>
      <c r="Q212" s="1140">
        <f t="shared" ca="1" si="118"/>
        <v>249.97949945118063</v>
      </c>
      <c r="R212" s="1026"/>
      <c r="S212" s="1752" t="s">
        <v>2368</v>
      </c>
      <c r="T212" s="1008"/>
      <c r="U212" s="1013"/>
    </row>
    <row r="213" spans="1:21" ht="15" customHeight="1" x14ac:dyDescent="0.2">
      <c r="A213" s="1122" t="s">
        <v>1941</v>
      </c>
      <c r="B213" s="1129" t="s">
        <v>1943</v>
      </c>
      <c r="C213" s="1005"/>
      <c r="D213" s="1006" t="s">
        <v>8</v>
      </c>
      <c r="E213" s="1116">
        <f t="shared" ref="E213:P213" ca="1" si="122">+E36*E206</f>
        <v>0</v>
      </c>
      <c r="F213" s="1116">
        <f t="shared" ca="1" si="122"/>
        <v>0</v>
      </c>
      <c r="G213" s="1116">
        <f t="shared" ca="1" si="122"/>
        <v>25.325129645046125</v>
      </c>
      <c r="H213" s="1116">
        <f t="shared" ca="1" si="122"/>
        <v>71.267801957924576</v>
      </c>
      <c r="I213" s="1116">
        <f t="shared" ca="1" si="122"/>
        <v>51.318242625449656</v>
      </c>
      <c r="J213" s="1116">
        <f t="shared" ca="1" si="122"/>
        <v>33.868752122186834</v>
      </c>
      <c r="K213" s="1116">
        <f t="shared" ca="1" si="122"/>
        <v>42.565841376172742</v>
      </c>
      <c r="L213" s="1116">
        <f t="shared" ca="1" si="122"/>
        <v>50.329020042031658</v>
      </c>
      <c r="M213" s="1116">
        <f t="shared" ca="1" si="122"/>
        <v>85.217059724544612</v>
      </c>
      <c r="N213" s="1116">
        <f t="shared" ca="1" si="122"/>
        <v>61.065253554376504</v>
      </c>
      <c r="O213" s="1116">
        <f t="shared" ca="1" si="122"/>
        <v>0</v>
      </c>
      <c r="P213" s="1116">
        <f t="shared" ca="1" si="122"/>
        <v>0</v>
      </c>
      <c r="Q213" s="1139">
        <f t="shared" ca="1" si="118"/>
        <v>420.95710104773269</v>
      </c>
      <c r="R213" s="1026"/>
      <c r="S213" s="1752" t="s">
        <v>2369</v>
      </c>
      <c r="T213" s="1008"/>
      <c r="U213" s="1013"/>
    </row>
    <row r="214" spans="1:21" ht="15" customHeight="1" x14ac:dyDescent="0.2">
      <c r="A214" s="1123"/>
      <c r="B214" s="1130" t="s">
        <v>1942</v>
      </c>
      <c r="C214" s="1005"/>
      <c r="D214" s="1006" t="s">
        <v>8</v>
      </c>
      <c r="E214" s="1117">
        <f t="shared" ref="E214:P214" ca="1" si="123">+E36*E207</f>
        <v>0</v>
      </c>
      <c r="F214" s="1117">
        <f t="shared" ca="1" si="123"/>
        <v>0</v>
      </c>
      <c r="G214" s="1117">
        <f t="shared" ca="1" si="123"/>
        <v>17.693117372778854</v>
      </c>
      <c r="H214" s="1117">
        <f t="shared" ca="1" si="123"/>
        <v>70.650032564956078</v>
      </c>
      <c r="I214" s="1117">
        <f t="shared" ca="1" si="123"/>
        <v>122.76409357933302</v>
      </c>
      <c r="J214" s="1117">
        <f t="shared" ca="1" si="123"/>
        <v>137.4353021078289</v>
      </c>
      <c r="K214" s="1117">
        <f t="shared" ca="1" si="123"/>
        <v>145.2453771863731</v>
      </c>
      <c r="L214" s="1117">
        <f t="shared" ca="1" si="123"/>
        <v>125.95049652499229</v>
      </c>
      <c r="M214" s="1117">
        <f t="shared" ca="1" si="123"/>
        <v>110.51338814245592</v>
      </c>
      <c r="N214" s="1117">
        <f t="shared" ca="1" si="123"/>
        <v>46.830167699381455</v>
      </c>
      <c r="O214" s="1117">
        <f t="shared" ca="1" si="123"/>
        <v>0</v>
      </c>
      <c r="P214" s="1117">
        <f t="shared" ca="1" si="123"/>
        <v>0</v>
      </c>
      <c r="Q214" s="1140">
        <f t="shared" ca="1" si="118"/>
        <v>777.0819751780997</v>
      </c>
      <c r="R214" s="1026"/>
      <c r="S214" s="1752" t="s">
        <v>2369</v>
      </c>
      <c r="T214" s="1008"/>
      <c r="U214" s="1013"/>
    </row>
    <row r="215" spans="1:21" ht="15" customHeight="1" x14ac:dyDescent="0.2">
      <c r="A215" s="1122" t="s">
        <v>1944</v>
      </c>
      <c r="B215" s="1129" t="s">
        <v>1946</v>
      </c>
      <c r="C215" s="1005"/>
      <c r="D215" s="1006" t="s">
        <v>8</v>
      </c>
      <c r="E215" s="1116">
        <f ca="1">+E213+E211+E209</f>
        <v>0</v>
      </c>
      <c r="F215" s="1116">
        <f t="shared" ref="F215:P215" ca="1" si="124">+F213+F211+F209</f>
        <v>0</v>
      </c>
      <c r="G215" s="1116">
        <f t="shared" ca="1" si="124"/>
        <v>33.471970563282497</v>
      </c>
      <c r="H215" s="1116">
        <f t="shared" ca="1" si="124"/>
        <v>94.193941064863353</v>
      </c>
      <c r="I215" s="1116">
        <f t="shared" ca="1" si="124"/>
        <v>67.826808020090255</v>
      </c>
      <c r="J215" s="1116">
        <f t="shared" ca="1" si="124"/>
        <v>44.763990942518419</v>
      </c>
      <c r="K215" s="1116">
        <f t="shared" ca="1" si="124"/>
        <v>56.258846825816967</v>
      </c>
      <c r="L215" s="1116">
        <f t="shared" ca="1" si="124"/>
        <v>66.519362425268667</v>
      </c>
      <c r="M215" s="1116">
        <f t="shared" ca="1" si="124"/>
        <v>112.63053554189412</v>
      </c>
      <c r="N215" s="1116">
        <f t="shared" ca="1" si="124"/>
        <v>80.709334880396028</v>
      </c>
      <c r="O215" s="1116">
        <f t="shared" ca="1" si="124"/>
        <v>0</v>
      </c>
      <c r="P215" s="1116">
        <f t="shared" ca="1" si="124"/>
        <v>0</v>
      </c>
      <c r="Q215" s="1139">
        <f t="shared" ca="1" si="118"/>
        <v>556.3747902641303</v>
      </c>
      <c r="R215" s="1026"/>
      <c r="S215" s="1752" t="s">
        <v>2366</v>
      </c>
      <c r="T215" s="1008"/>
      <c r="U215" s="1013"/>
    </row>
    <row r="216" spans="1:21" ht="15" customHeight="1" x14ac:dyDescent="0.2">
      <c r="A216" s="1123"/>
      <c r="B216" s="1130" t="s">
        <v>1945</v>
      </c>
      <c r="C216" s="1005"/>
      <c r="D216" s="1006" t="s">
        <v>8</v>
      </c>
      <c r="E216" s="1117">
        <f ca="1">+E214+E212+E210</f>
        <v>0</v>
      </c>
      <c r="F216" s="1117">
        <f t="shared" ref="F216:P216" ca="1" si="125">+F214+F212+F210</f>
        <v>0</v>
      </c>
      <c r="G216" s="1117">
        <f t="shared" ca="1" si="125"/>
        <v>23.384816274383869</v>
      </c>
      <c r="H216" s="1117">
        <f t="shared" ca="1" si="125"/>
        <v>93.377441436780174</v>
      </c>
      <c r="I216" s="1117">
        <f t="shared" ca="1" si="125"/>
        <v>162.2560746621603</v>
      </c>
      <c r="J216" s="1117">
        <f t="shared" ca="1" si="125"/>
        <v>181.64686424059207</v>
      </c>
      <c r="K216" s="1117">
        <f t="shared" ca="1" si="125"/>
        <v>191.96936235965671</v>
      </c>
      <c r="L216" s="1117">
        <f t="shared" ca="1" si="125"/>
        <v>166.46751156671831</v>
      </c>
      <c r="M216" s="1117">
        <f t="shared" ca="1" si="125"/>
        <v>146.06443981132722</v>
      </c>
      <c r="N216" s="1117">
        <f t="shared" ca="1" si="125"/>
        <v>61.894964277661614</v>
      </c>
      <c r="O216" s="1117">
        <f t="shared" ca="1" si="125"/>
        <v>0</v>
      </c>
      <c r="P216" s="1117">
        <f t="shared" ca="1" si="125"/>
        <v>0</v>
      </c>
      <c r="Q216" s="1140">
        <f t="shared" ca="1" si="118"/>
        <v>1027.0614746292802</v>
      </c>
      <c r="R216" s="1026"/>
      <c r="S216" s="1752" t="s">
        <v>2366</v>
      </c>
      <c r="T216" s="1008"/>
      <c r="U216" s="1013"/>
    </row>
    <row r="217" spans="1:21" ht="34.5" customHeight="1" x14ac:dyDescent="0.2">
      <c r="A217" s="1727" t="s">
        <v>1958</v>
      </c>
      <c r="B217" s="1716"/>
      <c r="C217" s="1716"/>
      <c r="D217" s="1717"/>
      <c r="E217" s="1718"/>
      <c r="F217" s="1718"/>
      <c r="G217" s="1718"/>
      <c r="H217" s="1718"/>
      <c r="I217" s="1718"/>
      <c r="J217" s="1718"/>
      <c r="K217" s="1718"/>
      <c r="L217" s="1718"/>
      <c r="M217" s="1718"/>
      <c r="N217" s="1718"/>
      <c r="O217" s="1718"/>
      <c r="P217" s="1718"/>
      <c r="Q217" s="1718"/>
      <c r="R217" s="1718"/>
      <c r="S217" s="1719"/>
      <c r="T217" s="1719"/>
      <c r="U217" s="1720"/>
    </row>
    <row r="218" spans="1:21" ht="15.75" x14ac:dyDescent="0.2">
      <c r="A218" s="1131" t="s">
        <v>1954</v>
      </c>
      <c r="B218" s="1132" t="s">
        <v>1955</v>
      </c>
      <c r="C218" s="1005"/>
      <c r="D218" s="1006" t="s">
        <v>8</v>
      </c>
      <c r="E218" s="1116">
        <f t="shared" ref="E218:P218" ca="1" si="126">+E133-E215</f>
        <v>3636.7874747474752</v>
      </c>
      <c r="F218" s="1116">
        <f t="shared" ca="1" si="126"/>
        <v>2735.0580303030306</v>
      </c>
      <c r="G218" s="1116">
        <f t="shared" ca="1" si="126"/>
        <v>1706.5280294367176</v>
      </c>
      <c r="H218" s="1116">
        <f t="shared" ca="1" si="126"/>
        <v>833.02828115735883</v>
      </c>
      <c r="I218" s="1116">
        <f t="shared" ca="1" si="126"/>
        <v>52.17319197990976</v>
      </c>
      <c r="J218" s="1116">
        <f t="shared" ca="1" si="126"/>
        <v>35.236009057481596</v>
      </c>
      <c r="K218" s="1116">
        <f t="shared" ca="1" si="126"/>
        <v>43.741153174183033</v>
      </c>
      <c r="L218" s="1116">
        <f t="shared" ca="1" si="126"/>
        <v>53.480637574731347</v>
      </c>
      <c r="M218" s="1116">
        <f t="shared" ca="1" si="126"/>
        <v>87.369464458105881</v>
      </c>
      <c r="N218" s="1116">
        <f t="shared" ca="1" si="126"/>
        <v>1060.4017762307153</v>
      </c>
      <c r="O218" s="1116">
        <f t="shared" ca="1" si="126"/>
        <v>2260.0053636363637</v>
      </c>
      <c r="P218" s="1116">
        <f t="shared" ca="1" si="126"/>
        <v>2849.3430303030304</v>
      </c>
      <c r="Q218" s="1139">
        <f ca="1">SUM(E218:P218)</f>
        <v>15353.152442059107</v>
      </c>
      <c r="R218" s="1139"/>
      <c r="S218" s="1719" t="s">
        <v>1968</v>
      </c>
      <c r="T218" s="1008"/>
      <c r="U218" s="1013" t="s">
        <v>1959</v>
      </c>
    </row>
    <row r="219" spans="1:21" ht="15.75" x14ac:dyDescent="0.2">
      <c r="A219" s="1133" t="s">
        <v>1952</v>
      </c>
      <c r="B219" s="1134" t="s">
        <v>1953</v>
      </c>
      <c r="C219" s="1005"/>
      <c r="D219" s="1006" t="s">
        <v>8</v>
      </c>
      <c r="E219" s="1117">
        <f t="shared" ref="E219:P219" ca="1" si="127">+E134-E216</f>
        <v>118.73272727272726</v>
      </c>
      <c r="F219" s="1117">
        <f t="shared" ca="1" si="127"/>
        <v>134.30939393939394</v>
      </c>
      <c r="G219" s="1117">
        <f t="shared" ca="1" si="127"/>
        <v>205.94851705894945</v>
      </c>
      <c r="H219" s="1117">
        <f t="shared" ca="1" si="127"/>
        <v>241.95589189655314</v>
      </c>
      <c r="I219" s="1117">
        <f t="shared" ca="1" si="127"/>
        <v>253.7439253378397</v>
      </c>
      <c r="J219" s="1117">
        <f t="shared" ca="1" si="127"/>
        <v>287.35313575940791</v>
      </c>
      <c r="K219" s="1117">
        <f t="shared" ca="1" si="127"/>
        <v>280.53063764034329</v>
      </c>
      <c r="L219" s="1117">
        <f t="shared" ca="1" si="127"/>
        <v>264.53248843328169</v>
      </c>
      <c r="M219" s="1117">
        <f t="shared" ca="1" si="127"/>
        <v>204.10222685533947</v>
      </c>
      <c r="N219" s="1117">
        <f t="shared" ca="1" si="127"/>
        <v>185.9383690556717</v>
      </c>
      <c r="O219" s="1117">
        <f t="shared" ca="1" si="127"/>
        <v>174.54539393939396</v>
      </c>
      <c r="P219" s="1117">
        <f t="shared" ca="1" si="127"/>
        <v>148.39939393939392</v>
      </c>
      <c r="Q219" s="1140">
        <f ca="1">SUM(E219:P219)</f>
        <v>2500.0921011282953</v>
      </c>
      <c r="R219" s="1140"/>
      <c r="S219" s="1719" t="s">
        <v>1968</v>
      </c>
      <c r="T219" s="1008"/>
      <c r="U219" s="1013" t="s">
        <v>1961</v>
      </c>
    </row>
    <row r="220" spans="1:21" ht="15.75" x14ac:dyDescent="0.2">
      <c r="A220" s="1135" t="s">
        <v>1956</v>
      </c>
      <c r="B220" s="1134" t="s">
        <v>1957</v>
      </c>
      <c r="C220" s="1005"/>
      <c r="D220" s="1006" t="s">
        <v>8</v>
      </c>
      <c r="E220" s="1138">
        <f ca="1">+E218+E219</f>
        <v>3755.5202020202023</v>
      </c>
      <c r="F220" s="1138">
        <f t="shared" ref="F220:Q220" ca="1" si="128">+F218+F219</f>
        <v>2869.3674242424245</v>
      </c>
      <c r="G220" s="1138">
        <f t="shared" ca="1" si="128"/>
        <v>1912.476546495667</v>
      </c>
      <c r="H220" s="1138">
        <f t="shared" ca="1" si="128"/>
        <v>1074.9841730539119</v>
      </c>
      <c r="I220" s="1138">
        <f t="shared" ca="1" si="128"/>
        <v>305.91711731774944</v>
      </c>
      <c r="J220" s="1138">
        <f t="shared" ca="1" si="128"/>
        <v>322.58914481688953</v>
      </c>
      <c r="K220" s="1138">
        <f t="shared" ca="1" si="128"/>
        <v>324.2717908145263</v>
      </c>
      <c r="L220" s="1138">
        <f t="shared" ca="1" si="128"/>
        <v>318.01312600801305</v>
      </c>
      <c r="M220" s="1138">
        <f t="shared" ca="1" si="128"/>
        <v>291.47169131344538</v>
      </c>
      <c r="N220" s="1138">
        <f t="shared" ca="1" si="128"/>
        <v>1246.340145286387</v>
      </c>
      <c r="O220" s="1138">
        <f t="shared" ca="1" si="128"/>
        <v>2434.5507575757574</v>
      </c>
      <c r="P220" s="1138">
        <f t="shared" ca="1" si="128"/>
        <v>2997.7424242424245</v>
      </c>
      <c r="Q220" s="1141">
        <f t="shared" ca="1" si="128"/>
        <v>17853.2445431874</v>
      </c>
      <c r="R220" s="1141"/>
      <c r="S220" s="1719" t="s">
        <v>1968</v>
      </c>
      <c r="T220" s="1008"/>
      <c r="U220" s="1013" t="s">
        <v>1960</v>
      </c>
    </row>
    <row r="221" spans="1:21" ht="15.75" thickBot="1" x14ac:dyDescent="0.25">
      <c r="A221" s="1136" t="s">
        <v>1348</v>
      </c>
      <c r="B221" s="1137"/>
      <c r="C221" s="1005"/>
      <c r="D221" s="1006"/>
      <c r="E221" s="1026"/>
      <c r="F221" s="1026"/>
      <c r="G221" s="1026"/>
      <c r="H221" s="1026"/>
      <c r="I221" s="1026"/>
      <c r="J221" s="1026"/>
      <c r="K221" s="1026"/>
      <c r="L221" s="1026"/>
      <c r="M221" s="1026"/>
      <c r="N221" s="1026"/>
      <c r="O221" s="1026"/>
      <c r="P221" s="1026"/>
      <c r="Q221" s="1142">
        <f ca="1">+Q219/Q220</f>
        <v>0.14003572824427046</v>
      </c>
      <c r="R221" s="1142"/>
      <c r="S221" s="1719" t="s">
        <v>1968</v>
      </c>
      <c r="T221" s="1008"/>
      <c r="U221" s="1013"/>
    </row>
    <row r="222" spans="1:21" ht="34.5" customHeight="1" x14ac:dyDescent="0.2">
      <c r="A222" s="1092" t="s">
        <v>1966</v>
      </c>
      <c r="B222" s="1005"/>
      <c r="C222" s="1005"/>
      <c r="D222" s="1006"/>
      <c r="E222" s="1026"/>
      <c r="F222" s="1026"/>
      <c r="G222" s="1026"/>
      <c r="H222" s="1026"/>
      <c r="I222" s="1026"/>
      <c r="J222" s="1026"/>
      <c r="K222" s="1026"/>
      <c r="L222" s="1026"/>
      <c r="M222" s="1026"/>
      <c r="N222" s="1026"/>
      <c r="O222" s="1026"/>
      <c r="P222" s="1026"/>
      <c r="Q222" s="1026"/>
      <c r="R222" s="1026"/>
      <c r="S222" s="1719"/>
      <c r="T222" s="1008"/>
      <c r="U222" s="1013"/>
    </row>
    <row r="223" spans="1:21" ht="19.5" customHeight="1" x14ac:dyDescent="0.2">
      <c r="A223" s="1020" t="s">
        <v>1967</v>
      </c>
      <c r="B223" s="1005"/>
      <c r="C223" s="1005"/>
      <c r="D223" s="1006"/>
      <c r="E223" s="1026"/>
      <c r="F223" s="1026"/>
      <c r="G223" s="1026"/>
      <c r="H223" s="1026"/>
      <c r="I223" s="1026"/>
      <c r="J223" s="1026"/>
      <c r="K223" s="1026"/>
      <c r="L223" s="1026"/>
      <c r="M223" s="1026"/>
      <c r="N223" s="1026"/>
      <c r="O223" s="1026"/>
      <c r="P223" s="1026"/>
      <c r="Q223" s="1026"/>
      <c r="R223" s="1026"/>
      <c r="S223" s="1719"/>
      <c r="T223" s="1008"/>
      <c r="U223" s="1013"/>
    </row>
    <row r="224" spans="1:21" x14ac:dyDescent="0.2">
      <c r="A224" s="1583" t="s">
        <v>1947</v>
      </c>
      <c r="B224" s="1584" t="s">
        <v>1963</v>
      </c>
      <c r="C224" s="1005"/>
      <c r="D224" s="1006"/>
      <c r="E224" s="1114">
        <f>+Method_input!G80</f>
        <v>2.2999999999999998</v>
      </c>
      <c r="F224" s="1114">
        <f>+Method_input!H80</f>
        <v>2.2999999999999998</v>
      </c>
      <c r="G224" s="1114">
        <f>+Method_input!I80</f>
        <v>2.2999999999999998</v>
      </c>
      <c r="H224" s="1114">
        <f>+Method_input!J80</f>
        <v>2.2999999999999998</v>
      </c>
      <c r="I224" s="1114">
        <f>+Method_input!K80</f>
        <v>2.2999999999999998</v>
      </c>
      <c r="J224" s="1114">
        <f>+Method_input!L80</f>
        <v>2.2999999999999998</v>
      </c>
      <c r="K224" s="1114">
        <f>+Method_input!M80</f>
        <v>2.2999999999999998</v>
      </c>
      <c r="L224" s="1114">
        <f>+Method_input!N80</f>
        <v>2.2999999999999998</v>
      </c>
      <c r="M224" s="1114">
        <f>+Method_input!O80</f>
        <v>2.2999999999999998</v>
      </c>
      <c r="N224" s="1114">
        <f>+Method_input!P80</f>
        <v>2.2999999999999998</v>
      </c>
      <c r="O224" s="1114">
        <f>+Method_input!Q80</f>
        <v>2.2999999999999998</v>
      </c>
      <c r="P224" s="1114">
        <f>+Method_input!R80</f>
        <v>2.2999999999999998</v>
      </c>
      <c r="Q224" s="1026"/>
      <c r="R224" s="1026"/>
      <c r="S224" s="1719" t="s">
        <v>1289</v>
      </c>
      <c r="T224" s="1008"/>
      <c r="U224" s="1013" t="s">
        <v>1927</v>
      </c>
    </row>
    <row r="225" spans="1:21" x14ac:dyDescent="0.2">
      <c r="A225" s="1585" t="s">
        <v>1947</v>
      </c>
      <c r="B225" s="1005" t="s">
        <v>1962</v>
      </c>
      <c r="C225" s="1005"/>
      <c r="D225" s="1006"/>
      <c r="E225" s="1115">
        <f>+Method_input!G96</f>
        <v>0.2</v>
      </c>
      <c r="F225" s="1115">
        <f>+Method_input!H96</f>
        <v>0.2</v>
      </c>
      <c r="G225" s="1115">
        <f>+Method_input!I96</f>
        <v>0.2</v>
      </c>
      <c r="H225" s="1115">
        <f>+Method_input!J96</f>
        <v>0.2</v>
      </c>
      <c r="I225" s="1115">
        <f>+Method_input!K96</f>
        <v>0.2</v>
      </c>
      <c r="J225" s="1115">
        <f>+Method_input!L96</f>
        <v>0.2</v>
      </c>
      <c r="K225" s="1115">
        <f>+Method_input!M96</f>
        <v>0.2</v>
      </c>
      <c r="L225" s="1115">
        <f>+Method_input!N96</f>
        <v>0.2</v>
      </c>
      <c r="M225" s="1115">
        <f>+Method_input!O96</f>
        <v>0.2</v>
      </c>
      <c r="N225" s="1115">
        <f>+Method_input!P96</f>
        <v>0.2</v>
      </c>
      <c r="O225" s="1115">
        <f>+Method_input!Q96</f>
        <v>0.2</v>
      </c>
      <c r="P225" s="1115">
        <f>+Method_input!R96</f>
        <v>0.2</v>
      </c>
      <c r="Q225" s="1026"/>
      <c r="R225" s="1026"/>
      <c r="S225" s="1719" t="s">
        <v>1289</v>
      </c>
      <c r="T225" s="1008"/>
      <c r="U225" s="1013" t="s">
        <v>1927</v>
      </c>
    </row>
    <row r="226" spans="1:21" x14ac:dyDescent="0.2">
      <c r="A226" s="1586" t="s">
        <v>1964</v>
      </c>
      <c r="B226" s="1584" t="s">
        <v>1963</v>
      </c>
      <c r="C226" s="1005"/>
      <c r="D226" s="1006"/>
      <c r="E226" s="1114">
        <f>+Method_input!G79</f>
        <v>2.2999999999999998</v>
      </c>
      <c r="F226" s="1114">
        <f>+Method_input!H79</f>
        <v>2.2999999999999998</v>
      </c>
      <c r="G226" s="1114">
        <f>+Method_input!I79</f>
        <v>2.2999999999999998</v>
      </c>
      <c r="H226" s="1114">
        <f>+Method_input!J79</f>
        <v>2.2999999999999998</v>
      </c>
      <c r="I226" s="1114">
        <f>+Method_input!K79</f>
        <v>2.2999999999999998</v>
      </c>
      <c r="J226" s="1114">
        <f>+Method_input!L79</f>
        <v>2.2999999999999998</v>
      </c>
      <c r="K226" s="1114">
        <f>+Method_input!M79</f>
        <v>2.2999999999999998</v>
      </c>
      <c r="L226" s="1114">
        <f>+Method_input!N79</f>
        <v>2.2999999999999998</v>
      </c>
      <c r="M226" s="1114">
        <f>+Method_input!O79</f>
        <v>2.2999999999999998</v>
      </c>
      <c r="N226" s="1114">
        <f>+Method_input!P79</f>
        <v>2.2999999999999998</v>
      </c>
      <c r="O226" s="1114">
        <f>+Method_input!Q79</f>
        <v>2.2999999999999998</v>
      </c>
      <c r="P226" s="1114">
        <f>+Method_input!R79</f>
        <v>2.2999999999999998</v>
      </c>
      <c r="Q226" s="1026"/>
      <c r="R226" s="1026"/>
      <c r="S226" s="1719" t="s">
        <v>1289</v>
      </c>
      <c r="T226" s="1008"/>
      <c r="U226" s="1013" t="s">
        <v>1927</v>
      </c>
    </row>
    <row r="227" spans="1:21" x14ac:dyDescent="0.2">
      <c r="A227" s="1586" t="s">
        <v>1964</v>
      </c>
      <c r="B227" s="1584" t="s">
        <v>1962</v>
      </c>
      <c r="C227" s="1005"/>
      <c r="D227" s="1006"/>
      <c r="E227" s="1115">
        <f>+Method_input!G95</f>
        <v>0.2</v>
      </c>
      <c r="F227" s="1115">
        <f>+Method_input!H95</f>
        <v>0.2</v>
      </c>
      <c r="G227" s="1115">
        <f>+Method_input!I95</f>
        <v>0.2</v>
      </c>
      <c r="H227" s="1115">
        <f>+Method_input!J95</f>
        <v>0.2</v>
      </c>
      <c r="I227" s="1115">
        <f>+Method_input!K95</f>
        <v>0.2</v>
      </c>
      <c r="J227" s="1115">
        <f>+Method_input!L95</f>
        <v>0.2</v>
      </c>
      <c r="K227" s="1115">
        <f>+Method_input!M95</f>
        <v>0.2</v>
      </c>
      <c r="L227" s="1115">
        <f>+Method_input!N95</f>
        <v>0.2</v>
      </c>
      <c r="M227" s="1115">
        <f>+Method_input!O95</f>
        <v>0.2</v>
      </c>
      <c r="N227" s="1115">
        <f>+Method_input!P95</f>
        <v>0.2</v>
      </c>
      <c r="O227" s="1115">
        <f>+Method_input!Q95</f>
        <v>0.2</v>
      </c>
      <c r="P227" s="1115">
        <f>+Method_input!R95</f>
        <v>0.2</v>
      </c>
      <c r="Q227" s="1026"/>
      <c r="R227" s="1026"/>
      <c r="S227" s="1719" t="s">
        <v>1289</v>
      </c>
      <c r="T227" s="1008"/>
      <c r="U227" s="1013" t="s">
        <v>1927</v>
      </c>
    </row>
    <row r="228" spans="1:21" x14ac:dyDescent="0.2">
      <c r="A228" s="1586" t="s">
        <v>1965</v>
      </c>
      <c r="B228" s="1584" t="s">
        <v>1963</v>
      </c>
      <c r="C228" s="1005"/>
      <c r="D228" s="1006"/>
      <c r="E228" s="1114">
        <f>+Method_input!G78</f>
        <v>2.2999999999999998</v>
      </c>
      <c r="F228" s="1114">
        <f>+Method_input!H78</f>
        <v>2.2999999999999998</v>
      </c>
      <c r="G228" s="1114">
        <f>+Method_input!I78</f>
        <v>2.2999999999999998</v>
      </c>
      <c r="H228" s="1114">
        <f>+Method_input!J78</f>
        <v>2.2999999999999998</v>
      </c>
      <c r="I228" s="1114">
        <f>+Method_input!K78</f>
        <v>2.2999999999999998</v>
      </c>
      <c r="J228" s="1114">
        <f>+Method_input!L78</f>
        <v>2.2999999999999998</v>
      </c>
      <c r="K228" s="1114">
        <f>+Method_input!M78</f>
        <v>2.2999999999999998</v>
      </c>
      <c r="L228" s="1114">
        <f>+Method_input!N78</f>
        <v>2.2999999999999998</v>
      </c>
      <c r="M228" s="1114">
        <f>+Method_input!O78</f>
        <v>2.2999999999999998</v>
      </c>
      <c r="N228" s="1114">
        <f>+Method_input!P78</f>
        <v>2.2999999999999998</v>
      </c>
      <c r="O228" s="1114">
        <f>+Method_input!Q78</f>
        <v>2.2999999999999998</v>
      </c>
      <c r="P228" s="1114">
        <f>+Method_input!R78</f>
        <v>2.2999999999999998</v>
      </c>
      <c r="Q228" s="1026"/>
      <c r="R228" s="1026"/>
      <c r="S228" s="1719" t="s">
        <v>1289</v>
      </c>
      <c r="T228" s="1008"/>
      <c r="U228" s="1013" t="s">
        <v>1927</v>
      </c>
    </row>
    <row r="229" spans="1:21" x14ac:dyDescent="0.2">
      <c r="A229" s="1586" t="s">
        <v>1965</v>
      </c>
      <c r="B229" s="1584" t="s">
        <v>1962</v>
      </c>
      <c r="C229" s="1005"/>
      <c r="D229" s="1006"/>
      <c r="E229" s="1115">
        <f>+Method_input!G94</f>
        <v>0.2</v>
      </c>
      <c r="F229" s="1115">
        <f>+Method_input!H94</f>
        <v>0.2</v>
      </c>
      <c r="G229" s="1115">
        <f>+Method_input!I94</f>
        <v>0.2</v>
      </c>
      <c r="H229" s="1115">
        <f>+Method_input!J94</f>
        <v>0.2</v>
      </c>
      <c r="I229" s="1115">
        <f>+Method_input!K94</f>
        <v>0.2</v>
      </c>
      <c r="J229" s="1115">
        <f>+Method_input!L94</f>
        <v>0.2</v>
      </c>
      <c r="K229" s="1115">
        <f>+Method_input!M94</f>
        <v>0.2</v>
      </c>
      <c r="L229" s="1115">
        <f>+Method_input!N94</f>
        <v>0.2</v>
      </c>
      <c r="M229" s="1115">
        <f>+Method_input!O94</f>
        <v>0.2</v>
      </c>
      <c r="N229" s="1115">
        <f>+Method_input!P94</f>
        <v>0.2</v>
      </c>
      <c r="O229" s="1115">
        <f>+Method_input!Q94</f>
        <v>0.2</v>
      </c>
      <c r="P229" s="1115">
        <f>+Method_input!R94</f>
        <v>0.2</v>
      </c>
      <c r="Q229" s="1026"/>
      <c r="R229" s="1026"/>
      <c r="S229" s="1719" t="s">
        <v>1289</v>
      </c>
      <c r="T229" s="1008"/>
      <c r="U229" s="1013" t="s">
        <v>1927</v>
      </c>
    </row>
    <row r="230" spans="1:21" ht="34.5" customHeight="1" x14ac:dyDescent="0.2">
      <c r="A230" s="1024"/>
      <c r="B230" s="1005"/>
      <c r="C230" s="1005"/>
      <c r="D230" s="1006"/>
      <c r="E230" s="1026"/>
      <c r="F230" s="1026"/>
      <c r="G230" s="1026"/>
      <c r="H230" s="1026"/>
      <c r="I230" s="1026"/>
      <c r="J230" s="1026"/>
      <c r="K230" s="1026"/>
      <c r="L230" s="1026"/>
      <c r="M230" s="1026"/>
      <c r="N230" s="1026"/>
      <c r="O230" s="1026"/>
      <c r="P230" s="1026"/>
      <c r="Q230" s="1026"/>
      <c r="R230" s="1026"/>
      <c r="S230" s="1719"/>
      <c r="T230" s="1008"/>
      <c r="U230" s="1013"/>
    </row>
    <row r="231" spans="1:21" ht="16.5" customHeight="1" x14ac:dyDescent="0.2">
      <c r="A231" s="1872" t="s">
        <v>1938</v>
      </c>
      <c r="B231" s="1118" t="s">
        <v>1980</v>
      </c>
      <c r="C231" s="1005"/>
      <c r="D231" s="1006" t="s">
        <v>8</v>
      </c>
      <c r="E231" s="1116">
        <f t="shared" ref="E231:P231" ca="1" si="129">+E29*(E224-E206)</f>
        <v>0</v>
      </c>
      <c r="F231" s="1116">
        <f t="shared" ca="1" si="129"/>
        <v>0</v>
      </c>
      <c r="G231" s="1116">
        <f t="shared" ca="1" si="129"/>
        <v>57.998332467020553</v>
      </c>
      <c r="H231" s="1116">
        <f t="shared" ca="1" si="129"/>
        <v>226.62469529877296</v>
      </c>
      <c r="I231" s="1116">
        <f t="shared" ca="1" si="129"/>
        <v>381.72661189332968</v>
      </c>
      <c r="J231" s="1116">
        <f t="shared" ca="1" si="129"/>
        <v>423.42241598388847</v>
      </c>
      <c r="K231" s="1116">
        <f t="shared" ca="1" si="129"/>
        <v>448.61106659409643</v>
      </c>
      <c r="L231" s="1116">
        <f t="shared" ca="1" si="129"/>
        <v>391.2483432024369</v>
      </c>
      <c r="M231" s="1116">
        <f t="shared" ca="1" si="129"/>
        <v>350.12548177412316</v>
      </c>
      <c r="N231" s="1116">
        <f t="shared" ca="1" si="129"/>
        <v>152.51763481657366</v>
      </c>
      <c r="O231" s="1116">
        <f t="shared" ca="1" si="129"/>
        <v>0</v>
      </c>
      <c r="P231" s="1116">
        <f t="shared" ca="1" si="129"/>
        <v>0</v>
      </c>
      <c r="Q231" s="1139">
        <f t="shared" ref="Q231:Q238" ca="1" si="130">SUM(E231:P231)</f>
        <v>2432.2745820302416</v>
      </c>
      <c r="R231" s="1026"/>
      <c r="S231" s="1752" t="s">
        <v>2371</v>
      </c>
      <c r="T231" s="1008"/>
      <c r="U231" s="1013"/>
    </row>
    <row r="232" spans="1:21" ht="16.5" customHeight="1" x14ac:dyDescent="0.2">
      <c r="A232" s="1873"/>
      <c r="B232" s="1119" t="s">
        <v>1981</v>
      </c>
      <c r="C232" s="1005"/>
      <c r="D232" s="1006" t="s">
        <v>8</v>
      </c>
      <c r="E232" s="1117">
        <f t="shared" ref="E232:P232" ca="1" si="131">+E29*(E225-E207)</f>
        <v>0</v>
      </c>
      <c r="F232" s="1117">
        <f t="shared" ca="1" si="131"/>
        <v>0</v>
      </c>
      <c r="G232" s="1117">
        <f t="shared" ca="1" si="131"/>
        <v>-15.430876880444474</v>
      </c>
      <c r="H232" s="1117">
        <f t="shared" ca="1" si="131"/>
        <v>-65.480168709507439</v>
      </c>
      <c r="I232" s="1117">
        <f t="shared" ca="1" si="131"/>
        <v>-123.16447293055855</v>
      </c>
      <c r="J232" s="1117">
        <f t="shared" ca="1" si="131"/>
        <v>-140.93500276873061</v>
      </c>
      <c r="K232" s="1117">
        <f t="shared" ca="1" si="131"/>
        <v>-148.06763075792512</v>
      </c>
      <c r="L232" s="1117">
        <f t="shared" ca="1" si="131"/>
        <v>-126.66162412083088</v>
      </c>
      <c r="M232" s="1117">
        <f t="shared" ca="1" si="131"/>
        <v>-105.82478613167355</v>
      </c>
      <c r="N232" s="1117">
        <f t="shared" ca="1" si="131"/>
        <v>-41.61435821705556</v>
      </c>
      <c r="O232" s="1117">
        <f t="shared" ca="1" si="131"/>
        <v>0</v>
      </c>
      <c r="P232" s="1117">
        <f t="shared" ca="1" si="131"/>
        <v>0</v>
      </c>
      <c r="Q232" s="1140">
        <f t="shared" ca="1" si="130"/>
        <v>-767.17892051672629</v>
      </c>
      <c r="R232" s="1026"/>
      <c r="S232" s="1752" t="s">
        <v>2371</v>
      </c>
      <c r="T232" s="1008"/>
      <c r="U232" s="1013"/>
    </row>
    <row r="233" spans="1:21" ht="16.5" customHeight="1" x14ac:dyDescent="0.2">
      <c r="A233" s="1872" t="s">
        <v>1982</v>
      </c>
      <c r="B233" s="1120" t="s">
        <v>1983</v>
      </c>
      <c r="C233" s="1005"/>
      <c r="D233" s="1006" t="s">
        <v>8</v>
      </c>
      <c r="E233" s="1116">
        <f t="shared" ref="E233:P233" ca="1" si="132">+E42*(E226-E206)</f>
        <v>0</v>
      </c>
      <c r="F233" s="1116">
        <f t="shared" ca="1" si="132"/>
        <v>0</v>
      </c>
      <c r="G233" s="1116">
        <f t="shared" ca="1" si="132"/>
        <v>14.116383952910098</v>
      </c>
      <c r="H233" s="1116">
        <f t="shared" ca="1" si="132"/>
        <v>55.158848124949941</v>
      </c>
      <c r="I233" s="1116">
        <f t="shared" ca="1" si="132"/>
        <v>92.909557728988958</v>
      </c>
      <c r="J233" s="1116">
        <f t="shared" ca="1" si="132"/>
        <v>103.05802156805431</v>
      </c>
      <c r="K233" s="1116">
        <f t="shared" ca="1" si="132"/>
        <v>109.18876099011591</v>
      </c>
      <c r="L233" s="1116">
        <f t="shared" ca="1" si="132"/>
        <v>95.227079791062621</v>
      </c>
      <c r="M233" s="1116">
        <f t="shared" ca="1" si="132"/>
        <v>85.218066144084318</v>
      </c>
      <c r="N233" s="1116">
        <f t="shared" ca="1" si="132"/>
        <v>37.121713695557311</v>
      </c>
      <c r="O233" s="1116">
        <f t="shared" ca="1" si="132"/>
        <v>0</v>
      </c>
      <c r="P233" s="1116">
        <f t="shared" ca="1" si="132"/>
        <v>0</v>
      </c>
      <c r="Q233" s="1139">
        <f t="shared" ca="1" si="130"/>
        <v>591.99843199572342</v>
      </c>
      <c r="R233" s="1026"/>
      <c r="S233" s="1752" t="s">
        <v>2372</v>
      </c>
      <c r="T233" s="1008"/>
      <c r="U233" s="1013"/>
    </row>
    <row r="234" spans="1:21" ht="16.5" customHeight="1" x14ac:dyDescent="0.2">
      <c r="A234" s="1873"/>
      <c r="B234" s="1121" t="s">
        <v>1984</v>
      </c>
      <c r="C234" s="1005"/>
      <c r="D234" s="1006" t="s">
        <v>8</v>
      </c>
      <c r="E234" s="1117">
        <f t="shared" ref="E234:P234" ca="1" si="133">+E42*(E227-E207)</f>
        <v>0</v>
      </c>
      <c r="F234" s="1117">
        <f t="shared" ca="1" si="133"/>
        <v>0</v>
      </c>
      <c r="G234" s="1117">
        <f t="shared" ca="1" si="133"/>
        <v>-3.7557663041140179</v>
      </c>
      <c r="H234" s="1117">
        <f t="shared" ca="1" si="133"/>
        <v>-15.937409982094639</v>
      </c>
      <c r="I234" s="1117">
        <f t="shared" ca="1" si="133"/>
        <v>-29.977361680772528</v>
      </c>
      <c r="J234" s="1117">
        <f t="shared" ca="1" si="133"/>
        <v>-34.30258296855569</v>
      </c>
      <c r="K234" s="1117">
        <f t="shared" ca="1" si="133"/>
        <v>-36.038614178521868</v>
      </c>
      <c r="L234" s="1117">
        <f t="shared" ca="1" si="133"/>
        <v>-30.828543548308673</v>
      </c>
      <c r="M234" s="1117">
        <f t="shared" ca="1" si="133"/>
        <v>-25.757004541790089</v>
      </c>
      <c r="N234" s="1117">
        <f t="shared" ca="1" si="133"/>
        <v>-10.128640489447394</v>
      </c>
      <c r="O234" s="1117">
        <f t="shared" ca="1" si="133"/>
        <v>0</v>
      </c>
      <c r="P234" s="1117">
        <f t="shared" ca="1" si="133"/>
        <v>0</v>
      </c>
      <c r="Q234" s="1140">
        <f t="shared" ca="1" si="130"/>
        <v>-186.72592369360493</v>
      </c>
      <c r="R234" s="1026"/>
      <c r="S234" s="1752" t="s">
        <v>2372</v>
      </c>
      <c r="T234" s="1008"/>
      <c r="U234" s="1013"/>
    </row>
    <row r="235" spans="1:21" ht="16.5" customHeight="1" x14ac:dyDescent="0.2">
      <c r="A235" s="1872" t="s">
        <v>1941</v>
      </c>
      <c r="B235" s="1120" t="s">
        <v>1985</v>
      </c>
      <c r="C235" s="1005"/>
      <c r="D235" s="1006" t="s">
        <v>8</v>
      </c>
      <c r="E235" s="1116">
        <f ca="1">+E36*(E228-E206)</f>
        <v>0</v>
      </c>
      <c r="F235" s="1116">
        <f t="shared" ref="F235:P235" ca="1" si="134">+F36*(F228-F206)</f>
        <v>0</v>
      </c>
      <c r="G235" s="1116">
        <f t="shared" ca="1" si="134"/>
        <v>43.881948514110448</v>
      </c>
      <c r="H235" s="1116">
        <f t="shared" ca="1" si="134"/>
        <v>171.46584717382305</v>
      </c>
      <c r="I235" s="1116">
        <f t="shared" ca="1" si="134"/>
        <v>288.81705416434073</v>
      </c>
      <c r="J235" s="1116">
        <f t="shared" ca="1" si="134"/>
        <v>320.36439441583411</v>
      </c>
      <c r="K235" s="1116">
        <f t="shared" ca="1" si="134"/>
        <v>339.42230560398053</v>
      </c>
      <c r="L235" s="1116">
        <f t="shared" ca="1" si="134"/>
        <v>296.02126341137432</v>
      </c>
      <c r="M235" s="1116">
        <f t="shared" ca="1" si="134"/>
        <v>264.90741563003883</v>
      </c>
      <c r="N235" s="1116">
        <f t="shared" ca="1" si="134"/>
        <v>115.39592112101633</v>
      </c>
      <c r="O235" s="1116">
        <f t="shared" ca="1" si="134"/>
        <v>0</v>
      </c>
      <c r="P235" s="1116">
        <f t="shared" ca="1" si="134"/>
        <v>0</v>
      </c>
      <c r="Q235" s="1139">
        <f t="shared" ca="1" si="130"/>
        <v>1840.2761500345182</v>
      </c>
      <c r="R235" s="1026"/>
      <c r="S235" s="1752" t="s">
        <v>2373</v>
      </c>
      <c r="T235" s="1008"/>
      <c r="U235" s="1013"/>
    </row>
    <row r="236" spans="1:21" ht="16.5" customHeight="1" thickBot="1" x14ac:dyDescent="0.25">
      <c r="A236" s="1874"/>
      <c r="B236" s="1143" t="s">
        <v>1986</v>
      </c>
      <c r="C236" s="1005"/>
      <c r="D236" s="1006" t="s">
        <v>8</v>
      </c>
      <c r="E236" s="1117">
        <f ca="1">+E36*(E229-E207)</f>
        <v>0</v>
      </c>
      <c r="F236" s="1117">
        <f t="shared" ref="F236:P236" ca="1" si="135">+F36*(F229-F207)</f>
        <v>0</v>
      </c>
      <c r="G236" s="1117">
        <f t="shared" ca="1" si="135"/>
        <v>-11.675110576330455</v>
      </c>
      <c r="H236" s="1117">
        <f t="shared" ca="1" si="135"/>
        <v>-49.54275872741281</v>
      </c>
      <c r="I236" s="1117">
        <f t="shared" ca="1" si="135"/>
        <v>-93.187111249786028</v>
      </c>
      <c r="J236" s="1117">
        <f t="shared" ca="1" si="135"/>
        <v>-106.63241980017492</v>
      </c>
      <c r="K236" s="1117">
        <f t="shared" ca="1" si="135"/>
        <v>-112.02901657940326</v>
      </c>
      <c r="L236" s="1117">
        <f t="shared" ca="1" si="135"/>
        <v>-95.833080572522206</v>
      </c>
      <c r="M236" s="1117">
        <f t="shared" ca="1" si="135"/>
        <v>-80.067781589883452</v>
      </c>
      <c r="N236" s="1117">
        <f t="shared" ca="1" si="135"/>
        <v>-31.485717727608165</v>
      </c>
      <c r="O236" s="1117">
        <f t="shared" ca="1" si="135"/>
        <v>0</v>
      </c>
      <c r="P236" s="1117">
        <f t="shared" ca="1" si="135"/>
        <v>0</v>
      </c>
      <c r="Q236" s="1140">
        <f t="shared" ca="1" si="130"/>
        <v>-580.45299682312134</v>
      </c>
      <c r="R236" s="1026"/>
      <c r="S236" s="1752" t="s">
        <v>2373</v>
      </c>
      <c r="T236" s="1008"/>
      <c r="U236" s="1013"/>
    </row>
    <row r="237" spans="1:21" ht="16.5" customHeight="1" x14ac:dyDescent="0.2">
      <c r="A237" s="1875" t="s">
        <v>1987</v>
      </c>
      <c r="B237" s="1144" t="s">
        <v>1988</v>
      </c>
      <c r="C237" s="1005"/>
      <c r="D237" s="1006" t="s">
        <v>8</v>
      </c>
      <c r="E237" s="1116">
        <f ca="1">+E231+E233+E235</f>
        <v>0</v>
      </c>
      <c r="F237" s="1116">
        <f t="shared" ref="F237:P237" ca="1" si="136">+F231+F233+F235</f>
        <v>0</v>
      </c>
      <c r="G237" s="1116">
        <f t="shared" ca="1" si="136"/>
        <v>115.99666493404111</v>
      </c>
      <c r="H237" s="1116">
        <f t="shared" ca="1" si="136"/>
        <v>453.24939059754593</v>
      </c>
      <c r="I237" s="1116">
        <f t="shared" ca="1" si="136"/>
        <v>763.45322378665935</v>
      </c>
      <c r="J237" s="1116">
        <f t="shared" ca="1" si="136"/>
        <v>846.84483196777694</v>
      </c>
      <c r="K237" s="1116">
        <f t="shared" ca="1" si="136"/>
        <v>897.22213318819286</v>
      </c>
      <c r="L237" s="1116">
        <f t="shared" ca="1" si="136"/>
        <v>782.4966864048738</v>
      </c>
      <c r="M237" s="1116">
        <f t="shared" ca="1" si="136"/>
        <v>700.25096354824632</v>
      </c>
      <c r="N237" s="1116">
        <f t="shared" ca="1" si="136"/>
        <v>305.03526963314732</v>
      </c>
      <c r="O237" s="1116">
        <f t="shared" ca="1" si="136"/>
        <v>0</v>
      </c>
      <c r="P237" s="1116">
        <f t="shared" ca="1" si="136"/>
        <v>0</v>
      </c>
      <c r="Q237" s="1139">
        <f t="shared" ca="1" si="130"/>
        <v>4864.5491640604832</v>
      </c>
      <c r="R237" s="1026"/>
      <c r="S237" s="1752" t="s">
        <v>2370</v>
      </c>
      <c r="T237" s="1008"/>
      <c r="U237" s="1013"/>
    </row>
    <row r="238" spans="1:21" ht="16.5" customHeight="1" x14ac:dyDescent="0.2">
      <c r="A238" s="1873"/>
      <c r="B238" s="1121" t="s">
        <v>1989</v>
      </c>
      <c r="C238" s="1005"/>
      <c r="D238" s="1006" t="s">
        <v>8</v>
      </c>
      <c r="E238" s="1117">
        <f ca="1">+E232+E234+E236</f>
        <v>0</v>
      </c>
      <c r="F238" s="1117">
        <f t="shared" ref="F238:P238" ca="1" si="137">+F232+F234+F236</f>
        <v>0</v>
      </c>
      <c r="G238" s="1117">
        <f t="shared" ca="1" si="137"/>
        <v>-30.861753760888945</v>
      </c>
      <c r="H238" s="1117">
        <f t="shared" ca="1" si="137"/>
        <v>-130.96033741901488</v>
      </c>
      <c r="I238" s="1117">
        <f t="shared" ca="1" si="137"/>
        <v>-246.32894586111709</v>
      </c>
      <c r="J238" s="1117">
        <f t="shared" ca="1" si="137"/>
        <v>-281.87000553746122</v>
      </c>
      <c r="K238" s="1117">
        <f t="shared" ca="1" si="137"/>
        <v>-296.13526151585023</v>
      </c>
      <c r="L238" s="1117">
        <f t="shared" ca="1" si="137"/>
        <v>-253.32324824166176</v>
      </c>
      <c r="M238" s="1117">
        <f t="shared" ca="1" si="137"/>
        <v>-211.6495722633471</v>
      </c>
      <c r="N238" s="1117">
        <f t="shared" ca="1" si="137"/>
        <v>-83.228716434111121</v>
      </c>
      <c r="O238" s="1117">
        <f t="shared" ca="1" si="137"/>
        <v>0</v>
      </c>
      <c r="P238" s="1117">
        <f t="shared" ca="1" si="137"/>
        <v>0</v>
      </c>
      <c r="Q238" s="1140">
        <f t="shared" ca="1" si="130"/>
        <v>-1534.3578410334526</v>
      </c>
      <c r="R238" s="1026"/>
      <c r="S238" s="1752" t="s">
        <v>2370</v>
      </c>
      <c r="T238" s="1008"/>
      <c r="U238" s="1013"/>
    </row>
    <row r="239" spans="1:21" ht="27.75" hidden="1" customHeight="1" outlineLevel="1" x14ac:dyDescent="0.2">
      <c r="A239" s="1145" t="s">
        <v>1990</v>
      </c>
      <c r="B239" s="1146"/>
      <c r="C239" s="1005"/>
      <c r="D239" s="1006"/>
      <c r="E239" s="1096"/>
      <c r="F239" s="1096"/>
      <c r="G239" s="1096"/>
      <c r="H239" s="1096"/>
      <c r="I239" s="1096"/>
      <c r="J239" s="1096"/>
      <c r="K239" s="1096"/>
      <c r="L239" s="1096"/>
      <c r="M239" s="1096"/>
      <c r="N239" s="1096"/>
      <c r="O239" s="1096"/>
      <c r="P239" s="1096"/>
      <c r="Q239" s="1026"/>
      <c r="R239" s="1026"/>
      <c r="S239" s="1719"/>
      <c r="T239" s="1008"/>
      <c r="U239" s="1013"/>
    </row>
    <row r="240" spans="1:21" ht="27.75" hidden="1" customHeight="1" outlineLevel="1" x14ac:dyDescent="0.2">
      <c r="A240" s="1147" t="s">
        <v>1991</v>
      </c>
      <c r="B240" s="1146"/>
      <c r="C240" s="1005"/>
      <c r="D240" s="1006"/>
      <c r="E240" s="1096"/>
      <c r="F240" s="1096"/>
      <c r="G240" s="1096"/>
      <c r="H240" s="1096"/>
      <c r="I240" s="1096"/>
      <c r="J240" s="1096"/>
      <c r="K240" s="1096"/>
      <c r="L240" s="1096"/>
      <c r="M240" s="1096"/>
      <c r="N240" s="1096"/>
      <c r="O240" s="1096"/>
      <c r="P240" s="1096"/>
      <c r="Q240" s="1026"/>
      <c r="R240" s="1026"/>
      <c r="S240" s="1719"/>
      <c r="T240" s="1008"/>
      <c r="U240" s="1688" t="s">
        <v>1995</v>
      </c>
    </row>
    <row r="241" spans="1:21" ht="27.75" hidden="1" customHeight="1" outlineLevel="1" x14ac:dyDescent="0.2">
      <c r="A241" s="1148"/>
      <c r="B241" s="1149"/>
      <c r="C241" s="1005"/>
      <c r="D241" s="1006"/>
      <c r="E241" s="1096"/>
      <c r="F241" s="1096"/>
      <c r="G241" s="1096"/>
      <c r="H241" s="1096"/>
      <c r="I241" s="1096"/>
      <c r="J241" s="1096"/>
      <c r="K241" s="1096"/>
      <c r="L241" s="1096"/>
      <c r="M241" s="1096"/>
      <c r="N241" s="1096"/>
      <c r="O241" s="1096"/>
      <c r="P241" s="1096"/>
      <c r="Q241" s="1026"/>
      <c r="R241" s="1026"/>
      <c r="S241" s="1719"/>
      <c r="T241" s="1008"/>
      <c r="U241" s="1689" t="s">
        <v>1996</v>
      </c>
    </row>
    <row r="242" spans="1:21" ht="27.75" hidden="1" customHeight="1" outlineLevel="1" x14ac:dyDescent="0.2">
      <c r="A242" s="1147" t="s">
        <v>1992</v>
      </c>
      <c r="B242" s="1146"/>
      <c r="C242" s="1005"/>
      <c r="D242" s="1006"/>
      <c r="E242" s="1713" t="s">
        <v>2405</v>
      </c>
      <c r="F242" s="1096"/>
      <c r="G242" s="1096"/>
      <c r="H242" s="1096"/>
      <c r="I242" s="1096"/>
      <c r="J242" s="1096"/>
      <c r="K242" s="1096"/>
      <c r="L242" s="1096"/>
      <c r="M242" s="1096"/>
      <c r="N242" s="1096"/>
      <c r="O242" s="1096"/>
      <c r="P242" s="1096"/>
      <c r="Q242" s="1026"/>
      <c r="R242" s="1026"/>
      <c r="S242" s="1719"/>
      <c r="T242" s="1008"/>
      <c r="U242" s="1688" t="s">
        <v>1997</v>
      </c>
    </row>
    <row r="243" spans="1:21" ht="27.75" hidden="1" customHeight="1" outlineLevel="1" x14ac:dyDescent="0.2">
      <c r="A243" s="1150"/>
      <c r="B243" s="1149"/>
      <c r="C243" s="1005"/>
      <c r="D243" s="1006"/>
      <c r="E243" s="1714" t="s">
        <v>2406</v>
      </c>
      <c r="F243" s="1096"/>
      <c r="G243" s="1096"/>
      <c r="H243" s="1096"/>
      <c r="I243" s="1096"/>
      <c r="J243" s="1096"/>
      <c r="K243" s="1096"/>
      <c r="L243" s="1096"/>
      <c r="M243" s="1096"/>
      <c r="N243" s="1096"/>
      <c r="O243" s="1096"/>
      <c r="P243" s="1096"/>
      <c r="Q243" s="1026"/>
      <c r="R243" s="1026"/>
      <c r="S243" s="1719"/>
      <c r="T243" s="1008"/>
      <c r="U243" s="1013"/>
    </row>
    <row r="244" spans="1:21" ht="27.75" hidden="1" customHeight="1" outlineLevel="1" x14ac:dyDescent="0.2">
      <c r="A244" s="1868" t="s">
        <v>1987</v>
      </c>
      <c r="B244" s="1146" t="s">
        <v>1993</v>
      </c>
      <c r="C244" s="1031"/>
      <c r="D244" s="1031"/>
      <c r="E244" s="1715" t="s">
        <v>2407</v>
      </c>
      <c r="F244" s="1153"/>
      <c r="G244" s="1153"/>
      <c r="H244" s="1153"/>
      <c r="I244" s="1153"/>
      <c r="J244" s="1153"/>
      <c r="K244" s="1153"/>
      <c r="L244" s="1153"/>
      <c r="M244" s="1153"/>
      <c r="N244" s="1153"/>
      <c r="O244" s="1153"/>
      <c r="P244" s="1153"/>
      <c r="Q244" s="1032"/>
      <c r="R244" s="1032"/>
      <c r="S244" s="1717"/>
      <c r="T244" s="22"/>
      <c r="U244" s="1024"/>
    </row>
    <row r="245" spans="1:21" ht="27.75" hidden="1" customHeight="1" outlineLevel="1" x14ac:dyDescent="0.2">
      <c r="A245" s="1869"/>
      <c r="B245" s="1151" t="s">
        <v>1994</v>
      </c>
      <c r="C245" s="1008"/>
      <c r="D245" s="1008"/>
      <c r="E245" s="1712"/>
      <c r="F245" s="1097"/>
      <c r="G245" s="1097"/>
      <c r="H245" s="1097"/>
      <c r="I245" s="1097"/>
      <c r="J245" s="1097"/>
      <c r="K245" s="1097"/>
      <c r="L245" s="1097"/>
      <c r="M245" s="1097"/>
      <c r="N245" s="1097"/>
      <c r="O245" s="1097"/>
      <c r="P245" s="1097"/>
      <c r="Q245" s="1008"/>
      <c r="R245" s="1008"/>
      <c r="S245" s="1719"/>
      <c r="T245" s="1008"/>
      <c r="U245" s="1013"/>
    </row>
    <row r="246" spans="1:21" ht="34.5" customHeight="1" collapsed="1" x14ac:dyDescent="0.2">
      <c r="A246" s="1155" t="s">
        <v>2000</v>
      </c>
      <c r="B246" s="1152"/>
      <c r="C246" s="1008"/>
      <c r="D246" s="1008"/>
      <c r="E246" s="1008"/>
      <c r="F246" s="1008"/>
      <c r="G246" s="1008"/>
      <c r="H246" s="1008"/>
      <c r="I246" s="1008"/>
      <c r="J246" s="1008"/>
      <c r="K246" s="1008"/>
      <c r="L246" s="1008"/>
      <c r="M246" s="1008"/>
      <c r="N246" s="1008"/>
      <c r="O246" s="1008"/>
      <c r="P246" s="1008"/>
      <c r="Q246" s="1008"/>
      <c r="R246" s="1008"/>
      <c r="S246" s="1719"/>
      <c r="T246" s="1008"/>
      <c r="U246" s="1013"/>
    </row>
    <row r="247" spans="1:21" ht="34.5" customHeight="1" x14ac:dyDescent="0.2">
      <c r="A247" s="1156" t="s">
        <v>1998</v>
      </c>
      <c r="B247" s="1157" t="s">
        <v>1999</v>
      </c>
      <c r="C247" s="1008"/>
      <c r="D247" s="1008"/>
      <c r="E247" s="1154">
        <f>+Method_input!G58</f>
        <v>1</v>
      </c>
      <c r="F247" s="1008"/>
      <c r="G247" s="1008"/>
      <c r="H247" s="1008"/>
      <c r="I247" s="1008"/>
      <c r="J247" s="1008"/>
      <c r="K247" s="1008"/>
      <c r="L247" s="1008"/>
      <c r="M247" s="1008"/>
      <c r="N247" s="1008"/>
      <c r="O247" s="1008"/>
      <c r="P247" s="1008"/>
      <c r="Q247" s="1008"/>
      <c r="R247" s="1008"/>
      <c r="S247" s="1719" t="s">
        <v>1289</v>
      </c>
      <c r="T247" s="1008"/>
      <c r="U247" s="1013" t="s">
        <v>2124</v>
      </c>
    </row>
    <row r="248" spans="1:21" ht="15" x14ac:dyDescent="0.2">
      <c r="A248" s="1158" t="s">
        <v>2001</v>
      </c>
      <c r="B248" s="1159" t="s">
        <v>2002</v>
      </c>
      <c r="C248" s="1008"/>
      <c r="D248" s="1006" t="s">
        <v>8</v>
      </c>
      <c r="E248" s="1116">
        <f ca="1">+E215+$E$247*E237</f>
        <v>0</v>
      </c>
      <c r="F248" s="1116">
        <f t="shared" ref="F248:Q248" ca="1" si="138">+F215+$E$247*F237</f>
        <v>0</v>
      </c>
      <c r="G248" s="1116">
        <f t="shared" ca="1" si="138"/>
        <v>149.46863549732359</v>
      </c>
      <c r="H248" s="1116">
        <f t="shared" ca="1" si="138"/>
        <v>547.44333166240926</v>
      </c>
      <c r="I248" s="1116">
        <f t="shared" ca="1" si="138"/>
        <v>831.28003180674955</v>
      </c>
      <c r="J248" s="1116">
        <f t="shared" ca="1" si="138"/>
        <v>891.60882291029532</v>
      </c>
      <c r="K248" s="1116">
        <f t="shared" ca="1" si="138"/>
        <v>953.48098001400979</v>
      </c>
      <c r="L248" s="1116">
        <f t="shared" ca="1" si="138"/>
        <v>849.01604883014249</v>
      </c>
      <c r="M248" s="1116">
        <f t="shared" ca="1" si="138"/>
        <v>812.88149909014044</v>
      </c>
      <c r="N248" s="1116">
        <f t="shared" ca="1" si="138"/>
        <v>385.74460451354332</v>
      </c>
      <c r="O248" s="1116">
        <f t="shared" ca="1" si="138"/>
        <v>0</v>
      </c>
      <c r="P248" s="1116">
        <f t="shared" ca="1" si="138"/>
        <v>0</v>
      </c>
      <c r="Q248" s="1116">
        <f t="shared" ca="1" si="138"/>
        <v>5420.9239543246131</v>
      </c>
      <c r="R248" s="1116"/>
      <c r="S248" s="1752" t="s">
        <v>2354</v>
      </c>
      <c r="T248" s="1008"/>
      <c r="U248" s="1013"/>
    </row>
    <row r="249" spans="1:21" ht="15.75" thickBot="1" x14ac:dyDescent="0.25">
      <c r="A249" s="1158"/>
      <c r="B249" s="1159" t="s">
        <v>2003</v>
      </c>
      <c r="C249" s="1008"/>
      <c r="D249" s="1006" t="s">
        <v>8</v>
      </c>
      <c r="E249" s="1117">
        <f ca="1">+E216+$E$247*E238</f>
        <v>0</v>
      </c>
      <c r="F249" s="1117">
        <f t="shared" ref="F249:Q249" ca="1" si="139">+F216+$E$247*F238</f>
        <v>0</v>
      </c>
      <c r="G249" s="1117">
        <f t="shared" ca="1" si="139"/>
        <v>-7.4769374865050757</v>
      </c>
      <c r="H249" s="1117">
        <f t="shared" ca="1" si="139"/>
        <v>-37.582895982234703</v>
      </c>
      <c r="I249" s="1117">
        <f t="shared" ca="1" si="139"/>
        <v>-84.07287119895679</v>
      </c>
      <c r="J249" s="1117">
        <f t="shared" ca="1" si="139"/>
        <v>-100.22314129686916</v>
      </c>
      <c r="K249" s="1117">
        <f t="shared" ca="1" si="139"/>
        <v>-104.16589915619352</v>
      </c>
      <c r="L249" s="1117">
        <f t="shared" ca="1" si="139"/>
        <v>-86.855736674943444</v>
      </c>
      <c r="M249" s="1117">
        <f t="shared" ca="1" si="139"/>
        <v>-65.585132452019877</v>
      </c>
      <c r="N249" s="1117">
        <f t="shared" ca="1" si="139"/>
        <v>-21.333752156449506</v>
      </c>
      <c r="O249" s="1117">
        <f t="shared" ca="1" si="139"/>
        <v>0</v>
      </c>
      <c r="P249" s="1117">
        <f t="shared" ca="1" si="139"/>
        <v>0</v>
      </c>
      <c r="Q249" s="1117">
        <f t="shared" ca="1" si="139"/>
        <v>-507.29636640417243</v>
      </c>
      <c r="R249" s="1117"/>
      <c r="S249" s="1752" t="s">
        <v>2354</v>
      </c>
      <c r="T249" s="1008"/>
      <c r="U249" s="1013"/>
    </row>
    <row r="250" spans="1:21" ht="34.5" customHeight="1" x14ac:dyDescent="0.2">
      <c r="A250" s="1160" t="s">
        <v>2004</v>
      </c>
      <c r="B250" s="1159"/>
      <c r="C250" s="1008"/>
      <c r="D250" s="1008"/>
      <c r="E250" s="1008"/>
      <c r="F250" s="1008"/>
      <c r="G250" s="1008"/>
      <c r="H250" s="1008"/>
      <c r="I250" s="1008"/>
      <c r="J250" s="1008"/>
      <c r="K250" s="1008"/>
      <c r="L250" s="1008"/>
      <c r="M250" s="1008"/>
      <c r="N250" s="1008"/>
      <c r="O250" s="1008"/>
      <c r="P250" s="1008"/>
      <c r="Q250" s="1008"/>
      <c r="R250" s="1008"/>
      <c r="S250" s="1008"/>
      <c r="T250" s="1008"/>
      <c r="U250" s="1013"/>
    </row>
    <row r="251" spans="1:21" ht="25.5" customHeight="1" x14ac:dyDescent="0.2">
      <c r="A251" s="1478" t="s">
        <v>2005</v>
      </c>
      <c r="B251" s="1479" t="s">
        <v>2006</v>
      </c>
      <c r="C251" s="1480"/>
      <c r="D251" s="1481" t="s">
        <v>8</v>
      </c>
      <c r="E251" s="1482">
        <f t="shared" ref="E251:P251" ca="1" si="140">+E133-E248</f>
        <v>3636.7874747474752</v>
      </c>
      <c r="F251" s="1482">
        <f t="shared" ca="1" si="140"/>
        <v>2735.0580303030306</v>
      </c>
      <c r="G251" s="1482">
        <f t="shared" ca="1" si="140"/>
        <v>1590.5313645026763</v>
      </c>
      <c r="H251" s="1482">
        <f t="shared" ca="1" si="140"/>
        <v>379.77889055981291</v>
      </c>
      <c r="I251" s="1482">
        <f t="shared" ca="1" si="140"/>
        <v>-711.28003180674955</v>
      </c>
      <c r="J251" s="1482">
        <f t="shared" ca="1" si="140"/>
        <v>-811.60882291029532</v>
      </c>
      <c r="K251" s="1482">
        <f t="shared" ca="1" si="140"/>
        <v>-853.48098001400979</v>
      </c>
      <c r="L251" s="1482">
        <f t="shared" ca="1" si="140"/>
        <v>-729.01604883014249</v>
      </c>
      <c r="M251" s="1482">
        <f t="shared" ca="1" si="140"/>
        <v>-612.88149909014044</v>
      </c>
      <c r="N251" s="1482">
        <f t="shared" ca="1" si="140"/>
        <v>755.36650659756799</v>
      </c>
      <c r="O251" s="1482">
        <f t="shared" ca="1" si="140"/>
        <v>2260.0053636363637</v>
      </c>
      <c r="P251" s="1482">
        <f t="shared" ca="1" si="140"/>
        <v>2849.3430303030304</v>
      </c>
      <c r="Q251" s="1483">
        <f ca="1">SUM(E251:P251)</f>
        <v>10488.60327799862</v>
      </c>
      <c r="R251" s="1483"/>
      <c r="S251" s="1669" t="s">
        <v>2313</v>
      </c>
      <c r="T251" s="1588"/>
      <c r="U251" s="1024" t="s">
        <v>24</v>
      </c>
    </row>
    <row r="252" spans="1:21" ht="25.5" customHeight="1" x14ac:dyDescent="0.2">
      <c r="A252" s="1478"/>
      <c r="B252" s="1479" t="s">
        <v>2409</v>
      </c>
      <c r="C252" s="1480"/>
      <c r="D252" s="1481" t="s">
        <v>8</v>
      </c>
      <c r="E252" s="1484">
        <f t="shared" ref="E252:P252" ca="1" si="141">+E134-E249</f>
        <v>118.73272727272726</v>
      </c>
      <c r="F252" s="1484">
        <f t="shared" ca="1" si="141"/>
        <v>134.30939393939394</v>
      </c>
      <c r="G252" s="1484">
        <f t="shared" ca="1" si="141"/>
        <v>236.81027081983839</v>
      </c>
      <c r="H252" s="1484">
        <f t="shared" ca="1" si="141"/>
        <v>372.91622931556799</v>
      </c>
      <c r="I252" s="1484">
        <f t="shared" ca="1" si="141"/>
        <v>500.07287119895682</v>
      </c>
      <c r="J252" s="1484">
        <f t="shared" ca="1" si="141"/>
        <v>569.22314129686913</v>
      </c>
      <c r="K252" s="1484">
        <f t="shared" ca="1" si="141"/>
        <v>576.66589915619352</v>
      </c>
      <c r="L252" s="1484">
        <f t="shared" ca="1" si="141"/>
        <v>517.8557366749435</v>
      </c>
      <c r="M252" s="1484">
        <f t="shared" ca="1" si="141"/>
        <v>415.75179911868656</v>
      </c>
      <c r="N252" s="1484">
        <f t="shared" ca="1" si="141"/>
        <v>269.16708548978283</v>
      </c>
      <c r="O252" s="1484">
        <f t="shared" ca="1" si="141"/>
        <v>174.54539393939396</v>
      </c>
      <c r="P252" s="1484">
        <f t="shared" ca="1" si="141"/>
        <v>148.39939393939392</v>
      </c>
      <c r="Q252" s="1485">
        <f ca="1">SUM(E252:P252)</f>
        <v>4034.4499421617479</v>
      </c>
      <c r="R252" s="1485"/>
      <c r="S252" s="1480" t="s">
        <v>2313</v>
      </c>
      <c r="T252"/>
      <c r="U252" s="1024" t="s">
        <v>24</v>
      </c>
    </row>
    <row r="253" spans="1:21" ht="25.5" customHeight="1" x14ac:dyDescent="0.2">
      <c r="A253" s="1478"/>
      <c r="B253" s="1479" t="s">
        <v>2007</v>
      </c>
      <c r="C253" s="1480"/>
      <c r="D253" s="1481" t="s">
        <v>8</v>
      </c>
      <c r="E253" s="1486">
        <f ca="1">+E251+E252</f>
        <v>3755.5202020202023</v>
      </c>
      <c r="F253" s="1486">
        <f t="shared" ref="F253:Q253" ca="1" si="142">+F251+F252</f>
        <v>2869.3674242424245</v>
      </c>
      <c r="G253" s="1486">
        <f t="shared" ca="1" si="142"/>
        <v>1827.3416353225148</v>
      </c>
      <c r="H253" s="1486">
        <f t="shared" ca="1" si="142"/>
        <v>752.6951198753809</v>
      </c>
      <c r="I253" s="1486">
        <f t="shared" ca="1" si="142"/>
        <v>-211.20716060779273</v>
      </c>
      <c r="J253" s="1486">
        <f t="shared" ca="1" si="142"/>
        <v>-242.38568161342619</v>
      </c>
      <c r="K253" s="1486">
        <f t="shared" ca="1" si="142"/>
        <v>-276.81508085781627</v>
      </c>
      <c r="L253" s="1486">
        <f t="shared" ca="1" si="142"/>
        <v>-211.16031215519899</v>
      </c>
      <c r="M253" s="1486">
        <f t="shared" ca="1" si="142"/>
        <v>-197.12969997145387</v>
      </c>
      <c r="N253" s="1486">
        <f t="shared" ca="1" si="142"/>
        <v>1024.5335920873508</v>
      </c>
      <c r="O253" s="1486">
        <f t="shared" ca="1" si="142"/>
        <v>2434.5507575757574</v>
      </c>
      <c r="P253" s="1486">
        <f t="shared" ca="1" si="142"/>
        <v>2997.7424242424245</v>
      </c>
      <c r="Q253" s="1487">
        <f t="shared" ca="1" si="142"/>
        <v>14523.053220160367</v>
      </c>
      <c r="R253" s="1487"/>
      <c r="S253" s="1480" t="s">
        <v>2313</v>
      </c>
      <c r="T253" s="1544"/>
      <c r="U253" s="1024" t="s">
        <v>24</v>
      </c>
    </row>
    <row r="254" spans="1:21" ht="48" customHeight="1" x14ac:dyDescent="0.2">
      <c r="A254" s="1478" t="s">
        <v>2008</v>
      </c>
      <c r="B254" s="1479" t="s">
        <v>1348</v>
      </c>
      <c r="C254" s="1480"/>
      <c r="D254" s="1480"/>
      <c r="E254" s="1480"/>
      <c r="F254" s="1480"/>
      <c r="G254" s="1480"/>
      <c r="H254" s="1480"/>
      <c r="I254" s="1480"/>
      <c r="J254" s="1480"/>
      <c r="K254" s="1480"/>
      <c r="L254" s="1480"/>
      <c r="M254" s="1480"/>
      <c r="N254" s="1480"/>
      <c r="O254" s="1480"/>
      <c r="P254" s="1480"/>
      <c r="Q254" s="1488">
        <f ca="1">+Q252/Q253</f>
        <v>0.27779626508296984</v>
      </c>
      <c r="R254" s="1488"/>
      <c r="S254" s="1669" t="s">
        <v>2352</v>
      </c>
      <c r="T254"/>
      <c r="U254" s="1687" t="s">
        <v>2200</v>
      </c>
    </row>
    <row r="255" spans="1:21" ht="34.5" customHeight="1" x14ac:dyDescent="0.2">
      <c r="A255" s="1158"/>
      <c r="B255" s="1159"/>
      <c r="C255" s="1008"/>
      <c r="D255" s="1008"/>
      <c r="E255" s="1008"/>
      <c r="F255" s="1008"/>
      <c r="G255" s="1008"/>
      <c r="H255" s="1008"/>
      <c r="I255" s="1008"/>
      <c r="J255" s="1008"/>
      <c r="K255" s="1008"/>
      <c r="L255" s="1008"/>
      <c r="M255" s="1008"/>
      <c r="N255" s="1008"/>
      <c r="O255" s="1008"/>
      <c r="P255" s="1008"/>
      <c r="Q255" s="1008"/>
      <c r="R255" s="1008"/>
      <c r="S255" s="1008"/>
      <c r="T255" s="1008"/>
      <c r="U255" s="1024"/>
    </row>
    <row r="256" spans="1:21" ht="34.5" customHeight="1" x14ac:dyDescent="0.2">
      <c r="A256" s="1690" t="s">
        <v>2358</v>
      </c>
      <c r="B256" s="1479" t="s">
        <v>2360</v>
      </c>
      <c r="C256" s="1480"/>
      <c r="D256" s="1480" t="s">
        <v>8</v>
      </c>
      <c r="E256" s="1691">
        <f t="shared" ref="E256" ca="1" si="143">+E27*(1-$E$247)</f>
        <v>0</v>
      </c>
      <c r="F256" s="1691">
        <f ca="1">+F27*(1-$E$247)</f>
        <v>0</v>
      </c>
      <c r="G256" s="1691">
        <f t="shared" ref="G256:P256" ca="1" si="144">+G27*(1-$E$247)</f>
        <v>0</v>
      </c>
      <c r="H256" s="1691">
        <f t="shared" ca="1" si="144"/>
        <v>0</v>
      </c>
      <c r="I256" s="1691">
        <f t="shared" ca="1" si="144"/>
        <v>0</v>
      </c>
      <c r="J256" s="1691">
        <f t="shared" ca="1" si="144"/>
        <v>0</v>
      </c>
      <c r="K256" s="1691">
        <f t="shared" ca="1" si="144"/>
        <v>0</v>
      </c>
      <c r="L256" s="1691">
        <f t="shared" ca="1" si="144"/>
        <v>0</v>
      </c>
      <c r="M256" s="1691">
        <f t="shared" ca="1" si="144"/>
        <v>0</v>
      </c>
      <c r="N256" s="1691">
        <f t="shared" ca="1" si="144"/>
        <v>0</v>
      </c>
      <c r="O256" s="1691">
        <f t="shared" ca="1" si="144"/>
        <v>0</v>
      </c>
      <c r="P256" s="1691">
        <f t="shared" ca="1" si="144"/>
        <v>0</v>
      </c>
      <c r="Q256" s="1692">
        <f ca="1">SUM(E256:P256)</f>
        <v>0</v>
      </c>
      <c r="R256" s="1480"/>
      <c r="S256" s="1669" t="s">
        <v>2357</v>
      </c>
      <c r="T256" s="1008"/>
      <c r="U256" s="1024" t="s">
        <v>24</v>
      </c>
    </row>
    <row r="257" spans="1:21" ht="34.5" customHeight="1" x14ac:dyDescent="0.2">
      <c r="A257" s="1690" t="s">
        <v>2359</v>
      </c>
      <c r="B257" s="1479" t="s">
        <v>2361</v>
      </c>
      <c r="C257" s="1480"/>
      <c r="D257" s="1480" t="s">
        <v>8</v>
      </c>
      <c r="E257" s="1482">
        <f ca="1">+E215*(1-$E$247)</f>
        <v>0</v>
      </c>
      <c r="F257" s="1482">
        <f t="shared" ref="F257:P257" ca="1" si="145">+F215*(1-$E$247)</f>
        <v>0</v>
      </c>
      <c r="G257" s="1482">
        <f t="shared" ca="1" si="145"/>
        <v>0</v>
      </c>
      <c r="H257" s="1482">
        <f t="shared" ca="1" si="145"/>
        <v>0</v>
      </c>
      <c r="I257" s="1482">
        <f t="shared" ca="1" si="145"/>
        <v>0</v>
      </c>
      <c r="J257" s="1482">
        <f t="shared" ca="1" si="145"/>
        <v>0</v>
      </c>
      <c r="K257" s="1482">
        <f t="shared" ca="1" si="145"/>
        <v>0</v>
      </c>
      <c r="L257" s="1482">
        <f t="shared" ca="1" si="145"/>
        <v>0</v>
      </c>
      <c r="M257" s="1482">
        <f t="shared" ca="1" si="145"/>
        <v>0</v>
      </c>
      <c r="N257" s="1482">
        <f t="shared" ca="1" si="145"/>
        <v>0</v>
      </c>
      <c r="O257" s="1482">
        <f t="shared" ca="1" si="145"/>
        <v>0</v>
      </c>
      <c r="P257" s="1482">
        <f t="shared" ca="1" si="145"/>
        <v>0</v>
      </c>
      <c r="Q257" s="1482">
        <f t="shared" ref="Q257:Q258" ca="1" si="146">SUM(E257:P257)</f>
        <v>0</v>
      </c>
      <c r="R257" s="1480"/>
      <c r="S257" s="1669" t="s">
        <v>2363</v>
      </c>
      <c r="T257" s="1008"/>
      <c r="U257" s="1024" t="s">
        <v>24</v>
      </c>
    </row>
    <row r="258" spans="1:21" ht="34.5" customHeight="1" x14ac:dyDescent="0.2">
      <c r="A258" s="1690" t="s">
        <v>2359</v>
      </c>
      <c r="B258" s="1479" t="s">
        <v>2362</v>
      </c>
      <c r="C258" s="1480"/>
      <c r="D258" s="1480" t="s">
        <v>8</v>
      </c>
      <c r="E258" s="1484">
        <f ca="1">+E216*(1-$E$247)</f>
        <v>0</v>
      </c>
      <c r="F258" s="1484">
        <f t="shared" ref="F258:P258" ca="1" si="147">+F216*(1-$E$247)</f>
        <v>0</v>
      </c>
      <c r="G258" s="1484">
        <f t="shared" ca="1" si="147"/>
        <v>0</v>
      </c>
      <c r="H258" s="1484">
        <f t="shared" ca="1" si="147"/>
        <v>0</v>
      </c>
      <c r="I258" s="1484">
        <f t="shared" ca="1" si="147"/>
        <v>0</v>
      </c>
      <c r="J258" s="1484">
        <f t="shared" ca="1" si="147"/>
        <v>0</v>
      </c>
      <c r="K258" s="1484">
        <f t="shared" ca="1" si="147"/>
        <v>0</v>
      </c>
      <c r="L258" s="1484">
        <f t="shared" ca="1" si="147"/>
        <v>0</v>
      </c>
      <c r="M258" s="1484">
        <f t="shared" ca="1" si="147"/>
        <v>0</v>
      </c>
      <c r="N258" s="1484">
        <f t="shared" ca="1" si="147"/>
        <v>0</v>
      </c>
      <c r="O258" s="1484">
        <f t="shared" ca="1" si="147"/>
        <v>0</v>
      </c>
      <c r="P258" s="1484">
        <f t="shared" ca="1" si="147"/>
        <v>0</v>
      </c>
      <c r="Q258" s="1484">
        <f t="shared" ca="1" si="146"/>
        <v>0</v>
      </c>
      <c r="R258" s="1480"/>
      <c r="S258" s="1669" t="s">
        <v>2363</v>
      </c>
      <c r="T258" s="1008"/>
      <c r="U258" s="1024" t="s">
        <v>24</v>
      </c>
    </row>
    <row r="259" spans="1:21" ht="34.5" customHeight="1" x14ac:dyDescent="0.2">
      <c r="A259" s="1158"/>
      <c r="B259" s="1159"/>
      <c r="C259" s="1008"/>
      <c r="D259" s="1008"/>
      <c r="E259" s="1008"/>
      <c r="F259" s="1008"/>
      <c r="G259" s="1008"/>
      <c r="H259" s="1008"/>
      <c r="I259" s="1008"/>
      <c r="J259" s="1008"/>
      <c r="K259" s="1008"/>
      <c r="L259" s="1008"/>
      <c r="M259" s="1008"/>
      <c r="N259" s="1008"/>
      <c r="O259" s="1008"/>
      <c r="P259" s="1008"/>
      <c r="Q259" s="1008"/>
      <c r="R259" s="1008"/>
      <c r="S259" s="1008"/>
      <c r="T259" s="1008"/>
      <c r="U259" s="1013"/>
    </row>
    <row r="260" spans="1:21" ht="34.5" customHeight="1" x14ac:dyDescent="0.2">
      <c r="A260" s="1158"/>
      <c r="B260" s="1159"/>
      <c r="C260" s="1008"/>
      <c r="D260" s="1008"/>
      <c r="E260" s="1008"/>
      <c r="F260" s="1008"/>
      <c r="G260" s="1008"/>
      <c r="H260" s="1008"/>
      <c r="I260" s="1008"/>
      <c r="J260" s="1008"/>
      <c r="K260" s="1008"/>
      <c r="L260" s="1008"/>
      <c r="M260" s="1008"/>
      <c r="N260" s="1008"/>
      <c r="O260" s="1008"/>
      <c r="P260" s="1008"/>
      <c r="Q260" s="1008"/>
      <c r="R260" s="1008"/>
      <c r="S260" s="1008"/>
      <c r="T260" s="1008"/>
      <c r="U260" s="1013"/>
    </row>
  </sheetData>
  <mergeCells count="11">
    <mergeCell ref="A244:A245"/>
    <mergeCell ref="A1:U1"/>
    <mergeCell ref="A231:A232"/>
    <mergeCell ref="A233:A234"/>
    <mergeCell ref="A235:A236"/>
    <mergeCell ref="A237:A238"/>
    <mergeCell ref="A148:A149"/>
    <mergeCell ref="A138:A139"/>
    <mergeCell ref="A153:A154"/>
    <mergeCell ref="A150:A151"/>
    <mergeCell ref="A140:A141"/>
  </mergeCells>
  <dataValidations disablePrompts="1" count="1">
    <dataValidation type="list" allowBlank="1" showInputMessage="1" showErrorMessage="1" sqref="E25">
      <formula1>"YES,NO"</formula1>
    </dataValidation>
  </dataValidation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50198" r:id="rId4">
          <objectPr defaultSize="0" autoPict="0" r:id="rId5">
            <anchor moveWithCells="1">
              <from>
                <xdr:col>19</xdr:col>
                <xdr:colOff>361950</xdr:colOff>
                <xdr:row>11</xdr:row>
                <xdr:rowOff>66675</xdr:rowOff>
              </from>
              <to>
                <xdr:col>19</xdr:col>
                <xdr:colOff>2381250</xdr:colOff>
                <xdr:row>11</xdr:row>
                <xdr:rowOff>361950</xdr:rowOff>
              </to>
            </anchor>
          </objectPr>
        </oleObject>
      </mc:Choice>
      <mc:Fallback>
        <oleObject progId="Equation.3" shapeId="50198" r:id="rId4"/>
      </mc:Fallback>
    </mc:AlternateContent>
    <mc:AlternateContent xmlns:mc="http://schemas.openxmlformats.org/markup-compatibility/2006">
      <mc:Choice Requires="x14">
        <oleObject progId="Equation.3" shapeId="50199" r:id="rId6">
          <objectPr defaultSize="0" autoPict="0" r:id="rId7">
            <anchor moveWithCells="1">
              <from>
                <xdr:col>19</xdr:col>
                <xdr:colOff>704850</xdr:colOff>
                <xdr:row>17</xdr:row>
                <xdr:rowOff>47625</xdr:rowOff>
              </from>
              <to>
                <xdr:col>19</xdr:col>
                <xdr:colOff>1800225</xdr:colOff>
                <xdr:row>17</xdr:row>
                <xdr:rowOff>400050</xdr:rowOff>
              </to>
            </anchor>
          </objectPr>
        </oleObject>
      </mc:Choice>
      <mc:Fallback>
        <oleObject progId="Equation.3" shapeId="50199" r:id="rId6"/>
      </mc:Fallback>
    </mc:AlternateContent>
    <mc:AlternateContent xmlns:mc="http://schemas.openxmlformats.org/markup-compatibility/2006">
      <mc:Choice Requires="x14">
        <oleObject progId="Equation.3" shapeId="50200" r:id="rId8">
          <objectPr defaultSize="0" autoPict="0" r:id="rId9">
            <anchor moveWithCells="1">
              <from>
                <xdr:col>19</xdr:col>
                <xdr:colOff>714375</xdr:colOff>
                <xdr:row>23</xdr:row>
                <xdr:rowOff>38100</xdr:rowOff>
              </from>
              <to>
                <xdr:col>19</xdr:col>
                <xdr:colOff>1866900</xdr:colOff>
                <xdr:row>23</xdr:row>
                <xdr:rowOff>495300</xdr:rowOff>
              </to>
            </anchor>
          </objectPr>
        </oleObject>
      </mc:Choice>
      <mc:Fallback>
        <oleObject progId="Equation.3" shapeId="50200" r:id="rId8"/>
      </mc:Fallback>
    </mc:AlternateContent>
    <mc:AlternateContent xmlns:mc="http://schemas.openxmlformats.org/markup-compatibility/2006">
      <mc:Choice Requires="x14">
        <oleObject progId="Equation.3" shapeId="50202" r:id="rId10">
          <objectPr defaultSize="0" r:id="rId11">
            <anchor moveWithCells="1">
              <from>
                <xdr:col>19</xdr:col>
                <xdr:colOff>209550</xdr:colOff>
                <xdr:row>25</xdr:row>
                <xdr:rowOff>76200</xdr:rowOff>
              </from>
              <to>
                <xdr:col>19</xdr:col>
                <xdr:colOff>2771775</xdr:colOff>
                <xdr:row>25</xdr:row>
                <xdr:rowOff>314325</xdr:rowOff>
              </to>
            </anchor>
          </objectPr>
        </oleObject>
      </mc:Choice>
      <mc:Fallback>
        <oleObject progId="Equation.3" shapeId="50202" r:id="rId10"/>
      </mc:Fallback>
    </mc:AlternateContent>
    <mc:AlternateContent xmlns:mc="http://schemas.openxmlformats.org/markup-compatibility/2006">
      <mc:Choice Requires="x14">
        <oleObject progId="Equation.3" shapeId="50203" r:id="rId12">
          <objectPr defaultSize="0" autoPict="0" r:id="rId13">
            <anchor moveWithCells="1">
              <from>
                <xdr:col>19</xdr:col>
                <xdr:colOff>771525</xdr:colOff>
                <xdr:row>26</xdr:row>
                <xdr:rowOff>190500</xdr:rowOff>
              </from>
              <to>
                <xdr:col>19</xdr:col>
                <xdr:colOff>2381250</xdr:colOff>
                <xdr:row>26</xdr:row>
                <xdr:rowOff>400050</xdr:rowOff>
              </to>
            </anchor>
          </objectPr>
        </oleObject>
      </mc:Choice>
      <mc:Fallback>
        <oleObject progId="Equation.3" shapeId="50203" r:id="rId12"/>
      </mc:Fallback>
    </mc:AlternateContent>
    <mc:AlternateContent xmlns:mc="http://schemas.openxmlformats.org/markup-compatibility/2006">
      <mc:Choice Requires="x14">
        <oleObject progId="Equation.3" shapeId="50204" r:id="rId14">
          <objectPr defaultSize="0" autoPict="0" r:id="rId15">
            <anchor moveWithCells="1">
              <from>
                <xdr:col>19</xdr:col>
                <xdr:colOff>609600</xdr:colOff>
                <xdr:row>27</xdr:row>
                <xdr:rowOff>114300</xdr:rowOff>
              </from>
              <to>
                <xdr:col>19</xdr:col>
                <xdr:colOff>2657475</xdr:colOff>
                <xdr:row>27</xdr:row>
                <xdr:rowOff>323850</xdr:rowOff>
              </to>
            </anchor>
          </objectPr>
        </oleObject>
      </mc:Choice>
      <mc:Fallback>
        <oleObject progId="Equation.3" shapeId="50204" r:id="rId14"/>
      </mc:Fallback>
    </mc:AlternateContent>
    <mc:AlternateContent xmlns:mc="http://schemas.openxmlformats.org/markup-compatibility/2006">
      <mc:Choice Requires="x14">
        <oleObject progId="Equation.3" shapeId="50205" r:id="rId16">
          <objectPr defaultSize="0" autoPict="0" r:id="rId17">
            <anchor moveWithCells="1">
              <from>
                <xdr:col>19</xdr:col>
                <xdr:colOff>923925</xdr:colOff>
                <xdr:row>28</xdr:row>
                <xdr:rowOff>142875</xdr:rowOff>
              </from>
              <to>
                <xdr:col>19</xdr:col>
                <xdr:colOff>2924175</xdr:colOff>
                <xdr:row>28</xdr:row>
                <xdr:rowOff>352425</xdr:rowOff>
              </to>
            </anchor>
          </objectPr>
        </oleObject>
      </mc:Choice>
      <mc:Fallback>
        <oleObject progId="Equation.3" shapeId="50205" r:id="rId16"/>
      </mc:Fallback>
    </mc:AlternateContent>
    <mc:AlternateContent xmlns:mc="http://schemas.openxmlformats.org/markup-compatibility/2006">
      <mc:Choice Requires="x14">
        <oleObject progId="Equation.3" shapeId="50206" r:id="rId18">
          <objectPr defaultSize="0" autoPict="0" r:id="rId19">
            <anchor moveWithCells="1">
              <from>
                <xdr:col>19</xdr:col>
                <xdr:colOff>1076325</xdr:colOff>
                <xdr:row>29</xdr:row>
                <xdr:rowOff>66675</xdr:rowOff>
              </from>
              <to>
                <xdr:col>19</xdr:col>
                <xdr:colOff>2638425</xdr:colOff>
                <xdr:row>29</xdr:row>
                <xdr:rowOff>371475</xdr:rowOff>
              </to>
            </anchor>
          </objectPr>
        </oleObject>
      </mc:Choice>
      <mc:Fallback>
        <oleObject progId="Equation.3" shapeId="50206" r:id="rId18"/>
      </mc:Fallback>
    </mc:AlternateContent>
    <mc:AlternateContent xmlns:mc="http://schemas.openxmlformats.org/markup-compatibility/2006">
      <mc:Choice Requires="x14">
        <oleObject progId="Equation.3" shapeId="50207" r:id="rId20">
          <objectPr defaultSize="0" autoPict="0" r:id="rId21">
            <anchor moveWithCells="1">
              <from>
                <xdr:col>19</xdr:col>
                <xdr:colOff>828675</xdr:colOff>
                <xdr:row>30</xdr:row>
                <xdr:rowOff>85725</xdr:rowOff>
              </from>
              <to>
                <xdr:col>19</xdr:col>
                <xdr:colOff>2533650</xdr:colOff>
                <xdr:row>30</xdr:row>
                <xdr:rowOff>295275</xdr:rowOff>
              </to>
            </anchor>
          </objectPr>
        </oleObject>
      </mc:Choice>
      <mc:Fallback>
        <oleObject progId="Equation.3" shapeId="50207" r:id="rId20"/>
      </mc:Fallback>
    </mc:AlternateContent>
    <mc:AlternateContent xmlns:mc="http://schemas.openxmlformats.org/markup-compatibility/2006">
      <mc:Choice Requires="x14">
        <oleObject progId="Equation.3" shapeId="50208" r:id="rId22">
          <objectPr defaultSize="0" autoPict="0" r:id="rId23">
            <anchor moveWithCells="1" sizeWithCells="1">
              <from>
                <xdr:col>19</xdr:col>
                <xdr:colOff>971550</xdr:colOff>
                <xdr:row>31</xdr:row>
                <xdr:rowOff>38100</xdr:rowOff>
              </from>
              <to>
                <xdr:col>19</xdr:col>
                <xdr:colOff>2390775</xdr:colOff>
                <xdr:row>31</xdr:row>
                <xdr:rowOff>381000</xdr:rowOff>
              </to>
            </anchor>
          </objectPr>
        </oleObject>
      </mc:Choice>
      <mc:Fallback>
        <oleObject progId="Equation.3" shapeId="50208" r:id="rId22"/>
      </mc:Fallback>
    </mc:AlternateContent>
    <mc:AlternateContent xmlns:mc="http://schemas.openxmlformats.org/markup-compatibility/2006">
      <mc:Choice Requires="x14">
        <oleObject progId="Equation.3" shapeId="50209" r:id="rId24">
          <objectPr defaultSize="0" autoPict="0" r:id="rId25">
            <anchor moveWithCells="1">
              <from>
                <xdr:col>19</xdr:col>
                <xdr:colOff>590550</xdr:colOff>
                <xdr:row>32</xdr:row>
                <xdr:rowOff>95250</xdr:rowOff>
              </from>
              <to>
                <xdr:col>19</xdr:col>
                <xdr:colOff>2705100</xdr:colOff>
                <xdr:row>32</xdr:row>
                <xdr:rowOff>304800</xdr:rowOff>
              </to>
            </anchor>
          </objectPr>
        </oleObject>
      </mc:Choice>
      <mc:Fallback>
        <oleObject progId="Equation.3" shapeId="50209" r:id="rId24"/>
      </mc:Fallback>
    </mc:AlternateContent>
    <mc:AlternateContent xmlns:mc="http://schemas.openxmlformats.org/markup-compatibility/2006">
      <mc:Choice Requires="x14">
        <oleObject progId="Equation.3" shapeId="50211" r:id="rId26">
          <objectPr defaultSize="0" autoPict="0" r:id="rId27">
            <anchor moveWithCells="1">
              <from>
                <xdr:col>19</xdr:col>
                <xdr:colOff>638175</xdr:colOff>
                <xdr:row>33</xdr:row>
                <xdr:rowOff>9525</xdr:rowOff>
              </from>
              <to>
                <xdr:col>19</xdr:col>
                <xdr:colOff>2619375</xdr:colOff>
                <xdr:row>33</xdr:row>
                <xdr:rowOff>428625</xdr:rowOff>
              </to>
            </anchor>
          </objectPr>
        </oleObject>
      </mc:Choice>
      <mc:Fallback>
        <oleObject progId="Equation.3" shapeId="50211" r:id="rId26"/>
      </mc:Fallback>
    </mc:AlternateContent>
    <mc:AlternateContent xmlns:mc="http://schemas.openxmlformats.org/markup-compatibility/2006">
      <mc:Choice Requires="x14">
        <oleObject progId="Equation.3" shapeId="50212" r:id="rId28">
          <objectPr defaultSize="0" autoPict="0" r:id="rId29">
            <anchor moveWithCells="1">
              <from>
                <xdr:col>19</xdr:col>
                <xdr:colOff>619125</xdr:colOff>
                <xdr:row>34</xdr:row>
                <xdr:rowOff>47625</xdr:rowOff>
              </from>
              <to>
                <xdr:col>19</xdr:col>
                <xdr:colOff>2324100</xdr:colOff>
                <xdr:row>35</xdr:row>
                <xdr:rowOff>0</xdr:rowOff>
              </to>
            </anchor>
          </objectPr>
        </oleObject>
      </mc:Choice>
      <mc:Fallback>
        <oleObject progId="Equation.3" shapeId="50212" r:id="rId28"/>
      </mc:Fallback>
    </mc:AlternateContent>
    <mc:AlternateContent xmlns:mc="http://schemas.openxmlformats.org/markup-compatibility/2006">
      <mc:Choice Requires="x14">
        <oleObject progId="Equation.3" shapeId="50214" r:id="rId30">
          <objectPr defaultSize="0" autoPict="0" r:id="rId31">
            <anchor moveWithCells="1">
              <from>
                <xdr:col>19</xdr:col>
                <xdr:colOff>533400</xdr:colOff>
                <xdr:row>35</xdr:row>
                <xdr:rowOff>171450</xdr:rowOff>
              </from>
              <to>
                <xdr:col>19</xdr:col>
                <xdr:colOff>2409825</xdr:colOff>
                <xdr:row>35</xdr:row>
                <xdr:rowOff>381000</xdr:rowOff>
              </to>
            </anchor>
          </objectPr>
        </oleObject>
      </mc:Choice>
      <mc:Fallback>
        <oleObject progId="Equation.3" shapeId="50214" r:id="rId30"/>
      </mc:Fallback>
    </mc:AlternateContent>
    <mc:AlternateContent xmlns:mc="http://schemas.openxmlformats.org/markup-compatibility/2006">
      <mc:Choice Requires="x14">
        <oleObject progId="Equation.3" shapeId="50215" r:id="rId32">
          <objectPr defaultSize="0" autoPict="0" r:id="rId33">
            <anchor moveWithCells="1">
              <from>
                <xdr:col>19</xdr:col>
                <xdr:colOff>304800</xdr:colOff>
                <xdr:row>36</xdr:row>
                <xdr:rowOff>142875</xdr:rowOff>
              </from>
              <to>
                <xdr:col>19</xdr:col>
                <xdr:colOff>2390775</xdr:colOff>
                <xdr:row>36</xdr:row>
                <xdr:rowOff>352425</xdr:rowOff>
              </to>
            </anchor>
          </objectPr>
        </oleObject>
      </mc:Choice>
      <mc:Fallback>
        <oleObject progId="Equation.3" shapeId="50215" r:id="rId32"/>
      </mc:Fallback>
    </mc:AlternateContent>
    <mc:AlternateContent xmlns:mc="http://schemas.openxmlformats.org/markup-compatibility/2006">
      <mc:Choice Requires="x14">
        <oleObject progId="Equation.3" shapeId="50216" r:id="rId34">
          <objectPr defaultSize="0" autoPict="0" r:id="rId35">
            <anchor moveWithCells="1">
              <from>
                <xdr:col>19</xdr:col>
                <xdr:colOff>571500</xdr:colOff>
                <xdr:row>37</xdr:row>
                <xdr:rowOff>114300</xdr:rowOff>
              </from>
              <to>
                <xdr:col>19</xdr:col>
                <xdr:colOff>2171700</xdr:colOff>
                <xdr:row>37</xdr:row>
                <xdr:rowOff>323850</xdr:rowOff>
              </to>
            </anchor>
          </objectPr>
        </oleObject>
      </mc:Choice>
      <mc:Fallback>
        <oleObject progId="Equation.3" shapeId="50216" r:id="rId34"/>
      </mc:Fallback>
    </mc:AlternateContent>
    <mc:AlternateContent xmlns:mc="http://schemas.openxmlformats.org/markup-compatibility/2006">
      <mc:Choice Requires="x14">
        <oleObject progId="Equation.3" shapeId="50217" r:id="rId36">
          <objectPr defaultSize="0" autoPict="0" r:id="rId37">
            <anchor moveWithCells="1">
              <from>
                <xdr:col>19</xdr:col>
                <xdr:colOff>409575</xdr:colOff>
                <xdr:row>38</xdr:row>
                <xdr:rowOff>104775</xdr:rowOff>
              </from>
              <to>
                <xdr:col>19</xdr:col>
                <xdr:colOff>2143125</xdr:colOff>
                <xdr:row>38</xdr:row>
                <xdr:rowOff>314325</xdr:rowOff>
              </to>
            </anchor>
          </objectPr>
        </oleObject>
      </mc:Choice>
      <mc:Fallback>
        <oleObject progId="Equation.3" shapeId="50217" r:id="rId36"/>
      </mc:Fallback>
    </mc:AlternateContent>
    <mc:AlternateContent xmlns:mc="http://schemas.openxmlformats.org/markup-compatibility/2006">
      <mc:Choice Requires="x14">
        <oleObject progId="Equation.3" shapeId="50218" r:id="rId38">
          <objectPr defaultSize="0" autoPict="0" r:id="rId39">
            <anchor moveWithCells="1">
              <from>
                <xdr:col>19</xdr:col>
                <xdr:colOff>285750</xdr:colOff>
                <xdr:row>40</xdr:row>
                <xdr:rowOff>66675</xdr:rowOff>
              </from>
              <to>
                <xdr:col>19</xdr:col>
                <xdr:colOff>2552700</xdr:colOff>
                <xdr:row>40</xdr:row>
                <xdr:rowOff>314325</xdr:rowOff>
              </to>
            </anchor>
          </objectPr>
        </oleObject>
      </mc:Choice>
      <mc:Fallback>
        <oleObject progId="Equation.3" shapeId="50218" r:id="rId38"/>
      </mc:Fallback>
    </mc:AlternateContent>
    <mc:AlternateContent xmlns:mc="http://schemas.openxmlformats.org/markup-compatibility/2006">
      <mc:Choice Requires="x14">
        <oleObject progId="Equation.3" shapeId="50219" r:id="rId40">
          <objectPr defaultSize="0" autoPict="0" r:id="rId41">
            <anchor moveWithCells="1">
              <from>
                <xdr:col>19</xdr:col>
                <xdr:colOff>200025</xdr:colOff>
                <xdr:row>41</xdr:row>
                <xdr:rowOff>85725</xdr:rowOff>
              </from>
              <to>
                <xdr:col>19</xdr:col>
                <xdr:colOff>2790825</xdr:colOff>
                <xdr:row>41</xdr:row>
                <xdr:rowOff>342900</xdr:rowOff>
              </to>
            </anchor>
          </objectPr>
        </oleObject>
      </mc:Choice>
      <mc:Fallback>
        <oleObject progId="Equation.3" shapeId="50219" r:id="rId40"/>
      </mc:Fallback>
    </mc:AlternateContent>
    <mc:AlternateContent xmlns:mc="http://schemas.openxmlformats.org/markup-compatibility/2006">
      <mc:Choice Requires="x14">
        <oleObject progId="Equation.3" shapeId="50222" r:id="rId42">
          <objectPr defaultSize="0" autoPict="0" r:id="rId43">
            <anchor moveWithCells="1">
              <from>
                <xdr:col>19</xdr:col>
                <xdr:colOff>314325</xdr:colOff>
                <xdr:row>129</xdr:row>
                <xdr:rowOff>19050</xdr:rowOff>
              </from>
              <to>
                <xdr:col>19</xdr:col>
                <xdr:colOff>2409825</xdr:colOff>
                <xdr:row>130</xdr:row>
                <xdr:rowOff>161925</xdr:rowOff>
              </to>
            </anchor>
          </objectPr>
        </oleObject>
      </mc:Choice>
      <mc:Fallback>
        <oleObject progId="Equation.3" shapeId="50222" r:id="rId42"/>
      </mc:Fallback>
    </mc:AlternateContent>
    <mc:AlternateContent xmlns:mc="http://schemas.openxmlformats.org/markup-compatibility/2006">
      <mc:Choice Requires="x14">
        <oleObject progId="Equation.3" shapeId="50223" r:id="rId44">
          <objectPr defaultSize="0" autoPict="0" r:id="rId45">
            <anchor moveWithCells="1">
              <from>
                <xdr:col>19</xdr:col>
                <xdr:colOff>314325</xdr:colOff>
                <xdr:row>208</xdr:row>
                <xdr:rowOff>19050</xdr:rowOff>
              </from>
              <to>
                <xdr:col>19</xdr:col>
                <xdr:colOff>2819400</xdr:colOff>
                <xdr:row>209</xdr:row>
                <xdr:rowOff>114300</xdr:rowOff>
              </to>
            </anchor>
          </objectPr>
        </oleObject>
      </mc:Choice>
      <mc:Fallback>
        <oleObject progId="Equation.3" shapeId="50223" r:id="rId44"/>
      </mc:Fallback>
    </mc:AlternateContent>
    <mc:AlternateContent xmlns:mc="http://schemas.openxmlformats.org/markup-compatibility/2006">
      <mc:Choice Requires="x14">
        <oleObject progId="Equation.3" shapeId="50224" r:id="rId46">
          <objectPr defaultSize="0" autoPict="0" r:id="rId47">
            <anchor moveWithCells="1">
              <from>
                <xdr:col>19</xdr:col>
                <xdr:colOff>333375</xdr:colOff>
                <xdr:row>210</xdr:row>
                <xdr:rowOff>9525</xdr:rowOff>
              </from>
              <to>
                <xdr:col>19</xdr:col>
                <xdr:colOff>2828925</xdr:colOff>
                <xdr:row>211</xdr:row>
                <xdr:rowOff>142875</xdr:rowOff>
              </to>
            </anchor>
          </objectPr>
        </oleObject>
      </mc:Choice>
      <mc:Fallback>
        <oleObject progId="Equation.3" shapeId="50224" r:id="rId46"/>
      </mc:Fallback>
    </mc:AlternateContent>
    <mc:AlternateContent xmlns:mc="http://schemas.openxmlformats.org/markup-compatibility/2006">
      <mc:Choice Requires="x14">
        <oleObject progId="Equation.3" shapeId="50225" r:id="rId48">
          <objectPr defaultSize="0" autoPict="0" r:id="rId49">
            <anchor moveWithCells="1">
              <from>
                <xdr:col>19</xdr:col>
                <xdr:colOff>485775</xdr:colOff>
                <xdr:row>212</xdr:row>
                <xdr:rowOff>9525</xdr:rowOff>
              </from>
              <to>
                <xdr:col>19</xdr:col>
                <xdr:colOff>2724150</xdr:colOff>
                <xdr:row>213</xdr:row>
                <xdr:rowOff>142875</xdr:rowOff>
              </to>
            </anchor>
          </objectPr>
        </oleObject>
      </mc:Choice>
      <mc:Fallback>
        <oleObject progId="Equation.3" shapeId="50225" r:id="rId48"/>
      </mc:Fallback>
    </mc:AlternateContent>
    <mc:AlternateContent xmlns:mc="http://schemas.openxmlformats.org/markup-compatibility/2006">
      <mc:Choice Requires="x14">
        <oleObject progId="Equation.3" shapeId="50226" r:id="rId50">
          <objectPr defaultSize="0" autoPict="0" r:id="rId51">
            <anchor moveWithCells="1">
              <from>
                <xdr:col>19</xdr:col>
                <xdr:colOff>104775</xdr:colOff>
                <xdr:row>214</xdr:row>
                <xdr:rowOff>38100</xdr:rowOff>
              </from>
              <to>
                <xdr:col>20</xdr:col>
                <xdr:colOff>876300</xdr:colOff>
                <xdr:row>215</xdr:row>
                <xdr:rowOff>57150</xdr:rowOff>
              </to>
            </anchor>
          </objectPr>
        </oleObject>
      </mc:Choice>
      <mc:Fallback>
        <oleObject progId="Equation.3" shapeId="50226" r:id="rId50"/>
      </mc:Fallback>
    </mc:AlternateContent>
    <mc:AlternateContent xmlns:mc="http://schemas.openxmlformats.org/markup-compatibility/2006">
      <mc:Choice Requires="x14">
        <oleObject progId="Equation.3" shapeId="50228" r:id="rId52">
          <objectPr defaultSize="0" autoPict="0" r:id="rId53">
            <anchor moveWithCells="1">
              <from>
                <xdr:col>19</xdr:col>
                <xdr:colOff>57150</xdr:colOff>
                <xdr:row>230</xdr:row>
                <xdr:rowOff>76200</xdr:rowOff>
              </from>
              <to>
                <xdr:col>20</xdr:col>
                <xdr:colOff>1133475</xdr:colOff>
                <xdr:row>231</xdr:row>
                <xdr:rowOff>180975</xdr:rowOff>
              </to>
            </anchor>
          </objectPr>
        </oleObject>
      </mc:Choice>
      <mc:Fallback>
        <oleObject progId="Equation.3" shapeId="50228" r:id="rId52"/>
      </mc:Fallback>
    </mc:AlternateContent>
    <mc:AlternateContent xmlns:mc="http://schemas.openxmlformats.org/markup-compatibility/2006">
      <mc:Choice Requires="x14">
        <oleObject progId="Equation.3" shapeId="50229" r:id="rId54">
          <objectPr defaultSize="0" autoPict="0" r:id="rId55">
            <anchor moveWithCells="1">
              <from>
                <xdr:col>19</xdr:col>
                <xdr:colOff>47625</xdr:colOff>
                <xdr:row>232</xdr:row>
                <xdr:rowOff>57150</xdr:rowOff>
              </from>
              <to>
                <xdr:col>20</xdr:col>
                <xdr:colOff>495300</xdr:colOff>
                <xdr:row>233</xdr:row>
                <xdr:rowOff>161925</xdr:rowOff>
              </to>
            </anchor>
          </objectPr>
        </oleObject>
      </mc:Choice>
      <mc:Fallback>
        <oleObject progId="Equation.3" shapeId="50229" r:id="rId54"/>
      </mc:Fallback>
    </mc:AlternateContent>
    <mc:AlternateContent xmlns:mc="http://schemas.openxmlformats.org/markup-compatibility/2006">
      <mc:Choice Requires="x14">
        <oleObject progId="Equation.3" shapeId="50230" r:id="rId56">
          <objectPr defaultSize="0" autoPict="0" r:id="rId57">
            <anchor moveWithCells="1">
              <from>
                <xdr:col>19</xdr:col>
                <xdr:colOff>66675</xdr:colOff>
                <xdr:row>234</xdr:row>
                <xdr:rowOff>57150</xdr:rowOff>
              </from>
              <to>
                <xdr:col>20</xdr:col>
                <xdr:colOff>342900</xdr:colOff>
                <xdr:row>235</xdr:row>
                <xdr:rowOff>171450</xdr:rowOff>
              </to>
            </anchor>
          </objectPr>
        </oleObject>
      </mc:Choice>
      <mc:Fallback>
        <oleObject progId="Equation.3" shapeId="50230" r:id="rId56"/>
      </mc:Fallback>
    </mc:AlternateContent>
    <mc:AlternateContent xmlns:mc="http://schemas.openxmlformats.org/markup-compatibility/2006">
      <mc:Choice Requires="x14">
        <oleObject progId="Equation.3" shapeId="50231" r:id="rId58">
          <objectPr defaultSize="0" autoPict="0" r:id="rId59">
            <anchor moveWithCells="1">
              <from>
                <xdr:col>19</xdr:col>
                <xdr:colOff>76200</xdr:colOff>
                <xdr:row>236</xdr:row>
                <xdr:rowOff>133350</xdr:rowOff>
              </from>
              <to>
                <xdr:col>20</xdr:col>
                <xdr:colOff>742950</xdr:colOff>
                <xdr:row>237</xdr:row>
                <xdr:rowOff>123825</xdr:rowOff>
              </to>
            </anchor>
          </objectPr>
        </oleObject>
      </mc:Choice>
      <mc:Fallback>
        <oleObject progId="Equation.3" shapeId="50231" r:id="rId58"/>
      </mc:Fallback>
    </mc:AlternateContent>
    <mc:AlternateContent xmlns:mc="http://schemas.openxmlformats.org/markup-compatibility/2006">
      <mc:Choice Requires="x14">
        <oleObject progId="Equation.3" shapeId="50232" r:id="rId60">
          <objectPr defaultSize="0" autoPict="0" r:id="rId61">
            <anchor moveWithCells="1">
              <from>
                <xdr:col>19</xdr:col>
                <xdr:colOff>247650</xdr:colOff>
                <xdr:row>247</xdr:row>
                <xdr:rowOff>85725</xdr:rowOff>
              </from>
              <to>
                <xdr:col>19</xdr:col>
                <xdr:colOff>2800350</xdr:colOff>
                <xdr:row>248</xdr:row>
                <xdr:rowOff>114300</xdr:rowOff>
              </to>
            </anchor>
          </objectPr>
        </oleObject>
      </mc:Choice>
      <mc:Fallback>
        <oleObject progId="Equation.3" shapeId="50232" r:id="rId60"/>
      </mc:Fallback>
    </mc:AlternateContent>
    <mc:AlternateContent xmlns:mc="http://schemas.openxmlformats.org/markup-compatibility/2006">
      <mc:Choice Requires="x14">
        <oleObject progId="Equation.3" shapeId="50240" r:id="rId62">
          <objectPr defaultSize="0" autoPict="0" r:id="rId63">
            <anchor moveWithCells="1">
              <from>
                <xdr:col>19</xdr:col>
                <xdr:colOff>523875</xdr:colOff>
                <xdr:row>149</xdr:row>
                <xdr:rowOff>114300</xdr:rowOff>
              </from>
              <to>
                <xdr:col>19</xdr:col>
                <xdr:colOff>1695450</xdr:colOff>
                <xdr:row>150</xdr:row>
                <xdr:rowOff>114300</xdr:rowOff>
              </to>
            </anchor>
          </objectPr>
        </oleObject>
      </mc:Choice>
      <mc:Fallback>
        <oleObject progId="Equation.3" shapeId="50240" r:id="rId62"/>
      </mc:Fallback>
    </mc:AlternateContent>
    <mc:AlternateContent xmlns:mc="http://schemas.openxmlformats.org/markup-compatibility/2006">
      <mc:Choice Requires="x14">
        <oleObject progId="Equation.3" shapeId="50241" r:id="rId64">
          <objectPr defaultSize="0" autoPict="0" r:id="rId65">
            <anchor moveWithCells="1">
              <from>
                <xdr:col>19</xdr:col>
                <xdr:colOff>361950</xdr:colOff>
                <xdr:row>147</xdr:row>
                <xdr:rowOff>76200</xdr:rowOff>
              </from>
              <to>
                <xdr:col>19</xdr:col>
                <xdr:colOff>2219325</xdr:colOff>
                <xdr:row>148</xdr:row>
                <xdr:rowOff>190500</xdr:rowOff>
              </to>
            </anchor>
          </objectPr>
        </oleObject>
      </mc:Choice>
      <mc:Fallback>
        <oleObject progId="Equation.3" shapeId="50241" r:id="rId64"/>
      </mc:Fallback>
    </mc:AlternateContent>
    <mc:AlternateContent xmlns:mc="http://schemas.openxmlformats.org/markup-compatibility/2006">
      <mc:Choice Requires="x14">
        <oleObject progId="Equation.3" shapeId="50242" r:id="rId66">
          <objectPr defaultSize="0" autoPict="0" r:id="rId67">
            <anchor moveWithCells="1">
              <from>
                <xdr:col>19</xdr:col>
                <xdr:colOff>723900</xdr:colOff>
                <xdr:row>152</xdr:row>
                <xdr:rowOff>114300</xdr:rowOff>
              </from>
              <to>
                <xdr:col>19</xdr:col>
                <xdr:colOff>1876425</xdr:colOff>
                <xdr:row>153</xdr:row>
                <xdr:rowOff>247650</xdr:rowOff>
              </to>
            </anchor>
          </objectPr>
        </oleObject>
      </mc:Choice>
      <mc:Fallback>
        <oleObject progId="Equation.3" shapeId="50242" r:id="rId66"/>
      </mc:Fallback>
    </mc:AlternateContent>
    <mc:AlternateContent xmlns:mc="http://schemas.openxmlformats.org/markup-compatibility/2006">
      <mc:Choice Requires="x14">
        <oleObject progId="Equation.3" shapeId="50243" r:id="rId68">
          <objectPr defaultSize="0" autoPict="0" r:id="rId69">
            <anchor moveWithCells="1">
              <from>
                <xdr:col>19</xdr:col>
                <xdr:colOff>514350</xdr:colOff>
                <xdr:row>56</xdr:row>
                <xdr:rowOff>47625</xdr:rowOff>
              </from>
              <to>
                <xdr:col>19</xdr:col>
                <xdr:colOff>2228850</xdr:colOff>
                <xdr:row>56</xdr:row>
                <xdr:rowOff>390525</xdr:rowOff>
              </to>
            </anchor>
          </objectPr>
        </oleObject>
      </mc:Choice>
      <mc:Fallback>
        <oleObject progId="Equation.3" shapeId="50243" r:id="rId68"/>
      </mc:Fallback>
    </mc:AlternateContent>
    <mc:AlternateContent xmlns:mc="http://schemas.openxmlformats.org/markup-compatibility/2006">
      <mc:Choice Requires="x14">
        <oleObject progId="Equation.3" shapeId="50244" r:id="rId70">
          <objectPr defaultSize="0" autoPict="0" r:id="rId71">
            <anchor moveWithCells="1">
              <from>
                <xdr:col>19</xdr:col>
                <xdr:colOff>542925</xdr:colOff>
                <xdr:row>59</xdr:row>
                <xdr:rowOff>104775</xdr:rowOff>
              </from>
              <to>
                <xdr:col>19</xdr:col>
                <xdr:colOff>2200275</xdr:colOff>
                <xdr:row>60</xdr:row>
                <xdr:rowOff>142875</xdr:rowOff>
              </to>
            </anchor>
          </objectPr>
        </oleObject>
      </mc:Choice>
      <mc:Fallback>
        <oleObject progId="Equation.3" shapeId="50244" r:id="rId70"/>
      </mc:Fallback>
    </mc:AlternateContent>
    <mc:AlternateContent xmlns:mc="http://schemas.openxmlformats.org/markup-compatibility/2006">
      <mc:Choice Requires="x14">
        <oleObject progId="Equation.3" shapeId="50248" r:id="rId72">
          <objectPr defaultSize="0" autoPict="0" r:id="rId69">
            <anchor moveWithCells="1">
              <from>
                <xdr:col>19</xdr:col>
                <xdr:colOff>514350</xdr:colOff>
                <xdr:row>116</xdr:row>
                <xdr:rowOff>85725</xdr:rowOff>
              </from>
              <to>
                <xdr:col>19</xdr:col>
                <xdr:colOff>2228850</xdr:colOff>
                <xdr:row>116</xdr:row>
                <xdr:rowOff>428625</xdr:rowOff>
              </to>
            </anchor>
          </objectPr>
        </oleObject>
      </mc:Choice>
      <mc:Fallback>
        <oleObject progId="Equation.3" shapeId="50248" r:id="rId72"/>
      </mc:Fallback>
    </mc:AlternateContent>
    <mc:AlternateContent xmlns:mc="http://schemas.openxmlformats.org/markup-compatibility/2006">
      <mc:Choice Requires="x14">
        <oleObject progId="Equation.3" shapeId="50249" r:id="rId73">
          <objectPr defaultSize="0" autoPict="0" r:id="rId69">
            <anchor moveWithCells="1">
              <from>
                <xdr:col>19</xdr:col>
                <xdr:colOff>514350</xdr:colOff>
                <xdr:row>62</xdr:row>
                <xdr:rowOff>47625</xdr:rowOff>
              </from>
              <to>
                <xdr:col>19</xdr:col>
                <xdr:colOff>2228850</xdr:colOff>
                <xdr:row>62</xdr:row>
                <xdr:rowOff>390525</xdr:rowOff>
              </to>
            </anchor>
          </objectPr>
        </oleObject>
      </mc:Choice>
      <mc:Fallback>
        <oleObject progId="Equation.3" shapeId="50249" r:id="rId73"/>
      </mc:Fallback>
    </mc:AlternateContent>
    <mc:AlternateContent xmlns:mc="http://schemas.openxmlformats.org/markup-compatibility/2006">
      <mc:Choice Requires="x14">
        <oleObject progId="Equation.3" shapeId="50251" r:id="rId74">
          <objectPr defaultSize="0" autoPict="0" r:id="rId75">
            <anchor moveWithCells="1">
              <from>
                <xdr:col>19</xdr:col>
                <xdr:colOff>514350</xdr:colOff>
                <xdr:row>68</xdr:row>
                <xdr:rowOff>47625</xdr:rowOff>
              </from>
              <to>
                <xdr:col>19</xdr:col>
                <xdr:colOff>2228850</xdr:colOff>
                <xdr:row>68</xdr:row>
                <xdr:rowOff>390525</xdr:rowOff>
              </to>
            </anchor>
          </objectPr>
        </oleObject>
      </mc:Choice>
      <mc:Fallback>
        <oleObject progId="Equation.3" shapeId="50251" r:id="rId74"/>
      </mc:Fallback>
    </mc:AlternateContent>
    <mc:AlternateContent xmlns:mc="http://schemas.openxmlformats.org/markup-compatibility/2006">
      <mc:Choice Requires="x14">
        <oleObject progId="Equation.3" shapeId="50253" r:id="rId76">
          <objectPr defaultSize="0" autoPict="0" r:id="rId75">
            <anchor moveWithCells="1">
              <from>
                <xdr:col>19</xdr:col>
                <xdr:colOff>514350</xdr:colOff>
                <xdr:row>74</xdr:row>
                <xdr:rowOff>47625</xdr:rowOff>
              </from>
              <to>
                <xdr:col>19</xdr:col>
                <xdr:colOff>2228850</xdr:colOff>
                <xdr:row>74</xdr:row>
                <xdr:rowOff>390525</xdr:rowOff>
              </to>
            </anchor>
          </objectPr>
        </oleObject>
      </mc:Choice>
      <mc:Fallback>
        <oleObject progId="Equation.3" shapeId="50253" r:id="rId76"/>
      </mc:Fallback>
    </mc:AlternateContent>
    <mc:AlternateContent xmlns:mc="http://schemas.openxmlformats.org/markup-compatibility/2006">
      <mc:Choice Requires="x14">
        <oleObject progId="Equation.3" shapeId="50257" r:id="rId77">
          <objectPr defaultSize="0" autoPict="0" r:id="rId75">
            <anchor moveWithCells="1">
              <from>
                <xdr:col>19</xdr:col>
                <xdr:colOff>514350</xdr:colOff>
                <xdr:row>80</xdr:row>
                <xdr:rowOff>47625</xdr:rowOff>
              </from>
              <to>
                <xdr:col>19</xdr:col>
                <xdr:colOff>2228850</xdr:colOff>
                <xdr:row>80</xdr:row>
                <xdr:rowOff>390525</xdr:rowOff>
              </to>
            </anchor>
          </objectPr>
        </oleObject>
      </mc:Choice>
      <mc:Fallback>
        <oleObject progId="Equation.3" shapeId="50257" r:id="rId77"/>
      </mc:Fallback>
    </mc:AlternateContent>
    <mc:AlternateContent xmlns:mc="http://schemas.openxmlformats.org/markup-compatibility/2006">
      <mc:Choice Requires="x14">
        <oleObject progId="Equation.3" shapeId="50259" r:id="rId78">
          <objectPr defaultSize="0" autoPict="0" r:id="rId75">
            <anchor moveWithCells="1">
              <from>
                <xdr:col>19</xdr:col>
                <xdr:colOff>514350</xdr:colOff>
                <xdr:row>86</xdr:row>
                <xdr:rowOff>47625</xdr:rowOff>
              </from>
              <to>
                <xdr:col>19</xdr:col>
                <xdr:colOff>2228850</xdr:colOff>
                <xdr:row>86</xdr:row>
                <xdr:rowOff>390525</xdr:rowOff>
              </to>
            </anchor>
          </objectPr>
        </oleObject>
      </mc:Choice>
      <mc:Fallback>
        <oleObject progId="Equation.3" shapeId="50259" r:id="rId78"/>
      </mc:Fallback>
    </mc:AlternateContent>
    <mc:AlternateContent xmlns:mc="http://schemas.openxmlformats.org/markup-compatibility/2006">
      <mc:Choice Requires="x14">
        <oleObject progId="Equation.3" shapeId="50261" r:id="rId79">
          <objectPr defaultSize="0" autoPict="0" r:id="rId75">
            <anchor moveWithCells="1">
              <from>
                <xdr:col>19</xdr:col>
                <xdr:colOff>514350</xdr:colOff>
                <xdr:row>92</xdr:row>
                <xdr:rowOff>47625</xdr:rowOff>
              </from>
              <to>
                <xdr:col>19</xdr:col>
                <xdr:colOff>2228850</xdr:colOff>
                <xdr:row>92</xdr:row>
                <xdr:rowOff>390525</xdr:rowOff>
              </to>
            </anchor>
          </objectPr>
        </oleObject>
      </mc:Choice>
      <mc:Fallback>
        <oleObject progId="Equation.3" shapeId="50261" r:id="rId79"/>
      </mc:Fallback>
    </mc:AlternateContent>
    <mc:AlternateContent xmlns:mc="http://schemas.openxmlformats.org/markup-compatibility/2006">
      <mc:Choice Requires="x14">
        <oleObject progId="Equation.3" shapeId="50263" r:id="rId80">
          <objectPr defaultSize="0" autoPict="0" r:id="rId75">
            <anchor moveWithCells="1">
              <from>
                <xdr:col>19</xdr:col>
                <xdr:colOff>514350</xdr:colOff>
                <xdr:row>98</xdr:row>
                <xdr:rowOff>47625</xdr:rowOff>
              </from>
              <to>
                <xdr:col>19</xdr:col>
                <xdr:colOff>2228850</xdr:colOff>
                <xdr:row>98</xdr:row>
                <xdr:rowOff>390525</xdr:rowOff>
              </to>
            </anchor>
          </objectPr>
        </oleObject>
      </mc:Choice>
      <mc:Fallback>
        <oleObject progId="Equation.3" shapeId="50263" r:id="rId80"/>
      </mc:Fallback>
    </mc:AlternateContent>
    <mc:AlternateContent xmlns:mc="http://schemas.openxmlformats.org/markup-compatibility/2006">
      <mc:Choice Requires="x14">
        <oleObject progId="Equation.3" shapeId="50267" r:id="rId81">
          <objectPr defaultSize="0" autoPict="0" r:id="rId75">
            <anchor moveWithCells="1">
              <from>
                <xdr:col>19</xdr:col>
                <xdr:colOff>514350</xdr:colOff>
                <xdr:row>104</xdr:row>
                <xdr:rowOff>47625</xdr:rowOff>
              </from>
              <to>
                <xdr:col>19</xdr:col>
                <xdr:colOff>2228850</xdr:colOff>
                <xdr:row>104</xdr:row>
                <xdr:rowOff>390525</xdr:rowOff>
              </to>
            </anchor>
          </objectPr>
        </oleObject>
      </mc:Choice>
      <mc:Fallback>
        <oleObject progId="Equation.3" shapeId="50267" r:id="rId81"/>
      </mc:Fallback>
    </mc:AlternateContent>
    <mc:AlternateContent xmlns:mc="http://schemas.openxmlformats.org/markup-compatibility/2006">
      <mc:Choice Requires="x14">
        <oleObject progId="Equation.3" shapeId="50268" r:id="rId82">
          <objectPr defaultSize="0" autoPict="0" r:id="rId75">
            <anchor moveWithCells="1">
              <from>
                <xdr:col>19</xdr:col>
                <xdr:colOff>514350</xdr:colOff>
                <xdr:row>110</xdr:row>
                <xdr:rowOff>47625</xdr:rowOff>
              </from>
              <to>
                <xdr:col>19</xdr:col>
                <xdr:colOff>2228850</xdr:colOff>
                <xdr:row>110</xdr:row>
                <xdr:rowOff>390525</xdr:rowOff>
              </to>
            </anchor>
          </objectPr>
        </oleObject>
      </mc:Choice>
      <mc:Fallback>
        <oleObject progId="Equation.3" shapeId="50268" r:id="rId82"/>
      </mc:Fallback>
    </mc:AlternateContent>
    <mc:AlternateContent xmlns:mc="http://schemas.openxmlformats.org/markup-compatibility/2006">
      <mc:Choice Requires="x14">
        <oleObject progId="Equation.3" shapeId="50269" r:id="rId83">
          <objectPr defaultSize="0" autoPict="0" r:id="rId84">
            <anchor moveWithCells="1">
              <from>
                <xdr:col>19</xdr:col>
                <xdr:colOff>133350</xdr:colOff>
                <xdr:row>122</xdr:row>
                <xdr:rowOff>104775</xdr:rowOff>
              </from>
              <to>
                <xdr:col>19</xdr:col>
                <xdr:colOff>2800350</xdr:colOff>
                <xdr:row>123</xdr:row>
                <xdr:rowOff>209550</xdr:rowOff>
              </to>
            </anchor>
          </objectPr>
        </oleObject>
      </mc:Choice>
      <mc:Fallback>
        <oleObject progId="Equation.3" shapeId="50269" r:id="rId83"/>
      </mc:Fallback>
    </mc:AlternateContent>
    <mc:AlternateContent xmlns:mc="http://schemas.openxmlformats.org/markup-compatibility/2006">
      <mc:Choice Requires="x14">
        <oleObject progId="Equation.3" shapeId="50270" r:id="rId85">
          <objectPr defaultSize="0" autoPict="0" r:id="rId69">
            <anchor moveWithCells="1">
              <from>
                <xdr:col>19</xdr:col>
                <xdr:colOff>514350</xdr:colOff>
                <xdr:row>43</xdr:row>
                <xdr:rowOff>161925</xdr:rowOff>
              </from>
              <to>
                <xdr:col>19</xdr:col>
                <xdr:colOff>2228850</xdr:colOff>
                <xdr:row>43</xdr:row>
                <xdr:rowOff>504825</xdr:rowOff>
              </to>
            </anchor>
          </objectPr>
        </oleObject>
      </mc:Choice>
      <mc:Fallback>
        <oleObject progId="Equation.3" shapeId="50270" r:id="rId85"/>
      </mc:Fallback>
    </mc:AlternateContent>
    <mc:AlternateContent xmlns:mc="http://schemas.openxmlformats.org/markup-compatibility/2006">
      <mc:Choice Requires="x14">
        <oleObject progId="Equation.3" shapeId="50271" r:id="rId86">
          <objectPr defaultSize="0" autoPict="0" r:id="rId84">
            <anchor moveWithCells="1">
              <from>
                <xdr:col>19</xdr:col>
                <xdr:colOff>190500</xdr:colOff>
                <xdr:row>43</xdr:row>
                <xdr:rowOff>695325</xdr:rowOff>
              </from>
              <to>
                <xdr:col>19</xdr:col>
                <xdr:colOff>2762250</xdr:colOff>
                <xdr:row>43</xdr:row>
                <xdr:rowOff>1143000</xdr:rowOff>
              </to>
            </anchor>
          </objectPr>
        </oleObject>
      </mc:Choice>
      <mc:Fallback>
        <oleObject progId="Equation.3" shapeId="50271" r:id="rId86"/>
      </mc:Fallback>
    </mc:AlternateContent>
    <mc:AlternateContent xmlns:mc="http://schemas.openxmlformats.org/markup-compatibility/2006">
      <mc:Choice Requires="x14">
        <oleObject progId="Equation.3" shapeId="50272" r:id="rId87">
          <objectPr defaultSize="0" autoPict="0" r:id="rId88">
            <anchor moveWithCells="1">
              <from>
                <xdr:col>19</xdr:col>
                <xdr:colOff>371475</xdr:colOff>
                <xdr:row>132</xdr:row>
                <xdr:rowOff>200025</xdr:rowOff>
              </from>
              <to>
                <xdr:col>19</xdr:col>
                <xdr:colOff>2447925</xdr:colOff>
                <xdr:row>133</xdr:row>
                <xdr:rowOff>104775</xdr:rowOff>
              </to>
            </anchor>
          </objectPr>
        </oleObject>
      </mc:Choice>
      <mc:Fallback>
        <oleObject progId="Equation.3" shapeId="50272" r:id="rId87"/>
      </mc:Fallback>
    </mc:AlternateContent>
    <mc:AlternateContent xmlns:mc="http://schemas.openxmlformats.org/markup-compatibility/2006">
      <mc:Choice Requires="x14">
        <oleObject progId="Equation.3" shapeId="50308" r:id="rId89">
          <objectPr defaultSize="0" autoPict="0" r:id="rId90">
            <anchor moveWithCells="1">
              <from>
                <xdr:col>19</xdr:col>
                <xdr:colOff>400050</xdr:colOff>
                <xdr:row>42</xdr:row>
                <xdr:rowOff>323850</xdr:rowOff>
              </from>
              <to>
                <xdr:col>19</xdr:col>
                <xdr:colOff>2133600</xdr:colOff>
                <xdr:row>42</xdr:row>
                <xdr:rowOff>533400</xdr:rowOff>
              </to>
            </anchor>
          </objectPr>
        </oleObject>
      </mc:Choice>
      <mc:Fallback>
        <oleObject progId="Equation.3" shapeId="50308" r:id="rId89"/>
      </mc:Fallback>
    </mc:AlternateContent>
    <mc:AlternateContent xmlns:mc="http://schemas.openxmlformats.org/markup-compatibility/2006">
      <mc:Choice Requires="x14">
        <oleObject progId="Equation.3" shapeId="50309" r:id="rId91">
          <objectPr defaultSize="0" autoPict="0" r:id="rId71">
            <anchor moveWithCells="1">
              <from>
                <xdr:col>19</xdr:col>
                <xdr:colOff>533400</xdr:colOff>
                <xdr:row>65</xdr:row>
                <xdr:rowOff>104775</xdr:rowOff>
              </from>
              <to>
                <xdr:col>19</xdr:col>
                <xdr:colOff>2190750</xdr:colOff>
                <xdr:row>66</xdr:row>
                <xdr:rowOff>142875</xdr:rowOff>
              </to>
            </anchor>
          </objectPr>
        </oleObject>
      </mc:Choice>
      <mc:Fallback>
        <oleObject progId="Equation.3" shapeId="50309" r:id="rId91"/>
      </mc:Fallback>
    </mc:AlternateContent>
    <mc:AlternateContent xmlns:mc="http://schemas.openxmlformats.org/markup-compatibility/2006">
      <mc:Choice Requires="x14">
        <oleObject progId="Equation.3" shapeId="50310" r:id="rId92">
          <objectPr defaultSize="0" autoPict="0" r:id="rId71">
            <anchor moveWithCells="1">
              <from>
                <xdr:col>19</xdr:col>
                <xdr:colOff>542925</xdr:colOff>
                <xdr:row>71</xdr:row>
                <xdr:rowOff>104775</xdr:rowOff>
              </from>
              <to>
                <xdr:col>19</xdr:col>
                <xdr:colOff>2200275</xdr:colOff>
                <xdr:row>72</xdr:row>
                <xdr:rowOff>142875</xdr:rowOff>
              </to>
            </anchor>
          </objectPr>
        </oleObject>
      </mc:Choice>
      <mc:Fallback>
        <oleObject progId="Equation.3" shapeId="50310" r:id="rId92"/>
      </mc:Fallback>
    </mc:AlternateContent>
    <mc:AlternateContent xmlns:mc="http://schemas.openxmlformats.org/markup-compatibility/2006">
      <mc:Choice Requires="x14">
        <oleObject progId="Equation.3" shapeId="50311" r:id="rId93">
          <objectPr defaultSize="0" autoPict="0" r:id="rId71">
            <anchor moveWithCells="1">
              <from>
                <xdr:col>19</xdr:col>
                <xdr:colOff>542925</xdr:colOff>
                <xdr:row>77</xdr:row>
                <xdr:rowOff>104775</xdr:rowOff>
              </from>
              <to>
                <xdr:col>19</xdr:col>
                <xdr:colOff>2200275</xdr:colOff>
                <xdr:row>78</xdr:row>
                <xdr:rowOff>142875</xdr:rowOff>
              </to>
            </anchor>
          </objectPr>
        </oleObject>
      </mc:Choice>
      <mc:Fallback>
        <oleObject progId="Equation.3" shapeId="50311" r:id="rId93"/>
      </mc:Fallback>
    </mc:AlternateContent>
    <mc:AlternateContent xmlns:mc="http://schemas.openxmlformats.org/markup-compatibility/2006">
      <mc:Choice Requires="x14">
        <oleObject progId="Equation.3" shapeId="50312" r:id="rId94">
          <objectPr defaultSize="0" autoPict="0" r:id="rId71">
            <anchor moveWithCells="1">
              <from>
                <xdr:col>19</xdr:col>
                <xdr:colOff>542925</xdr:colOff>
                <xdr:row>83</xdr:row>
                <xdr:rowOff>104775</xdr:rowOff>
              </from>
              <to>
                <xdr:col>19</xdr:col>
                <xdr:colOff>2200275</xdr:colOff>
                <xdr:row>84</xdr:row>
                <xdr:rowOff>142875</xdr:rowOff>
              </to>
            </anchor>
          </objectPr>
        </oleObject>
      </mc:Choice>
      <mc:Fallback>
        <oleObject progId="Equation.3" shapeId="50312" r:id="rId94"/>
      </mc:Fallback>
    </mc:AlternateContent>
    <mc:AlternateContent xmlns:mc="http://schemas.openxmlformats.org/markup-compatibility/2006">
      <mc:Choice Requires="x14">
        <oleObject progId="Equation.3" shapeId="50313" r:id="rId95">
          <objectPr defaultSize="0" autoPict="0" r:id="rId71">
            <anchor moveWithCells="1">
              <from>
                <xdr:col>19</xdr:col>
                <xdr:colOff>542925</xdr:colOff>
                <xdr:row>89</xdr:row>
                <xdr:rowOff>104775</xdr:rowOff>
              </from>
              <to>
                <xdr:col>19</xdr:col>
                <xdr:colOff>2200275</xdr:colOff>
                <xdr:row>90</xdr:row>
                <xdr:rowOff>142875</xdr:rowOff>
              </to>
            </anchor>
          </objectPr>
        </oleObject>
      </mc:Choice>
      <mc:Fallback>
        <oleObject progId="Equation.3" shapeId="50313" r:id="rId95"/>
      </mc:Fallback>
    </mc:AlternateContent>
    <mc:AlternateContent xmlns:mc="http://schemas.openxmlformats.org/markup-compatibility/2006">
      <mc:Choice Requires="x14">
        <oleObject progId="Equation.3" shapeId="50314" r:id="rId96">
          <objectPr defaultSize="0" autoPict="0" r:id="rId71">
            <anchor moveWithCells="1">
              <from>
                <xdr:col>19</xdr:col>
                <xdr:colOff>542925</xdr:colOff>
                <xdr:row>95</xdr:row>
                <xdr:rowOff>104775</xdr:rowOff>
              </from>
              <to>
                <xdr:col>19</xdr:col>
                <xdr:colOff>2200275</xdr:colOff>
                <xdr:row>96</xdr:row>
                <xdr:rowOff>142875</xdr:rowOff>
              </to>
            </anchor>
          </objectPr>
        </oleObject>
      </mc:Choice>
      <mc:Fallback>
        <oleObject progId="Equation.3" shapeId="50314" r:id="rId96"/>
      </mc:Fallback>
    </mc:AlternateContent>
    <mc:AlternateContent xmlns:mc="http://schemas.openxmlformats.org/markup-compatibility/2006">
      <mc:Choice Requires="x14">
        <oleObject progId="Equation.3" shapeId="50315" r:id="rId97">
          <objectPr defaultSize="0" autoPict="0" r:id="rId71">
            <anchor moveWithCells="1">
              <from>
                <xdr:col>19</xdr:col>
                <xdr:colOff>542925</xdr:colOff>
                <xdr:row>101</xdr:row>
                <xdr:rowOff>104775</xdr:rowOff>
              </from>
              <to>
                <xdr:col>19</xdr:col>
                <xdr:colOff>2200275</xdr:colOff>
                <xdr:row>102</xdr:row>
                <xdr:rowOff>142875</xdr:rowOff>
              </to>
            </anchor>
          </objectPr>
        </oleObject>
      </mc:Choice>
      <mc:Fallback>
        <oleObject progId="Equation.3" shapeId="50315" r:id="rId97"/>
      </mc:Fallback>
    </mc:AlternateContent>
    <mc:AlternateContent xmlns:mc="http://schemas.openxmlformats.org/markup-compatibility/2006">
      <mc:Choice Requires="x14">
        <oleObject progId="Equation.3" shapeId="50316" r:id="rId98">
          <objectPr defaultSize="0" autoPict="0" r:id="rId71">
            <anchor moveWithCells="1">
              <from>
                <xdr:col>19</xdr:col>
                <xdr:colOff>542925</xdr:colOff>
                <xdr:row>107</xdr:row>
                <xdr:rowOff>104775</xdr:rowOff>
              </from>
              <to>
                <xdr:col>19</xdr:col>
                <xdr:colOff>2200275</xdr:colOff>
                <xdr:row>108</xdr:row>
                <xdr:rowOff>142875</xdr:rowOff>
              </to>
            </anchor>
          </objectPr>
        </oleObject>
      </mc:Choice>
      <mc:Fallback>
        <oleObject progId="Equation.3" shapeId="50316" r:id="rId98"/>
      </mc:Fallback>
    </mc:AlternateContent>
    <mc:AlternateContent xmlns:mc="http://schemas.openxmlformats.org/markup-compatibility/2006">
      <mc:Choice Requires="x14">
        <oleObject progId="Equation.3" shapeId="50317" r:id="rId99">
          <objectPr defaultSize="0" autoPict="0" r:id="rId71">
            <anchor moveWithCells="1">
              <from>
                <xdr:col>19</xdr:col>
                <xdr:colOff>542925</xdr:colOff>
                <xdr:row>113</xdr:row>
                <xdr:rowOff>104775</xdr:rowOff>
              </from>
              <to>
                <xdr:col>19</xdr:col>
                <xdr:colOff>2200275</xdr:colOff>
                <xdr:row>114</xdr:row>
                <xdr:rowOff>142875</xdr:rowOff>
              </to>
            </anchor>
          </objectPr>
        </oleObject>
      </mc:Choice>
      <mc:Fallback>
        <oleObject progId="Equation.3" shapeId="50317" r:id="rId99"/>
      </mc:Fallback>
    </mc:AlternateContent>
    <mc:AlternateContent xmlns:mc="http://schemas.openxmlformats.org/markup-compatibility/2006">
      <mc:Choice Requires="x14">
        <oleObject progId="Equation.3" shapeId="50318" r:id="rId100">
          <objectPr defaultSize="0" autoPict="0" r:id="rId71">
            <anchor moveWithCells="1">
              <from>
                <xdr:col>19</xdr:col>
                <xdr:colOff>542925</xdr:colOff>
                <xdr:row>119</xdr:row>
                <xdr:rowOff>104775</xdr:rowOff>
              </from>
              <to>
                <xdr:col>19</xdr:col>
                <xdr:colOff>2200275</xdr:colOff>
                <xdr:row>120</xdr:row>
                <xdr:rowOff>142875</xdr:rowOff>
              </to>
            </anchor>
          </objectPr>
        </oleObject>
      </mc:Choice>
      <mc:Fallback>
        <oleObject progId="Equation.3" shapeId="50318" r:id="rId100"/>
      </mc:Fallback>
    </mc:AlternateContent>
    <mc:AlternateContent xmlns:mc="http://schemas.openxmlformats.org/markup-compatibility/2006">
      <mc:Choice Requires="x14">
        <oleObject progId="Equation.3" shapeId="50319" r:id="rId101">
          <objectPr defaultSize="0" autoPict="0" r:id="rId102">
            <anchor moveWithCells="1">
              <from>
                <xdr:col>19</xdr:col>
                <xdr:colOff>723900</xdr:colOff>
                <xdr:row>160</xdr:row>
                <xdr:rowOff>38100</xdr:rowOff>
              </from>
              <to>
                <xdr:col>19</xdr:col>
                <xdr:colOff>2047875</xdr:colOff>
                <xdr:row>160</xdr:row>
                <xdr:rowOff>266700</xdr:rowOff>
              </to>
            </anchor>
          </objectPr>
        </oleObject>
      </mc:Choice>
      <mc:Fallback>
        <oleObject progId="Equation.3" shapeId="50319" r:id="rId101"/>
      </mc:Fallback>
    </mc:AlternateContent>
    <mc:AlternateContent xmlns:mc="http://schemas.openxmlformats.org/markup-compatibility/2006">
      <mc:Choice Requires="x14">
        <oleObject progId="Equation.3" shapeId="50320" r:id="rId103">
          <objectPr defaultSize="0" autoPict="0" r:id="rId104">
            <anchor moveWithCells="1">
              <from>
                <xdr:col>19</xdr:col>
                <xdr:colOff>95250</xdr:colOff>
                <xdr:row>163</xdr:row>
                <xdr:rowOff>57150</xdr:rowOff>
              </from>
              <to>
                <xdr:col>19</xdr:col>
                <xdr:colOff>2790825</xdr:colOff>
                <xdr:row>163</xdr:row>
                <xdr:rowOff>295275</xdr:rowOff>
              </to>
            </anchor>
          </objectPr>
        </oleObject>
      </mc:Choice>
      <mc:Fallback>
        <oleObject progId="Equation.3" shapeId="50320" r:id="rId103"/>
      </mc:Fallback>
    </mc:AlternateContent>
    <mc:AlternateContent xmlns:mc="http://schemas.openxmlformats.org/markup-compatibility/2006">
      <mc:Choice Requires="x14">
        <oleObject progId="Equation.3" shapeId="50321" r:id="rId105">
          <objectPr defaultSize="0" autoPict="0" r:id="rId106">
            <anchor moveWithCells="1">
              <from>
                <xdr:col>19</xdr:col>
                <xdr:colOff>219075</xdr:colOff>
                <xdr:row>165</xdr:row>
                <xdr:rowOff>38100</xdr:rowOff>
              </from>
              <to>
                <xdr:col>19</xdr:col>
                <xdr:colOff>2686050</xdr:colOff>
                <xdr:row>165</xdr:row>
                <xdr:rowOff>276225</xdr:rowOff>
              </to>
            </anchor>
          </objectPr>
        </oleObject>
      </mc:Choice>
      <mc:Fallback>
        <oleObject progId="Equation.3" shapeId="50321" r:id="rId105"/>
      </mc:Fallback>
    </mc:AlternateContent>
    <mc:AlternateContent xmlns:mc="http://schemas.openxmlformats.org/markup-compatibility/2006">
      <mc:Choice Requires="x14">
        <oleObject progId="Equation.3" shapeId="50324" r:id="rId107">
          <objectPr defaultSize="0" autoPict="0" r:id="rId104">
            <anchor moveWithCells="1">
              <from>
                <xdr:col>19</xdr:col>
                <xdr:colOff>95250</xdr:colOff>
                <xdr:row>167</xdr:row>
                <xdr:rowOff>57150</xdr:rowOff>
              </from>
              <to>
                <xdr:col>19</xdr:col>
                <xdr:colOff>2790825</xdr:colOff>
                <xdr:row>167</xdr:row>
                <xdr:rowOff>295275</xdr:rowOff>
              </to>
            </anchor>
          </objectPr>
        </oleObject>
      </mc:Choice>
      <mc:Fallback>
        <oleObject progId="Equation.3" shapeId="50324" r:id="rId107"/>
      </mc:Fallback>
    </mc:AlternateContent>
    <mc:AlternateContent xmlns:mc="http://schemas.openxmlformats.org/markup-compatibility/2006">
      <mc:Choice Requires="x14">
        <oleObject progId="Equation.3" shapeId="50325" r:id="rId108">
          <objectPr defaultSize="0" autoPict="0" r:id="rId106">
            <anchor moveWithCells="1">
              <from>
                <xdr:col>19</xdr:col>
                <xdr:colOff>219075</xdr:colOff>
                <xdr:row>169</xdr:row>
                <xdr:rowOff>38100</xdr:rowOff>
              </from>
              <to>
                <xdr:col>19</xdr:col>
                <xdr:colOff>2686050</xdr:colOff>
                <xdr:row>169</xdr:row>
                <xdr:rowOff>276225</xdr:rowOff>
              </to>
            </anchor>
          </objectPr>
        </oleObject>
      </mc:Choice>
      <mc:Fallback>
        <oleObject progId="Equation.3" shapeId="50325" r:id="rId108"/>
      </mc:Fallback>
    </mc:AlternateContent>
    <mc:AlternateContent xmlns:mc="http://schemas.openxmlformats.org/markup-compatibility/2006">
      <mc:Choice Requires="x14">
        <oleObject progId="Equation.3" shapeId="50326" r:id="rId109">
          <objectPr defaultSize="0" autoPict="0" r:id="rId104">
            <anchor moveWithCells="1">
              <from>
                <xdr:col>19</xdr:col>
                <xdr:colOff>95250</xdr:colOff>
                <xdr:row>171</xdr:row>
                <xdr:rowOff>57150</xdr:rowOff>
              </from>
              <to>
                <xdr:col>19</xdr:col>
                <xdr:colOff>2790825</xdr:colOff>
                <xdr:row>171</xdr:row>
                <xdr:rowOff>295275</xdr:rowOff>
              </to>
            </anchor>
          </objectPr>
        </oleObject>
      </mc:Choice>
      <mc:Fallback>
        <oleObject progId="Equation.3" shapeId="50326" r:id="rId109"/>
      </mc:Fallback>
    </mc:AlternateContent>
    <mc:AlternateContent xmlns:mc="http://schemas.openxmlformats.org/markup-compatibility/2006">
      <mc:Choice Requires="x14">
        <oleObject progId="Equation.3" shapeId="50327" r:id="rId110">
          <objectPr defaultSize="0" autoPict="0" r:id="rId106">
            <anchor moveWithCells="1">
              <from>
                <xdr:col>19</xdr:col>
                <xdr:colOff>219075</xdr:colOff>
                <xdr:row>173</xdr:row>
                <xdr:rowOff>38100</xdr:rowOff>
              </from>
              <to>
                <xdr:col>19</xdr:col>
                <xdr:colOff>2686050</xdr:colOff>
                <xdr:row>173</xdr:row>
                <xdr:rowOff>276225</xdr:rowOff>
              </to>
            </anchor>
          </objectPr>
        </oleObject>
      </mc:Choice>
      <mc:Fallback>
        <oleObject progId="Equation.3" shapeId="50327" r:id="rId110"/>
      </mc:Fallback>
    </mc:AlternateContent>
    <mc:AlternateContent xmlns:mc="http://schemas.openxmlformats.org/markup-compatibility/2006">
      <mc:Choice Requires="x14">
        <oleObject progId="Equation.3" shapeId="50328" r:id="rId111">
          <objectPr defaultSize="0" autoPict="0" r:id="rId112">
            <anchor moveWithCells="1">
              <from>
                <xdr:col>19</xdr:col>
                <xdr:colOff>342900</xdr:colOff>
                <xdr:row>179</xdr:row>
                <xdr:rowOff>123825</xdr:rowOff>
              </from>
              <to>
                <xdr:col>19</xdr:col>
                <xdr:colOff>2438400</xdr:colOff>
                <xdr:row>181</xdr:row>
                <xdr:rowOff>38100</xdr:rowOff>
              </to>
            </anchor>
          </objectPr>
        </oleObject>
      </mc:Choice>
      <mc:Fallback>
        <oleObject progId="Equation.3" shapeId="50328" r:id="rId111"/>
      </mc:Fallback>
    </mc:AlternateContent>
    <mc:AlternateContent xmlns:mc="http://schemas.openxmlformats.org/markup-compatibility/2006">
      <mc:Choice Requires="x14">
        <oleObject progId="Equation.3" shapeId="50329" r:id="rId113">
          <objectPr defaultSize="0" autoPict="0" r:id="rId114">
            <anchor moveWithCells="1">
              <from>
                <xdr:col>19</xdr:col>
                <xdr:colOff>323850</xdr:colOff>
                <xdr:row>183</xdr:row>
                <xdr:rowOff>95250</xdr:rowOff>
              </from>
              <to>
                <xdr:col>19</xdr:col>
                <xdr:colOff>2371725</xdr:colOff>
                <xdr:row>185</xdr:row>
                <xdr:rowOff>9525</xdr:rowOff>
              </to>
            </anchor>
          </objectPr>
        </oleObject>
      </mc:Choice>
      <mc:Fallback>
        <oleObject progId="Equation.3" shapeId="50329" r:id="rId113"/>
      </mc:Fallback>
    </mc:AlternateContent>
    <mc:AlternateContent xmlns:mc="http://schemas.openxmlformats.org/markup-compatibility/2006">
      <mc:Choice Requires="x14">
        <oleObject progId="Equation.3" shapeId="50330" r:id="rId115">
          <objectPr defaultSize="0" autoPict="0" r:id="rId116">
            <anchor moveWithCells="1">
              <from>
                <xdr:col>19</xdr:col>
                <xdr:colOff>866775</xdr:colOff>
                <xdr:row>188</xdr:row>
                <xdr:rowOff>133350</xdr:rowOff>
              </from>
              <to>
                <xdr:col>19</xdr:col>
                <xdr:colOff>1933575</xdr:colOff>
                <xdr:row>190</xdr:row>
                <xdr:rowOff>133350</xdr:rowOff>
              </to>
            </anchor>
          </objectPr>
        </oleObject>
      </mc:Choice>
      <mc:Fallback>
        <oleObject progId="Equation.3" shapeId="50330" r:id="rId115"/>
      </mc:Fallback>
    </mc:AlternateContent>
    <mc:AlternateContent xmlns:mc="http://schemas.openxmlformats.org/markup-compatibility/2006">
      <mc:Choice Requires="x14">
        <oleObject progId="Equation.3" shapeId="50331" r:id="rId117">
          <objectPr defaultSize="0" r:id="rId118">
            <anchor moveWithCells="1">
              <from>
                <xdr:col>19</xdr:col>
                <xdr:colOff>390525</xdr:colOff>
                <xdr:row>191</xdr:row>
                <xdr:rowOff>123825</xdr:rowOff>
              </from>
              <to>
                <xdr:col>19</xdr:col>
                <xdr:colOff>2333625</xdr:colOff>
                <xdr:row>193</xdr:row>
                <xdr:rowOff>38100</xdr:rowOff>
              </to>
            </anchor>
          </objectPr>
        </oleObject>
      </mc:Choice>
      <mc:Fallback>
        <oleObject progId="Equation.3" shapeId="50331" r:id="rId117"/>
      </mc:Fallback>
    </mc:AlternateContent>
    <mc:AlternateContent xmlns:mc="http://schemas.openxmlformats.org/markup-compatibility/2006">
      <mc:Choice Requires="x14">
        <oleObject progId="Equation.3" shapeId="50335" r:id="rId119">
          <objectPr defaultSize="0" autoPict="0" r:id="rId120">
            <anchor moveWithCells="1" sizeWithCells="1">
              <from>
                <xdr:col>19</xdr:col>
                <xdr:colOff>466725</xdr:colOff>
                <xdr:row>194</xdr:row>
                <xdr:rowOff>123825</xdr:rowOff>
              </from>
              <to>
                <xdr:col>19</xdr:col>
                <xdr:colOff>2295525</xdr:colOff>
                <xdr:row>196</xdr:row>
                <xdr:rowOff>38100</xdr:rowOff>
              </to>
            </anchor>
          </objectPr>
        </oleObject>
      </mc:Choice>
      <mc:Fallback>
        <oleObject progId="Equation.3" shapeId="50335" r:id="rId119"/>
      </mc:Fallback>
    </mc:AlternateContent>
    <mc:AlternateContent xmlns:mc="http://schemas.openxmlformats.org/markup-compatibility/2006">
      <mc:Choice Requires="x14">
        <oleObject progId="Equation.3" shapeId="50336" r:id="rId121">
          <objectPr defaultSize="0" autoPict="0" r:id="rId122">
            <anchor moveWithCells="1">
              <from>
                <xdr:col>19</xdr:col>
                <xdr:colOff>219075</xdr:colOff>
                <xdr:row>205</xdr:row>
                <xdr:rowOff>28575</xdr:rowOff>
              </from>
              <to>
                <xdr:col>19</xdr:col>
                <xdr:colOff>2847975</xdr:colOff>
                <xdr:row>206</xdr:row>
                <xdr:rowOff>333375</xdr:rowOff>
              </to>
            </anchor>
          </objectPr>
        </oleObject>
      </mc:Choice>
      <mc:Fallback>
        <oleObject progId="Equation.3" shapeId="50336" r:id="rId121"/>
      </mc:Fallback>
    </mc:AlternateContent>
    <mc:AlternateContent xmlns:mc="http://schemas.openxmlformats.org/markup-compatibility/2006">
      <mc:Choice Requires="x14">
        <oleObject progId="Equation.3" shapeId="50337" r:id="rId123">
          <objectPr defaultSize="0" autoPict="0" r:id="rId124">
            <anchor moveWithCells="1" sizeWithCells="1">
              <from>
                <xdr:col>19</xdr:col>
                <xdr:colOff>723900</xdr:colOff>
                <xdr:row>251</xdr:row>
                <xdr:rowOff>38100</xdr:rowOff>
              </from>
              <to>
                <xdr:col>19</xdr:col>
                <xdr:colOff>2257425</xdr:colOff>
                <xdr:row>251</xdr:row>
                <xdr:rowOff>266700</xdr:rowOff>
              </to>
            </anchor>
          </objectPr>
        </oleObject>
      </mc:Choice>
      <mc:Fallback>
        <oleObject progId="Equation.3" shapeId="50337" r:id="rId123"/>
      </mc:Fallback>
    </mc:AlternateContent>
    <mc:AlternateContent xmlns:mc="http://schemas.openxmlformats.org/markup-compatibility/2006">
      <mc:Choice Requires="x14">
        <oleObject progId="Equation.3" shapeId="50338" r:id="rId125">
          <objectPr defaultSize="0" autoPict="0" r:id="rId126">
            <anchor moveWithCells="1">
              <from>
                <xdr:col>19</xdr:col>
                <xdr:colOff>866775</xdr:colOff>
                <xdr:row>253</xdr:row>
                <xdr:rowOff>57150</xdr:rowOff>
              </from>
              <to>
                <xdr:col>19</xdr:col>
                <xdr:colOff>1885950</xdr:colOff>
                <xdr:row>253</xdr:row>
                <xdr:rowOff>514350</xdr:rowOff>
              </to>
            </anchor>
          </objectPr>
        </oleObject>
      </mc:Choice>
      <mc:Fallback>
        <oleObject progId="Equation.3" shapeId="50338" r:id="rId125"/>
      </mc:Fallback>
    </mc:AlternateContent>
  </oleObjec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rgb="FF66FF66"/>
  </sheetPr>
  <dimension ref="A1:X44"/>
  <sheetViews>
    <sheetView zoomScaleNormal="100" workbookViewId="0">
      <selection activeCell="F25" sqref="F25"/>
    </sheetView>
  </sheetViews>
  <sheetFormatPr defaultRowHeight="12.75" outlineLevelCol="1" x14ac:dyDescent="0.2"/>
  <cols>
    <col min="1" max="1" width="31.5703125" style="996" customWidth="1"/>
    <col min="2" max="2" width="12.140625" style="996" customWidth="1"/>
    <col min="3" max="3" width="19.5703125" style="996" customWidth="1"/>
    <col min="4" max="4" width="9.42578125" style="996" customWidth="1"/>
    <col min="5" max="16" width="7.28515625" style="996" customWidth="1" outlineLevel="1"/>
    <col min="17" max="17" width="10.28515625" style="996" customWidth="1"/>
    <col min="18" max="18" width="11.7109375" style="996" customWidth="1"/>
    <col min="19" max="20" width="10.7109375" style="996" customWidth="1"/>
    <col min="21" max="21" width="41" style="996" customWidth="1"/>
    <col min="22" max="16384" width="9.140625" style="996"/>
  </cols>
  <sheetData>
    <row r="1" spans="1:24" ht="62.25" customHeight="1" x14ac:dyDescent="0.2">
      <c r="A1" s="1880" t="s">
        <v>1770</v>
      </c>
      <c r="B1" s="1881"/>
      <c r="C1" s="1881"/>
      <c r="D1" s="1881"/>
      <c r="E1" s="1881"/>
      <c r="F1" s="1881"/>
      <c r="G1" s="1881"/>
      <c r="H1" s="1881"/>
      <c r="I1" s="1881"/>
      <c r="J1" s="1881"/>
      <c r="K1" s="1881"/>
      <c r="L1" s="1881"/>
      <c r="M1" s="1881"/>
      <c r="N1" s="1881"/>
      <c r="O1" s="1881"/>
      <c r="P1" s="1881"/>
      <c r="Q1" s="1881"/>
      <c r="R1" s="1881"/>
      <c r="S1" s="1881"/>
      <c r="T1" s="1881"/>
      <c r="U1" s="1881"/>
      <c r="V1" s="1881"/>
      <c r="W1" s="1881"/>
      <c r="X1" s="1881"/>
    </row>
    <row r="2" spans="1:24" x14ac:dyDescent="0.2">
      <c r="A2" s="1768"/>
      <c r="B2" s="1768"/>
      <c r="C2" s="1768"/>
      <c r="D2" s="1768"/>
      <c r="E2" s="1768"/>
      <c r="F2" s="1768"/>
      <c r="G2" s="1768"/>
      <c r="H2" s="1768"/>
      <c r="I2" s="1768"/>
      <c r="J2" s="1768"/>
      <c r="K2" s="1768"/>
      <c r="L2" s="1768"/>
      <c r="M2" s="1768"/>
      <c r="N2" s="1768"/>
      <c r="O2" s="1768"/>
      <c r="P2" s="1768"/>
      <c r="Q2" s="1768"/>
      <c r="R2" s="1768"/>
      <c r="S2" s="1768"/>
      <c r="T2" s="1768"/>
      <c r="U2" s="1768"/>
      <c r="V2" s="1768"/>
      <c r="W2" s="1768"/>
      <c r="X2" s="1768"/>
    </row>
    <row r="3" spans="1:24" ht="13.5" thickBot="1" x14ac:dyDescent="0.25">
      <c r="A3" s="1768"/>
      <c r="B3" s="1768"/>
      <c r="C3" s="1768"/>
      <c r="D3" s="1768"/>
      <c r="E3" s="1768"/>
      <c r="F3" s="1768"/>
      <c r="G3" s="1768"/>
      <c r="H3" s="1768"/>
      <c r="I3" s="1768"/>
      <c r="J3" s="1768"/>
      <c r="K3" s="1768"/>
      <c r="L3" s="1768"/>
      <c r="M3" s="1768"/>
      <c r="N3" s="1768"/>
      <c r="O3" s="1768"/>
      <c r="P3" s="1768"/>
      <c r="Q3" s="1768"/>
      <c r="R3" s="1768"/>
      <c r="S3" s="1768"/>
      <c r="T3" s="1768"/>
      <c r="U3" s="1768"/>
      <c r="V3" s="1768"/>
      <c r="W3" s="1768"/>
      <c r="X3" s="1768"/>
    </row>
    <row r="4" spans="1:24" ht="26.25" thickBot="1" x14ac:dyDescent="0.25">
      <c r="A4" s="1769" t="s">
        <v>3</v>
      </c>
      <c r="B4" s="1737" t="s">
        <v>7</v>
      </c>
      <c r="C4" s="1770" t="s">
        <v>1766</v>
      </c>
      <c r="D4" s="1046" t="s">
        <v>0</v>
      </c>
      <c r="E4" s="1046"/>
      <c r="F4" s="1047"/>
      <c r="G4" s="1047"/>
      <c r="H4" s="1047"/>
      <c r="I4" s="1047"/>
      <c r="J4" s="1049" t="s">
        <v>1799</v>
      </c>
      <c r="K4" s="1047"/>
      <c r="L4" s="1047"/>
      <c r="M4" s="1047"/>
      <c r="N4" s="1047"/>
      <c r="O4" s="1047"/>
      <c r="P4" s="1047"/>
      <c r="Q4" s="1048"/>
      <c r="R4" s="1042" t="s">
        <v>11</v>
      </c>
      <c r="S4" s="1737" t="s">
        <v>27</v>
      </c>
      <c r="T4" s="1770" t="s">
        <v>13</v>
      </c>
      <c r="U4" s="1771" t="s">
        <v>6</v>
      </c>
      <c r="V4" s="1768"/>
      <c r="W4" s="1768"/>
      <c r="X4" s="1768"/>
    </row>
    <row r="5" spans="1:24" x14ac:dyDescent="0.2">
      <c r="A5" s="1772" t="s">
        <v>1798</v>
      </c>
      <c r="B5" s="1732"/>
      <c r="C5" s="1732"/>
      <c r="D5" s="1732"/>
      <c r="E5" s="1773">
        <v>1</v>
      </c>
      <c r="F5" s="1774">
        <v>2</v>
      </c>
      <c r="G5" s="1774">
        <v>3</v>
      </c>
      <c r="H5" s="1774">
        <v>4</v>
      </c>
      <c r="I5" s="1774">
        <v>5</v>
      </c>
      <c r="J5" s="1774">
        <v>6</v>
      </c>
      <c r="K5" s="1774">
        <v>7</v>
      </c>
      <c r="L5" s="1774">
        <v>8</v>
      </c>
      <c r="M5" s="1774">
        <v>9</v>
      </c>
      <c r="N5" s="1774">
        <v>10</v>
      </c>
      <c r="O5" s="1774">
        <v>11</v>
      </c>
      <c r="P5" s="1775">
        <v>12</v>
      </c>
      <c r="Q5" s="1776" t="s">
        <v>1803</v>
      </c>
      <c r="R5" s="1777"/>
      <c r="S5" s="1777"/>
      <c r="T5" s="1777"/>
      <c r="U5" s="1778"/>
      <c r="V5" s="1768"/>
      <c r="W5" s="1768"/>
      <c r="X5" s="1768"/>
    </row>
    <row r="6" spans="1:24" x14ac:dyDescent="0.2">
      <c r="A6" s="1779" t="s">
        <v>2009</v>
      </c>
      <c r="B6" s="1780"/>
      <c r="C6" s="1780"/>
      <c r="D6" s="1780"/>
      <c r="E6" s="1781"/>
      <c r="F6" s="1782"/>
      <c r="G6" s="1782"/>
      <c r="H6" s="1782"/>
      <c r="I6" s="1782"/>
      <c r="J6" s="1782"/>
      <c r="K6" s="1782"/>
      <c r="L6" s="1782"/>
      <c r="M6" s="1782"/>
      <c r="N6" s="1782"/>
      <c r="O6" s="1782"/>
      <c r="P6" s="1783"/>
      <c r="Q6" s="1784"/>
      <c r="R6" s="1544"/>
      <c r="S6" s="1544"/>
      <c r="T6" s="1544"/>
      <c r="U6" s="1785"/>
      <c r="V6" s="1768"/>
      <c r="W6" s="1768"/>
      <c r="X6" s="1768"/>
    </row>
    <row r="7" spans="1:24" x14ac:dyDescent="0.2">
      <c r="A7" s="1786" t="s">
        <v>2010</v>
      </c>
      <c r="B7" s="1787" t="s">
        <v>2011</v>
      </c>
      <c r="C7" s="1716"/>
      <c r="D7" s="1788"/>
      <c r="E7" s="1789"/>
      <c r="F7" s="1790"/>
      <c r="G7" s="1790"/>
      <c r="H7" s="1790"/>
      <c r="I7" s="1790"/>
      <c r="J7" s="1790"/>
      <c r="K7" s="1790"/>
      <c r="L7" s="1790"/>
      <c r="M7" s="1790"/>
      <c r="N7" s="1790"/>
      <c r="O7" s="1790"/>
      <c r="P7" s="1791"/>
      <c r="Q7" s="1792"/>
      <c r="R7" s="1717" t="s">
        <v>12</v>
      </c>
      <c r="S7" s="1793" t="s">
        <v>2012</v>
      </c>
      <c r="T7" s="1717" t="s">
        <v>14</v>
      </c>
      <c r="U7" s="1794"/>
      <c r="V7" s="1768"/>
      <c r="W7" s="1768"/>
      <c r="X7" s="1768"/>
    </row>
    <row r="8" spans="1:24" x14ac:dyDescent="0.2">
      <c r="A8" s="1795" t="s">
        <v>1150</v>
      </c>
      <c r="B8" s="1716" t="s">
        <v>2013</v>
      </c>
      <c r="C8" s="1716"/>
      <c r="D8" s="1788" t="s">
        <v>8</v>
      </c>
      <c r="E8" s="1796">
        <f ca="1">+Method_calculation!E251</f>
        <v>3636.7874747474752</v>
      </c>
      <c r="F8" s="1797">
        <f ca="1">+Method_calculation!F251</f>
        <v>2735.0580303030306</v>
      </c>
      <c r="G8" s="1797">
        <f ca="1">+Method_calculation!G251</f>
        <v>1590.5313645026763</v>
      </c>
      <c r="H8" s="1797">
        <f ca="1">+Method_calculation!H251</f>
        <v>379.77889055981291</v>
      </c>
      <c r="I8" s="1797">
        <f ca="1">+Method_calculation!I251</f>
        <v>-711.28003180674955</v>
      </c>
      <c r="J8" s="1797">
        <f ca="1">+Method_calculation!J251</f>
        <v>-811.60882291029532</v>
      </c>
      <c r="K8" s="1797">
        <f ca="1">+Method_calculation!K251</f>
        <v>-853.48098001400979</v>
      </c>
      <c r="L8" s="1797">
        <f ca="1">+Method_calculation!L251</f>
        <v>-729.01604883014249</v>
      </c>
      <c r="M8" s="1797">
        <f ca="1">+Method_calculation!M251</f>
        <v>-612.88149909014044</v>
      </c>
      <c r="N8" s="1797">
        <f ca="1">+Method_calculation!N251</f>
        <v>755.36650659756799</v>
      </c>
      <c r="O8" s="1797">
        <f ca="1">+Method_calculation!O251</f>
        <v>2260.0053636363637</v>
      </c>
      <c r="P8" s="1798">
        <f ca="1">+Method_calculation!P251</f>
        <v>2849.3430303030304</v>
      </c>
      <c r="Q8" s="1799">
        <f ca="1">+Method_calculation!Q251</f>
        <v>10488.60327799862</v>
      </c>
      <c r="R8" s="1751" t="s">
        <v>2016</v>
      </c>
      <c r="S8" s="1793" t="s">
        <v>2012</v>
      </c>
      <c r="T8" s="1717" t="s">
        <v>14</v>
      </c>
      <c r="U8" s="1794" t="s">
        <v>2017</v>
      </c>
      <c r="V8" s="1768"/>
      <c r="W8" s="1768"/>
      <c r="X8" s="1768"/>
    </row>
    <row r="9" spans="1:24" x14ac:dyDescent="0.2">
      <c r="A9" s="1795" t="s">
        <v>1234</v>
      </c>
      <c r="B9" s="1716" t="s">
        <v>2014</v>
      </c>
      <c r="C9" s="1716"/>
      <c r="D9" s="1788" t="s">
        <v>8</v>
      </c>
      <c r="E9" s="1800">
        <f ca="1">+Method_calculation!E252</f>
        <v>118.73272727272726</v>
      </c>
      <c r="F9" s="1801">
        <f ca="1">+Method_calculation!F252</f>
        <v>134.30939393939394</v>
      </c>
      <c r="G9" s="1801">
        <f ca="1">+Method_calculation!G252</f>
        <v>236.81027081983839</v>
      </c>
      <c r="H9" s="1801">
        <f ca="1">+Method_calculation!H252</f>
        <v>372.91622931556799</v>
      </c>
      <c r="I9" s="1801">
        <f ca="1">+Method_calculation!I252</f>
        <v>500.07287119895682</v>
      </c>
      <c r="J9" s="1801">
        <f ca="1">+Method_calculation!J252</f>
        <v>569.22314129686913</v>
      </c>
      <c r="K9" s="1801">
        <f ca="1">+Method_calculation!K252</f>
        <v>576.66589915619352</v>
      </c>
      <c r="L9" s="1801">
        <f ca="1">+Method_calculation!L252</f>
        <v>517.8557366749435</v>
      </c>
      <c r="M9" s="1801">
        <f ca="1">+Method_calculation!M252</f>
        <v>415.75179911868656</v>
      </c>
      <c r="N9" s="1801">
        <f ca="1">+Method_calculation!N252</f>
        <v>269.16708548978283</v>
      </c>
      <c r="O9" s="1801">
        <f ca="1">+Method_calculation!O252</f>
        <v>174.54539393939396</v>
      </c>
      <c r="P9" s="1802">
        <f ca="1">+Method_calculation!P252</f>
        <v>148.39939393939392</v>
      </c>
      <c r="Q9" s="1803">
        <f ca="1">+Method_calculation!Q252</f>
        <v>4034.4499421617479</v>
      </c>
      <c r="R9" s="1751" t="s">
        <v>2016</v>
      </c>
      <c r="S9" s="1793" t="s">
        <v>2012</v>
      </c>
      <c r="T9" s="1717" t="s">
        <v>14</v>
      </c>
      <c r="U9" s="1794" t="s">
        <v>2018</v>
      </c>
      <c r="V9" s="1768"/>
      <c r="W9" s="1768"/>
      <c r="X9" s="1768"/>
    </row>
    <row r="10" spans="1:24" x14ac:dyDescent="0.2">
      <c r="A10" s="1795" t="s">
        <v>1154</v>
      </c>
      <c r="B10" s="1716" t="s">
        <v>2015</v>
      </c>
      <c r="C10" s="1716"/>
      <c r="D10" s="1788" t="s">
        <v>8</v>
      </c>
      <c r="E10" s="1804">
        <f ca="1">+Method_calculation!E253</f>
        <v>3755.5202020202023</v>
      </c>
      <c r="F10" s="1805">
        <f ca="1">+Method_calculation!F253</f>
        <v>2869.3674242424245</v>
      </c>
      <c r="G10" s="1805">
        <f ca="1">+Method_calculation!G253</f>
        <v>1827.3416353225148</v>
      </c>
      <c r="H10" s="1805">
        <f ca="1">+Method_calculation!H253</f>
        <v>752.6951198753809</v>
      </c>
      <c r="I10" s="1805">
        <f ca="1">+Method_calculation!I253</f>
        <v>-211.20716060779273</v>
      </c>
      <c r="J10" s="1805">
        <f ca="1">+Method_calculation!J253</f>
        <v>-242.38568161342619</v>
      </c>
      <c r="K10" s="1805">
        <f ca="1">+Method_calculation!K253</f>
        <v>-276.81508085781627</v>
      </c>
      <c r="L10" s="1805">
        <f ca="1">+Method_calculation!L253</f>
        <v>-211.16031215519899</v>
      </c>
      <c r="M10" s="1805">
        <f ca="1">+Method_calculation!M253</f>
        <v>-197.12969997145387</v>
      </c>
      <c r="N10" s="1805">
        <f ca="1">+Method_calculation!N253</f>
        <v>1024.5335920873508</v>
      </c>
      <c r="O10" s="1805">
        <f ca="1">+Method_calculation!O253</f>
        <v>2434.5507575757574</v>
      </c>
      <c r="P10" s="1806">
        <f ca="1">+Method_calculation!P253</f>
        <v>2997.7424242424245</v>
      </c>
      <c r="Q10" s="1807">
        <f ca="1">+Method_calculation!Q253</f>
        <v>14523.053220160367</v>
      </c>
      <c r="R10" s="1751" t="s">
        <v>2016</v>
      </c>
      <c r="S10" s="1793" t="s">
        <v>2012</v>
      </c>
      <c r="T10" s="1717" t="s">
        <v>14</v>
      </c>
      <c r="U10" s="1794" t="s">
        <v>2019</v>
      </c>
      <c r="V10" s="1768"/>
      <c r="W10" s="1768"/>
      <c r="X10" s="1768"/>
    </row>
    <row r="11" spans="1:24" ht="50.25" customHeight="1" x14ac:dyDescent="0.2">
      <c r="A11" s="1795" t="s">
        <v>1348</v>
      </c>
      <c r="B11" s="1716" t="s">
        <v>1348</v>
      </c>
      <c r="C11" s="1716"/>
      <c r="D11" s="1788"/>
      <c r="E11" s="1789"/>
      <c r="F11" s="1790"/>
      <c r="G11" s="1790"/>
      <c r="H11" s="1790"/>
      <c r="I11" s="1790"/>
      <c r="J11" s="1790"/>
      <c r="K11" s="1790"/>
      <c r="L11" s="1790"/>
      <c r="M11" s="1790"/>
      <c r="N11" s="1790"/>
      <c r="O11" s="1790"/>
      <c r="P11" s="1791"/>
      <c r="Q11" s="1808">
        <f ca="1">+Method_calculation!Q254</f>
        <v>0.27779626508296984</v>
      </c>
      <c r="R11" s="1751" t="s">
        <v>2016</v>
      </c>
      <c r="S11" s="1793" t="s">
        <v>2012</v>
      </c>
      <c r="T11" s="1717" t="s">
        <v>14</v>
      </c>
      <c r="U11" s="1794" t="s">
        <v>2297</v>
      </c>
      <c r="V11" s="1768"/>
      <c r="W11" s="1768"/>
      <c r="X11" s="1768"/>
    </row>
    <row r="12" spans="1:24" ht="25.5" x14ac:dyDescent="0.2">
      <c r="A12" s="1795" t="s">
        <v>2358</v>
      </c>
      <c r="B12" s="1809" t="s">
        <v>2360</v>
      </c>
      <c r="C12" s="1716"/>
      <c r="D12" s="1788" t="s">
        <v>8</v>
      </c>
      <c r="E12" s="1789">
        <f ca="1">+Method_calculation!E256</f>
        <v>0</v>
      </c>
      <c r="F12" s="1790">
        <f ca="1">+Method_calculation!F256</f>
        <v>0</v>
      </c>
      <c r="G12" s="1790">
        <f ca="1">+Method_calculation!G256</f>
        <v>0</v>
      </c>
      <c r="H12" s="1790">
        <f ca="1">+Method_calculation!H256</f>
        <v>0</v>
      </c>
      <c r="I12" s="1790">
        <f ca="1">+Method_calculation!I256</f>
        <v>0</v>
      </c>
      <c r="J12" s="1790">
        <f ca="1">+Method_calculation!J256</f>
        <v>0</v>
      </c>
      <c r="K12" s="1790">
        <f ca="1">+Method_calculation!K256</f>
        <v>0</v>
      </c>
      <c r="L12" s="1790">
        <f ca="1">+Method_calculation!L256</f>
        <v>0</v>
      </c>
      <c r="M12" s="1790">
        <f ca="1">+Method_calculation!M256</f>
        <v>0</v>
      </c>
      <c r="N12" s="1790">
        <f ca="1">+Method_calculation!N256</f>
        <v>0</v>
      </c>
      <c r="O12" s="1790">
        <f ca="1">+Method_calculation!O256</f>
        <v>0</v>
      </c>
      <c r="P12" s="1791">
        <f ca="1">+Method_calculation!P256</f>
        <v>0</v>
      </c>
      <c r="Q12" s="1810">
        <f ca="1">SUM(E12:P12)</f>
        <v>0</v>
      </c>
      <c r="R12" s="1717" t="s">
        <v>12</v>
      </c>
      <c r="S12" s="1793" t="s">
        <v>2012</v>
      </c>
      <c r="T12" s="1717" t="s">
        <v>14</v>
      </c>
      <c r="U12" s="1811" t="s">
        <v>2364</v>
      </c>
      <c r="V12" s="1768"/>
      <c r="W12" s="1768"/>
      <c r="X12" s="1768"/>
    </row>
    <row r="13" spans="1:24" ht="25.5" x14ac:dyDescent="0.2">
      <c r="A13" s="1795" t="s">
        <v>2359</v>
      </c>
      <c r="B13" s="1809" t="s">
        <v>2361</v>
      </c>
      <c r="C13" s="1716"/>
      <c r="D13" s="1788" t="s">
        <v>8</v>
      </c>
      <c r="E13" s="1796">
        <f ca="1">+Method_calculation!E257</f>
        <v>0</v>
      </c>
      <c r="F13" s="1797">
        <f ca="1">+Method_calculation!F257</f>
        <v>0</v>
      </c>
      <c r="G13" s="1797">
        <f ca="1">+Method_calculation!G257</f>
        <v>0</v>
      </c>
      <c r="H13" s="1797">
        <f ca="1">+Method_calculation!H257</f>
        <v>0</v>
      </c>
      <c r="I13" s="1797">
        <f ca="1">+Method_calculation!I257</f>
        <v>0</v>
      </c>
      <c r="J13" s="1797">
        <f ca="1">+Method_calculation!J257</f>
        <v>0</v>
      </c>
      <c r="K13" s="1797">
        <f ca="1">+Method_calculation!K257</f>
        <v>0</v>
      </c>
      <c r="L13" s="1797">
        <f ca="1">+Method_calculation!L257</f>
        <v>0</v>
      </c>
      <c r="M13" s="1797">
        <f ca="1">+Method_calculation!M257</f>
        <v>0</v>
      </c>
      <c r="N13" s="1797">
        <f ca="1">+Method_calculation!N257</f>
        <v>0</v>
      </c>
      <c r="O13" s="1797">
        <f ca="1">+Method_calculation!O257</f>
        <v>0</v>
      </c>
      <c r="P13" s="1798">
        <f ca="1">+Method_calculation!P257</f>
        <v>0</v>
      </c>
      <c r="Q13" s="1799">
        <f t="shared" ref="Q13:Q14" ca="1" si="0">SUM(E13:P13)</f>
        <v>0</v>
      </c>
      <c r="R13" s="1751" t="s">
        <v>2016</v>
      </c>
      <c r="S13" s="1793" t="s">
        <v>2012</v>
      </c>
      <c r="T13" s="1717" t="s">
        <v>14</v>
      </c>
      <c r="U13" s="1811" t="s">
        <v>2364</v>
      </c>
      <c r="V13" s="1768"/>
      <c r="W13" s="1768"/>
      <c r="X13" s="1768"/>
    </row>
    <row r="14" spans="1:24" ht="25.5" x14ac:dyDescent="0.2">
      <c r="A14" s="1795" t="s">
        <v>2359</v>
      </c>
      <c r="B14" s="1809" t="s">
        <v>2362</v>
      </c>
      <c r="C14" s="1716"/>
      <c r="D14" s="1788" t="s">
        <v>8</v>
      </c>
      <c r="E14" s="1800">
        <f ca="1">+Method_calculation!E258</f>
        <v>0</v>
      </c>
      <c r="F14" s="1801">
        <f ca="1">+Method_calculation!F258</f>
        <v>0</v>
      </c>
      <c r="G14" s="1801">
        <f ca="1">+Method_calculation!G258</f>
        <v>0</v>
      </c>
      <c r="H14" s="1801">
        <f ca="1">+Method_calculation!H258</f>
        <v>0</v>
      </c>
      <c r="I14" s="1801">
        <f ca="1">+Method_calculation!I258</f>
        <v>0</v>
      </c>
      <c r="J14" s="1801">
        <f ca="1">+Method_calculation!J258</f>
        <v>0</v>
      </c>
      <c r="K14" s="1801">
        <f ca="1">+Method_calculation!K258</f>
        <v>0</v>
      </c>
      <c r="L14" s="1801">
        <f ca="1">+Method_calculation!L258</f>
        <v>0</v>
      </c>
      <c r="M14" s="1801">
        <f ca="1">+Method_calculation!M258</f>
        <v>0</v>
      </c>
      <c r="N14" s="1801">
        <f ca="1">+Method_calculation!N258</f>
        <v>0</v>
      </c>
      <c r="O14" s="1801">
        <f ca="1">+Method_calculation!O258</f>
        <v>0</v>
      </c>
      <c r="P14" s="1802">
        <f ca="1">+Method_calculation!P258</f>
        <v>0</v>
      </c>
      <c r="Q14" s="1803">
        <f t="shared" ca="1" si="0"/>
        <v>0</v>
      </c>
      <c r="R14" s="1751" t="s">
        <v>2016</v>
      </c>
      <c r="S14" s="1793" t="s">
        <v>2012</v>
      </c>
      <c r="T14" s="1717" t="s">
        <v>14</v>
      </c>
      <c r="U14" s="1811" t="s">
        <v>2364</v>
      </c>
      <c r="V14" s="1768"/>
      <c r="W14" s="1768"/>
      <c r="X14" s="1768"/>
    </row>
    <row r="15" spans="1:24" x14ac:dyDescent="0.2">
      <c r="A15" s="1795"/>
      <c r="B15" s="1809"/>
      <c r="C15" s="1716"/>
      <c r="D15" s="1788"/>
      <c r="E15" s="1789"/>
      <c r="F15" s="1790"/>
      <c r="G15" s="1790"/>
      <c r="H15" s="1790"/>
      <c r="I15" s="1790"/>
      <c r="J15" s="1790"/>
      <c r="K15" s="1790"/>
      <c r="L15" s="1790"/>
      <c r="M15" s="1790"/>
      <c r="N15" s="1790"/>
      <c r="O15" s="1790"/>
      <c r="P15" s="1791"/>
      <c r="Q15" s="1808"/>
      <c r="R15" s="1751"/>
      <c r="S15" s="1793"/>
      <c r="T15" s="1717"/>
      <c r="U15" s="1794"/>
      <c r="V15" s="1768"/>
      <c r="W15" s="1768"/>
      <c r="X15" s="1768"/>
    </row>
    <row r="16" spans="1:24" x14ac:dyDescent="0.2">
      <c r="A16" s="1795"/>
      <c r="B16" s="1809"/>
      <c r="C16" s="1716"/>
      <c r="D16" s="1788"/>
      <c r="E16" s="1789"/>
      <c r="F16" s="1790"/>
      <c r="G16" s="1790"/>
      <c r="H16" s="1790"/>
      <c r="I16" s="1790"/>
      <c r="J16" s="1790"/>
      <c r="K16" s="1790"/>
      <c r="L16" s="1790"/>
      <c r="M16" s="1790"/>
      <c r="N16" s="1790"/>
      <c r="O16" s="1790"/>
      <c r="P16" s="1791"/>
      <c r="Q16" s="1808"/>
      <c r="R16" s="1751"/>
      <c r="S16" s="1793"/>
      <c r="T16" s="1717"/>
      <c r="U16" s="1812" t="s">
        <v>2365</v>
      </c>
      <c r="V16" s="1768"/>
      <c r="W16" s="1768"/>
      <c r="X16" s="1768"/>
    </row>
    <row r="17" spans="1:24" x14ac:dyDescent="0.2">
      <c r="A17" s="1795"/>
      <c r="B17" s="1809"/>
      <c r="C17" s="1716"/>
      <c r="D17" s="1788"/>
      <c r="E17" s="1789"/>
      <c r="F17" s="1790"/>
      <c r="G17" s="1790"/>
      <c r="H17" s="1790"/>
      <c r="I17" s="1790"/>
      <c r="J17" s="1790"/>
      <c r="K17" s="1790"/>
      <c r="L17" s="1790"/>
      <c r="M17" s="1790"/>
      <c r="N17" s="1790"/>
      <c r="O17" s="1790"/>
      <c r="P17" s="1791"/>
      <c r="Q17" s="1808"/>
      <c r="R17" s="1751"/>
      <c r="S17" s="1793"/>
      <c r="T17" s="1717"/>
      <c r="U17" s="1794"/>
      <c r="V17" s="1768"/>
      <c r="W17" s="1768"/>
      <c r="X17" s="1768"/>
    </row>
    <row r="18" spans="1:24" x14ac:dyDescent="0.2">
      <c r="A18" s="1813"/>
      <c r="B18" s="1717"/>
      <c r="C18" s="1717"/>
      <c r="D18" s="1788"/>
      <c r="E18" s="1789"/>
      <c r="F18" s="1790"/>
      <c r="G18" s="1790"/>
      <c r="H18" s="1790"/>
      <c r="I18" s="1790"/>
      <c r="J18" s="1790"/>
      <c r="K18" s="1790"/>
      <c r="L18" s="1790"/>
      <c r="M18" s="1790"/>
      <c r="N18" s="1790"/>
      <c r="O18" s="1790"/>
      <c r="P18" s="1791"/>
      <c r="Q18" s="1792"/>
      <c r="R18" s="1717"/>
      <c r="S18" s="1793"/>
      <c r="T18" s="1717"/>
      <c r="U18" s="1794"/>
      <c r="V18" s="1768"/>
      <c r="W18" s="1768"/>
      <c r="X18" s="1768"/>
    </row>
    <row r="19" spans="1:24" x14ac:dyDescent="0.2">
      <c r="A19" s="1814" t="s">
        <v>2020</v>
      </c>
      <c r="B19" s="1815"/>
      <c r="C19" s="1815"/>
      <c r="D19" s="1815"/>
      <c r="E19" s="1816"/>
      <c r="F19" s="1817"/>
      <c r="G19" s="1817"/>
      <c r="H19" s="1817"/>
      <c r="I19" s="1817"/>
      <c r="J19" s="1817"/>
      <c r="K19" s="1817"/>
      <c r="L19" s="1817"/>
      <c r="M19" s="1817"/>
      <c r="N19" s="1817"/>
      <c r="O19" s="1817"/>
      <c r="P19" s="1818"/>
      <c r="Q19" s="1819"/>
      <c r="R19" s="1820"/>
      <c r="S19" s="1820"/>
      <c r="T19" s="1820"/>
      <c r="U19" s="1821" t="s">
        <v>2199</v>
      </c>
      <c r="V19" s="1768"/>
      <c r="W19" s="1768"/>
      <c r="X19" s="1768"/>
    </row>
    <row r="20" spans="1:24" ht="25.5" x14ac:dyDescent="0.2">
      <c r="A20" s="1786" t="s">
        <v>2021</v>
      </c>
      <c r="B20" s="1787" t="s">
        <v>2024</v>
      </c>
      <c r="C20" s="1717"/>
      <c r="D20" s="1788"/>
      <c r="E20" s="1789"/>
      <c r="F20" s="1790"/>
      <c r="G20" s="1790"/>
      <c r="H20" s="1790"/>
      <c r="I20" s="1790"/>
      <c r="J20" s="1790"/>
      <c r="K20" s="1790"/>
      <c r="L20" s="1790"/>
      <c r="M20" s="1790"/>
      <c r="N20" s="1790"/>
      <c r="O20" s="1790"/>
      <c r="P20" s="1791"/>
      <c r="Q20" s="1792"/>
      <c r="R20" s="1822"/>
      <c r="S20" s="1822"/>
      <c r="T20" s="1822"/>
      <c r="U20" s="1823"/>
      <c r="V20" s="1768"/>
      <c r="W20" s="1768"/>
      <c r="X20" s="1768"/>
    </row>
    <row r="21" spans="1:24" x14ac:dyDescent="0.2">
      <c r="A21" s="1795" t="s">
        <v>1150</v>
      </c>
      <c r="B21" s="1716" t="s">
        <v>2027</v>
      </c>
      <c r="C21" s="1717"/>
      <c r="D21" s="1788"/>
      <c r="E21" s="1789"/>
      <c r="F21" s="1790"/>
      <c r="G21" s="1790"/>
      <c r="H21" s="1790"/>
      <c r="I21" s="1790"/>
      <c r="J21" s="1790"/>
      <c r="K21" s="1790"/>
      <c r="L21" s="1790"/>
      <c r="M21" s="1790"/>
      <c r="N21" s="1790"/>
      <c r="O21" s="1790"/>
      <c r="P21" s="1791"/>
      <c r="Q21" s="1792"/>
      <c r="R21" s="1822"/>
      <c r="S21" s="1822"/>
      <c r="T21" s="1822"/>
      <c r="U21" s="1812" t="s">
        <v>2198</v>
      </c>
      <c r="V21" s="1768"/>
      <c r="W21" s="1768"/>
      <c r="X21" s="1768"/>
    </row>
    <row r="22" spans="1:24" x14ac:dyDescent="0.2">
      <c r="A22" s="1795" t="s">
        <v>1234</v>
      </c>
      <c r="B22" s="1716" t="s">
        <v>2028</v>
      </c>
      <c r="C22" s="1717"/>
      <c r="D22" s="1788"/>
      <c r="E22" s="1789"/>
      <c r="F22" s="1790"/>
      <c r="G22" s="1790"/>
      <c r="H22" s="1790"/>
      <c r="I22" s="1790"/>
      <c r="J22" s="1790"/>
      <c r="K22" s="1790"/>
      <c r="L22" s="1790"/>
      <c r="M22" s="1790"/>
      <c r="N22" s="1790"/>
      <c r="O22" s="1790"/>
      <c r="P22" s="1791"/>
      <c r="Q22" s="1792"/>
      <c r="R22" s="1822"/>
      <c r="S22" s="1822"/>
      <c r="T22" s="1822"/>
      <c r="U22" s="1812" t="s">
        <v>2198</v>
      </c>
      <c r="V22" s="1768"/>
      <c r="W22" s="1768"/>
      <c r="X22" s="1768"/>
    </row>
    <row r="23" spans="1:24" x14ac:dyDescent="0.2">
      <c r="A23" s="1795" t="s">
        <v>1154</v>
      </c>
      <c r="B23" s="1716" t="s">
        <v>2029</v>
      </c>
      <c r="C23" s="1717"/>
      <c r="D23" s="1788"/>
      <c r="E23" s="1789"/>
      <c r="F23" s="1790"/>
      <c r="G23" s="1790"/>
      <c r="H23" s="1790"/>
      <c r="I23" s="1790"/>
      <c r="J23" s="1790"/>
      <c r="K23" s="1790"/>
      <c r="L23" s="1790"/>
      <c r="M23" s="1790"/>
      <c r="N23" s="1790"/>
      <c r="O23" s="1790"/>
      <c r="P23" s="1791"/>
      <c r="Q23" s="1792"/>
      <c r="R23" s="1822"/>
      <c r="S23" s="1822"/>
      <c r="T23" s="1822"/>
      <c r="U23" s="1812" t="s">
        <v>2198</v>
      </c>
      <c r="V23" s="1768"/>
      <c r="W23" s="1768"/>
      <c r="X23" s="1768"/>
    </row>
    <row r="24" spans="1:24" x14ac:dyDescent="0.2">
      <c r="A24" s="1795" t="s">
        <v>1348</v>
      </c>
      <c r="B24" s="1716" t="s">
        <v>2030</v>
      </c>
      <c r="C24" s="1717"/>
      <c r="D24" s="1788"/>
      <c r="E24" s="1789"/>
      <c r="F24" s="1790"/>
      <c r="G24" s="1790"/>
      <c r="H24" s="1790"/>
      <c r="I24" s="1790"/>
      <c r="J24" s="1790"/>
      <c r="K24" s="1790"/>
      <c r="L24" s="1790"/>
      <c r="M24" s="1790"/>
      <c r="N24" s="1790"/>
      <c r="O24" s="1790"/>
      <c r="P24" s="1791"/>
      <c r="Q24" s="1792"/>
      <c r="R24" s="1822"/>
      <c r="S24" s="1822"/>
      <c r="T24" s="1822"/>
      <c r="U24" s="1812" t="s">
        <v>2198</v>
      </c>
      <c r="V24" s="1768"/>
      <c r="W24" s="1768"/>
      <c r="X24" s="1768"/>
    </row>
    <row r="25" spans="1:24" x14ac:dyDescent="0.2">
      <c r="A25" s="1795"/>
      <c r="B25" s="1716"/>
      <c r="C25" s="1717"/>
      <c r="D25" s="1788"/>
      <c r="E25" s="1789"/>
      <c r="F25" s="1790"/>
      <c r="G25" s="1790"/>
      <c r="H25" s="1790"/>
      <c r="I25" s="1790"/>
      <c r="J25" s="1790"/>
      <c r="K25" s="1790"/>
      <c r="L25" s="1790"/>
      <c r="M25" s="1790"/>
      <c r="N25" s="1790"/>
      <c r="O25" s="1790"/>
      <c r="P25" s="1791"/>
      <c r="Q25" s="1792"/>
      <c r="R25" s="1822"/>
      <c r="S25" s="1822"/>
      <c r="T25" s="1822"/>
      <c r="U25" s="1823"/>
      <c r="V25" s="1768"/>
      <c r="W25" s="1768"/>
      <c r="X25" s="1768"/>
    </row>
    <row r="26" spans="1:24" x14ac:dyDescent="0.2">
      <c r="A26" s="1813"/>
      <c r="B26" s="1717"/>
      <c r="C26" s="1717"/>
      <c r="D26" s="1788"/>
      <c r="E26" s="1789"/>
      <c r="F26" s="1790"/>
      <c r="G26" s="1790"/>
      <c r="H26" s="1790"/>
      <c r="I26" s="1790"/>
      <c r="J26" s="1790"/>
      <c r="K26" s="1790"/>
      <c r="L26" s="1790"/>
      <c r="M26" s="1790"/>
      <c r="N26" s="1790"/>
      <c r="O26" s="1790"/>
      <c r="P26" s="1791"/>
      <c r="Q26" s="1792"/>
      <c r="R26" s="1822"/>
      <c r="S26" s="1822"/>
      <c r="T26" s="1822"/>
      <c r="U26" s="1823"/>
      <c r="V26" s="1768"/>
      <c r="W26" s="1768"/>
      <c r="X26" s="1768"/>
    </row>
    <row r="27" spans="1:24" ht="25.5" x14ac:dyDescent="0.2">
      <c r="A27" s="1786" t="s">
        <v>2022</v>
      </c>
      <c r="B27" s="1787" t="s">
        <v>2025</v>
      </c>
      <c r="C27" s="1717"/>
      <c r="D27" s="1788"/>
      <c r="E27" s="1789"/>
      <c r="F27" s="1790"/>
      <c r="G27" s="1790"/>
      <c r="H27" s="1790"/>
      <c r="I27" s="1790"/>
      <c r="J27" s="1790"/>
      <c r="K27" s="1790"/>
      <c r="L27" s="1790"/>
      <c r="M27" s="1790"/>
      <c r="N27" s="1790"/>
      <c r="O27" s="1790"/>
      <c r="P27" s="1791"/>
      <c r="Q27" s="1792"/>
      <c r="R27" s="1822"/>
      <c r="S27" s="1822"/>
      <c r="T27" s="1822"/>
      <c r="U27" s="1823"/>
      <c r="V27" s="1768"/>
      <c r="W27" s="1768"/>
      <c r="X27" s="1768"/>
    </row>
    <row r="28" spans="1:24" x14ac:dyDescent="0.2">
      <c r="A28" s="1795" t="s">
        <v>1150</v>
      </c>
      <c r="B28" s="1716" t="s">
        <v>2031</v>
      </c>
      <c r="C28" s="1717"/>
      <c r="D28" s="1788"/>
      <c r="E28" s="1789"/>
      <c r="F28" s="1790"/>
      <c r="G28" s="1790"/>
      <c r="H28" s="1790"/>
      <c r="I28" s="1790"/>
      <c r="J28" s="1790"/>
      <c r="K28" s="1790"/>
      <c r="L28" s="1790"/>
      <c r="M28" s="1790"/>
      <c r="N28" s="1790"/>
      <c r="O28" s="1790"/>
      <c r="P28" s="1791"/>
      <c r="Q28" s="1792"/>
      <c r="R28" s="1822"/>
      <c r="S28" s="1822"/>
      <c r="T28" s="1822"/>
      <c r="U28" s="1812" t="s">
        <v>2198</v>
      </c>
      <c r="V28" s="1768"/>
      <c r="W28" s="1768"/>
      <c r="X28" s="1768"/>
    </row>
    <row r="29" spans="1:24" x14ac:dyDescent="0.2">
      <c r="A29" s="1795" t="s">
        <v>1234</v>
      </c>
      <c r="B29" s="1716" t="s">
        <v>2032</v>
      </c>
      <c r="C29" s="1717"/>
      <c r="D29" s="1788"/>
      <c r="E29" s="1789"/>
      <c r="F29" s="1790"/>
      <c r="G29" s="1790"/>
      <c r="H29" s="1790"/>
      <c r="I29" s="1790"/>
      <c r="J29" s="1790"/>
      <c r="K29" s="1790"/>
      <c r="L29" s="1790"/>
      <c r="M29" s="1790"/>
      <c r="N29" s="1790"/>
      <c r="O29" s="1790"/>
      <c r="P29" s="1791"/>
      <c r="Q29" s="1792"/>
      <c r="R29" s="1822"/>
      <c r="S29" s="1822"/>
      <c r="T29" s="1822"/>
      <c r="U29" s="1812" t="s">
        <v>2198</v>
      </c>
      <c r="V29" s="1768"/>
      <c r="W29" s="1768"/>
      <c r="X29" s="1768"/>
    </row>
    <row r="30" spans="1:24" x14ac:dyDescent="0.2">
      <c r="A30" s="1795" t="s">
        <v>1154</v>
      </c>
      <c r="B30" s="1716" t="s">
        <v>2033</v>
      </c>
      <c r="C30" s="1717"/>
      <c r="D30" s="1788"/>
      <c r="E30" s="1789"/>
      <c r="F30" s="1790"/>
      <c r="G30" s="1790"/>
      <c r="H30" s="1790"/>
      <c r="I30" s="1790"/>
      <c r="J30" s="1790"/>
      <c r="K30" s="1790"/>
      <c r="L30" s="1790"/>
      <c r="M30" s="1790"/>
      <c r="N30" s="1790"/>
      <c r="O30" s="1790"/>
      <c r="P30" s="1791"/>
      <c r="Q30" s="1792"/>
      <c r="R30" s="1822"/>
      <c r="S30" s="1822"/>
      <c r="T30" s="1822"/>
      <c r="U30" s="1812" t="s">
        <v>2198</v>
      </c>
      <c r="V30" s="1768"/>
      <c r="W30" s="1768"/>
      <c r="X30" s="1768"/>
    </row>
    <row r="31" spans="1:24" x14ac:dyDescent="0.2">
      <c r="A31" s="1795" t="s">
        <v>1348</v>
      </c>
      <c r="B31" s="1716" t="s">
        <v>2034</v>
      </c>
      <c r="C31" s="1717"/>
      <c r="D31" s="1788"/>
      <c r="E31" s="1789"/>
      <c r="F31" s="1790"/>
      <c r="G31" s="1790"/>
      <c r="H31" s="1790"/>
      <c r="I31" s="1790"/>
      <c r="J31" s="1790"/>
      <c r="K31" s="1790"/>
      <c r="L31" s="1790"/>
      <c r="M31" s="1790"/>
      <c r="N31" s="1790"/>
      <c r="O31" s="1790"/>
      <c r="P31" s="1791"/>
      <c r="Q31" s="1792"/>
      <c r="R31" s="1822"/>
      <c r="S31" s="1822"/>
      <c r="T31" s="1822"/>
      <c r="U31" s="1812" t="s">
        <v>2198</v>
      </c>
      <c r="V31" s="1768"/>
      <c r="W31" s="1768"/>
      <c r="X31" s="1768"/>
    </row>
    <row r="32" spans="1:24" x14ac:dyDescent="0.2">
      <c r="A32" s="1813"/>
      <c r="B32" s="1717"/>
      <c r="C32" s="1717"/>
      <c r="D32" s="1788"/>
      <c r="E32" s="1789"/>
      <c r="F32" s="1790"/>
      <c r="G32" s="1790"/>
      <c r="H32" s="1790"/>
      <c r="I32" s="1790"/>
      <c r="J32" s="1790"/>
      <c r="K32" s="1790"/>
      <c r="L32" s="1790"/>
      <c r="M32" s="1790"/>
      <c r="N32" s="1790"/>
      <c r="O32" s="1790"/>
      <c r="P32" s="1791"/>
      <c r="Q32" s="1792"/>
      <c r="R32" s="1822"/>
      <c r="S32" s="1822"/>
      <c r="T32" s="1822"/>
      <c r="U32" s="1823"/>
      <c r="V32" s="1768"/>
      <c r="W32" s="1768"/>
      <c r="X32" s="1768"/>
    </row>
    <row r="33" spans="1:24" x14ac:dyDescent="0.2">
      <c r="A33" s="1813"/>
      <c r="B33" s="1717"/>
      <c r="C33" s="1717"/>
      <c r="D33" s="1788"/>
      <c r="E33" s="1789"/>
      <c r="F33" s="1790"/>
      <c r="G33" s="1790"/>
      <c r="H33" s="1790"/>
      <c r="I33" s="1790"/>
      <c r="J33" s="1790"/>
      <c r="K33" s="1790"/>
      <c r="L33" s="1790"/>
      <c r="M33" s="1790"/>
      <c r="N33" s="1790"/>
      <c r="O33" s="1790"/>
      <c r="P33" s="1791"/>
      <c r="Q33" s="1792"/>
      <c r="R33" s="1822"/>
      <c r="S33" s="1822"/>
      <c r="T33" s="1822"/>
      <c r="U33" s="1823"/>
      <c r="V33" s="1768"/>
      <c r="W33" s="1768"/>
      <c r="X33" s="1768"/>
    </row>
    <row r="34" spans="1:24" ht="25.5" x14ac:dyDescent="0.2">
      <c r="A34" s="1786" t="s">
        <v>2023</v>
      </c>
      <c r="B34" s="1787" t="s">
        <v>2026</v>
      </c>
      <c r="C34" s="1717"/>
      <c r="D34" s="1788"/>
      <c r="E34" s="1789"/>
      <c r="F34" s="1790"/>
      <c r="G34" s="1790"/>
      <c r="H34" s="1790"/>
      <c r="I34" s="1790"/>
      <c r="J34" s="1790"/>
      <c r="K34" s="1790"/>
      <c r="L34" s="1790"/>
      <c r="M34" s="1790"/>
      <c r="N34" s="1790"/>
      <c r="O34" s="1790"/>
      <c r="P34" s="1791"/>
      <c r="Q34" s="1792"/>
      <c r="R34" s="1822"/>
      <c r="S34" s="1822"/>
      <c r="T34" s="1822"/>
      <c r="U34" s="1823"/>
      <c r="V34" s="1768"/>
      <c r="W34" s="1768"/>
      <c r="X34" s="1768"/>
    </row>
    <row r="35" spans="1:24" x14ac:dyDescent="0.2">
      <c r="A35" s="1795" t="s">
        <v>1150</v>
      </c>
      <c r="B35" s="1716" t="s">
        <v>2035</v>
      </c>
      <c r="C35" s="1717"/>
      <c r="D35" s="1788"/>
      <c r="E35" s="1789"/>
      <c r="F35" s="1790"/>
      <c r="G35" s="1790"/>
      <c r="H35" s="1790"/>
      <c r="I35" s="1790"/>
      <c r="J35" s="1790"/>
      <c r="K35" s="1790"/>
      <c r="L35" s="1790"/>
      <c r="M35" s="1790"/>
      <c r="N35" s="1790"/>
      <c r="O35" s="1790"/>
      <c r="P35" s="1791"/>
      <c r="Q35" s="1792"/>
      <c r="R35" s="1822"/>
      <c r="S35" s="1822"/>
      <c r="T35" s="1822"/>
      <c r="U35" s="1812" t="s">
        <v>2198</v>
      </c>
      <c r="V35" s="1768"/>
      <c r="W35" s="1768"/>
      <c r="X35" s="1768"/>
    </row>
    <row r="36" spans="1:24" x14ac:dyDescent="0.2">
      <c r="A36" s="1795" t="s">
        <v>1234</v>
      </c>
      <c r="B36" s="1716" t="s">
        <v>2036</v>
      </c>
      <c r="C36" s="1717"/>
      <c r="D36" s="1788"/>
      <c r="E36" s="1789"/>
      <c r="F36" s="1790"/>
      <c r="G36" s="1790"/>
      <c r="H36" s="1790"/>
      <c r="I36" s="1790"/>
      <c r="J36" s="1790"/>
      <c r="K36" s="1790"/>
      <c r="L36" s="1790"/>
      <c r="M36" s="1790"/>
      <c r="N36" s="1790"/>
      <c r="O36" s="1790"/>
      <c r="P36" s="1791"/>
      <c r="Q36" s="1792"/>
      <c r="R36" s="1822"/>
      <c r="S36" s="1822"/>
      <c r="T36" s="1822"/>
      <c r="U36" s="1812" t="s">
        <v>2198</v>
      </c>
      <c r="V36" s="1768"/>
      <c r="W36" s="1768"/>
      <c r="X36" s="1768"/>
    </row>
    <row r="37" spans="1:24" x14ac:dyDescent="0.2">
      <c r="A37" s="1795" t="s">
        <v>1154</v>
      </c>
      <c r="B37" s="1716" t="s">
        <v>2037</v>
      </c>
      <c r="C37" s="1717"/>
      <c r="D37" s="1788"/>
      <c r="E37" s="1789"/>
      <c r="F37" s="1790"/>
      <c r="G37" s="1790"/>
      <c r="H37" s="1790"/>
      <c r="I37" s="1790"/>
      <c r="J37" s="1790"/>
      <c r="K37" s="1790"/>
      <c r="L37" s="1790"/>
      <c r="M37" s="1790"/>
      <c r="N37" s="1790"/>
      <c r="O37" s="1790"/>
      <c r="P37" s="1791"/>
      <c r="Q37" s="1792"/>
      <c r="R37" s="1822"/>
      <c r="S37" s="1822"/>
      <c r="T37" s="1822"/>
      <c r="U37" s="1812" t="s">
        <v>2198</v>
      </c>
      <c r="V37" s="1768"/>
      <c r="W37" s="1768"/>
      <c r="X37" s="1768"/>
    </row>
    <row r="38" spans="1:24" x14ac:dyDescent="0.2">
      <c r="A38" s="1795" t="s">
        <v>1348</v>
      </c>
      <c r="B38" s="1716" t="s">
        <v>2038</v>
      </c>
      <c r="C38" s="1717"/>
      <c r="D38" s="1788"/>
      <c r="E38" s="1789"/>
      <c r="F38" s="1790"/>
      <c r="G38" s="1790"/>
      <c r="H38" s="1790"/>
      <c r="I38" s="1790"/>
      <c r="J38" s="1790"/>
      <c r="K38" s="1790"/>
      <c r="L38" s="1790"/>
      <c r="M38" s="1790"/>
      <c r="N38" s="1790"/>
      <c r="O38" s="1790"/>
      <c r="P38" s="1791"/>
      <c r="Q38" s="1792"/>
      <c r="R38" s="1822"/>
      <c r="S38" s="1822"/>
      <c r="T38" s="1822"/>
      <c r="U38" s="1812" t="s">
        <v>2198</v>
      </c>
      <c r="V38" s="1768"/>
      <c r="W38" s="1768"/>
      <c r="X38" s="1768"/>
    </row>
    <row r="39" spans="1:24" x14ac:dyDescent="0.2">
      <c r="A39" s="1813"/>
      <c r="B39" s="1717"/>
      <c r="C39" s="1717"/>
      <c r="D39" s="1788"/>
      <c r="E39" s="1789"/>
      <c r="F39" s="1790"/>
      <c r="G39" s="1790"/>
      <c r="H39" s="1790"/>
      <c r="I39" s="1790"/>
      <c r="J39" s="1790"/>
      <c r="K39" s="1790"/>
      <c r="L39" s="1790"/>
      <c r="M39" s="1790"/>
      <c r="N39" s="1790"/>
      <c r="O39" s="1790"/>
      <c r="P39" s="1791"/>
      <c r="Q39" s="1792"/>
      <c r="R39" s="1822"/>
      <c r="S39" s="1822"/>
      <c r="T39" s="1822"/>
      <c r="U39" s="1823"/>
      <c r="V39" s="1768"/>
      <c r="W39" s="1768"/>
      <c r="X39" s="1768"/>
    </row>
    <row r="40" spans="1:24" x14ac:dyDescent="0.2">
      <c r="A40" s="1161" t="s">
        <v>2042</v>
      </c>
      <c r="B40" s="1034"/>
      <c r="C40" s="1034"/>
      <c r="D40" s="1050"/>
      <c r="E40" s="1060"/>
      <c r="F40" s="1061"/>
      <c r="G40" s="1061"/>
      <c r="H40" s="1061"/>
      <c r="I40" s="1061"/>
      <c r="J40" s="1061"/>
      <c r="K40" s="1061"/>
      <c r="L40" s="1061"/>
      <c r="M40" s="1061"/>
      <c r="N40" s="1061"/>
      <c r="O40" s="1061"/>
      <c r="P40" s="1062"/>
      <c r="Q40" s="1059"/>
      <c r="R40" s="1162"/>
      <c r="S40" s="1162"/>
      <c r="T40" s="1162"/>
      <c r="U40" s="1163"/>
      <c r="V40" s="1768"/>
      <c r="W40" s="1768"/>
      <c r="X40" s="1768"/>
    </row>
    <row r="41" spans="1:24" x14ac:dyDescent="0.2">
      <c r="A41" s="1813"/>
      <c r="B41" s="1717"/>
      <c r="C41" s="1717"/>
      <c r="D41" s="1788"/>
      <c r="E41" s="1789"/>
      <c r="F41" s="1790"/>
      <c r="G41" s="1790"/>
      <c r="H41" s="1790"/>
      <c r="I41" s="1790"/>
      <c r="J41" s="1790"/>
      <c r="K41" s="1790"/>
      <c r="L41" s="1790"/>
      <c r="M41" s="1790"/>
      <c r="N41" s="1790"/>
      <c r="O41" s="1790"/>
      <c r="P41" s="1791"/>
      <c r="Q41" s="1792"/>
      <c r="R41" s="1822"/>
      <c r="S41" s="1822"/>
      <c r="T41" s="1822"/>
      <c r="U41" s="1823"/>
      <c r="V41" s="1768"/>
      <c r="W41" s="1768"/>
      <c r="X41" s="1768"/>
    </row>
    <row r="42" spans="1:24" ht="13.5" thickBot="1" x14ac:dyDescent="0.25">
      <c r="A42" s="1824"/>
      <c r="B42" s="1825"/>
      <c r="C42" s="1825"/>
      <c r="D42" s="1826"/>
      <c r="E42" s="1827"/>
      <c r="F42" s="1828"/>
      <c r="G42" s="1828"/>
      <c r="H42" s="1828"/>
      <c r="I42" s="1828"/>
      <c r="J42" s="1828"/>
      <c r="K42" s="1828"/>
      <c r="L42" s="1828"/>
      <c r="M42" s="1828"/>
      <c r="N42" s="1828"/>
      <c r="O42" s="1828"/>
      <c r="P42" s="1829"/>
      <c r="Q42" s="1830"/>
      <c r="R42" s="1831"/>
      <c r="S42" s="1831"/>
      <c r="T42" s="1831"/>
      <c r="U42" s="1832"/>
      <c r="V42" s="1768"/>
      <c r="W42" s="1768"/>
      <c r="X42" s="1768"/>
    </row>
    <row r="43" spans="1:24" x14ac:dyDescent="0.2">
      <c r="B43" s="1768"/>
      <c r="C43" s="1768"/>
      <c r="D43" s="1768"/>
      <c r="E43" s="1768"/>
      <c r="F43" s="1768"/>
      <c r="G43" s="1768"/>
      <c r="H43" s="1768"/>
      <c r="I43" s="1768"/>
      <c r="J43" s="1768"/>
      <c r="K43" s="1768"/>
      <c r="L43" s="1768"/>
      <c r="M43" s="1768"/>
      <c r="N43" s="1768"/>
      <c r="O43" s="1768"/>
      <c r="P43" s="1768"/>
      <c r="Q43" s="1768"/>
      <c r="R43" s="1768"/>
      <c r="S43" s="1768"/>
      <c r="T43" s="1768"/>
      <c r="U43" s="1768"/>
      <c r="V43" s="1768"/>
      <c r="W43" s="1768"/>
      <c r="X43" s="1768"/>
    </row>
    <row r="44" spans="1:24" x14ac:dyDescent="0.2">
      <c r="B44" s="1768"/>
      <c r="C44" s="1768"/>
      <c r="D44" s="1768"/>
      <c r="E44" s="1768"/>
      <c r="F44" s="1768"/>
      <c r="G44" s="1768"/>
      <c r="H44" s="1768"/>
      <c r="I44" s="1768"/>
      <c r="J44" s="1768"/>
      <c r="K44" s="1768"/>
      <c r="L44" s="1768"/>
      <c r="M44" s="1768"/>
      <c r="N44" s="1768"/>
      <c r="O44" s="1768"/>
      <c r="P44" s="1768"/>
      <c r="Q44" s="1768"/>
      <c r="R44" s="1768"/>
      <c r="S44" s="1768"/>
      <c r="T44" s="1768"/>
      <c r="U44" s="1768"/>
      <c r="V44" s="1768"/>
      <c r="W44" s="1768"/>
      <c r="X44" s="1768"/>
    </row>
  </sheetData>
  <mergeCells count="1">
    <mergeCell ref="A1:X1"/>
  </mergeCells>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9">
    <tabColor rgb="FF00B050"/>
  </sheetPr>
  <dimension ref="A1:J45"/>
  <sheetViews>
    <sheetView workbookViewId="0">
      <selection activeCell="J34" sqref="J34"/>
    </sheetView>
  </sheetViews>
  <sheetFormatPr defaultRowHeight="12.75" x14ac:dyDescent="0.2"/>
  <cols>
    <col min="1" max="16384" width="9.140625" style="1229"/>
  </cols>
  <sheetData>
    <row r="1" spans="1:10" x14ac:dyDescent="0.2">
      <c r="A1" s="1753"/>
      <c r="B1" s="1753"/>
      <c r="C1" s="1753"/>
      <c r="D1" s="1753"/>
      <c r="E1" s="1753"/>
      <c r="F1" s="1753"/>
      <c r="G1" s="1753"/>
      <c r="H1" s="1753"/>
      <c r="I1" s="1753"/>
      <c r="J1" s="1753"/>
    </row>
    <row r="2" spans="1:10" x14ac:dyDescent="0.2">
      <c r="A2" s="1753"/>
      <c r="B2" s="1754" t="s">
        <v>2085</v>
      </c>
      <c r="C2" s="1753"/>
      <c r="D2" s="1753"/>
      <c r="E2" s="1753"/>
      <c r="F2" s="1753"/>
      <c r="G2" s="1753"/>
      <c r="H2" s="1753"/>
      <c r="I2" s="1753"/>
      <c r="J2" s="1753"/>
    </row>
    <row r="3" spans="1:10" x14ac:dyDescent="0.2">
      <c r="A3" s="1753"/>
      <c r="B3" s="1754" t="s">
        <v>2086</v>
      </c>
      <c r="C3" s="1753"/>
      <c r="D3" s="1753"/>
      <c r="E3" s="1753"/>
      <c r="F3" s="1753"/>
      <c r="G3" s="1753"/>
      <c r="H3" s="1753"/>
      <c r="I3" s="1753"/>
      <c r="J3" s="1753"/>
    </row>
    <row r="4" spans="1:10" x14ac:dyDescent="0.2">
      <c r="A4" s="1753"/>
      <c r="B4" s="1754" t="s">
        <v>2087</v>
      </c>
      <c r="C4" s="1753"/>
      <c r="D4" s="1753"/>
      <c r="E4" s="1753"/>
      <c r="F4" s="1753"/>
      <c r="G4" s="1753"/>
      <c r="H4" s="1753"/>
      <c r="I4" s="1753"/>
      <c r="J4" s="1753"/>
    </row>
    <row r="5" spans="1:10" x14ac:dyDescent="0.2">
      <c r="A5" s="1753"/>
      <c r="B5" s="1754" t="s">
        <v>2088</v>
      </c>
      <c r="C5" s="1753"/>
      <c r="D5" s="1753"/>
      <c r="E5" s="1753"/>
      <c r="F5" s="1753"/>
      <c r="G5" s="1753"/>
      <c r="H5" s="1753"/>
      <c r="I5" s="1753"/>
      <c r="J5" s="1753"/>
    </row>
    <row r="6" spans="1:10" x14ac:dyDescent="0.2">
      <c r="A6" s="1753"/>
      <c r="B6" s="1753"/>
      <c r="C6" s="1753"/>
      <c r="D6" s="1753"/>
      <c r="E6" s="1753"/>
      <c r="F6" s="1753"/>
      <c r="G6" s="1753"/>
      <c r="H6" s="1753"/>
      <c r="I6" s="1753"/>
      <c r="J6" s="1753"/>
    </row>
    <row r="7" spans="1:10" x14ac:dyDescent="0.2">
      <c r="A7" s="1753"/>
      <c r="B7" s="1753"/>
      <c r="C7" s="1753"/>
      <c r="D7" s="1753"/>
      <c r="E7" s="1753"/>
      <c r="F7" s="1753"/>
      <c r="G7" s="1753"/>
      <c r="H7" s="1753"/>
      <c r="I7" s="1753"/>
      <c r="J7" s="1753"/>
    </row>
    <row r="8" spans="1:10" x14ac:dyDescent="0.2">
      <c r="A8" s="1753"/>
      <c r="B8" s="1753"/>
      <c r="C8" s="1753"/>
      <c r="D8" s="1753"/>
      <c r="E8" s="1753"/>
      <c r="F8" s="1753"/>
      <c r="G8" s="1753"/>
      <c r="H8" s="1753"/>
      <c r="I8" s="1753"/>
      <c r="J8" s="1753"/>
    </row>
    <row r="9" spans="1:10" x14ac:dyDescent="0.2">
      <c r="A9" s="1753"/>
      <c r="B9" s="1753"/>
      <c r="C9" s="1753"/>
      <c r="D9" s="1753"/>
      <c r="E9" s="1753"/>
      <c r="F9" s="1753"/>
      <c r="G9" s="1753"/>
      <c r="H9" s="1753"/>
      <c r="I9" s="1753"/>
      <c r="J9" s="1753"/>
    </row>
    <row r="10" spans="1:10" x14ac:dyDescent="0.2">
      <c r="A10" s="1753"/>
      <c r="B10" s="1753"/>
      <c r="C10" s="1753"/>
      <c r="D10" s="1753"/>
      <c r="E10" s="1753"/>
      <c r="F10" s="1753"/>
      <c r="G10" s="1753"/>
      <c r="H10" s="1753"/>
      <c r="I10" s="1753"/>
      <c r="J10" s="1753"/>
    </row>
    <row r="11" spans="1:10" x14ac:dyDescent="0.2">
      <c r="A11" s="1753"/>
      <c r="B11" s="1753"/>
      <c r="C11" s="1753"/>
      <c r="D11" s="1753"/>
      <c r="E11" s="1753"/>
      <c r="F11" s="1753"/>
      <c r="G11" s="1753"/>
      <c r="H11" s="1753"/>
      <c r="I11" s="1753"/>
      <c r="J11" s="1753"/>
    </row>
    <row r="12" spans="1:10" x14ac:dyDescent="0.2">
      <c r="A12" s="1753"/>
      <c r="B12" s="1753"/>
      <c r="C12" s="1753"/>
      <c r="D12" s="1753"/>
      <c r="E12" s="1753"/>
      <c r="F12" s="1753"/>
      <c r="G12" s="1753"/>
      <c r="H12" s="1753"/>
      <c r="I12" s="1753"/>
      <c r="J12" s="1753"/>
    </row>
    <row r="13" spans="1:10" x14ac:dyDescent="0.2">
      <c r="A13" s="1753"/>
      <c r="B13" s="1753"/>
      <c r="C13" s="1753"/>
      <c r="D13" s="1753"/>
      <c r="E13" s="1753"/>
      <c r="F13" s="1753"/>
      <c r="G13" s="1753"/>
      <c r="H13" s="1753"/>
      <c r="I13" s="1753"/>
      <c r="J13" s="1753"/>
    </row>
    <row r="14" spans="1:10" x14ac:dyDescent="0.2">
      <c r="A14" s="1753"/>
      <c r="B14" s="1753"/>
      <c r="C14" s="1753"/>
      <c r="D14" s="1753"/>
      <c r="E14" s="1753"/>
      <c r="F14" s="1753"/>
      <c r="G14" s="1753"/>
      <c r="H14" s="1753"/>
      <c r="I14" s="1753"/>
      <c r="J14" s="1753"/>
    </row>
    <row r="15" spans="1:10" x14ac:dyDescent="0.2">
      <c r="A15" s="1753"/>
      <c r="B15" s="1753"/>
      <c r="C15" s="1753"/>
      <c r="D15" s="1753"/>
      <c r="E15" s="1753"/>
      <c r="F15" s="1753"/>
      <c r="G15" s="1753"/>
      <c r="H15" s="1753"/>
      <c r="I15" s="1753"/>
      <c r="J15" s="1753"/>
    </row>
    <row r="16" spans="1:10" x14ac:dyDescent="0.2">
      <c r="A16" s="1753"/>
      <c r="B16" s="1753"/>
      <c r="C16" s="1753"/>
      <c r="D16" s="1753"/>
      <c r="E16" s="1753"/>
      <c r="F16" s="1753"/>
      <c r="G16" s="1753"/>
      <c r="H16" s="1753"/>
      <c r="I16" s="1753"/>
      <c r="J16" s="1753"/>
    </row>
    <row r="17" spans="1:10" x14ac:dyDescent="0.2">
      <c r="A17" s="1753"/>
      <c r="B17" s="1753"/>
      <c r="C17" s="1753"/>
      <c r="D17" s="1753"/>
      <c r="E17" s="1753"/>
      <c r="F17" s="1753"/>
      <c r="G17" s="1753"/>
      <c r="H17" s="1753"/>
      <c r="I17" s="1753"/>
      <c r="J17" s="1753"/>
    </row>
    <row r="18" spans="1:10" x14ac:dyDescent="0.2">
      <c r="A18" s="1753"/>
      <c r="B18" s="1753"/>
      <c r="C18" s="1753"/>
      <c r="D18" s="1753"/>
      <c r="E18" s="1753"/>
      <c r="F18" s="1753"/>
      <c r="G18" s="1753"/>
      <c r="H18" s="1753"/>
      <c r="I18" s="1753"/>
      <c r="J18" s="1753"/>
    </row>
    <row r="19" spans="1:10" x14ac:dyDescent="0.2">
      <c r="A19" s="1753"/>
      <c r="B19" s="1753"/>
      <c r="C19" s="1753"/>
      <c r="D19" s="1753"/>
      <c r="E19" s="1753"/>
      <c r="F19" s="1753"/>
      <c r="G19" s="1753"/>
      <c r="H19" s="1753"/>
      <c r="I19" s="1753"/>
      <c r="J19" s="1753"/>
    </row>
    <row r="20" spans="1:10" x14ac:dyDescent="0.2">
      <c r="A20" s="1753"/>
      <c r="B20" s="1753"/>
      <c r="C20" s="1753"/>
      <c r="D20" s="1753"/>
      <c r="E20" s="1753"/>
      <c r="F20" s="1753"/>
      <c r="G20" s="1753"/>
      <c r="H20" s="1753"/>
      <c r="I20" s="1753"/>
      <c r="J20" s="1753"/>
    </row>
    <row r="21" spans="1:10" x14ac:dyDescent="0.2">
      <c r="A21" s="1753"/>
      <c r="B21" s="1753"/>
      <c r="C21" s="1753"/>
      <c r="D21" s="1753"/>
      <c r="E21" s="1753"/>
      <c r="F21" s="1753"/>
      <c r="G21" s="1753"/>
      <c r="H21" s="1753"/>
      <c r="I21" s="1753"/>
      <c r="J21" s="1753"/>
    </row>
    <row r="22" spans="1:10" x14ac:dyDescent="0.2">
      <c r="A22" s="1753"/>
      <c r="B22" s="1753"/>
      <c r="C22" s="1753"/>
      <c r="D22" s="1753"/>
      <c r="E22" s="1753"/>
      <c r="F22" s="1753"/>
      <c r="G22" s="1753"/>
      <c r="H22" s="1753"/>
      <c r="I22" s="1753"/>
      <c r="J22" s="1753"/>
    </row>
    <row r="23" spans="1:10" x14ac:dyDescent="0.2">
      <c r="A23" s="1753"/>
      <c r="B23" s="1753"/>
      <c r="C23" s="1753"/>
      <c r="D23" s="1753"/>
      <c r="E23" s="1753"/>
      <c r="F23" s="1753"/>
      <c r="G23" s="1753"/>
      <c r="H23" s="1753"/>
      <c r="I23" s="1753"/>
      <c r="J23" s="1753"/>
    </row>
    <row r="24" spans="1:10" x14ac:dyDescent="0.2">
      <c r="A24" s="1753"/>
      <c r="B24" s="1753"/>
      <c r="C24" s="1753"/>
      <c r="D24" s="1753"/>
      <c r="E24" s="1753"/>
      <c r="F24" s="1753"/>
      <c r="G24" s="1753"/>
      <c r="H24" s="1753"/>
      <c r="I24" s="1753"/>
      <c r="J24" s="1753"/>
    </row>
    <row r="25" spans="1:10" x14ac:dyDescent="0.2">
      <c r="A25" s="1753"/>
      <c r="B25" s="1755" t="s">
        <v>1922</v>
      </c>
      <c r="C25" s="1233">
        <v>1</v>
      </c>
      <c r="D25" s="1757" t="s">
        <v>2039</v>
      </c>
      <c r="E25" s="1758"/>
      <c r="F25" s="1758"/>
      <c r="G25" s="1758"/>
      <c r="H25" s="1758"/>
      <c r="I25" s="1759"/>
      <c r="J25" s="1753"/>
    </row>
    <row r="26" spans="1:10" x14ac:dyDescent="0.2">
      <c r="A26" s="1753"/>
      <c r="B26" s="1756" t="s">
        <v>1923</v>
      </c>
      <c r="C26" s="1234">
        <v>1</v>
      </c>
      <c r="D26" s="1760" t="s">
        <v>2043</v>
      </c>
      <c r="E26" s="1761"/>
      <c r="F26" s="1761"/>
      <c r="G26" s="1761"/>
      <c r="H26" s="1761"/>
      <c r="I26" s="1762"/>
      <c r="J26" s="1753"/>
    </row>
    <row r="27" spans="1:10" x14ac:dyDescent="0.2">
      <c r="A27" s="1753"/>
      <c r="B27" s="1753"/>
      <c r="C27" s="1753"/>
      <c r="D27" s="1753"/>
      <c r="E27" s="1753"/>
      <c r="F27" s="1753"/>
      <c r="G27" s="1753"/>
      <c r="H27" s="1753"/>
      <c r="I27" s="1753"/>
      <c r="J27" s="1753"/>
    </row>
    <row r="28" spans="1:10" ht="17.25" customHeight="1" x14ac:dyDescent="0.2">
      <c r="A28" s="1753"/>
      <c r="B28" s="1230" t="s">
        <v>2089</v>
      </c>
      <c r="C28" s="1231"/>
      <c r="D28" s="1231"/>
      <c r="E28" s="1231"/>
      <c r="F28" s="1231"/>
      <c r="G28" s="1231"/>
      <c r="H28" s="1231"/>
      <c r="I28" s="1232"/>
      <c r="J28" s="1753"/>
    </row>
    <row r="29" spans="1:10" x14ac:dyDescent="0.2">
      <c r="A29" s="1753"/>
      <c r="B29" s="1753"/>
      <c r="C29" s="1753"/>
      <c r="D29" s="1753"/>
      <c r="E29" s="1753"/>
      <c r="F29" s="1753"/>
      <c r="G29" s="1753"/>
      <c r="H29" s="1753"/>
      <c r="I29" s="1753"/>
      <c r="J29" s="1753"/>
    </row>
    <row r="30" spans="1:10" x14ac:dyDescent="0.2">
      <c r="A30" s="1753"/>
      <c r="B30" s="1753"/>
      <c r="C30" s="1763" t="s">
        <v>1825</v>
      </c>
      <c r="D30" s="1763" t="s">
        <v>1826</v>
      </c>
      <c r="E30" s="1763" t="s">
        <v>1863</v>
      </c>
      <c r="F30" s="1763" t="s">
        <v>1824</v>
      </c>
      <c r="G30" s="1754"/>
      <c r="H30" s="1753"/>
      <c r="I30" s="1753"/>
      <c r="J30" s="1753"/>
    </row>
    <row r="31" spans="1:10" x14ac:dyDescent="0.2">
      <c r="A31" s="1753"/>
      <c r="B31" s="1753"/>
      <c r="C31" s="1764"/>
      <c r="D31" s="1764"/>
      <c r="E31" s="1763" t="s">
        <v>2040</v>
      </c>
      <c r="F31" s="1763" t="s">
        <v>1824</v>
      </c>
      <c r="G31" s="1763"/>
      <c r="H31" s="1753"/>
      <c r="I31" s="1753"/>
      <c r="J31" s="1753"/>
    </row>
    <row r="32" spans="1:10" x14ac:dyDescent="0.2">
      <c r="A32" s="1753"/>
      <c r="B32" s="1753"/>
      <c r="C32" s="1764">
        <v>100</v>
      </c>
      <c r="D32" s="1764">
        <v>0</v>
      </c>
      <c r="E32" s="1765">
        <f>IF(C32&gt;0,D32/C32,0)</f>
        <v>0</v>
      </c>
      <c r="F32" s="1767">
        <f t="shared" ref="F32:F43" si="0">IF(E32&gt;0,(E32^$C$25+1/(E32^$C$25)-$C$26)/(E32^$C$25+1/(E32^$C$25)),1)</f>
        <v>1</v>
      </c>
      <c r="G32" s="1766"/>
      <c r="H32" s="1753"/>
      <c r="I32" s="1753"/>
      <c r="J32" s="1765"/>
    </row>
    <row r="33" spans="1:10" x14ac:dyDescent="0.2">
      <c r="A33" s="1753"/>
      <c r="B33" s="1753"/>
      <c r="C33" s="1764">
        <v>100</v>
      </c>
      <c r="D33" s="1764">
        <v>10</v>
      </c>
      <c r="E33" s="1765">
        <f t="shared" ref="E33:E43" si="1">IF(C33&gt;0,D33/C33,0)</f>
        <v>0.1</v>
      </c>
      <c r="F33" s="1767">
        <f t="shared" si="0"/>
        <v>0.90099009900990101</v>
      </c>
      <c r="G33" s="1766"/>
      <c r="H33" s="1753"/>
      <c r="I33" s="1753"/>
      <c r="J33" s="1753"/>
    </row>
    <row r="34" spans="1:10" x14ac:dyDescent="0.2">
      <c r="A34" s="1753"/>
      <c r="B34" s="1753"/>
      <c r="C34" s="1764">
        <v>100</v>
      </c>
      <c r="D34" s="1764">
        <v>20</v>
      </c>
      <c r="E34" s="1765">
        <f t="shared" si="1"/>
        <v>0.2</v>
      </c>
      <c r="F34" s="1767">
        <f t="shared" si="0"/>
        <v>0.80769230769230771</v>
      </c>
      <c r="G34" s="1766"/>
      <c r="H34" s="1753"/>
      <c r="I34" s="1753"/>
      <c r="J34" s="1753"/>
    </row>
    <row r="35" spans="1:10" x14ac:dyDescent="0.2">
      <c r="A35" s="1753"/>
      <c r="B35" s="1753"/>
      <c r="C35" s="1764">
        <v>100</v>
      </c>
      <c r="D35" s="1764">
        <v>40</v>
      </c>
      <c r="E35" s="1765">
        <f t="shared" si="1"/>
        <v>0.4</v>
      </c>
      <c r="F35" s="1767">
        <f t="shared" si="0"/>
        <v>0.65517241379310343</v>
      </c>
      <c r="G35" s="1766"/>
      <c r="H35" s="1753"/>
      <c r="I35" s="1753"/>
      <c r="J35" s="1753"/>
    </row>
    <row r="36" spans="1:10" x14ac:dyDescent="0.2">
      <c r="A36" s="1753"/>
      <c r="B36" s="1753"/>
      <c r="C36" s="1764">
        <v>100</v>
      </c>
      <c r="D36" s="1764">
        <v>60</v>
      </c>
      <c r="E36" s="1765">
        <f t="shared" si="1"/>
        <v>0.6</v>
      </c>
      <c r="F36" s="1767">
        <f t="shared" si="0"/>
        <v>0.55882352941176472</v>
      </c>
      <c r="G36" s="1766"/>
      <c r="H36" s="1753"/>
      <c r="I36" s="1753"/>
      <c r="J36" s="1753"/>
    </row>
    <row r="37" spans="1:10" x14ac:dyDescent="0.2">
      <c r="A37" s="1753"/>
      <c r="B37" s="1753"/>
      <c r="C37" s="1764">
        <v>100</v>
      </c>
      <c r="D37" s="1764">
        <v>80</v>
      </c>
      <c r="E37" s="1765">
        <f t="shared" si="1"/>
        <v>0.8</v>
      </c>
      <c r="F37" s="1767">
        <f t="shared" si="0"/>
        <v>0.51219512195121952</v>
      </c>
      <c r="G37" s="1766"/>
      <c r="H37" s="1753"/>
      <c r="I37" s="1753"/>
      <c r="J37" s="1753"/>
    </row>
    <row r="38" spans="1:10" x14ac:dyDescent="0.2">
      <c r="A38" s="1753"/>
      <c r="B38" s="1753"/>
      <c r="C38" s="1764">
        <v>100</v>
      </c>
      <c r="D38" s="1764">
        <v>100</v>
      </c>
      <c r="E38" s="1765">
        <f t="shared" si="1"/>
        <v>1</v>
      </c>
      <c r="F38" s="1767">
        <f t="shared" si="0"/>
        <v>0.5</v>
      </c>
      <c r="G38" s="1766"/>
      <c r="H38" s="1753"/>
      <c r="I38" s="1753"/>
      <c r="J38" s="1753"/>
    </row>
    <row r="39" spans="1:10" x14ac:dyDescent="0.2">
      <c r="A39" s="1753"/>
      <c r="B39" s="1753"/>
      <c r="C39" s="1764">
        <v>100</v>
      </c>
      <c r="D39" s="1764">
        <v>150</v>
      </c>
      <c r="E39" s="1765">
        <f t="shared" si="1"/>
        <v>1.5</v>
      </c>
      <c r="F39" s="1767">
        <f t="shared" si="0"/>
        <v>0.53846153846153844</v>
      </c>
      <c r="G39" s="1766"/>
      <c r="H39" s="1753"/>
      <c r="I39" s="1753"/>
      <c r="J39" s="1753"/>
    </row>
    <row r="40" spans="1:10" x14ac:dyDescent="0.2">
      <c r="A40" s="1753"/>
      <c r="B40" s="1753"/>
      <c r="C40" s="1764">
        <v>100</v>
      </c>
      <c r="D40" s="1764">
        <v>200</v>
      </c>
      <c r="E40" s="1765">
        <f t="shared" si="1"/>
        <v>2</v>
      </c>
      <c r="F40" s="1767">
        <f t="shared" si="0"/>
        <v>0.6</v>
      </c>
      <c r="G40" s="1766"/>
      <c r="H40" s="1753"/>
      <c r="I40" s="1753"/>
      <c r="J40" s="1753"/>
    </row>
    <row r="41" spans="1:10" x14ac:dyDescent="0.2">
      <c r="A41" s="1753"/>
      <c r="B41" s="1753"/>
      <c r="C41" s="1764">
        <v>100</v>
      </c>
      <c r="D41" s="1764">
        <v>300</v>
      </c>
      <c r="E41" s="1765">
        <f t="shared" si="1"/>
        <v>3</v>
      </c>
      <c r="F41" s="1767">
        <f t="shared" si="0"/>
        <v>0.70000000000000007</v>
      </c>
      <c r="G41" s="1766"/>
      <c r="H41" s="1753"/>
      <c r="I41" s="1753"/>
      <c r="J41" s="1753"/>
    </row>
    <row r="42" spans="1:10" x14ac:dyDescent="0.2">
      <c r="A42" s="1753"/>
      <c r="B42" s="1753"/>
      <c r="C42" s="1764">
        <v>100</v>
      </c>
      <c r="D42" s="1764">
        <v>400</v>
      </c>
      <c r="E42" s="1765">
        <f t="shared" ref="E42" si="2">IF(C42&gt;0,D42/C42,0)</f>
        <v>4</v>
      </c>
      <c r="F42" s="1767">
        <f t="shared" si="0"/>
        <v>0.76470588235294112</v>
      </c>
      <c r="G42" s="1766"/>
      <c r="H42" s="1753"/>
      <c r="I42" s="1753"/>
      <c r="J42" s="1753"/>
    </row>
    <row r="43" spans="1:10" x14ac:dyDescent="0.2">
      <c r="A43" s="1753"/>
      <c r="B43" s="1753"/>
      <c r="C43" s="1764">
        <v>100</v>
      </c>
      <c r="D43" s="1764">
        <v>500</v>
      </c>
      <c r="E43" s="1765">
        <f t="shared" si="1"/>
        <v>5</v>
      </c>
      <c r="F43" s="1767">
        <f t="shared" si="0"/>
        <v>0.80769230769230771</v>
      </c>
      <c r="G43" s="1766"/>
      <c r="H43" s="1753"/>
      <c r="I43" s="1753"/>
      <c r="J43" s="1753"/>
    </row>
    <row r="44" spans="1:10" x14ac:dyDescent="0.2">
      <c r="A44" s="1753"/>
      <c r="B44" s="1753"/>
      <c r="C44" s="1753"/>
      <c r="D44" s="1753"/>
      <c r="E44" s="1753"/>
      <c r="F44" s="1753"/>
      <c r="G44" s="1753"/>
      <c r="H44" s="1753"/>
      <c r="I44" s="1753"/>
      <c r="J44" s="1753"/>
    </row>
    <row r="45" spans="1:10" x14ac:dyDescent="0.2">
      <c r="A45" s="1753"/>
      <c r="B45" s="1753"/>
      <c r="C45" s="1753"/>
      <c r="D45" s="1753"/>
      <c r="E45" s="1753"/>
      <c r="F45" s="1753"/>
      <c r="G45" s="1753"/>
      <c r="H45" s="1753"/>
      <c r="I45" s="1753"/>
      <c r="J45" s="1753"/>
    </row>
  </sheetData>
  <pageMargins left="0.7" right="0.7" top="0.75" bottom="0.75" header="0.3" footer="0.3"/>
  <pageSetup paperSize="8" orientation="portrait" horizontalDpi="300" verticalDpi="300" r:id="rId1"/>
  <drawing r:id="rId2"/>
  <legacyDrawing r:id="rId3"/>
  <oleObjects>
    <mc:AlternateContent xmlns:mc="http://schemas.openxmlformats.org/markup-compatibility/2006">
      <mc:Choice Requires="x14">
        <oleObject progId="Equation.3" shapeId="52225" r:id="rId4">
          <objectPr defaultSize="0" autoPict="0" r:id="rId5">
            <anchor moveWithCells="1">
              <from>
                <xdr:col>6</xdr:col>
                <xdr:colOff>57150</xdr:colOff>
                <xdr:row>15</xdr:row>
                <xdr:rowOff>95250</xdr:rowOff>
              </from>
              <to>
                <xdr:col>8</xdr:col>
                <xdr:colOff>180975</xdr:colOff>
                <xdr:row>20</xdr:row>
                <xdr:rowOff>47625</xdr:rowOff>
              </to>
            </anchor>
          </objectPr>
        </oleObject>
      </mc:Choice>
      <mc:Fallback>
        <oleObject progId="Equation.3" shapeId="5222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E8" sqref="E8"/>
    </sheetView>
  </sheetViews>
  <sheetFormatPr defaultRowHeight="12.75" x14ac:dyDescent="0.2"/>
  <cols>
    <col min="2" max="2" width="12.42578125" style="6" customWidth="1"/>
    <col min="3" max="3" width="27.5703125" customWidth="1"/>
    <col min="4" max="4" width="36.5703125" style="7" customWidth="1"/>
  </cols>
  <sheetData>
    <row r="1" spans="2:4" ht="13.5" thickBot="1" x14ac:dyDescent="0.25"/>
    <row r="2" spans="2:4" ht="13.5" thickBot="1" x14ac:dyDescent="0.25">
      <c r="B2" s="9" t="s">
        <v>28</v>
      </c>
      <c r="C2" s="10" t="s">
        <v>30</v>
      </c>
      <c r="D2" s="11" t="s">
        <v>31</v>
      </c>
    </row>
    <row r="3" spans="2:4" x14ac:dyDescent="0.2">
      <c r="B3" s="12"/>
      <c r="C3" s="8"/>
      <c r="D3" s="13"/>
    </row>
    <row r="4" spans="2:4" x14ac:dyDescent="0.2">
      <c r="B4" s="14">
        <v>41094</v>
      </c>
      <c r="C4" s="4" t="s">
        <v>29</v>
      </c>
      <c r="D4" s="15"/>
    </row>
    <row r="5" spans="2:4" x14ac:dyDescent="0.2">
      <c r="B5" s="16">
        <v>41145</v>
      </c>
      <c r="C5" s="4" t="s">
        <v>33</v>
      </c>
      <c r="D5" s="15" t="s">
        <v>32</v>
      </c>
    </row>
    <row r="6" spans="2:4" x14ac:dyDescent="0.2">
      <c r="B6" s="16">
        <v>41329</v>
      </c>
      <c r="C6" s="841" t="s">
        <v>1386</v>
      </c>
      <c r="D6" s="842" t="s">
        <v>1387</v>
      </c>
    </row>
    <row r="7" spans="2:4" x14ac:dyDescent="0.2">
      <c r="B7" s="1164">
        <v>42137</v>
      </c>
      <c r="C7" s="841" t="s">
        <v>2454</v>
      </c>
      <c r="D7" s="842" t="s">
        <v>2455</v>
      </c>
    </row>
    <row r="8" spans="2:4" x14ac:dyDescent="0.2">
      <c r="B8" s="17"/>
      <c r="C8" s="4"/>
      <c r="D8" s="15"/>
    </row>
    <row r="9" spans="2:4" x14ac:dyDescent="0.2">
      <c r="B9" s="17"/>
      <c r="C9" s="4"/>
      <c r="D9" s="15"/>
    </row>
    <row r="10" spans="2:4" x14ac:dyDescent="0.2">
      <c r="B10" s="17"/>
      <c r="C10" s="4"/>
      <c r="D10" s="15"/>
    </row>
    <row r="11" spans="2:4" x14ac:dyDescent="0.2">
      <c r="B11" s="17"/>
      <c r="C11" s="4"/>
      <c r="D11" s="15"/>
    </row>
    <row r="12" spans="2:4" x14ac:dyDescent="0.2">
      <c r="B12" s="17"/>
      <c r="C12" s="4"/>
      <c r="D12" s="15"/>
    </row>
    <row r="13" spans="2:4" x14ac:dyDescent="0.2">
      <c r="B13" s="17"/>
      <c r="C13" s="4"/>
      <c r="D13" s="15"/>
    </row>
    <row r="14" spans="2:4" x14ac:dyDescent="0.2">
      <c r="B14" s="17"/>
      <c r="C14" s="4"/>
      <c r="D14" s="15"/>
    </row>
    <row r="15" spans="2:4" x14ac:dyDescent="0.2">
      <c r="B15" s="17"/>
      <c r="C15" s="4"/>
      <c r="D15" s="15"/>
    </row>
    <row r="16" spans="2:4" x14ac:dyDescent="0.2">
      <c r="B16" s="17"/>
      <c r="C16" s="4"/>
      <c r="D16" s="15"/>
    </row>
    <row r="17" spans="2:4" x14ac:dyDescent="0.2">
      <c r="B17" s="17"/>
      <c r="C17" s="4"/>
      <c r="D17" s="15"/>
    </row>
    <row r="18" spans="2:4" ht="13.5" thickBot="1" x14ac:dyDescent="0.25">
      <c r="B18" s="18"/>
      <c r="C18" s="19"/>
      <c r="D18" s="20"/>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Disclaimer</vt:lpstr>
      <vt:lpstr>INFO</vt:lpstr>
      <vt:lpstr>Language</vt:lpstr>
      <vt:lpstr>Diagram_NEW</vt:lpstr>
      <vt:lpstr>Base_calc</vt:lpstr>
      <vt:lpstr>National options</vt:lpstr>
      <vt:lpstr>ConvFactors</vt:lpstr>
      <vt:lpstr>Method_input</vt:lpstr>
      <vt:lpstr>Method_calculation</vt:lpstr>
      <vt:lpstr>Method_output</vt:lpstr>
      <vt:lpstr>Fmatch</vt:lpstr>
      <vt:lpstr>History</vt:lpstr>
      <vt:lpstr>_case_en</vt:lpstr>
      <vt:lpstr>_case_factor</vt:lpstr>
      <vt:lpstr>_case_k_factors</vt:lpstr>
      <vt:lpstr>_case_perimeter</vt:lpstr>
      <vt:lpstr>_case_priority</vt:lpstr>
      <vt:lpstr>_En_unit</vt:lpstr>
      <vt:lpstr>_language</vt:lpstr>
      <vt:lpstr>Lan</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Annet van der Horn-de Vries</cp:lastModifiedBy>
  <cp:lastPrinted>2015-05-13T22:41:32Z</cp:lastPrinted>
  <dcterms:created xsi:type="dcterms:W3CDTF">2011-05-24T04:21:57Z</dcterms:created>
  <dcterms:modified xsi:type="dcterms:W3CDTF">2015-05-28T09:03:46Z</dcterms:modified>
</cp:coreProperties>
</file>