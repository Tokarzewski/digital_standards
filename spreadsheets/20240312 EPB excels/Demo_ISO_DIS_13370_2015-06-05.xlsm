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35" yWindow="5070" windowWidth="18990" windowHeight="4740"/>
  </bookViews>
  <sheets>
    <sheet name="INFO" sheetId="16" r:id="rId1"/>
    <sheet name="Method_input" sheetId="2" r:id="rId2"/>
    <sheet name="Method_calculation" sheetId="4" r:id="rId3"/>
    <sheet name="Method_output" sheetId="5" r:id="rId4"/>
    <sheet name="History" sheetId="11" r:id="rId5"/>
  </sheets>
  <externalReferences>
    <externalReference r:id="rId6"/>
  </externalReferences>
  <definedNames>
    <definedName name="DATA_IN_COUNT">#REF!</definedName>
    <definedName name="DATA_OUT_COUNT">#REF!</definedName>
    <definedName name="First_data_in">#REF!</definedName>
    <definedName name="First_data_out">#REF!</definedName>
    <definedName name="Method_in">[1]Method_input!$E$6</definedName>
    <definedName name="TIME_STEPS_COUNT">#REF!</definedName>
  </definedNames>
  <calcPr calcId="145621"/>
</workbook>
</file>

<file path=xl/calcChain.xml><?xml version="1.0" encoding="utf-8"?>
<calcChain xmlns="http://schemas.openxmlformats.org/spreadsheetml/2006/main">
  <c r="K26" i="4" l="1"/>
  <c r="L26" i="4"/>
  <c r="M26" i="4"/>
  <c r="N26" i="4"/>
  <c r="O26" i="4"/>
  <c r="E26" i="4"/>
  <c r="F26" i="4"/>
  <c r="G26" i="4"/>
  <c r="H26" i="4"/>
  <c r="I26" i="4"/>
  <c r="J26" i="4"/>
  <c r="D26" i="4"/>
  <c r="F22" i="5" l="1"/>
  <c r="G22" i="5" s="1"/>
  <c r="H22" i="5" s="1"/>
  <c r="I22" i="5" s="1"/>
  <c r="J22" i="5" s="1"/>
  <c r="K22" i="5" s="1"/>
  <c r="L22" i="5" s="1"/>
  <c r="M22" i="5" s="1"/>
  <c r="N22" i="5" s="1"/>
  <c r="O22" i="5" s="1"/>
  <c r="P22" i="5" s="1"/>
  <c r="F31" i="4" l="1"/>
  <c r="F32" i="4"/>
  <c r="F30" i="4"/>
  <c r="D14" i="4" l="1"/>
  <c r="E17" i="5" s="1"/>
  <c r="D6" i="4"/>
  <c r="D5" i="4"/>
  <c r="E18" i="2"/>
  <c r="D8" i="4" l="1"/>
  <c r="D7" i="4"/>
  <c r="D9" i="4"/>
  <c r="D12" i="4"/>
  <c r="D13" i="4"/>
  <c r="D15" i="4"/>
  <c r="E18" i="5" s="1"/>
  <c r="D16" i="4" l="1"/>
  <c r="E19" i="5" s="1"/>
  <c r="D10" i="4"/>
  <c r="D20" i="4"/>
  <c r="D19" i="4"/>
  <c r="D28" i="4" s="1"/>
  <c r="E18" i="4"/>
  <c r="E20" i="4" s="1"/>
  <c r="F18" i="4" l="1"/>
  <c r="F20" i="4" s="1"/>
  <c r="E19" i="4"/>
  <c r="E28" i="4" s="1"/>
  <c r="F19" i="4"/>
  <c r="F28" i="4" s="1"/>
  <c r="G18" i="4" l="1"/>
  <c r="G20" i="4"/>
  <c r="G19" i="4"/>
  <c r="H18" i="4"/>
  <c r="G28" i="4" l="1"/>
  <c r="I18" i="4"/>
  <c r="H20" i="4"/>
  <c r="H19" i="4"/>
  <c r="G22" i="4"/>
  <c r="H22" i="4"/>
  <c r="E22" i="4"/>
  <c r="I22" i="4"/>
  <c r="D22" i="4"/>
  <c r="F22" i="4"/>
  <c r="G23" i="4"/>
  <c r="H23" i="4"/>
  <c r="E23" i="4"/>
  <c r="I23" i="4"/>
  <c r="D23" i="4"/>
  <c r="F23" i="4"/>
  <c r="E5" i="5"/>
  <c r="D11" i="4"/>
  <c r="E10" i="5"/>
  <c r="H28" i="4" l="1"/>
  <c r="J18" i="4"/>
  <c r="I20" i="4"/>
  <c r="I19" i="4"/>
  <c r="I28" i="4" s="1"/>
  <c r="F21" i="4"/>
  <c r="F24" i="4" s="1"/>
  <c r="F27" i="4" s="1"/>
  <c r="G24" i="5" s="1"/>
  <c r="G21" i="4"/>
  <c r="G24" i="4" s="1"/>
  <c r="G27" i="4" s="1"/>
  <c r="H24" i="5" s="1"/>
  <c r="K21" i="4"/>
  <c r="O21" i="4"/>
  <c r="H21" i="4"/>
  <c r="H24" i="4" s="1"/>
  <c r="H27" i="4" s="1"/>
  <c r="I24" i="5" s="1"/>
  <c r="L21" i="4"/>
  <c r="E21" i="4"/>
  <c r="E24" i="4" s="1"/>
  <c r="E27" i="4" s="1"/>
  <c r="F24" i="5" s="1"/>
  <c r="I21" i="4"/>
  <c r="I24" i="4" s="1"/>
  <c r="I27" i="4" s="1"/>
  <c r="J24" i="5" s="1"/>
  <c r="M21" i="4"/>
  <c r="D21" i="4"/>
  <c r="D24" i="4" s="1"/>
  <c r="D27" i="4" s="1"/>
  <c r="J21" i="4"/>
  <c r="N21" i="4"/>
  <c r="D25" i="4" l="1"/>
  <c r="E23" i="5" s="1"/>
  <c r="K18" i="4"/>
  <c r="J20" i="4"/>
  <c r="J19" i="4"/>
  <c r="J22" i="4"/>
  <c r="J23" i="4"/>
  <c r="I25" i="4"/>
  <c r="J23" i="5" s="1"/>
  <c r="E25" i="4"/>
  <c r="F23" i="5" s="1"/>
  <c r="G25" i="4"/>
  <c r="H23" i="5" s="1"/>
  <c r="H25" i="4"/>
  <c r="I23" i="5" s="1"/>
  <c r="F25" i="4"/>
  <c r="G23" i="5" s="1"/>
  <c r="J28" i="4" l="1"/>
  <c r="J24" i="4"/>
  <c r="J27" i="4" s="1"/>
  <c r="K24" i="5" s="1"/>
  <c r="L18" i="4"/>
  <c r="K20" i="4"/>
  <c r="K19" i="4"/>
  <c r="K22" i="4"/>
  <c r="K23" i="4"/>
  <c r="K28" i="4" l="1"/>
  <c r="J25" i="4"/>
  <c r="K23" i="5" s="1"/>
  <c r="K24" i="4"/>
  <c r="K27" i="4" s="1"/>
  <c r="L24" i="5" s="1"/>
  <c r="M18" i="4"/>
  <c r="L20" i="4"/>
  <c r="L19" i="4"/>
  <c r="L22" i="4"/>
  <c r="L23" i="4"/>
  <c r="L28" i="4" l="1"/>
  <c r="K25" i="4"/>
  <c r="L23" i="5" s="1"/>
  <c r="N18" i="4"/>
  <c r="M19" i="4"/>
  <c r="M20" i="4"/>
  <c r="M22" i="4"/>
  <c r="M23" i="4"/>
  <c r="L24" i="4"/>
  <c r="L27" i="4" s="1"/>
  <c r="M24" i="5" s="1"/>
  <c r="M28" i="4" l="1"/>
  <c r="O18" i="4"/>
  <c r="N20" i="4"/>
  <c r="N19" i="4"/>
  <c r="N22" i="4"/>
  <c r="N23" i="4"/>
  <c r="M24" i="4"/>
  <c r="M27" i="4" s="1"/>
  <c r="N24" i="5" s="1"/>
  <c r="L25" i="4"/>
  <c r="M23" i="5" s="1"/>
  <c r="N28" i="4" l="1"/>
  <c r="N24" i="4"/>
  <c r="N27" i="4" s="1"/>
  <c r="O24" i="5" s="1"/>
  <c r="M25" i="4"/>
  <c r="N23" i="5" s="1"/>
  <c r="N25" i="4"/>
  <c r="O23" i="5" s="1"/>
  <c r="O20" i="4"/>
  <c r="O19" i="4"/>
  <c r="O28" i="4" s="1"/>
  <c r="O22" i="4"/>
  <c r="O23" i="4"/>
  <c r="D31" i="4" l="1"/>
  <c r="E31" i="4" s="1"/>
  <c r="O24" i="4"/>
  <c r="O27" i="4" s="1"/>
  <c r="D30" i="4" l="1"/>
  <c r="E32" i="4" s="1"/>
  <c r="E16" i="5" s="1"/>
  <c r="P24" i="5"/>
  <c r="E30" i="4"/>
  <c r="E24" i="5"/>
  <c r="O25" i="4"/>
  <c r="P23" i="5" s="1"/>
  <c r="D32" i="4" l="1"/>
  <c r="E15" i="5" s="1"/>
</calcChain>
</file>

<file path=xl/comments1.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2.xml><?xml version="1.0" encoding="utf-8"?>
<comments xmlns="http://schemas.openxmlformats.org/spreadsheetml/2006/main">
  <authors>
    <author>Laurent</author>
  </authors>
  <commentList>
    <comment ref="C4" author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Intended destination of calculated output</t>
        </r>
      </text>
    </comment>
    <comment ref="H4"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sharedStrings.xml><?xml version="1.0" encoding="utf-8"?>
<sst xmlns="http://schemas.openxmlformats.org/spreadsheetml/2006/main" count="437" uniqueCount="277">
  <si>
    <t>Unit</t>
  </si>
  <si>
    <t>Origin</t>
  </si>
  <si>
    <t>Name</t>
  </si>
  <si>
    <t>Value</t>
  </si>
  <si>
    <t>Description</t>
  </si>
  <si>
    <t>Notes</t>
  </si>
  <si>
    <t>Symbol</t>
  </si>
  <si>
    <t>h</t>
  </si>
  <si>
    <t>Range</t>
  </si>
  <si>
    <t>Varying</t>
  </si>
  <si>
    <t>Formula</t>
  </si>
  <si>
    <t>Formula ref</t>
  </si>
  <si>
    <t>Intended destination</t>
  </si>
  <si>
    <t>Date</t>
  </si>
  <si>
    <t>Version scope</t>
  </si>
  <si>
    <t>Changes, notes</t>
  </si>
  <si>
    <r>
      <rPr>
        <b/>
        <sz val="10"/>
        <color indexed="1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</si>
  <si>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indexed="1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</si>
  <si>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0"/>
        <color indexed="1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</si>
  <si>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Software name</t>
  </si>
  <si>
    <t>Area of floor</t>
  </si>
  <si>
    <t>A</t>
  </si>
  <si>
    <r>
      <t>m</t>
    </r>
    <r>
      <rPr>
        <vertAlign val="superscript"/>
        <sz val="9"/>
        <rFont val="Arial"/>
        <family val="2"/>
      </rPr>
      <t>2</t>
    </r>
  </si>
  <si>
    <r>
      <t>0...</t>
    </r>
    <r>
      <rPr>
        <sz val="9"/>
        <rFont val="Calibri"/>
        <family val="2"/>
      </rPr>
      <t>∞</t>
    </r>
  </si>
  <si>
    <t>No</t>
  </si>
  <si>
    <t>Exposed perimeter</t>
  </si>
  <si>
    <t>P</t>
  </si>
  <si>
    <t>m</t>
  </si>
  <si>
    <t>0...∞</t>
  </si>
  <si>
    <t>D_w_e</t>
  </si>
  <si>
    <t>Height of the upper surface of the floor above external ground level</t>
  </si>
  <si>
    <t>Depth of basement floor below ground level</t>
  </si>
  <si>
    <t>z</t>
  </si>
  <si>
    <t>Identifiers for thermal characteristics of building fabric</t>
  </si>
  <si>
    <t>0...10</t>
  </si>
  <si>
    <t>Linear thermal transmittance associated with wall/floor junction</t>
  </si>
  <si>
    <t>W/(m.K) </t>
  </si>
  <si>
    <t>0…10</t>
  </si>
  <si>
    <t>Identifiers for constants</t>
  </si>
  <si>
    <t>specific heat capacity of air at constant pressure</t>
  </si>
  <si>
    <r>
      <t>c</t>
    </r>
    <r>
      <rPr>
        <sz val="8"/>
        <rFont val="Arial"/>
        <family val="2"/>
      </rPr>
      <t>p</t>
    </r>
  </si>
  <si>
    <t>c_p</t>
  </si>
  <si>
    <t>J/(kg·K)</t>
  </si>
  <si>
    <t>ISO 14683 or ISO 10211</t>
  </si>
  <si>
    <t>Identifiers for building geometric characteristics</t>
  </si>
  <si>
    <t>Characteristic dimension of floor</t>
  </si>
  <si>
    <t>B</t>
  </si>
  <si>
    <t>Formula 2</t>
  </si>
  <si>
    <t>Formula 3</t>
  </si>
  <si>
    <t>Formula 4</t>
  </si>
  <si>
    <t>Formula 5</t>
  </si>
  <si>
    <t>Identifiers for tabulated and conventional values</t>
  </si>
  <si>
    <t>external surface resistance</t>
  </si>
  <si>
    <t>N/A</t>
  </si>
  <si>
    <t>internal surface resistance</t>
  </si>
  <si>
    <t>0.1…0,17</t>
  </si>
  <si>
    <t>ISO 6946 Annex C</t>
  </si>
  <si>
    <t>R_s_e</t>
  </si>
  <si>
    <t>R_s_i</t>
  </si>
  <si>
    <t>R_f</t>
  </si>
  <si>
    <t>lambda_g</t>
  </si>
  <si>
    <t>λ</t>
  </si>
  <si>
    <t>Thermal conductivity of ground</t>
  </si>
  <si>
    <t>Thermal transmittance of slab on ground floor</t>
  </si>
  <si>
    <r>
      <t>W/(m</t>
    </r>
    <r>
      <rPr>
        <vertAlign val="superscript"/>
        <sz val="9"/>
        <rFont val="Arial"/>
        <family val="2"/>
      </rPr>
      <t>2·</t>
    </r>
    <r>
      <rPr>
        <sz val="9"/>
        <rFont val="Arial"/>
        <family val="2"/>
      </rPr>
      <t>K)</t>
    </r>
  </si>
  <si>
    <t>M 2-5</t>
  </si>
  <si>
    <t>0…∞</t>
  </si>
  <si>
    <t xml:space="preserve">Thermal transmittance of suspended floor </t>
  </si>
  <si>
    <t>M2-5</t>
  </si>
  <si>
    <t>Thermal transmittance of basement wall</t>
  </si>
  <si>
    <t>Thermal transmittance of basement floor</t>
  </si>
  <si>
    <t xml:space="preserve">Thermal transmittance of the whole basement </t>
  </si>
  <si>
    <r>
      <t>m</t>
    </r>
    <r>
      <rPr>
        <vertAlign val="superscript"/>
        <sz val="9"/>
        <rFont val="Arial"/>
        <family val="2"/>
      </rPr>
      <t>2</t>
    </r>
    <r>
      <rPr>
        <sz val="9"/>
        <rFont val="Arial"/>
        <family val="2"/>
      </rPr>
      <t>K/W</t>
    </r>
  </si>
  <si>
    <t>Thermal resistance of suspended floor</t>
  </si>
  <si>
    <t>Thermal resistance of basement wall</t>
  </si>
  <si>
    <t>Thermal resistance of basement floor</t>
  </si>
  <si>
    <t>Thermal resistance of the whole basement</t>
  </si>
  <si>
    <t>Effective thermal resistance of floor construction (including the effect of the ground)</t>
  </si>
  <si>
    <r>
      <t>U</t>
    </r>
    <r>
      <rPr>
        <sz val="9"/>
        <color indexed="55"/>
        <rFont val="Arial"/>
        <family val="2"/>
      </rPr>
      <t>f</t>
    </r>
  </si>
  <si>
    <r>
      <t>W/(m</t>
    </r>
    <r>
      <rPr>
        <vertAlign val="superscript"/>
        <sz val="9"/>
        <color indexed="55"/>
        <rFont val="Arial"/>
        <family val="2"/>
      </rPr>
      <t>2·</t>
    </r>
    <r>
      <rPr>
        <sz val="9"/>
        <color indexed="55"/>
        <rFont val="Arial"/>
        <family val="2"/>
      </rPr>
      <t>K)</t>
    </r>
  </si>
  <si>
    <r>
      <t>U</t>
    </r>
    <r>
      <rPr>
        <sz val="9"/>
        <color indexed="55"/>
        <rFont val="Arial"/>
        <family val="2"/>
      </rPr>
      <t>w;b</t>
    </r>
  </si>
  <si>
    <r>
      <t>U</t>
    </r>
    <r>
      <rPr>
        <sz val="9"/>
        <color indexed="55"/>
        <rFont val="Arial"/>
        <family val="2"/>
      </rPr>
      <t>f;b</t>
    </r>
  </si>
  <si>
    <r>
      <t>U</t>
    </r>
    <r>
      <rPr>
        <vertAlign val="subscript"/>
        <sz val="9"/>
        <color indexed="55"/>
        <rFont val="Arial"/>
        <family val="2"/>
      </rPr>
      <t>b</t>
    </r>
  </si>
  <si>
    <r>
      <t>m</t>
    </r>
    <r>
      <rPr>
        <vertAlign val="superscript"/>
        <sz val="9"/>
        <color indexed="55"/>
        <rFont val="Arial"/>
        <family val="2"/>
      </rPr>
      <t>2</t>
    </r>
    <r>
      <rPr>
        <sz val="9"/>
        <color indexed="55"/>
        <rFont val="Arial"/>
        <family val="2"/>
      </rPr>
      <t>K/W</t>
    </r>
  </si>
  <si>
    <r>
      <t>R</t>
    </r>
    <r>
      <rPr>
        <sz val="9"/>
        <color indexed="55"/>
        <rFont val="Arial"/>
        <family val="2"/>
      </rPr>
      <t>f</t>
    </r>
  </si>
  <si>
    <r>
      <t>R</t>
    </r>
    <r>
      <rPr>
        <sz val="9"/>
        <color indexed="55"/>
        <rFont val="Arial"/>
        <family val="2"/>
      </rPr>
      <t>w;b</t>
    </r>
  </si>
  <si>
    <r>
      <t>R</t>
    </r>
    <r>
      <rPr>
        <sz val="9"/>
        <color indexed="55"/>
        <rFont val="Arial"/>
        <family val="2"/>
      </rPr>
      <t>f;b</t>
    </r>
  </si>
  <si>
    <t>R_f_eff</t>
  </si>
  <si>
    <r>
      <t>(m</t>
    </r>
    <r>
      <rPr>
        <vertAlign val="superscript"/>
        <sz val="10"/>
        <rFont val="Arial"/>
        <family val="2"/>
      </rPr>
      <t>2</t>
    </r>
    <r>
      <rPr>
        <sz val="10"/>
        <rFont val="Arial"/>
        <family val="2"/>
      </rPr>
      <t>.K)/W </t>
    </r>
  </si>
  <si>
    <t>ISO 13370</t>
  </si>
  <si>
    <t>°C</t>
  </si>
  <si>
    <t>-50…+50</t>
  </si>
  <si>
    <r>
      <t>D</t>
    </r>
    <r>
      <rPr>
        <sz val="8"/>
        <rFont val="Arial"/>
        <family val="2"/>
      </rPr>
      <t>w;e</t>
    </r>
  </si>
  <si>
    <t>W/K</t>
  </si>
  <si>
    <t>psi_wf</t>
  </si>
  <si>
    <r>
      <rPr>
        <i/>
        <sz val="10"/>
        <rFont val="Times New Roman"/>
        <family val="1"/>
      </rPr>
      <t>Ψ</t>
    </r>
    <r>
      <rPr>
        <sz val="8"/>
        <rFont val="Arial"/>
        <family val="2"/>
      </rPr>
      <t>wf</t>
    </r>
  </si>
  <si>
    <r>
      <rPr>
        <i/>
        <sz val="10"/>
        <rFont val="Times New Roman"/>
        <family val="1"/>
      </rPr>
      <t>R</t>
    </r>
    <r>
      <rPr>
        <vertAlign val="subscript"/>
        <sz val="10"/>
        <rFont val="Arial"/>
        <family val="2"/>
      </rPr>
      <t>f</t>
    </r>
  </si>
  <si>
    <r>
      <rPr>
        <i/>
        <sz val="9"/>
        <rFont val="Times New Roman"/>
        <family val="1"/>
      </rPr>
      <t>R</t>
    </r>
    <r>
      <rPr>
        <sz val="8"/>
        <rFont val="Arial"/>
        <family val="2"/>
      </rPr>
      <t>se</t>
    </r>
  </si>
  <si>
    <r>
      <rPr>
        <i/>
        <sz val="9"/>
        <rFont val="Times New Roman"/>
        <family val="1"/>
      </rPr>
      <t>R</t>
    </r>
    <r>
      <rPr>
        <sz val="8"/>
        <rFont val="Arial"/>
        <family val="2"/>
      </rPr>
      <t>si</t>
    </r>
  </si>
  <si>
    <r>
      <rPr>
        <i/>
        <sz val="9"/>
        <rFont val="Times New Roman"/>
        <family val="1"/>
      </rPr>
      <t>H</t>
    </r>
    <r>
      <rPr>
        <sz val="8"/>
        <rFont val="Arial"/>
        <family val="2"/>
      </rPr>
      <t>pi</t>
    </r>
  </si>
  <si>
    <r>
      <rPr>
        <i/>
        <sz val="9"/>
        <rFont val="Times New Roman"/>
        <family val="1"/>
      </rPr>
      <t>H</t>
    </r>
    <r>
      <rPr>
        <sz val="8"/>
        <rFont val="Arial"/>
        <family val="2"/>
      </rPr>
      <t>pe</t>
    </r>
  </si>
  <si>
    <r>
      <t>U</t>
    </r>
    <r>
      <rPr>
        <sz val="9"/>
        <rFont val="Arial"/>
        <family val="2"/>
      </rPr>
      <t>f;sog</t>
    </r>
  </si>
  <si>
    <t>U_f_sog</t>
  </si>
  <si>
    <t>Applicable in this case</t>
  </si>
  <si>
    <t>Rf;eff</t>
  </si>
  <si>
    <t>Formula 4 or Formula 5</t>
  </si>
  <si>
    <t>Formula F.2</t>
  </si>
  <si>
    <t>Formula C.3</t>
  </si>
  <si>
    <t>Formula H.4</t>
  </si>
  <si>
    <t>Formula H.5</t>
  </si>
  <si>
    <t>Periodic penetration depth</t>
  </si>
  <si>
    <r>
      <t>d</t>
    </r>
    <r>
      <rPr>
        <sz val="10"/>
        <rFont val="Arial"/>
        <family val="2"/>
      </rPr>
      <t xml:space="preserve"> </t>
    </r>
  </si>
  <si>
    <t>delta</t>
  </si>
  <si>
    <t>ISO 13370 Annex H</t>
  </si>
  <si>
    <t>W/(m².K)</t>
  </si>
  <si>
    <t>m²·K/W</t>
  </si>
  <si>
    <t>time lead of the heat flow cycle compared with that of the internal temperature</t>
  </si>
  <si>
    <t>time lag of the heat flow cycle compared with that of the external temperature</t>
  </si>
  <si>
    <t>a</t>
  </si>
  <si>
    <t>b</t>
  </si>
  <si>
    <t>beta</t>
  </si>
  <si>
    <t>alpha</t>
  </si>
  <si>
    <t>months</t>
  </si>
  <si>
    <t xml:space="preserve">periodic heat transfer coefficient related to internal temperature variations </t>
  </si>
  <si>
    <r>
      <t>(m</t>
    </r>
    <r>
      <rPr>
        <vertAlign val="superscript"/>
        <sz val="9"/>
        <rFont val="Arial"/>
        <family val="2"/>
      </rPr>
      <t>2</t>
    </r>
    <r>
      <rPr>
        <sz val="9"/>
        <rFont val="Symbol"/>
        <family val="1"/>
        <charset val="2"/>
      </rPr>
      <t>×</t>
    </r>
    <r>
      <rPr>
        <sz val="9"/>
        <rFont val="Arial"/>
        <family val="2"/>
      </rPr>
      <t>K)/W</t>
    </r>
  </si>
  <si>
    <r>
      <rPr>
        <i/>
        <sz val="12"/>
        <rFont val="Symbol"/>
        <family val="1"/>
        <charset val="2"/>
      </rPr>
      <t>q</t>
    </r>
    <r>
      <rPr>
        <vertAlign val="subscript"/>
        <sz val="12"/>
        <rFont val="Agency FB"/>
        <family val="2"/>
      </rPr>
      <t>v</t>
    </r>
    <r>
      <rPr>
        <i/>
        <vertAlign val="subscript"/>
        <sz val="12"/>
        <rFont val="Agency FB"/>
        <family val="2"/>
      </rPr>
      <t>,m</t>
    </r>
  </si>
  <si>
    <r>
      <t xml:space="preserve">average rate of heat flow in month </t>
    </r>
    <r>
      <rPr>
        <i/>
        <sz val="10"/>
        <rFont val="Arial"/>
        <family val="2"/>
      </rPr>
      <t>m</t>
    </r>
    <r>
      <rPr>
        <sz val="10"/>
        <rFont val="Arial"/>
        <family val="2"/>
      </rPr>
      <t xml:space="preserve"> </t>
    </r>
  </si>
  <si>
    <t>Formula 1</t>
  </si>
  <si>
    <t xml:space="preserve">month number in which the minimum external temperature occurs </t>
  </si>
  <si>
    <t>t</t>
  </si>
  <si>
    <t>tau</t>
  </si>
  <si>
    <t>-</t>
  </si>
  <si>
    <t>1 or 7</t>
  </si>
  <si>
    <t>ISO 13370 Annex C</t>
  </si>
  <si>
    <t>0…6</t>
  </si>
  <si>
    <t>annual mean internal temperature</t>
  </si>
  <si>
    <t>ISO 52016-1</t>
  </si>
  <si>
    <t>amplitude of internal temperature variations</t>
  </si>
  <si>
    <t>annual mean external temperature</t>
  </si>
  <si>
    <t>amplitude of external temperature variations</t>
  </si>
  <si>
    <t>K</t>
  </si>
  <si>
    <t>theta_int_an</t>
  </si>
  <si>
    <t>theta_e_an</t>
  </si>
  <si>
    <t>theta_int_amp</t>
  </si>
  <si>
    <t>theta_e_amp</t>
  </si>
  <si>
    <r>
      <t>H</t>
    </r>
    <r>
      <rPr>
        <i/>
        <sz val="9"/>
        <rFont val="Arial"/>
        <family val="2"/>
      </rPr>
      <t>g</t>
    </r>
  </si>
  <si>
    <r>
      <t xml:space="preserve">external temperature in month </t>
    </r>
    <r>
      <rPr>
        <i/>
        <sz val="10"/>
        <rFont val="Arial"/>
        <family val="2"/>
      </rPr>
      <t>m</t>
    </r>
    <r>
      <rPr>
        <sz val="10"/>
        <rFont val="Arial"/>
        <family val="2"/>
      </rPr>
      <t xml:space="preserve"> </t>
    </r>
  </si>
  <si>
    <r>
      <t xml:space="preserve">internal temperature in month </t>
    </r>
    <r>
      <rPr>
        <i/>
        <sz val="10"/>
        <rFont val="Arial"/>
        <family val="2"/>
      </rPr>
      <t>m</t>
    </r>
    <r>
      <rPr>
        <sz val="10"/>
        <rFont val="Arial"/>
        <family val="2"/>
      </rPr>
      <t xml:space="preserve"> </t>
    </r>
  </si>
  <si>
    <t>W</t>
  </si>
  <si>
    <t>Formula C.1</t>
  </si>
  <si>
    <t>Formula C.2</t>
  </si>
  <si>
    <t>month number</t>
  </si>
  <si>
    <r>
      <rPr>
        <i/>
        <sz val="10"/>
        <rFont val="Symbol"/>
        <family val="1"/>
        <charset val="2"/>
      </rPr>
      <t>F</t>
    </r>
    <r>
      <rPr>
        <i/>
        <vertAlign val="subscript"/>
        <sz val="10"/>
        <rFont val="Arial"/>
        <family val="2"/>
      </rPr>
      <t>m</t>
    </r>
  </si>
  <si>
    <t>annual average rate of heat flow</t>
  </si>
  <si>
    <t>periodic heat flow due to internal temperature variation</t>
  </si>
  <si>
    <t>periodic heat flow due to external temperature variation</t>
  </si>
  <si>
    <r>
      <rPr>
        <sz val="10"/>
        <rFont val="Symbol"/>
        <family val="1"/>
        <charset val="2"/>
      </rPr>
      <t>q</t>
    </r>
    <r>
      <rPr>
        <vertAlign val="subscript"/>
        <sz val="10"/>
        <rFont val="Arial"/>
        <family val="2"/>
      </rPr>
      <t>int,</t>
    </r>
    <r>
      <rPr>
        <i/>
        <vertAlign val="subscript"/>
        <sz val="10"/>
        <rFont val="Arial"/>
        <family val="2"/>
      </rPr>
      <t>m</t>
    </r>
  </si>
  <si>
    <r>
      <rPr>
        <sz val="10"/>
        <rFont val="Symbol"/>
        <family val="1"/>
        <charset val="2"/>
      </rPr>
      <t>q</t>
    </r>
    <r>
      <rPr>
        <vertAlign val="subscript"/>
        <sz val="10"/>
        <rFont val="Arial"/>
        <family val="2"/>
      </rPr>
      <t>e,</t>
    </r>
    <r>
      <rPr>
        <i/>
        <vertAlign val="subscript"/>
        <sz val="10"/>
        <rFont val="Arial"/>
        <family val="2"/>
      </rPr>
      <t>m</t>
    </r>
  </si>
  <si>
    <r>
      <t>H</t>
    </r>
    <r>
      <rPr>
        <vertAlign val="subscript"/>
        <sz val="9"/>
        <rFont val="Cambria"/>
        <family val="1"/>
      </rPr>
      <t>g</t>
    </r>
    <r>
      <rPr>
        <i/>
        <vertAlign val="subscript"/>
        <sz val="9"/>
        <rFont val="Cambria"/>
        <family val="1"/>
      </rPr>
      <t>,m</t>
    </r>
  </si>
  <si>
    <t>theta_v_m</t>
  </si>
  <si>
    <t>Identifiers for periodic heat flows</t>
  </si>
  <si>
    <r>
      <t xml:space="preserve">virtual temperature in ground  in month </t>
    </r>
    <r>
      <rPr>
        <i/>
        <sz val="10"/>
        <rFont val="Arial"/>
        <family val="2"/>
      </rPr>
      <t>m</t>
    </r>
    <r>
      <rPr>
        <sz val="10"/>
        <rFont val="Arial"/>
        <family val="2"/>
      </rPr>
      <t xml:space="preserve"> </t>
    </r>
  </si>
  <si>
    <r>
      <t xml:space="preserve"> virtual temperature in ground in month </t>
    </r>
    <r>
      <rPr>
        <i/>
        <sz val="10"/>
        <rFont val="Arial"/>
        <family val="2"/>
      </rPr>
      <t>m</t>
    </r>
    <r>
      <rPr>
        <sz val="10"/>
        <rFont val="Arial"/>
        <family val="2"/>
      </rPr>
      <t xml:space="preserve">  </t>
    </r>
  </si>
  <si>
    <t>Varying outputs : time step is one month : data shown for ach month</t>
  </si>
  <si>
    <r>
      <rPr>
        <i/>
        <sz val="10"/>
        <rFont val="Symbol"/>
        <family val="1"/>
        <charset val="2"/>
      </rPr>
      <t>F</t>
    </r>
    <r>
      <rPr>
        <vertAlign val="subscript"/>
        <sz val="10"/>
        <rFont val="Arial"/>
        <family val="2"/>
      </rPr>
      <t>per;e;</t>
    </r>
    <r>
      <rPr>
        <i/>
        <vertAlign val="subscript"/>
        <sz val="10"/>
        <rFont val="Arial"/>
        <family val="2"/>
      </rPr>
      <t>m</t>
    </r>
  </si>
  <si>
    <r>
      <rPr>
        <i/>
        <sz val="10"/>
        <rFont val="Symbol"/>
        <family val="1"/>
        <charset val="2"/>
      </rPr>
      <t>F</t>
    </r>
    <r>
      <rPr>
        <vertAlign val="subscript"/>
        <sz val="10"/>
        <rFont val="Arial"/>
        <family val="2"/>
      </rPr>
      <t>per;int;</t>
    </r>
    <r>
      <rPr>
        <i/>
        <vertAlign val="subscript"/>
        <sz val="10"/>
        <rFont val="Arial"/>
        <family val="2"/>
      </rPr>
      <t>m</t>
    </r>
  </si>
  <si>
    <r>
      <rPr>
        <i/>
        <sz val="10"/>
        <rFont val="Symbol"/>
        <family val="1"/>
        <charset val="2"/>
      </rPr>
      <t>F</t>
    </r>
    <r>
      <rPr>
        <vertAlign val="subscript"/>
        <sz val="10"/>
        <rFont val="Arial"/>
        <family val="2"/>
      </rPr>
      <t>steady;</t>
    </r>
    <r>
      <rPr>
        <i/>
        <vertAlign val="subscript"/>
        <sz val="10"/>
        <rFont val="Arial"/>
        <family val="2"/>
      </rPr>
      <t>m</t>
    </r>
  </si>
  <si>
    <t>Typically: the average between heating and cooling set point; see also next line (amplitude)</t>
  </si>
  <si>
    <t>= Half of the difference between the expected monthly max (e.g.: cooling set point) and monthly min (e.g.: heating set point)</t>
  </si>
  <si>
    <t>= Half of the difference between the highest and the lowest monthly mean outdoor temperature</t>
  </si>
  <si>
    <t>Thickness of the walls of the building</t>
  </si>
  <si>
    <t>Thermal resistance of the floor construction (excluding the effect of the ground)</t>
  </si>
  <si>
    <t>Equivalent thickness of ground</t>
  </si>
  <si>
    <t>Default value (ISO 6946 Table 9)</t>
  </si>
  <si>
    <t>Default value (ISO 13370 Table H.1)</t>
  </si>
  <si>
    <t>Default value (ISO 13370 Table 8)</t>
  </si>
  <si>
    <t>Default value (ISO 13370 Table H2)</t>
  </si>
  <si>
    <t>tau = 1 in the northern hemisphere and tau = 7 in the southern hemisphere</t>
  </si>
  <si>
    <t>Should match the annual mean value of the monthly mean outdoor temperature; see also next line (amplitude)</t>
  </si>
  <si>
    <t>Thermal capacity of ground per volume</t>
  </si>
  <si>
    <t>ρc</t>
  </si>
  <si>
    <t>Rhoc</t>
  </si>
  <si>
    <t>ISO 13370, Table 8</t>
  </si>
  <si>
    <t>J/(m³·K)</t>
  </si>
  <si>
    <t>1...4 E+06</t>
  </si>
  <si>
    <t>Default value (ISO 13370 Table 9)</t>
  </si>
  <si>
    <t>For the part of the building being assessed</t>
  </si>
  <si>
    <t>The thermal resistance of 0,5 m of ground</t>
  </si>
  <si>
    <t>The thermal capacity of 0,5 m of ground</t>
  </si>
  <si>
    <t>J/(m²·K)</t>
  </si>
  <si>
    <t>Thermal resistance of virtual layer</t>
  </si>
  <si>
    <r>
      <t>R</t>
    </r>
    <r>
      <rPr>
        <i/>
        <vertAlign val="subscript"/>
        <sz val="9"/>
        <rFont val="Arial"/>
        <family val="2"/>
      </rPr>
      <t>g</t>
    </r>
  </si>
  <si>
    <r>
      <t>κ</t>
    </r>
    <r>
      <rPr>
        <i/>
        <vertAlign val="subscript"/>
        <sz val="9"/>
        <rFont val="Arial"/>
        <family val="2"/>
      </rPr>
      <t>g</t>
    </r>
  </si>
  <si>
    <r>
      <t>R</t>
    </r>
    <r>
      <rPr>
        <vertAlign val="subscript"/>
        <sz val="10"/>
        <rFont val="Arial"/>
        <family val="2"/>
      </rPr>
      <t>ve;</t>
    </r>
    <r>
      <rPr>
        <i/>
        <vertAlign val="subscript"/>
        <sz val="10"/>
        <rFont val="Arial"/>
        <family val="2"/>
      </rPr>
      <t>m</t>
    </r>
  </si>
  <si>
    <r>
      <t>m</t>
    </r>
    <r>
      <rPr>
        <vertAlign val="superscript"/>
        <sz val="10"/>
        <rFont val="Arial"/>
        <family val="2"/>
      </rPr>
      <t>2</t>
    </r>
    <r>
      <rPr>
        <sz val="10"/>
        <rFont val="Arial"/>
        <family val="2"/>
      </rPr>
      <t>K/W</t>
    </r>
  </si>
  <si>
    <r>
      <t>H</t>
    </r>
    <r>
      <rPr>
        <vertAlign val="subscript"/>
        <sz val="9"/>
        <rFont val="Cambria"/>
        <family val="1"/>
      </rPr>
      <t>g,an</t>
    </r>
    <r>
      <rPr>
        <i/>
        <vertAlign val="subscript"/>
        <sz val="9"/>
        <rFont val="Cambria"/>
        <family val="1"/>
      </rPr>
      <t>,m</t>
    </r>
  </si>
  <si>
    <r>
      <t xml:space="preserve">ground heat transfer coefficient related to annual temperature difference, in month </t>
    </r>
    <r>
      <rPr>
        <i/>
        <sz val="10"/>
        <rFont val="Times New Roman"/>
        <family val="1"/>
      </rPr>
      <t>m</t>
    </r>
    <r>
      <rPr>
        <sz val="10"/>
        <rFont val="Arial"/>
        <family val="2"/>
      </rPr>
      <t xml:space="preserve"> </t>
    </r>
  </si>
  <si>
    <r>
      <t>Per season (for overall H</t>
    </r>
    <r>
      <rPr>
        <b/>
        <vertAlign val="subscript"/>
        <sz val="10"/>
        <rFont val="Arial"/>
        <family val="2"/>
      </rPr>
      <t>tr</t>
    </r>
    <r>
      <rPr>
        <b/>
        <sz val="10"/>
        <rFont val="Arial"/>
        <family val="2"/>
      </rPr>
      <t>)</t>
    </r>
  </si>
  <si>
    <t>Heating season</t>
  </si>
  <si>
    <t>Cooling season</t>
  </si>
  <si>
    <t>Ground heat transfer coefficient for H resp. C, related to annual average temp.difference</t>
  </si>
  <si>
    <r>
      <t>H</t>
    </r>
    <r>
      <rPr>
        <vertAlign val="subscript"/>
        <sz val="9"/>
        <rFont val="Arial"/>
        <family val="2"/>
      </rPr>
      <t>g;H/C</t>
    </r>
    <r>
      <rPr>
        <sz val="9"/>
        <rFont val="Arial"/>
        <family val="2"/>
      </rPr>
      <t xml:space="preserve"> 
(related to annual average temp.diff.)</t>
    </r>
  </si>
  <si>
    <t>Seasonal temperature difference</t>
  </si>
  <si>
    <r>
      <rPr>
        <sz val="10"/>
        <rFont val="Symbol"/>
        <family val="1"/>
        <charset val="2"/>
      </rPr>
      <t>(</t>
    </r>
    <r>
      <rPr>
        <i/>
        <sz val="10"/>
        <rFont val="Symbol"/>
        <family val="1"/>
        <charset val="2"/>
      </rPr>
      <t>q</t>
    </r>
    <r>
      <rPr>
        <vertAlign val="subscript"/>
        <sz val="10"/>
        <rFont val="Arial"/>
        <family val="2"/>
      </rPr>
      <t>int;</t>
    </r>
    <r>
      <rPr>
        <i/>
        <vertAlign val="subscript"/>
        <sz val="10"/>
        <rFont val="Arial"/>
        <family val="2"/>
      </rPr>
      <t>m</t>
    </r>
    <r>
      <rPr>
        <i/>
        <sz val="10"/>
        <rFont val="Arial"/>
        <family val="2"/>
      </rPr>
      <t xml:space="preserve"> - </t>
    </r>
    <r>
      <rPr>
        <i/>
        <sz val="10"/>
        <rFont val="Symbol"/>
        <family val="1"/>
        <charset val="2"/>
      </rPr>
      <t>q</t>
    </r>
    <r>
      <rPr>
        <vertAlign val="subscript"/>
        <sz val="10"/>
        <rFont val="Arial"/>
        <family val="2"/>
      </rPr>
      <t>e;m</t>
    </r>
    <r>
      <rPr>
        <sz val="10"/>
        <rFont val="Arial"/>
        <family val="2"/>
      </rPr>
      <t>)</t>
    </r>
    <r>
      <rPr>
        <vertAlign val="subscript"/>
        <sz val="10"/>
        <rFont val="Arial"/>
        <family val="2"/>
      </rPr>
      <t>mn;H/C</t>
    </r>
  </si>
  <si>
    <t>Ground heat transfer coefficient for H resp. C, adjusted to seasonal average temp.difference</t>
  </si>
  <si>
    <r>
      <t>H</t>
    </r>
    <r>
      <rPr>
        <vertAlign val="subscript"/>
        <sz val="9"/>
        <rFont val="Arial"/>
        <family val="2"/>
      </rPr>
      <t>g;H/C;adj</t>
    </r>
    <r>
      <rPr>
        <sz val="9"/>
        <rFont val="Arial"/>
        <family val="2"/>
      </rPr>
      <t xml:space="preserve"> 
(adjusted to seas. temp.diff.)</t>
    </r>
  </si>
  <si>
    <t>Hemisphere</t>
  </si>
  <si>
    <t>Monthly temperature difference</t>
  </si>
  <si>
    <r>
      <rPr>
        <sz val="10"/>
        <rFont val="Symbol"/>
        <family val="1"/>
        <charset val="2"/>
      </rPr>
      <t>(</t>
    </r>
    <r>
      <rPr>
        <i/>
        <sz val="10"/>
        <rFont val="Symbol"/>
        <family val="1"/>
        <charset val="2"/>
      </rPr>
      <t>q</t>
    </r>
    <r>
      <rPr>
        <vertAlign val="subscript"/>
        <sz val="10"/>
        <rFont val="Arial"/>
        <family val="2"/>
      </rPr>
      <t>int;</t>
    </r>
    <r>
      <rPr>
        <i/>
        <vertAlign val="subscript"/>
        <sz val="10"/>
        <rFont val="Arial"/>
        <family val="2"/>
      </rPr>
      <t>m</t>
    </r>
    <r>
      <rPr>
        <i/>
        <sz val="10"/>
        <rFont val="Arial"/>
        <family val="2"/>
      </rPr>
      <t xml:space="preserve"> - </t>
    </r>
    <r>
      <rPr>
        <i/>
        <sz val="10"/>
        <rFont val="Symbol"/>
        <family val="1"/>
        <charset val="2"/>
      </rPr>
      <t>q</t>
    </r>
    <r>
      <rPr>
        <vertAlign val="subscript"/>
        <sz val="10"/>
        <rFont val="Arial"/>
        <family val="2"/>
      </rPr>
      <t>e;m</t>
    </r>
    <r>
      <rPr>
        <sz val="10"/>
        <rFont val="Arial"/>
        <family val="2"/>
      </rPr>
      <t>)</t>
    </r>
  </si>
  <si>
    <t>Ground heat transfer coefficient for heating, adjusted to seasonal average temp.difference</t>
  </si>
  <si>
    <t>Ground heat transfer coefficient for cooling adjusted to seasonal average temp.difference</t>
  </si>
  <si>
    <r>
      <t>H</t>
    </r>
    <r>
      <rPr>
        <i/>
        <vertAlign val="subscript"/>
        <sz val="9"/>
        <rFont val="Times New Roman"/>
        <family val="1"/>
      </rPr>
      <t xml:space="preserve">g;H;adj </t>
    </r>
  </si>
  <si>
    <r>
      <t>H</t>
    </r>
    <r>
      <rPr>
        <i/>
        <vertAlign val="subscript"/>
        <sz val="9"/>
        <rFont val="Times New Roman"/>
        <family val="1"/>
      </rPr>
      <t xml:space="preserve">g;C;adj </t>
    </r>
  </si>
  <si>
    <t>H_g_H_adj</t>
  </si>
  <si>
    <t>H_g_C_adj</t>
  </si>
  <si>
    <t>Monthly values</t>
  </si>
  <si>
    <t>R_g</t>
  </si>
  <si>
    <t>kappa_g</t>
  </si>
  <si>
    <t>R_ve_m</t>
  </si>
  <si>
    <r>
      <t>R</t>
    </r>
    <r>
      <rPr>
        <vertAlign val="subscript"/>
        <sz val="10"/>
        <rFont val="Arial"/>
        <family val="2"/>
      </rPr>
      <t>ve</t>
    </r>
  </si>
  <si>
    <t>This is an improvement compared to the DIS, based on validation of the links with ISO/DIS 52016-1 (monthly and hourly calculation of energy need for heating and cooling</t>
  </si>
  <si>
    <t>2015.06.03</t>
  </si>
  <si>
    <t>2014.06.04</t>
  </si>
  <si>
    <t>2014.11.26</t>
  </si>
  <si>
    <t>First draft version (internal)</t>
  </si>
  <si>
    <t>2015.04.22.</t>
  </si>
  <si>
    <t>Adapted and integrated in spreadsheet of ISO/DIS 52016-1</t>
  </si>
  <si>
    <t>Embedded in ISO/DIS 52016-1 spreadsheet (ISO/TC163/SC 2 N document, for public distribution)</t>
  </si>
  <si>
    <t>ISO/TC163/SC 2 N document, for public distribution</t>
  </si>
  <si>
    <t>Updated draft version (internal)</t>
  </si>
  <si>
    <t>Calculation repeated to cover 12 months</t>
  </si>
  <si>
    <t>Version embedded in spreadsheet of ISO/DIS 52016-1 reviewed and used as basis for this stand alone version (including few corrections)</t>
  </si>
  <si>
    <r>
      <t>Thermal transmittance, including the effect of the ground
If d</t>
    </r>
    <r>
      <rPr>
        <sz val="8"/>
        <rFont val="Arial"/>
        <family val="2"/>
      </rPr>
      <t>f;sog</t>
    </r>
    <r>
      <rPr>
        <sz val="10"/>
        <rFont val="Arial"/>
        <family val="2"/>
      </rPr>
      <t xml:space="preserve"> </t>
    </r>
    <r>
      <rPr>
        <u/>
        <sz val="10"/>
        <rFont val="Arial"/>
        <family val="2"/>
      </rPr>
      <t>&gt;</t>
    </r>
    <r>
      <rPr>
        <sz val="10"/>
        <rFont val="Arial"/>
        <family val="2"/>
      </rPr>
      <t xml:space="preserve"> B (well-insulated floors):</t>
    </r>
  </si>
  <si>
    <r>
      <t>Thermal transmittance, including the effect of the ground
If d</t>
    </r>
    <r>
      <rPr>
        <sz val="8"/>
        <rFont val="Arial"/>
        <family val="2"/>
      </rPr>
      <t xml:space="preserve">f;sog </t>
    </r>
    <r>
      <rPr>
        <sz val="10"/>
        <rFont val="Arial"/>
        <family val="2"/>
      </rPr>
      <t>&lt; B (uninsulated and moderately insulated floors):</t>
    </r>
  </si>
  <si>
    <t xml:space="preserve">Draft spreadsheet, according to template for all EPB standards </t>
  </si>
  <si>
    <t>Concerns EPB standard:</t>
  </si>
  <si>
    <t>Produced by the Project Leader for the preparation of this standard</t>
  </si>
  <si>
    <t>DISCLAIMER:</t>
  </si>
  <si>
    <r>
      <t>·</t>
    </r>
    <r>
      <rPr>
        <sz val="7"/>
        <rFont val="Times New Roman"/>
        <family val="1"/>
      </rPr>
      <t xml:space="preserve">         </t>
    </r>
    <r>
      <rPr>
        <sz val="10"/>
        <rFont val="Arial"/>
        <family val="2"/>
      </rPr>
      <t xml:space="preserve">This spreadsheet has been developed in the framework of the preparation and revision of the set of EN or ISO standards on the energy performance of buildings, to support the European "Energy Performance of Buildings Directive" recast (EPBD-recast, directive 2010/31/EU). </t>
    </r>
  </si>
  <si>
    <r>
      <t>·</t>
    </r>
    <r>
      <rPr>
        <sz val="7"/>
        <rFont val="Times New Roman"/>
        <family val="1"/>
      </rPr>
      <t xml:space="preserve">         </t>
    </r>
    <r>
      <rPr>
        <sz val="10"/>
        <rFont val="Arial"/>
        <family val="2"/>
      </rPr>
      <t>The spreadsheet supports the expert user of the standards, in particular those who want to review the content of the standard and those who want to translate the standard to a software, to understand the correct interpretation of the equations and calculation steps in the standard.</t>
    </r>
  </si>
  <si>
    <r>
      <t>·</t>
    </r>
    <r>
      <rPr>
        <sz val="7"/>
        <rFont val="Times New Roman"/>
        <family val="1"/>
      </rPr>
      <t xml:space="preserve">         </t>
    </r>
    <r>
      <rPr>
        <sz val="10"/>
        <rFont val="Arial"/>
        <family val="2"/>
      </rPr>
      <t>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r>
  </si>
  <si>
    <t>DRAFT VERSION:</t>
  </si>
  <si>
    <r>
      <t>·</t>
    </r>
    <r>
      <rPr>
        <sz val="7"/>
        <rFont val="Times New Roman"/>
        <family val="1"/>
      </rPr>
      <t xml:space="preserve">         </t>
    </r>
    <r>
      <rPr>
        <sz val="10"/>
        <rFont val="Arial"/>
        <family val="2"/>
      </rPr>
      <t>As long as the associated EPB standard or any of the other EPB standards to which it is directly linked are in a draft stage, this spreadsheet is also a draft version only.</t>
    </r>
  </si>
  <si>
    <t xml:space="preserve">WARNINGS: </t>
  </si>
  <si>
    <r>
      <t>·</t>
    </r>
    <r>
      <rPr>
        <sz val="7"/>
        <rFont val="Times New Roman"/>
        <family val="1"/>
      </rPr>
      <t xml:space="preserve">         </t>
    </r>
    <r>
      <rPr>
        <sz val="10"/>
        <rFont val="Arial"/>
        <family val="2"/>
      </rPr>
      <t xml:space="preserve">Note that the spreadsheet may not allow testing all calculation options that are possible according to the standard to which it applies. This remark applies in particular but not only to limitations on the number instances of a variable that can be considered. </t>
    </r>
  </si>
  <si>
    <r>
      <t>·</t>
    </r>
    <r>
      <rPr>
        <sz val="7"/>
        <rFont val="Times New Roman"/>
        <family val="1"/>
      </rPr>
      <t xml:space="preserve">         </t>
    </r>
    <r>
      <rPr>
        <sz val="10"/>
        <rFont val="Arial"/>
        <family val="2"/>
      </rPr>
      <t>In case of differences, the standard should be regarded as the reference, not the spreadsheet. However, during the standard's drafting phase, shortcomings in the draft standard may have been detected and dealt with in the spreadsheets (ideally, such differences are marked).</t>
    </r>
  </si>
  <si>
    <r>
      <t>·</t>
    </r>
    <r>
      <rPr>
        <sz val="7"/>
        <rFont val="Times New Roman"/>
        <family val="1"/>
      </rPr>
      <t xml:space="preserve">         </t>
    </r>
    <r>
      <rPr>
        <sz val="10"/>
        <rFont val="Arial"/>
        <family val="2"/>
      </rPr>
      <t xml:space="preserve">Note also that these spreadsheets are purely intended for testing and demonstration and therefore not aiming to be user friendly or to be protected against wrong or improper use. </t>
    </r>
  </si>
  <si>
    <t>TERMS OF USE:</t>
  </si>
  <si>
    <r>
      <t>·</t>
    </r>
    <r>
      <rPr>
        <sz val="7"/>
        <rFont val="Times New Roman"/>
        <family val="1"/>
      </rPr>
      <t xml:space="preserve">         </t>
    </r>
    <r>
      <rPr>
        <sz val="10"/>
        <rFont val="Arial"/>
        <family val="2"/>
      </rPr>
      <t>The user is not allowed to redistribute a modified version of this spreadsheet.</t>
    </r>
  </si>
  <si>
    <r>
      <t>·</t>
    </r>
    <r>
      <rPr>
        <sz val="7"/>
        <rFont val="Times New Roman"/>
        <family val="1"/>
      </rPr>
      <t xml:space="preserve">         </t>
    </r>
    <r>
      <rPr>
        <sz val="10"/>
        <rFont val="Arial"/>
        <family val="2"/>
      </rPr>
      <t>The author(s) would appreciate your feed back on the spreadsheet via the comment sheets for the associated draft standard to be prepared by the national standards bodies during enquiry of the draft standard(s),</t>
    </r>
  </si>
  <si>
    <r>
      <rPr>
        <b/>
        <sz val="10"/>
        <rFont val="Arial"/>
        <family val="2"/>
      </rPr>
      <t>Why an Excel spreadsheet?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</si>
  <si>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</si>
  <si>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</si>
  <si>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</si>
  <si>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EN/TS 16628 Basic Principles (in short "BP")
   - EN/TS 16629 Detailed Technical Rules (in short "DTR")
   - Most recent draft of ISO 52000-1 cq EN 15603 ("Overarching Standard", in short "OA"))
   - Most recent draft of ISO/TR 52000-2 cq EN/TR 15615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</si>
  <si>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t>For those responsible for the drafting of this spreadsheet on the accompanying EPB standard</t>
  </si>
  <si>
    <t>- CALCULATION OF ENERGY NEEDS FOR HEATING AND COOLING (MONTHLY METHOD)</t>
  </si>
  <si>
    <t>SCOPE OF THIS SPREADSHEET:</t>
  </si>
  <si>
    <t>THIS SPREADSHEET PROVIDES ONE CALCULATION EXAMPLE PROVIDING 12 MONTHLY VALUES (FULL YEAR)</t>
  </si>
  <si>
    <t>- CALCULATION OF ENERGY NEEDS FOR HEATING AND COOLING (HOURLY METHOD)</t>
  </si>
  <si>
    <t>ISO/DIS 13370,Thermal performance of buildings — Heat transfer via the ground — Calculation methods</t>
  </si>
  <si>
    <t>Steady state heat transfer coefficient</t>
  </si>
  <si>
    <t xml:space="preserve">Periodic heat transfer coefficient related to external temperature variations </t>
  </si>
  <si>
    <t>Note: this quantity includes both the annual-average effect of the ground and the linear perimeter heat transfer.</t>
  </si>
  <si>
    <t>Note: this quantity includes the annual-average effect of the ground on the transmission; the linear perimeter heat transfer is not included: this is included in theta_v</t>
  </si>
  <si>
    <t>See also:
Column P: formula reference
Column Q: copy of the formula
Column R: Notes</t>
  </si>
  <si>
    <t>This is an improvement compared to the DIS: simpler, more direct formula (result is the same)</t>
  </si>
  <si>
    <r>
      <rPr>
        <sz val="10"/>
        <rFont val="Arial"/>
        <family val="2"/>
      </rPr>
      <t xml:space="preserve">DIS: </t>
    </r>
    <r>
      <rPr>
        <i/>
        <sz val="12"/>
        <rFont val="Times New Roman"/>
        <family val="1"/>
      </rPr>
      <t>R</t>
    </r>
    <r>
      <rPr>
        <sz val="8"/>
        <rFont val="Arial"/>
        <family val="2"/>
      </rPr>
      <t>f;eff</t>
    </r>
    <r>
      <rPr>
        <sz val="12"/>
        <rFont val="Arial"/>
        <family val="2"/>
      </rPr>
      <t xml:space="preserve"> = </t>
    </r>
    <r>
      <rPr>
        <i/>
        <sz val="12"/>
        <rFont val="Times New Roman"/>
        <family val="1"/>
      </rPr>
      <t>R</t>
    </r>
    <r>
      <rPr>
        <sz val="8"/>
        <rFont val="Arial"/>
        <family val="2"/>
      </rPr>
      <t>f</t>
    </r>
    <r>
      <rPr>
        <sz val="12"/>
        <rFont val="Arial"/>
        <family val="2"/>
      </rPr>
      <t xml:space="preserve"> + </t>
    </r>
    <r>
      <rPr>
        <i/>
        <sz val="12"/>
        <rFont val="Times New Roman"/>
        <family val="1"/>
      </rPr>
      <t>R</t>
    </r>
    <r>
      <rPr>
        <sz val="8"/>
        <rFont val="Arial"/>
        <family val="2"/>
      </rPr>
      <t>g</t>
    </r>
    <r>
      <rPr>
        <sz val="12"/>
        <rFont val="Arial"/>
        <family val="2"/>
      </rPr>
      <t xml:space="preserve"> + </t>
    </r>
    <r>
      <rPr>
        <i/>
        <sz val="12"/>
        <rFont val="Times New Roman"/>
        <family val="1"/>
      </rPr>
      <t>R</t>
    </r>
    <r>
      <rPr>
        <sz val="8"/>
        <rFont val="Arial"/>
        <family val="2"/>
      </rPr>
      <t>v</t>
    </r>
    <r>
      <rPr>
        <sz val="10"/>
        <rFont val="Arial"/>
        <family val="2"/>
      </rPr>
      <t xml:space="preserve"> 
</t>
    </r>
    <r>
      <rPr>
        <sz val="10"/>
        <color rgb="FFFF0000"/>
        <rFont val="Arial"/>
        <family val="2"/>
      </rPr>
      <t>Improved:</t>
    </r>
    <r>
      <rPr>
        <sz val="8"/>
        <color rgb="FFFF0000"/>
        <rFont val="Arial"/>
        <family val="2"/>
      </rPr>
      <t xml:space="preserve"> </t>
    </r>
    <r>
      <rPr>
        <i/>
        <sz val="12"/>
        <color rgb="FFFF0000"/>
        <rFont val="Times New Roman"/>
        <family val="1"/>
      </rPr>
      <t>R</t>
    </r>
    <r>
      <rPr>
        <sz val="8"/>
        <color rgb="FFFF0000"/>
        <rFont val="Arial"/>
        <family val="2"/>
      </rPr>
      <t>f;eff</t>
    </r>
    <r>
      <rPr>
        <sz val="12"/>
        <color rgb="FFFF0000"/>
        <rFont val="Arial"/>
        <family val="2"/>
      </rPr>
      <t xml:space="preserve"> = 1/</t>
    </r>
    <r>
      <rPr>
        <i/>
        <sz val="12"/>
        <color rgb="FFFF0000"/>
        <rFont val="Times New Roman"/>
        <family val="1"/>
      </rPr>
      <t>U</t>
    </r>
    <r>
      <rPr>
        <sz val="12"/>
        <color rgb="FFFF0000"/>
        <rFont val="Arial"/>
        <family val="2"/>
      </rPr>
      <t xml:space="preserve"> – </t>
    </r>
    <r>
      <rPr>
        <i/>
        <sz val="12"/>
        <color rgb="FFFF0000"/>
        <rFont val="Times New Roman"/>
        <family val="1"/>
      </rPr>
      <t>R</t>
    </r>
    <r>
      <rPr>
        <sz val="8"/>
        <color rgb="FFFF0000"/>
        <rFont val="Arial"/>
        <family val="2"/>
      </rPr>
      <t>si</t>
    </r>
  </si>
  <si>
    <r>
      <t>Formula 20</t>
    </r>
    <r>
      <rPr>
        <sz val="10"/>
        <color rgb="FFFF0000"/>
        <rFont val="Arial"/>
        <family val="2"/>
      </rPr>
      <t xml:space="preserve"> (rev)</t>
    </r>
  </si>
  <si>
    <r>
      <t xml:space="preserve">Formula C.10
</t>
    </r>
    <r>
      <rPr>
        <sz val="10"/>
        <color rgb="FFFF0000"/>
        <rFont val="Arial"/>
        <family val="2"/>
      </rPr>
      <t>(rev)</t>
    </r>
  </si>
  <si>
    <t>- CALCULATION OF THE OVERALL (SEASONAL) THERMAL TRANSMITTANCE OF A BUILDING</t>
  </si>
  <si>
    <t>H_g_an_m</t>
  </si>
  <si>
    <r>
      <t xml:space="preserve">ground heat transfer coefficient in month </t>
    </r>
    <r>
      <rPr>
        <i/>
        <sz val="10"/>
        <rFont val="Times New Roman"/>
        <family val="1"/>
      </rPr>
      <t>m</t>
    </r>
    <r>
      <rPr>
        <sz val="10"/>
        <rFont val="Arial"/>
        <family val="2"/>
      </rPr>
      <t xml:space="preserve"> adjusted to monthly temp.diff.</t>
    </r>
    <r>
      <rPr>
        <b/>
        <sz val="10"/>
        <rFont val="Arial"/>
        <family val="2"/>
      </rPr>
      <t xml:space="preserve"> </t>
    </r>
    <r>
      <rPr>
        <b/>
        <sz val="10"/>
        <color rgb="FFFF0000"/>
        <rFont val="Arial"/>
        <family val="2"/>
      </rPr>
      <t>(See comment in column R)</t>
    </r>
  </si>
  <si>
    <t>Formula C.10</t>
  </si>
  <si>
    <t>According to DIS. However, this quantity appears unsuited, because the monthly ground heat flow is not related to the monthly temp.difference. This leads to extreme values (including division by zero). 
Proposed improved formula: see next row</t>
  </si>
  <si>
    <r>
      <t>·</t>
    </r>
    <r>
      <rPr>
        <sz val="7"/>
        <rFont val="Times New Roman"/>
        <family val="1"/>
      </rPr>
      <t xml:space="preserve">         </t>
    </r>
    <r>
      <rPr>
        <sz val="10"/>
        <rFont val="Arial"/>
        <family val="2"/>
      </rPr>
      <t>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t>
    </r>
  </si>
  <si>
    <t xml:space="preserve">THE OUTPUT IS SUITED TO THE INPUT FOR e.g.: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</si>
</sst>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0"/>
    <numFmt numFmtId="166" formatCode="0.000"/>
    <numFmt numFmtId="167" formatCode="0.0E+00"/>
    <numFmt numFmtId="168" formatCode="0.0000E+00"/>
  </numFmts>
  <fonts count="52" x14ac:knownFonts="1">
    <font>
      <sz val="10"/>
      <name val="Arial"/>
    </font>
    <font>
      <sz val="8"/>
      <color indexed="81"/>
      <name val="Tahoma"/>
      <family val="2"/>
    </font>
    <font>
      <b/>
      <sz val="8"/>
      <color indexed="81"/>
      <name val="Tahoma"/>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b/>
      <sz val="11"/>
      <name val="Arial"/>
      <family val="2"/>
    </font>
    <font>
      <b/>
      <i/>
      <sz val="10"/>
      <name val="Arial"/>
      <family val="2"/>
    </font>
    <font>
      <sz val="8"/>
      <name val="Arial"/>
      <family val="2"/>
    </font>
    <font>
      <b/>
      <sz val="10"/>
      <color indexed="10"/>
      <name val="Arial"/>
      <family val="2"/>
    </font>
    <font>
      <sz val="9"/>
      <name val="Arial"/>
      <family val="2"/>
    </font>
    <font>
      <i/>
      <sz val="9"/>
      <name val="Arial"/>
      <family val="2"/>
    </font>
    <font>
      <vertAlign val="superscript"/>
      <sz val="9"/>
      <name val="Arial"/>
      <family val="2"/>
    </font>
    <font>
      <sz val="9"/>
      <name val="Calibri"/>
      <family val="2"/>
    </font>
    <font>
      <i/>
      <vertAlign val="subscript"/>
      <sz val="9"/>
      <name val="Arial"/>
      <family val="2"/>
    </font>
    <font>
      <i/>
      <sz val="11"/>
      <name val="Times New Roman"/>
      <family val="1"/>
    </font>
    <font>
      <i/>
      <sz val="9"/>
      <name val="Times New Roman"/>
      <family val="1"/>
    </font>
    <font>
      <sz val="9"/>
      <name val="Symbol"/>
      <family val="1"/>
      <charset val="2"/>
    </font>
    <font>
      <i/>
      <sz val="10"/>
      <name val="Times New Roman"/>
      <family val="1"/>
    </font>
    <font>
      <sz val="9"/>
      <color indexed="55"/>
      <name val="Arial"/>
      <family val="2"/>
    </font>
    <font>
      <i/>
      <sz val="9"/>
      <color indexed="55"/>
      <name val="Arial"/>
      <family val="2"/>
    </font>
    <font>
      <vertAlign val="superscript"/>
      <sz val="9"/>
      <color indexed="55"/>
      <name val="Arial"/>
      <family val="2"/>
    </font>
    <font>
      <vertAlign val="subscript"/>
      <sz val="9"/>
      <color indexed="55"/>
      <name val="Arial"/>
      <family val="2"/>
    </font>
    <font>
      <sz val="9"/>
      <name val="Times New Roman"/>
      <family val="1"/>
    </font>
    <font>
      <sz val="10"/>
      <color indexed="10"/>
      <name val="Arial"/>
      <family val="2"/>
    </font>
    <font>
      <vertAlign val="superscript"/>
      <sz val="10"/>
      <name val="Arial"/>
      <family val="2"/>
    </font>
    <font>
      <vertAlign val="subscript"/>
      <sz val="10"/>
      <name val="Arial"/>
      <family val="2"/>
    </font>
    <font>
      <sz val="10"/>
      <color indexed="8"/>
      <name val="Arial"/>
      <family val="2"/>
    </font>
    <font>
      <i/>
      <sz val="12"/>
      <name val="Times New Roman"/>
      <family val="1"/>
    </font>
    <font>
      <sz val="12"/>
      <name val="Arial"/>
      <family val="2"/>
    </font>
    <font>
      <u/>
      <sz val="10"/>
      <name val="Arial"/>
      <family val="2"/>
    </font>
    <font>
      <sz val="10"/>
      <color indexed="8"/>
      <name val="Arial"/>
      <family val="2"/>
    </font>
    <font>
      <i/>
      <sz val="12"/>
      <name val="Symbol"/>
      <family val="1"/>
      <charset val="2"/>
    </font>
    <font>
      <vertAlign val="subscript"/>
      <sz val="12"/>
      <name val="Agency FB"/>
      <family val="2"/>
    </font>
    <font>
      <i/>
      <vertAlign val="subscript"/>
      <sz val="12"/>
      <name val="Agency FB"/>
      <family val="2"/>
    </font>
    <font>
      <i/>
      <vertAlign val="subscript"/>
      <sz val="10"/>
      <name val="Arial"/>
      <family val="2"/>
    </font>
    <font>
      <vertAlign val="subscript"/>
      <sz val="9"/>
      <name val="Cambria"/>
      <family val="1"/>
    </font>
    <font>
      <i/>
      <vertAlign val="subscript"/>
      <sz val="9"/>
      <name val="Cambria"/>
      <family val="1"/>
    </font>
    <font>
      <sz val="11"/>
      <name val="Arial"/>
      <family val="2"/>
    </font>
    <font>
      <b/>
      <vertAlign val="subscript"/>
      <sz val="10"/>
      <name val="Arial"/>
      <family val="2"/>
    </font>
    <font>
      <vertAlign val="subscript"/>
      <sz val="9"/>
      <name val="Arial"/>
      <family val="2"/>
    </font>
    <font>
      <i/>
      <vertAlign val="subscript"/>
      <sz val="9"/>
      <name val="Times New Roman"/>
      <family val="1"/>
    </font>
    <font>
      <sz val="10"/>
      <color rgb="FFFF0000"/>
      <name val="Arial"/>
      <family val="2"/>
    </font>
    <font>
      <b/>
      <sz val="12"/>
      <name val="Arial"/>
      <family val="2"/>
    </font>
    <font>
      <sz val="7"/>
      <name val="Times New Roman"/>
      <family val="1"/>
    </font>
    <font>
      <b/>
      <sz val="10"/>
      <color rgb="FFFF0000"/>
      <name val="Arial"/>
      <family val="2"/>
    </font>
    <font>
      <sz val="8"/>
      <color rgb="FFFF0000"/>
      <name val="Arial"/>
      <family val="2"/>
    </font>
    <font>
      <i/>
      <sz val="12"/>
      <color rgb="FFFF0000"/>
      <name val="Times New Roman"/>
      <family val="1"/>
    </font>
    <font>
      <sz val="12"/>
      <color rgb="FFFF0000"/>
      <name val="Arial"/>
      <family val="2"/>
    </font>
  </fonts>
  <fills count="9">
    <fill>
      <patternFill patternType="none"/>
    </fill>
    <fill>
      <patternFill patternType="gray125"/>
    </fill>
    <fill>
      <patternFill patternType="solid">
        <fgColor indexed="13"/>
        <bgColor indexed="64"/>
      </patternFill>
    </fill>
    <fill>
      <patternFill patternType="solid">
        <fgColor indexed="47"/>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CCFFCC"/>
        <bgColor indexed="64"/>
      </patternFill>
    </fill>
    <fill>
      <patternFill patternType="solid">
        <fgColor theme="0" tint="-0.149998474074526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bottom style="thin">
        <color indexed="64"/>
      </bottom>
      <diagonal/>
    </border>
  </borders>
  <cellStyleXfs count="3">
    <xf numFmtId="0" fontId="0" fillId="0" borderId="0"/>
    <xf numFmtId="0" fontId="3" fillId="0" borderId="0"/>
    <xf numFmtId="0" fontId="3" fillId="0" borderId="0"/>
  </cellStyleXfs>
  <cellXfs count="279">
    <xf numFmtId="0" fontId="0" fillId="0" borderId="0" xfId="0"/>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4" fillId="0" borderId="1" xfId="0" applyFont="1" applyBorder="1" applyAlignment="1">
      <alignment horizontal="center" vertical="center" wrapText="1"/>
    </xf>
    <xf numFmtId="0" fontId="5" fillId="0" borderId="1" xfId="0" applyFont="1" applyBorder="1" applyAlignment="1">
      <alignment horizontal="center" vertical="center"/>
    </xf>
    <xf numFmtId="0" fontId="7" fillId="0" borderId="1" xfId="0" applyFont="1" applyBorder="1" applyAlignment="1">
      <alignment horizontal="center" vertical="center" wrapText="1"/>
    </xf>
    <xf numFmtId="0" fontId="0" fillId="0" borderId="0" xfId="0" applyAlignment="1">
      <alignment vertical="center" wrapText="1"/>
    </xf>
    <xf numFmtId="0" fontId="0" fillId="0" borderId="1" xfId="0" applyBorder="1"/>
    <xf numFmtId="0" fontId="0" fillId="0" borderId="0" xfId="0" applyAlignment="1">
      <alignment horizontal="center"/>
    </xf>
    <xf numFmtId="0" fontId="0" fillId="0" borderId="0" xfId="0" applyAlignment="1">
      <alignment wrapText="1"/>
    </xf>
    <xf numFmtId="0" fontId="7" fillId="0" borderId="3" xfId="0"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wrapText="1"/>
    </xf>
    <xf numFmtId="0" fontId="0" fillId="0" borderId="6" xfId="0" applyBorder="1" applyAlignment="1">
      <alignment horizontal="center"/>
    </xf>
    <xf numFmtId="0" fontId="0" fillId="0" borderId="9" xfId="0" applyBorder="1" applyAlignment="1">
      <alignment wrapText="1"/>
    </xf>
    <xf numFmtId="0" fontId="0" fillId="0" borderId="8" xfId="0" applyBorder="1" applyAlignment="1">
      <alignment horizontal="center"/>
    </xf>
    <xf numFmtId="0" fontId="0" fillId="0" borderId="10" xfId="0" applyBorder="1" applyAlignment="1">
      <alignment horizontal="center"/>
    </xf>
    <xf numFmtId="0" fontId="0" fillId="0" borderId="11" xfId="0" applyBorder="1"/>
    <xf numFmtId="0" fontId="0" fillId="0" borderId="12" xfId="0" applyBorder="1" applyAlignment="1">
      <alignment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0" fontId="3" fillId="0" borderId="1" xfId="0" applyFont="1" applyBorder="1" applyAlignment="1">
      <alignment horizontal="center" vertical="center" wrapText="1"/>
    </xf>
    <xf numFmtId="0" fontId="8" fillId="0" borderId="1" xfId="0" applyFont="1" applyBorder="1" applyAlignment="1">
      <alignment horizontal="center" vertical="center"/>
    </xf>
    <xf numFmtId="0" fontId="3" fillId="0" borderId="1" xfId="0" applyFont="1" applyBorder="1" applyAlignment="1">
      <alignment vertical="center" wrapText="1"/>
    </xf>
    <xf numFmtId="0" fontId="0" fillId="0" borderId="0" xfId="0" applyAlignment="1">
      <alignment vertical="center"/>
    </xf>
    <xf numFmtId="0" fontId="0" fillId="0" borderId="13" xfId="0" applyBorder="1" applyAlignment="1">
      <alignment horizontal="center" vertical="center" wrapText="1"/>
    </xf>
    <xf numFmtId="0" fontId="4" fillId="0" borderId="13" xfId="0" applyFont="1" applyBorder="1" applyAlignment="1">
      <alignment horizontal="center" vertical="center" wrapText="1"/>
    </xf>
    <xf numFmtId="0" fontId="13" fillId="0" borderId="1" xfId="0" applyFont="1" applyBorder="1" applyAlignment="1">
      <alignment horizontal="left" vertical="center"/>
    </xf>
    <xf numFmtId="0" fontId="13" fillId="0" borderId="1" xfId="0" applyFont="1" applyBorder="1" applyAlignment="1">
      <alignment horizontal="left" vertical="center" wrapText="1"/>
    </xf>
    <xf numFmtId="0" fontId="7" fillId="0" borderId="0" xfId="0" applyFont="1" applyAlignment="1">
      <alignment horizontal="left" vertical="center"/>
    </xf>
    <xf numFmtId="0" fontId="7" fillId="0" borderId="1" xfId="0" applyFont="1" applyBorder="1" applyAlignment="1">
      <alignment horizontal="left" vertical="center"/>
    </xf>
    <xf numFmtId="0" fontId="18" fillId="0" borderId="1" xfId="0" applyFont="1" applyBorder="1" applyAlignment="1">
      <alignment horizontal="center" vertical="center"/>
    </xf>
    <xf numFmtId="0" fontId="14" fillId="0" borderId="1" xfId="0" applyFont="1" applyBorder="1" applyAlignment="1">
      <alignment horizontal="center" vertical="center"/>
    </xf>
    <xf numFmtId="0" fontId="13" fillId="0" borderId="1" xfId="0" applyFont="1" applyBorder="1" applyAlignment="1">
      <alignment horizontal="center" vertical="center"/>
    </xf>
    <xf numFmtId="0" fontId="13" fillId="0" borderId="1" xfId="0" applyFont="1" applyBorder="1" applyAlignment="1">
      <alignment horizontal="center" vertical="center" wrapText="1"/>
    </xf>
    <xf numFmtId="0" fontId="7" fillId="0" borderId="1" xfId="0" applyFont="1" applyBorder="1"/>
    <xf numFmtId="0" fontId="7" fillId="0" borderId="0" xfId="0" applyFont="1"/>
    <xf numFmtId="0" fontId="3" fillId="0" borderId="8" xfId="0" applyFont="1" applyBorder="1" applyAlignment="1">
      <alignment vertical="center" wrapText="1"/>
    </xf>
    <xf numFmtId="0" fontId="3" fillId="0" borderId="1" xfId="0" applyFont="1" applyBorder="1" applyAlignment="1">
      <alignment horizontal="left" vertical="center" wrapText="1"/>
    </xf>
    <xf numFmtId="0" fontId="3" fillId="0" borderId="1" xfId="0" applyFont="1" applyBorder="1" applyAlignment="1">
      <alignment horizontal="left"/>
    </xf>
    <xf numFmtId="0" fontId="13" fillId="0" borderId="14"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3" xfId="0" applyFont="1" applyBorder="1" applyAlignment="1">
      <alignment horizontal="left" vertical="center"/>
    </xf>
    <xf numFmtId="0" fontId="14" fillId="0" borderId="13" xfId="0" applyFont="1" applyBorder="1" applyAlignment="1">
      <alignment horizontal="left" vertical="center"/>
    </xf>
    <xf numFmtId="0" fontId="13" fillId="0" borderId="13" xfId="0" applyFont="1" applyBorder="1" applyAlignment="1">
      <alignment horizontal="left" vertical="center" wrapText="1"/>
    </xf>
    <xf numFmtId="0" fontId="13" fillId="0" borderId="0" xfId="0" applyFont="1" applyBorder="1" applyAlignment="1">
      <alignment horizontal="left" vertical="center" wrapText="1"/>
    </xf>
    <xf numFmtId="0" fontId="21" fillId="0" borderId="1" xfId="0" applyFont="1" applyBorder="1" applyAlignment="1">
      <alignment horizontal="center" vertical="center" wrapText="1"/>
    </xf>
    <xf numFmtId="0" fontId="13" fillId="0" borderId="1" xfId="0" applyFont="1" applyBorder="1" applyAlignment="1">
      <alignment horizontal="justify" vertical="center" wrapText="1"/>
    </xf>
    <xf numFmtId="0" fontId="22" fillId="0" borderId="1" xfId="0" applyFont="1" applyBorder="1" applyAlignment="1">
      <alignment horizontal="left" vertical="center" wrapText="1"/>
    </xf>
    <xf numFmtId="0" fontId="5" fillId="0" borderId="1" xfId="0" applyFont="1" applyBorder="1" applyAlignment="1">
      <alignment horizontal="center" vertical="center" wrapText="1"/>
    </xf>
    <xf numFmtId="0" fontId="13" fillId="2" borderId="1" xfId="0" applyFont="1" applyFill="1" applyBorder="1" applyAlignment="1">
      <alignment horizontal="left" vertical="center"/>
    </xf>
    <xf numFmtId="0" fontId="13" fillId="2" borderId="1" xfId="0" applyFont="1" applyFill="1" applyBorder="1" applyAlignment="1">
      <alignment horizontal="center" vertical="center" wrapText="1"/>
    </xf>
    <xf numFmtId="0" fontId="21" fillId="0" borderId="1" xfId="0" applyFont="1" applyBorder="1" applyAlignment="1">
      <alignment horizontal="center" vertical="center"/>
    </xf>
    <xf numFmtId="0" fontId="19" fillId="2" borderId="1" xfId="0" applyFont="1" applyFill="1" applyBorder="1" applyAlignment="1">
      <alignment horizontal="center" vertical="center"/>
    </xf>
    <xf numFmtId="0" fontId="26" fillId="0" borderId="13" xfId="0" applyFont="1" applyBorder="1" applyAlignment="1">
      <alignment horizontal="center" vertical="center"/>
    </xf>
    <xf numFmtId="0" fontId="14" fillId="0" borderId="13" xfId="0" applyFont="1" applyBorder="1" applyAlignment="1">
      <alignment horizontal="center" vertical="center"/>
    </xf>
    <xf numFmtId="0" fontId="3" fillId="0" borderId="0" xfId="0" applyFont="1" applyAlignment="1">
      <alignment horizontal="center" vertical="center" wrapText="1"/>
    </xf>
    <xf numFmtId="0" fontId="27" fillId="0" borderId="1" xfId="0" applyFont="1" applyBorder="1" applyAlignment="1">
      <alignment horizontal="center" vertical="center" wrapText="1"/>
    </xf>
    <xf numFmtId="0" fontId="27" fillId="0" borderId="0" xfId="0" applyFont="1" applyAlignment="1">
      <alignment horizontal="center" vertical="center" wrapText="1"/>
    </xf>
    <xf numFmtId="0" fontId="13" fillId="0" borderId="14" xfId="0" applyFont="1" applyBorder="1" applyAlignment="1">
      <alignment horizontal="left" vertical="center" wrapText="1"/>
    </xf>
    <xf numFmtId="0" fontId="5"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wrapText="1"/>
    </xf>
    <xf numFmtId="0" fontId="0" fillId="0" borderId="0" xfId="0" applyFill="1" applyAlignment="1">
      <alignment horizontal="center" vertical="center" wrapText="1"/>
    </xf>
    <xf numFmtId="0" fontId="9" fillId="0" borderId="5" xfId="0" applyFont="1" applyFill="1" applyBorder="1" applyAlignment="1">
      <alignment horizontal="center" vertical="center" wrapText="1"/>
    </xf>
    <xf numFmtId="0" fontId="0" fillId="0" borderId="2" xfId="0" applyFill="1" applyBorder="1" applyAlignment="1">
      <alignment horizontal="center" vertical="center" wrapText="1"/>
    </xf>
    <xf numFmtId="0" fontId="3" fillId="0" borderId="1" xfId="0" applyFont="1" applyFill="1" applyBorder="1" applyAlignment="1">
      <alignment horizontal="center" vertical="center" wrapText="1"/>
    </xf>
    <xf numFmtId="0" fontId="0" fillId="0" borderId="0" xfId="0" applyFill="1" applyBorder="1" applyAlignment="1">
      <alignment horizontal="center" vertical="center" wrapText="1"/>
    </xf>
    <xf numFmtId="0" fontId="13" fillId="2" borderId="1" xfId="0" applyFont="1" applyFill="1" applyBorder="1" applyAlignment="1">
      <alignment horizontal="center" vertical="center"/>
    </xf>
    <xf numFmtId="0" fontId="14" fillId="2" borderId="1" xfId="0" applyFont="1" applyFill="1" applyBorder="1" applyAlignment="1">
      <alignment horizontal="center" vertical="center"/>
    </xf>
    <xf numFmtId="0" fontId="14" fillId="0" borderId="14" xfId="0" applyFont="1" applyBorder="1" applyAlignment="1">
      <alignment horizontal="center" vertical="center"/>
    </xf>
    <xf numFmtId="0" fontId="13" fillId="0" borderId="14" xfId="0" applyFont="1" applyBorder="1" applyAlignment="1">
      <alignment horizontal="center" vertical="center"/>
    </xf>
    <xf numFmtId="0" fontId="3" fillId="0" borderId="1" xfId="0" applyFont="1" applyFill="1" applyBorder="1" applyAlignment="1">
      <alignment horizontal="center" vertical="center"/>
    </xf>
    <xf numFmtId="0" fontId="3" fillId="0" borderId="14" xfId="0" applyFont="1" applyFill="1" applyBorder="1" applyAlignment="1">
      <alignment horizontal="center" vertical="center" wrapText="1"/>
    </xf>
    <xf numFmtId="0" fontId="3" fillId="0" borderId="14" xfId="0" applyFont="1" applyFill="1" applyBorder="1" applyAlignment="1">
      <alignment horizontal="center" vertical="center"/>
    </xf>
    <xf numFmtId="0" fontId="0" fillId="0" borderId="16" xfId="0" applyFill="1" applyBorder="1" applyAlignment="1">
      <alignment horizontal="center" vertical="center" wrapText="1"/>
    </xf>
    <xf numFmtId="0" fontId="5" fillId="0" borderId="1" xfId="0" applyFont="1" applyFill="1" applyBorder="1" applyAlignment="1">
      <alignment horizontal="center" vertical="center"/>
    </xf>
    <xf numFmtId="0" fontId="14" fillId="0" borderId="1" xfId="0" applyFont="1" applyFill="1" applyBorder="1" applyAlignment="1">
      <alignment horizontal="center" vertical="center"/>
    </xf>
    <xf numFmtId="0" fontId="13" fillId="0" borderId="2" xfId="0" applyFont="1" applyBorder="1" applyAlignment="1">
      <alignment horizontal="left" vertical="center"/>
    </xf>
    <xf numFmtId="0" fontId="14" fillId="0" borderId="2" xfId="0" applyFont="1" applyBorder="1" applyAlignment="1">
      <alignment horizontal="left" vertical="center"/>
    </xf>
    <xf numFmtId="0" fontId="13" fillId="0" borderId="2" xfId="0" applyFont="1" applyBorder="1" applyAlignment="1">
      <alignment horizontal="center" vertical="center" wrapText="1"/>
    </xf>
    <xf numFmtId="0" fontId="13" fillId="0" borderId="2" xfId="0" applyFont="1" applyBorder="1" applyAlignment="1">
      <alignment horizontal="left" vertical="center" wrapText="1"/>
    </xf>
    <xf numFmtId="0" fontId="13" fillId="2" borderId="1" xfId="0" applyFont="1" applyFill="1" applyBorder="1" applyAlignment="1">
      <alignment vertical="center"/>
    </xf>
    <xf numFmtId="0" fontId="3" fillId="2" borderId="1" xfId="0" applyFont="1" applyFill="1" applyBorder="1" applyAlignment="1">
      <alignment horizontal="left" vertical="center" wrapText="1"/>
    </xf>
    <xf numFmtId="0" fontId="19" fillId="0" borderId="1" xfId="0" applyFont="1" applyBorder="1" applyAlignment="1">
      <alignment horizontal="center" vertical="center"/>
    </xf>
    <xf numFmtId="0" fontId="3" fillId="0" borderId="8" xfId="0" applyFont="1" applyFill="1" applyBorder="1" applyAlignment="1">
      <alignment wrapText="1"/>
    </xf>
    <xf numFmtId="0" fontId="3" fillId="0" borderId="17" xfId="0" applyFont="1" applyBorder="1" applyAlignment="1">
      <alignment vertical="center"/>
    </xf>
    <xf numFmtId="0" fontId="14" fillId="0" borderId="1" xfId="0" applyFont="1" applyBorder="1" applyAlignment="1">
      <alignment horizontal="center" vertical="center" wrapText="1"/>
    </xf>
    <xf numFmtId="0" fontId="3" fillId="0" borderId="18" xfId="0" applyFont="1" applyFill="1" applyBorder="1" applyAlignment="1">
      <alignment horizontal="left" vertical="center" wrapText="1"/>
    </xf>
    <xf numFmtId="0" fontId="3" fillId="0" borderId="19" xfId="0" applyFont="1" applyFill="1" applyBorder="1" applyAlignment="1">
      <alignment horizontal="left" vertical="center" wrapText="1"/>
    </xf>
    <xf numFmtId="165" fontId="0" fillId="0" borderId="1" xfId="0" applyNumberFormat="1" applyBorder="1" applyAlignment="1">
      <alignment horizontal="center" vertical="center" wrapText="1"/>
    </xf>
    <xf numFmtId="165" fontId="3" fillId="0" borderId="1" xfId="0" applyNumberFormat="1" applyFont="1" applyBorder="1" applyAlignment="1">
      <alignment horizontal="center" vertical="center" wrapText="1"/>
    </xf>
    <xf numFmtId="165" fontId="3" fillId="0" borderId="14" xfId="0" applyNumberFormat="1" applyFont="1" applyBorder="1" applyAlignment="1">
      <alignment horizontal="center" vertical="center" wrapText="1"/>
    </xf>
    <xf numFmtId="165" fontId="34" fillId="0" borderId="1" xfId="0" applyNumberFormat="1" applyFont="1" applyFill="1" applyBorder="1" applyAlignment="1">
      <alignment horizontal="center" vertical="center" wrapText="1"/>
    </xf>
    <xf numFmtId="165" fontId="34" fillId="0" borderId="14" xfId="0" applyNumberFormat="1" applyFont="1" applyFill="1" applyBorder="1" applyAlignment="1">
      <alignment horizontal="center" vertical="center" wrapText="1"/>
    </xf>
    <xf numFmtId="0" fontId="27" fillId="0" borderId="1" xfId="0" applyFont="1" applyBorder="1"/>
    <xf numFmtId="0" fontId="3" fillId="0" borderId="18" xfId="0" applyFont="1" applyBorder="1" applyAlignment="1">
      <alignment horizontal="center" vertical="center" wrapText="1"/>
    </xf>
    <xf numFmtId="0" fontId="3" fillId="0" borderId="14" xfId="0" applyFont="1" applyBorder="1" applyAlignment="1">
      <alignment horizontal="center" vertical="center" wrapText="1"/>
    </xf>
    <xf numFmtId="0" fontId="34" fillId="0" borderId="1" xfId="0" applyFont="1" applyFill="1" applyBorder="1" applyAlignment="1">
      <alignment horizontal="center" vertical="center" wrapText="1"/>
    </xf>
    <xf numFmtId="0" fontId="34" fillId="0" borderId="1" xfId="0" applyFont="1" applyBorder="1" applyAlignment="1">
      <alignment horizontal="center" vertical="center" wrapText="1"/>
    </xf>
    <xf numFmtId="0" fontId="34" fillId="0" borderId="14" xfId="0" applyFont="1" applyBorder="1" applyAlignment="1">
      <alignment horizontal="center" vertical="center" wrapText="1"/>
    </xf>
    <xf numFmtId="0" fontId="6" fillId="0" borderId="0" xfId="0" applyFont="1" applyAlignment="1">
      <alignment horizontal="center"/>
    </xf>
    <xf numFmtId="0" fontId="13" fillId="0" borderId="13" xfId="0" applyFont="1" applyBorder="1" applyAlignment="1">
      <alignment horizontal="center" vertical="center"/>
    </xf>
    <xf numFmtId="0" fontId="13" fillId="0" borderId="2" xfId="0" applyFont="1" applyBorder="1" applyAlignment="1">
      <alignment horizontal="center" vertical="center"/>
    </xf>
    <xf numFmtId="0" fontId="3" fillId="0" borderId="19" xfId="0" applyFont="1" applyFill="1" applyBorder="1"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xf>
    <xf numFmtId="0" fontId="7" fillId="0" borderId="20" xfId="0" applyFont="1" applyFill="1" applyBorder="1" applyAlignment="1">
      <alignment horizontal="center" vertical="center" wrapText="1"/>
    </xf>
    <xf numFmtId="0" fontId="23" fillId="0" borderId="1" xfId="0" applyFont="1" applyBorder="1" applyAlignment="1">
      <alignment horizontal="center" vertical="center"/>
    </xf>
    <xf numFmtId="0" fontId="23" fillId="0" borderId="1" xfId="0" applyFont="1" applyBorder="1" applyAlignment="1">
      <alignment horizontal="center" vertical="center" wrapText="1"/>
    </xf>
    <xf numFmtId="0" fontId="35" fillId="0" borderId="0" xfId="0" applyFont="1" applyAlignment="1">
      <alignment horizontal="center" vertical="center"/>
    </xf>
    <xf numFmtId="0" fontId="3" fillId="0" borderId="1" xfId="0" applyFont="1" applyBorder="1" applyAlignment="1">
      <alignment horizontal="justify" vertical="center"/>
    </xf>
    <xf numFmtId="0" fontId="19" fillId="0" borderId="1" xfId="0" applyFont="1" applyFill="1" applyBorder="1" applyAlignment="1">
      <alignment horizontal="center" vertical="center"/>
    </xf>
    <xf numFmtId="0" fontId="30" fillId="0" borderId="19" xfId="0" applyFont="1" applyBorder="1"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vertical="center"/>
    </xf>
    <xf numFmtId="0" fontId="3" fillId="0" borderId="20" xfId="0" applyFont="1" applyFill="1" applyBorder="1" applyAlignment="1">
      <alignment horizontal="center" vertical="center" wrapText="1"/>
    </xf>
    <xf numFmtId="0" fontId="7" fillId="0" borderId="20" xfId="0" applyFont="1" applyBorder="1" applyAlignment="1">
      <alignment horizontal="center" vertical="center" wrapText="1"/>
    </xf>
    <xf numFmtId="0" fontId="7" fillId="0" borderId="1" xfId="0" applyFont="1" applyFill="1" applyBorder="1" applyAlignment="1">
      <alignment horizontal="left" vertical="center" wrapText="1"/>
    </xf>
    <xf numFmtId="0" fontId="0" fillId="0" borderId="0" xfId="0" applyFill="1" applyBorder="1" applyAlignment="1">
      <alignment horizontal="left" vertical="center" wrapText="1"/>
    </xf>
    <xf numFmtId="0" fontId="5"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0" fillId="0" borderId="0" xfId="0" applyFill="1" applyBorder="1"/>
    <xf numFmtId="0" fontId="4"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2" fontId="0" fillId="0" borderId="0" xfId="0" applyNumberFormat="1" applyFill="1" applyBorder="1" applyAlignment="1">
      <alignment horizontal="center" vertical="center" wrapText="1"/>
    </xf>
    <xf numFmtId="3" fontId="0" fillId="0" borderId="0" xfId="0" applyNumberFormat="1" applyFill="1" applyBorder="1" applyAlignment="1">
      <alignment horizontal="center" vertical="center" wrapText="1"/>
    </xf>
    <xf numFmtId="0" fontId="4" fillId="0" borderId="0" xfId="0" applyFont="1" applyFill="1" applyBorder="1" applyAlignment="1">
      <alignment vertical="center" wrapText="1"/>
    </xf>
    <xf numFmtId="0" fontId="3" fillId="0" borderId="0" xfId="0" applyFont="1" applyFill="1" applyBorder="1" applyAlignment="1">
      <alignment horizontal="center" vertical="center" wrapText="1"/>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0" fontId="3" fillId="0" borderId="0" xfId="0" applyFont="1" applyFill="1" applyBorder="1" applyAlignment="1">
      <alignment vertical="center"/>
    </xf>
    <xf numFmtId="0" fontId="3" fillId="0" borderId="0" xfId="0" applyFont="1" applyFill="1" applyBorder="1" applyAlignment="1">
      <alignment vertical="center" wrapText="1"/>
    </xf>
    <xf numFmtId="0" fontId="41" fillId="0" borderId="1" xfId="0" applyFont="1" applyBorder="1" applyAlignment="1">
      <alignment horizontal="center" vertical="center" wrapText="1"/>
    </xf>
    <xf numFmtId="0" fontId="22" fillId="0" borderId="1" xfId="0" applyFont="1" applyBorder="1" applyAlignment="1">
      <alignment horizontal="center" vertical="center" wrapText="1"/>
    </xf>
    <xf numFmtId="0" fontId="7" fillId="0" borderId="1" xfId="0" applyFont="1" applyBorder="1" applyAlignment="1">
      <alignment horizontal="center" vertical="center" wrapText="1"/>
    </xf>
    <xf numFmtId="165" fontId="34" fillId="0" borderId="19" xfId="0" applyNumberFormat="1" applyFont="1" applyFill="1" applyBorder="1" applyAlignment="1">
      <alignment horizontal="center" vertical="center" wrapText="1"/>
    </xf>
    <xf numFmtId="166" fontId="3" fillId="0" borderId="1" xfId="0" applyNumberFormat="1" applyFont="1" applyBorder="1" applyAlignment="1">
      <alignment horizontal="center" vertical="center" wrapText="1"/>
    </xf>
    <xf numFmtId="2" fontId="3" fillId="0" borderId="1" xfId="0" applyNumberFormat="1" applyFont="1" applyBorder="1" applyAlignment="1">
      <alignment horizontal="center" vertical="center" wrapText="1"/>
    </xf>
    <xf numFmtId="166" fontId="34" fillId="0" borderId="14" xfId="0" applyNumberFormat="1" applyFont="1" applyFill="1" applyBorder="1" applyAlignment="1">
      <alignment horizontal="center" vertical="center" wrapText="1"/>
    </xf>
    <xf numFmtId="166" fontId="3" fillId="0" borderId="14" xfId="0" applyNumberFormat="1" applyFont="1" applyBorder="1" applyAlignment="1">
      <alignment horizontal="center" vertical="center" wrapText="1"/>
    </xf>
    <xf numFmtId="166" fontId="34" fillId="0" borderId="1" xfId="0" applyNumberFormat="1" applyFont="1" applyFill="1" applyBorder="1" applyAlignment="1">
      <alignment horizontal="center" vertical="center" wrapText="1"/>
    </xf>
    <xf numFmtId="2" fontId="3" fillId="0" borderId="2" xfId="0" applyNumberFormat="1" applyFont="1" applyBorder="1" applyAlignment="1">
      <alignment horizontal="center" vertical="center" wrapText="1"/>
    </xf>
    <xf numFmtId="0" fontId="3" fillId="0" borderId="15" xfId="1" applyFill="1" applyBorder="1" applyAlignment="1">
      <alignment horizontal="center" vertical="center" wrapText="1"/>
    </xf>
    <xf numFmtId="0" fontId="3" fillId="0" borderId="14" xfId="1" applyFill="1" applyBorder="1" applyAlignment="1">
      <alignment horizontal="center" vertical="center" wrapText="1"/>
    </xf>
    <xf numFmtId="0" fontId="3" fillId="4" borderId="1" xfId="1" applyFill="1" applyBorder="1" applyAlignment="1">
      <alignment vertical="center" wrapText="1"/>
    </xf>
    <xf numFmtId="0" fontId="3" fillId="0" borderId="1" xfId="1" applyFill="1" applyBorder="1" applyAlignment="1">
      <alignment vertical="center" wrapText="1"/>
    </xf>
    <xf numFmtId="0" fontId="3" fillId="0" borderId="0" xfId="1" applyFill="1" applyBorder="1" applyAlignment="1">
      <alignment horizontal="center" vertical="center" wrapText="1"/>
    </xf>
    <xf numFmtId="0" fontId="3" fillId="0" borderId="0" xfId="1" applyFill="1" applyAlignment="1">
      <alignment horizontal="center" vertical="center" wrapText="1"/>
    </xf>
    <xf numFmtId="0" fontId="3" fillId="4" borderId="1" xfId="1" quotePrefix="1" applyFill="1" applyBorder="1" applyAlignment="1">
      <alignment vertical="center" wrapText="1"/>
    </xf>
    <xf numFmtId="0" fontId="5" fillId="0" borderId="1" xfId="1" applyFont="1" applyFill="1" applyBorder="1" applyAlignment="1">
      <alignment horizontal="center" vertical="center"/>
    </xf>
    <xf numFmtId="0" fontId="3" fillId="0" borderId="1" xfId="1" applyFont="1" applyFill="1" applyBorder="1" applyAlignment="1">
      <alignment horizontal="center" vertical="center" wrapText="1"/>
    </xf>
    <xf numFmtId="0" fontId="3" fillId="4" borderId="1" xfId="1" applyFill="1" applyBorder="1" applyAlignment="1">
      <alignment horizontal="left" vertical="center" wrapText="1"/>
    </xf>
    <xf numFmtId="0" fontId="3" fillId="0" borderId="15" xfId="1" applyFill="1" applyBorder="1" applyAlignment="1">
      <alignment horizontal="left" vertical="center" wrapText="1"/>
    </xf>
    <xf numFmtId="0" fontId="3" fillId="0" borderId="1" xfId="1" applyFont="1" applyFill="1" applyBorder="1" applyAlignment="1">
      <alignment horizontal="left" vertical="center" wrapText="1"/>
    </xf>
    <xf numFmtId="0" fontId="3" fillId="4" borderId="1" xfId="1" applyFont="1" applyFill="1" applyBorder="1" applyAlignment="1">
      <alignment vertical="center" wrapText="1"/>
    </xf>
    <xf numFmtId="0" fontId="3" fillId="0" borderId="14" xfId="0" applyFont="1" applyBorder="1" applyAlignment="1">
      <alignment horizontal="center" vertical="center" wrapText="1"/>
    </xf>
    <xf numFmtId="0" fontId="3" fillId="0" borderId="1" xfId="0" applyFont="1" applyFill="1" applyBorder="1" applyAlignment="1">
      <alignment horizontal="left" vertical="center" wrapText="1"/>
    </xf>
    <xf numFmtId="0" fontId="3" fillId="0" borderId="1" xfId="1" applyFont="1" applyFill="1" applyBorder="1" applyAlignment="1">
      <alignment horizontal="center" vertical="center"/>
    </xf>
    <xf numFmtId="167" fontId="3" fillId="0" borderId="16" xfId="1" applyNumberFormat="1" applyFont="1" applyFill="1" applyBorder="1" applyAlignment="1" applyProtection="1">
      <alignment horizontal="center" vertical="center" wrapText="1"/>
      <protection locked="0"/>
    </xf>
    <xf numFmtId="0" fontId="3" fillId="0" borderId="14" xfId="1" applyFont="1" applyFill="1" applyBorder="1" applyAlignment="1">
      <alignment horizontal="center" vertical="center" wrapText="1"/>
    </xf>
    <xf numFmtId="0" fontId="3" fillId="4" borderId="15" xfId="1" applyFill="1" applyBorder="1" applyAlignment="1">
      <alignment horizontal="left" vertical="center" wrapText="1"/>
    </xf>
    <xf numFmtId="165" fontId="30" fillId="0" borderId="14" xfId="1" applyNumberFormat="1" applyFont="1" applyFill="1" applyBorder="1" applyAlignment="1">
      <alignment horizontal="left" vertical="center" wrapText="1"/>
    </xf>
    <xf numFmtId="0" fontId="3" fillId="0" borderId="0" xfId="0" applyFont="1" applyAlignment="1">
      <alignment wrapText="1"/>
    </xf>
    <xf numFmtId="0" fontId="14" fillId="0" borderId="1" xfId="1" applyFont="1" applyBorder="1" applyAlignment="1">
      <alignment horizontal="center" vertical="center" wrapText="1"/>
    </xf>
    <xf numFmtId="0" fontId="3" fillId="0" borderId="19" xfId="1" applyFont="1" applyFill="1" applyBorder="1" applyAlignment="1">
      <alignment horizontal="center" vertical="center" wrapText="1"/>
    </xf>
    <xf numFmtId="166" fontId="3" fillId="0" borderId="14" xfId="1" applyNumberFormat="1" applyFont="1" applyFill="1" applyBorder="1" applyAlignment="1">
      <alignment horizontal="center" vertical="center" wrapText="1"/>
    </xf>
    <xf numFmtId="165" fontId="3" fillId="0" borderId="19" xfId="1" applyNumberFormat="1" applyFont="1" applyFill="1" applyBorder="1" applyAlignment="1">
      <alignment horizontal="center" vertical="center" wrapText="1"/>
    </xf>
    <xf numFmtId="167" fontId="3" fillId="0" borderId="14" xfId="1" applyNumberFormat="1" applyFont="1" applyFill="1" applyBorder="1" applyAlignment="1">
      <alignment horizontal="center" vertical="center" wrapText="1"/>
    </xf>
    <xf numFmtId="166" fontId="3" fillId="0" borderId="1" xfId="1" applyNumberFormat="1" applyFont="1" applyBorder="1" applyAlignment="1">
      <alignment horizontal="center" vertical="center" wrapText="1"/>
    </xf>
    <xf numFmtId="165" fontId="3" fillId="0" borderId="19" xfId="1" applyNumberFormat="1" applyFont="1" applyFill="1" applyBorder="1" applyAlignment="1">
      <alignment horizontal="left" vertical="center" wrapText="1"/>
    </xf>
    <xf numFmtId="0" fontId="3" fillId="0" borderId="1" xfId="0" applyFont="1" applyBorder="1" applyAlignment="1">
      <alignment wrapText="1"/>
    </xf>
    <xf numFmtId="0" fontId="13" fillId="0" borderId="1" xfId="1" applyFont="1" applyFill="1" applyBorder="1" applyAlignment="1">
      <alignment vertical="center" wrapText="1"/>
    </xf>
    <xf numFmtId="0" fontId="19" fillId="0" borderId="1" xfId="1" applyFont="1" applyFill="1" applyBorder="1" applyAlignment="1">
      <alignment horizontal="center" vertical="center"/>
    </xf>
    <xf numFmtId="0" fontId="13" fillId="0" borderId="1" xfId="1" applyFont="1" applyFill="1" applyBorder="1" applyAlignment="1">
      <alignment horizontal="center" vertical="center"/>
    </xf>
    <xf numFmtId="0" fontId="13" fillId="0" borderId="14" xfId="1" applyFont="1" applyFill="1" applyBorder="1" applyAlignment="1">
      <alignment horizontal="center" vertical="center"/>
    </xf>
    <xf numFmtId="164" fontId="13" fillId="0" borderId="15" xfId="1" applyNumberFormat="1" applyFont="1" applyFill="1" applyBorder="1" applyAlignment="1" applyProtection="1">
      <alignment horizontal="center" vertical="center" wrapText="1"/>
      <protection locked="0"/>
    </xf>
    <xf numFmtId="0" fontId="13" fillId="0" borderId="1" xfId="1" applyFont="1" applyFill="1" applyBorder="1" applyAlignment="1">
      <alignment horizontal="center" vertical="center" wrapText="1"/>
    </xf>
    <xf numFmtId="0" fontId="7" fillId="0" borderId="1" xfId="1" quotePrefix="1" applyFont="1" applyFill="1" applyBorder="1" applyAlignment="1">
      <alignment horizontal="left" vertical="center" wrapText="1"/>
    </xf>
    <xf numFmtId="0" fontId="6" fillId="0" borderId="2" xfId="1" applyFont="1" applyFill="1" applyBorder="1" applyAlignment="1">
      <alignment horizontal="center" vertical="center"/>
    </xf>
    <xf numFmtId="0" fontId="3" fillId="0" borderId="2" xfId="1" quotePrefix="1" applyFont="1" applyFill="1" applyBorder="1" applyAlignment="1">
      <alignment horizontal="center" vertical="center" wrapText="1"/>
    </xf>
    <xf numFmtId="2" fontId="7" fillId="0" borderId="2" xfId="1" applyNumberFormat="1" applyFont="1" applyFill="1" applyBorder="1" applyAlignment="1">
      <alignment horizontal="center" vertical="center" wrapText="1"/>
    </xf>
    <xf numFmtId="0" fontId="19" fillId="0" borderId="1" xfId="1" applyFont="1" applyFill="1" applyBorder="1" applyAlignment="1">
      <alignment horizontal="center" vertical="center" wrapText="1"/>
    </xf>
    <xf numFmtId="0" fontId="3" fillId="0" borderId="1" xfId="1" applyFont="1" applyBorder="1" applyAlignment="1">
      <alignment horizontal="center" vertical="center" wrapText="1"/>
    </xf>
    <xf numFmtId="0" fontId="27" fillId="0" borderId="14" xfId="0" applyFont="1" applyBorder="1" applyAlignment="1">
      <alignment horizontal="center" vertical="center" wrapText="1"/>
    </xf>
    <xf numFmtId="0" fontId="3" fillId="0" borderId="1" xfId="1" quotePrefix="1" applyFont="1" applyFill="1" applyBorder="1" applyAlignment="1">
      <alignment horizontal="left" vertical="center" wrapText="1"/>
    </xf>
    <xf numFmtId="0" fontId="19" fillId="0" borderId="0" xfId="1" applyFont="1" applyFill="1" applyBorder="1" applyAlignment="1">
      <alignment horizontal="center" vertical="center" wrapText="1"/>
    </xf>
    <xf numFmtId="0" fontId="27" fillId="0" borderId="0" xfId="0" applyFont="1" applyBorder="1"/>
    <xf numFmtId="0" fontId="27" fillId="0" borderId="0" xfId="0" applyFont="1" applyBorder="1" applyAlignment="1">
      <alignment horizontal="center" vertical="center" wrapText="1"/>
    </xf>
    <xf numFmtId="2" fontId="3" fillId="0" borderId="2" xfId="1" applyNumberFormat="1" applyFont="1" applyFill="1" applyBorder="1" applyAlignment="1">
      <alignment horizontal="center" vertical="center" wrapText="1"/>
    </xf>
    <xf numFmtId="2" fontId="3" fillId="0" borderId="1" xfId="1" applyNumberFormat="1" applyFont="1" applyFill="1" applyBorder="1" applyAlignment="1">
      <alignment horizontal="center" vertical="center" wrapText="1"/>
    </xf>
    <xf numFmtId="2" fontId="3" fillId="0" borderId="0" xfId="0" applyNumberFormat="1" applyFont="1" applyFill="1" applyBorder="1" applyAlignment="1">
      <alignment horizontal="center" vertical="center" wrapText="1"/>
    </xf>
    <xf numFmtId="0" fontId="3" fillId="0" borderId="0" xfId="0" applyFont="1" applyFill="1" applyBorder="1"/>
    <xf numFmtId="2" fontId="7" fillId="0" borderId="1" xfId="1" applyNumberFormat="1" applyFont="1" applyFill="1" applyBorder="1" applyAlignment="1">
      <alignment horizontal="center" vertical="center" wrapText="1"/>
    </xf>
    <xf numFmtId="164" fontId="3" fillId="0" borderId="0" xfId="0" applyNumberFormat="1" applyFont="1" applyFill="1" applyBorder="1" applyAlignment="1">
      <alignment horizontal="center" vertical="center" wrapText="1"/>
    </xf>
    <xf numFmtId="0" fontId="19" fillId="0" borderId="14" xfId="1" applyFont="1" applyFill="1" applyBorder="1" applyAlignment="1">
      <alignment horizontal="center" vertical="center" wrapText="1"/>
    </xf>
    <xf numFmtId="0" fontId="5" fillId="0" borderId="14" xfId="0" applyFont="1" applyBorder="1" applyAlignment="1">
      <alignment horizontal="center" vertical="center" wrapText="1"/>
    </xf>
    <xf numFmtId="0" fontId="3" fillId="0" borderId="14" xfId="1" applyFont="1" applyBorder="1" applyAlignment="1">
      <alignment horizontal="center" vertical="center" wrapText="1"/>
    </xf>
    <xf numFmtId="0" fontId="14" fillId="0" borderId="14" xfId="0" applyFont="1" applyBorder="1" applyAlignment="1">
      <alignment horizontal="center" vertical="center" wrapText="1"/>
    </xf>
    <xf numFmtId="0" fontId="5" fillId="0" borderId="0" xfId="0" applyFont="1" applyBorder="1" applyAlignment="1">
      <alignment horizontal="center" vertical="center" wrapText="1"/>
    </xf>
    <xf numFmtId="0" fontId="3" fillId="0" borderId="0" xfId="1" applyFont="1" applyBorder="1" applyAlignment="1">
      <alignment horizontal="center" vertical="center" wrapText="1"/>
    </xf>
    <xf numFmtId="165" fontId="0" fillId="0" borderId="0" xfId="0" applyNumberFormat="1" applyBorder="1" applyAlignment="1">
      <alignment horizontal="center" vertical="center" wrapText="1"/>
    </xf>
    <xf numFmtId="0" fontId="22" fillId="0" borderId="0" xfId="0" applyFont="1" applyBorder="1" applyAlignment="1">
      <alignment horizontal="center" vertical="center" wrapText="1"/>
    </xf>
    <xf numFmtId="0" fontId="35" fillId="0" borderId="1" xfId="0" applyFont="1" applyBorder="1" applyAlignment="1">
      <alignment horizontal="center" vertical="center"/>
    </xf>
    <xf numFmtId="0" fontId="7" fillId="0" borderId="1" xfId="0" applyFont="1" applyFill="1" applyBorder="1" applyAlignment="1">
      <alignment horizontal="center" vertical="center" wrapText="1"/>
    </xf>
    <xf numFmtId="0" fontId="3" fillId="0" borderId="0" xfId="1" quotePrefix="1" applyFont="1" applyFill="1" applyBorder="1" applyAlignment="1">
      <alignment horizontal="left" vertical="center" wrapText="1"/>
    </xf>
    <xf numFmtId="0" fontId="7" fillId="0" borderId="0" xfId="1" quotePrefix="1" applyFont="1" applyFill="1" applyBorder="1" applyAlignment="1">
      <alignment horizontal="left" vertical="center" wrapText="1"/>
    </xf>
    <xf numFmtId="0" fontId="3" fillId="0" borderId="24" xfId="0" applyFont="1" applyBorder="1" applyAlignment="1">
      <alignment horizontal="left" vertical="center" wrapText="1"/>
    </xf>
    <xf numFmtId="0" fontId="3" fillId="0" borderId="14" xfId="0" applyFont="1" applyBorder="1" applyAlignment="1">
      <alignment horizontal="left" vertical="center" wrapText="1"/>
    </xf>
    <xf numFmtId="168" fontId="0" fillId="0" borderId="14" xfId="0" applyNumberFormat="1" applyBorder="1" applyAlignment="1">
      <alignment horizontal="center" vertical="center" wrapText="1"/>
    </xf>
    <xf numFmtId="0" fontId="3" fillId="0" borderId="1" xfId="0" applyFont="1" applyBorder="1" applyAlignment="1">
      <alignment wrapText="1"/>
    </xf>
    <xf numFmtId="0" fontId="0" fillId="0" borderId="1" xfId="0" applyBorder="1" applyAlignment="1">
      <alignment horizontal="center"/>
    </xf>
    <xf numFmtId="0" fontId="3" fillId="0" borderId="1" xfId="1" applyFont="1" applyFill="1" applyBorder="1"/>
    <xf numFmtId="0" fontId="0" fillId="0" borderId="2" xfId="0" applyBorder="1" applyAlignment="1">
      <alignment wrapText="1"/>
    </xf>
    <xf numFmtId="0" fontId="0" fillId="0" borderId="1" xfId="0" applyBorder="1" applyAlignment="1">
      <alignment wrapText="1"/>
    </xf>
    <xf numFmtId="0" fontId="0" fillId="0" borderId="7" xfId="0" applyBorder="1" applyAlignment="1"/>
    <xf numFmtId="0" fontId="0" fillId="0" borderId="9" xfId="0" applyBorder="1" applyAlignment="1"/>
    <xf numFmtId="0" fontId="3" fillId="0" borderId="1" xfId="0" applyFont="1" applyBorder="1" applyAlignment="1"/>
    <xf numFmtId="0" fontId="3" fillId="0" borderId="9" xfId="0" applyFont="1" applyBorder="1" applyAlignment="1"/>
    <xf numFmtId="14" fontId="3" fillId="0" borderId="8" xfId="0" applyNumberFormat="1" applyFont="1" applyBorder="1" applyAlignment="1">
      <alignment horizontal="left"/>
    </xf>
    <xf numFmtId="14" fontId="0" fillId="0" borderId="8" xfId="0" applyNumberFormat="1" applyBorder="1" applyAlignment="1">
      <alignment horizontal="left"/>
    </xf>
    <xf numFmtId="0" fontId="0" fillId="0" borderId="8" xfId="0" applyBorder="1" applyAlignment="1">
      <alignment horizontal="left"/>
    </xf>
    <xf numFmtId="0" fontId="46" fillId="5" borderId="1" xfId="2" applyFont="1" applyFill="1" applyBorder="1" applyAlignment="1">
      <alignment vertical="center"/>
    </xf>
    <xf numFmtId="0" fontId="7" fillId="0" borderId="1" xfId="2" applyFont="1" applyFill="1" applyBorder="1" applyAlignment="1">
      <alignment vertical="center"/>
    </xf>
    <xf numFmtId="0" fontId="9" fillId="6" borderId="1" xfId="2" applyFont="1" applyFill="1" applyBorder="1" applyAlignment="1">
      <alignment vertical="center" wrapText="1"/>
    </xf>
    <xf numFmtId="0" fontId="3" fillId="0" borderId="0" xfId="2" applyFont="1" applyAlignment="1">
      <alignment vertical="center"/>
    </xf>
    <xf numFmtId="0" fontId="46" fillId="5" borderId="14" xfId="2" applyFont="1" applyFill="1" applyBorder="1" applyAlignment="1">
      <alignment vertical="center"/>
    </xf>
    <xf numFmtId="0" fontId="8" fillId="0" borderId="13" xfId="2" applyFont="1" applyBorder="1" applyAlignment="1">
      <alignment horizontal="left" vertical="center" wrapText="1" indent="4"/>
    </xf>
    <xf numFmtId="0" fontId="7" fillId="0" borderId="13" xfId="2" applyFont="1" applyBorder="1" applyAlignment="1">
      <alignment vertical="center"/>
    </xf>
    <xf numFmtId="0" fontId="8" fillId="0" borderId="2" xfId="2" applyFont="1" applyBorder="1" applyAlignment="1">
      <alignment horizontal="left" vertical="center" wrapText="1" indent="4"/>
    </xf>
    <xf numFmtId="0" fontId="8" fillId="0" borderId="0" xfId="2" applyFont="1" applyAlignment="1">
      <alignment horizontal="left" vertical="center" wrapText="1" indent="4"/>
    </xf>
    <xf numFmtId="0" fontId="3" fillId="0" borderId="0" xfId="2" applyFont="1" applyAlignment="1">
      <alignment vertical="center" wrapText="1"/>
    </xf>
    <xf numFmtId="0" fontId="3" fillId="7" borderId="0" xfId="2" applyFont="1" applyFill="1" applyAlignment="1">
      <alignment vertical="center" wrapText="1"/>
    </xf>
    <xf numFmtId="0" fontId="7" fillId="5" borderId="0" xfId="2" applyFont="1" applyFill="1" applyAlignment="1">
      <alignment vertical="center"/>
    </xf>
    <xf numFmtId="0" fontId="7" fillId="5" borderId="0" xfId="0" applyFont="1" applyFill="1" applyAlignment="1">
      <alignment vertical="center"/>
    </xf>
    <xf numFmtId="0" fontId="3" fillId="0" borderId="0" xfId="2" applyFont="1" applyFill="1" applyAlignment="1">
      <alignment vertical="center" wrapText="1"/>
    </xf>
    <xf numFmtId="0" fontId="8" fillId="0" borderId="0" xfId="2" applyFont="1" applyBorder="1" applyAlignment="1">
      <alignment horizontal="left" vertical="center" wrapText="1" indent="4"/>
    </xf>
    <xf numFmtId="0" fontId="3" fillId="5" borderId="0" xfId="0" applyFont="1" applyFill="1" applyAlignment="1">
      <alignment vertical="center"/>
    </xf>
    <xf numFmtId="0" fontId="3" fillId="5" borderId="0" xfId="0" quotePrefix="1" applyFont="1" applyFill="1" applyAlignment="1">
      <alignment vertical="center"/>
    </xf>
    <xf numFmtId="0" fontId="3" fillId="0" borderId="0" xfId="0" quotePrefix="1" applyFont="1" applyFill="1" applyAlignment="1">
      <alignment vertical="center"/>
    </xf>
    <xf numFmtId="0" fontId="0" fillId="0" borderId="0" xfId="0" applyFill="1"/>
    <xf numFmtId="165" fontId="3" fillId="0" borderId="14" xfId="1" applyNumberFormat="1" applyFont="1" applyFill="1" applyBorder="1" applyAlignment="1">
      <alignment horizontal="left" vertical="center" wrapText="1"/>
    </xf>
    <xf numFmtId="165" fontId="45" fillId="0" borderId="14" xfId="0" applyNumberFormat="1" applyFont="1" applyFill="1" applyBorder="1" applyAlignment="1">
      <alignment horizontal="left" vertical="center" wrapText="1"/>
    </xf>
    <xf numFmtId="0" fontId="31" fillId="0" borderId="1" xfId="0" applyFont="1" applyBorder="1" applyAlignment="1">
      <alignment horizontal="left" vertical="center" wrapText="1"/>
    </xf>
    <xf numFmtId="0" fontId="30" fillId="0" borderId="14" xfId="0" applyFont="1" applyBorder="1" applyAlignment="1">
      <alignment horizontal="center" vertical="center" wrapText="1"/>
    </xf>
    <xf numFmtId="166" fontId="0" fillId="0" borderId="1" xfId="0" applyNumberFormat="1" applyBorder="1" applyAlignment="1">
      <alignment horizontal="center" vertical="center" wrapText="1"/>
    </xf>
    <xf numFmtId="0" fontId="3" fillId="8" borderId="1" xfId="1" applyFont="1" applyFill="1" applyBorder="1" applyAlignment="1">
      <alignment vertical="center" wrapText="1"/>
    </xf>
    <xf numFmtId="0" fontId="19" fillId="8" borderId="1" xfId="1" applyFont="1" applyFill="1" applyBorder="1" applyAlignment="1">
      <alignment horizontal="center" vertical="center"/>
    </xf>
    <xf numFmtId="0" fontId="3" fillId="8" borderId="1" xfId="1" applyFont="1" applyFill="1" applyBorder="1" applyAlignment="1">
      <alignment horizontal="center" vertical="center" wrapText="1"/>
    </xf>
    <xf numFmtId="2" fontId="3" fillId="8" borderId="2" xfId="0" applyNumberFormat="1" applyFont="1" applyFill="1" applyBorder="1" applyAlignment="1">
      <alignment horizontal="center" vertical="center" wrapText="1"/>
    </xf>
    <xf numFmtId="0" fontId="3" fillId="8" borderId="1" xfId="0" applyFont="1" applyFill="1" applyBorder="1" applyAlignment="1">
      <alignment horizontal="center" vertical="center" wrapText="1"/>
    </xf>
    <xf numFmtId="0" fontId="0" fillId="8" borderId="1" xfId="0" applyFill="1" applyBorder="1"/>
    <xf numFmtId="0" fontId="3" fillId="3" borderId="21" xfId="0" applyFont="1" applyFill="1" applyBorder="1" applyAlignment="1">
      <alignment horizontal="center" vertical="center" wrapText="1"/>
    </xf>
    <xf numFmtId="0" fontId="0" fillId="3" borderId="22" xfId="0" applyFill="1" applyBorder="1" applyAlignment="1">
      <alignment horizontal="center" vertical="center" wrapText="1"/>
    </xf>
    <xf numFmtId="0" fontId="0" fillId="3" borderId="23" xfId="0" applyFill="1" applyBorder="1" applyAlignment="1">
      <alignment horizontal="center" vertical="center" wrapText="1"/>
    </xf>
    <xf numFmtId="0" fontId="45" fillId="0" borderId="1" xfId="0" applyFont="1" applyBorder="1" applyAlignment="1">
      <alignment wrapText="1"/>
    </xf>
    <xf numFmtId="0" fontId="4" fillId="3" borderId="22" xfId="0" applyFont="1" applyFill="1" applyBorder="1" applyAlignment="1">
      <alignment horizontal="center" vertical="center" wrapText="1"/>
    </xf>
    <xf numFmtId="0" fontId="4" fillId="3" borderId="23" xfId="0" applyFont="1" applyFill="1" applyBorder="1" applyAlignment="1">
      <alignment horizontal="center" vertical="center" wrapText="1"/>
    </xf>
    <xf numFmtId="0" fontId="7" fillId="0" borderId="1"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2" xfId="0" applyFont="1" applyBorder="1" applyAlignment="1">
      <alignment horizontal="center" vertical="center" wrapText="1"/>
    </xf>
    <xf numFmtId="0" fontId="0" fillId="0" borderId="14" xfId="0" applyBorder="1" applyAlignment="1">
      <alignment horizontal="center"/>
    </xf>
    <xf numFmtId="0" fontId="0" fillId="0" borderId="13" xfId="0" applyBorder="1" applyAlignment="1">
      <alignment horizontal="center"/>
    </xf>
    <xf numFmtId="0" fontId="0" fillId="0" borderId="2" xfId="0" applyBorder="1" applyAlignment="1">
      <alignment horizontal="center"/>
    </xf>
    <xf numFmtId="0" fontId="27" fillId="0" borderId="14" xfId="0" applyFont="1" applyBorder="1" applyAlignment="1">
      <alignment horizontal="center" vertical="center" wrapText="1"/>
    </xf>
    <xf numFmtId="0" fontId="27" fillId="0" borderId="13" xfId="0" applyFont="1" applyBorder="1" applyAlignment="1">
      <alignment horizontal="center" vertical="center" wrapText="1"/>
    </xf>
    <xf numFmtId="0" fontId="27" fillId="0" borderId="2" xfId="0" applyFont="1" applyBorder="1" applyAlignment="1">
      <alignment horizontal="center" vertical="center" wrapText="1"/>
    </xf>
    <xf numFmtId="0" fontId="7" fillId="5" borderId="18" xfId="0" applyFont="1" applyFill="1" applyBorder="1" applyAlignment="1">
      <alignment horizontal="left" vertical="center" wrapText="1"/>
    </xf>
    <xf numFmtId="0" fontId="7" fillId="5" borderId="15" xfId="0" applyFont="1" applyFill="1" applyBorder="1" applyAlignment="1">
      <alignment horizontal="left" vertical="center" wrapText="1"/>
    </xf>
    <xf numFmtId="0" fontId="27" fillId="0" borderId="20" xfId="0" applyFont="1" applyBorder="1" applyAlignment="1">
      <alignment horizontal="left" vertical="center" wrapText="1"/>
    </xf>
    <xf numFmtId="0" fontId="27" fillId="0" borderId="25" xfId="0" applyFont="1" applyBorder="1" applyAlignment="1">
      <alignment horizontal="left" vertical="center" wrapText="1"/>
    </xf>
    <xf numFmtId="0" fontId="3" fillId="3" borderId="0" xfId="0" applyFont="1" applyFill="1" applyAlignment="1">
      <alignment horizontal="center" vertical="center" wrapText="1"/>
    </xf>
    <xf numFmtId="0" fontId="0" fillId="3" borderId="0" xfId="0" applyFill="1" applyAlignment="1">
      <alignment horizontal="center" vertical="center" wrapText="1"/>
    </xf>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3" Type="http://schemas.openxmlformats.org/officeDocument/2006/relationships/image" Target="../media/image18.wmf"/><Relationship Id="rId2" Type="http://schemas.openxmlformats.org/officeDocument/2006/relationships/image" Target="../media/image17.wmf"/><Relationship Id="rId1" Type="http://schemas.openxmlformats.org/officeDocument/2006/relationships/image" Target="../media/image16.png"/><Relationship Id="rId4"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 Id="rId4" Type="http://schemas.openxmlformats.org/officeDocument/2006/relationships/image" Target="../media/image4.w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wmf"/><Relationship Id="rId3" Type="http://schemas.openxmlformats.org/officeDocument/2006/relationships/image" Target="../media/image7.wmf"/><Relationship Id="rId7" Type="http://schemas.openxmlformats.org/officeDocument/2006/relationships/image" Target="../media/image11.wmf"/><Relationship Id="rId2" Type="http://schemas.openxmlformats.org/officeDocument/2006/relationships/image" Target="../media/image6.wmf"/><Relationship Id="rId1" Type="http://schemas.openxmlformats.org/officeDocument/2006/relationships/image" Target="../media/image5.emf"/><Relationship Id="rId6" Type="http://schemas.openxmlformats.org/officeDocument/2006/relationships/image" Target="../media/image10.wmf"/><Relationship Id="rId11" Type="http://schemas.openxmlformats.org/officeDocument/2006/relationships/image" Target="../media/image15.wmf"/><Relationship Id="rId5" Type="http://schemas.openxmlformats.org/officeDocument/2006/relationships/image" Target="../media/image9.wmf"/><Relationship Id="rId10" Type="http://schemas.openxmlformats.org/officeDocument/2006/relationships/image" Target="../media/image14.wmf"/><Relationship Id="rId4" Type="http://schemas.openxmlformats.org/officeDocument/2006/relationships/image" Target="../media/image8.wmf"/><Relationship Id="rId9" Type="http://schemas.openxmlformats.org/officeDocument/2006/relationships/image" Target="../media/image1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33</xdr:row>
          <xdr:rowOff>95250</xdr:rowOff>
        </xdr:from>
        <xdr:to>
          <xdr:col>1</xdr:col>
          <xdr:colOff>581025</xdr:colOff>
          <xdr:row>34</xdr:row>
          <xdr:rowOff>0</xdr:rowOff>
        </xdr:to>
        <xdr:sp macro="" textlink="">
          <xdr:nvSpPr>
            <xdr:cNvPr id="3081" name="Object 9"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285750</xdr:colOff>
          <xdr:row>34</xdr:row>
          <xdr:rowOff>85725</xdr:rowOff>
        </xdr:from>
        <xdr:to>
          <xdr:col>1</xdr:col>
          <xdr:colOff>457200</xdr:colOff>
          <xdr:row>34</xdr:row>
          <xdr:rowOff>323850</xdr:rowOff>
        </xdr:to>
        <xdr:sp macro="" textlink="">
          <xdr:nvSpPr>
            <xdr:cNvPr id="3082" name="Object 10"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295275</xdr:colOff>
          <xdr:row>35</xdr:row>
          <xdr:rowOff>114300</xdr:rowOff>
        </xdr:from>
        <xdr:to>
          <xdr:col>1</xdr:col>
          <xdr:colOff>428625</xdr:colOff>
          <xdr:row>35</xdr:row>
          <xdr:rowOff>323850</xdr:rowOff>
        </xdr:to>
        <xdr:sp macro="" textlink="">
          <xdr:nvSpPr>
            <xdr:cNvPr id="3083" name="Object 11"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276225</xdr:colOff>
          <xdr:row>36</xdr:row>
          <xdr:rowOff>66675</xdr:rowOff>
        </xdr:from>
        <xdr:to>
          <xdr:col>1</xdr:col>
          <xdr:colOff>561975</xdr:colOff>
          <xdr:row>37</xdr:row>
          <xdr:rowOff>0</xdr:rowOff>
        </xdr:to>
        <xdr:sp macro="" textlink="">
          <xdr:nvSpPr>
            <xdr:cNvPr id="3084" name="Object 12"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114300</xdr:colOff>
      <xdr:row>4</xdr:row>
      <xdr:rowOff>47625</xdr:rowOff>
    </xdr:from>
    <xdr:to>
      <xdr:col>16</xdr:col>
      <xdr:colOff>733425</xdr:colOff>
      <xdr:row>4</xdr:row>
      <xdr:rowOff>428625</xdr:rowOff>
    </xdr:to>
    <xdr:sp macro="" textlink="">
      <xdr:nvSpPr>
        <xdr:cNvPr id="5164" name="Object 25" hidden="1"/>
        <xdr:cNvSpPr>
          <a:spLocks noChangeArrowheads="1"/>
        </xdr:cNvSpPr>
      </xdr:nvSpPr>
      <xdr:spPr bwMode="auto">
        <a:xfrm>
          <a:off x="5715000" y="1628775"/>
          <a:ext cx="61912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114300</xdr:colOff>
      <xdr:row>5</xdr:row>
      <xdr:rowOff>95250</xdr:rowOff>
    </xdr:from>
    <xdr:to>
      <xdr:col>16</xdr:col>
      <xdr:colOff>2019300</xdr:colOff>
      <xdr:row>5</xdr:row>
      <xdr:rowOff>323850</xdr:rowOff>
    </xdr:to>
    <xdr:sp macro="" textlink="">
      <xdr:nvSpPr>
        <xdr:cNvPr id="5165" name="Object 26" hidden="1"/>
        <xdr:cNvSpPr>
          <a:spLocks noChangeArrowheads="1"/>
        </xdr:cNvSpPr>
      </xdr:nvSpPr>
      <xdr:spPr bwMode="auto">
        <a:xfrm>
          <a:off x="5715000" y="2228850"/>
          <a:ext cx="19050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104775</xdr:colOff>
      <xdr:row>6</xdr:row>
      <xdr:rowOff>0</xdr:rowOff>
    </xdr:from>
    <xdr:to>
      <xdr:col>16</xdr:col>
      <xdr:colOff>2019300</xdr:colOff>
      <xdr:row>7</xdr:row>
      <xdr:rowOff>0</xdr:rowOff>
    </xdr:to>
    <xdr:sp macro="" textlink="">
      <xdr:nvSpPr>
        <xdr:cNvPr id="5166" name="Object 28" hidden="1"/>
        <xdr:cNvSpPr>
          <a:spLocks noChangeArrowheads="1"/>
        </xdr:cNvSpPr>
      </xdr:nvSpPr>
      <xdr:spPr bwMode="auto">
        <a:xfrm>
          <a:off x="5705475" y="2524125"/>
          <a:ext cx="191452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133350</xdr:colOff>
      <xdr:row>7</xdr:row>
      <xdr:rowOff>28575</xdr:rowOff>
    </xdr:from>
    <xdr:to>
      <xdr:col>16</xdr:col>
      <xdr:colOff>1390650</xdr:colOff>
      <xdr:row>7</xdr:row>
      <xdr:rowOff>428625</xdr:rowOff>
    </xdr:to>
    <xdr:sp macro="" textlink="">
      <xdr:nvSpPr>
        <xdr:cNvPr id="5167" name="Object 29" hidden="1"/>
        <xdr:cNvSpPr>
          <a:spLocks noChangeArrowheads="1"/>
        </xdr:cNvSpPr>
      </xdr:nvSpPr>
      <xdr:spPr bwMode="auto">
        <a:xfrm>
          <a:off x="5734050" y="3009900"/>
          <a:ext cx="12573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142875</xdr:colOff>
      <xdr:row>26</xdr:row>
      <xdr:rowOff>38100</xdr:rowOff>
    </xdr:from>
    <xdr:to>
      <xdr:col>16</xdr:col>
      <xdr:colOff>1276350</xdr:colOff>
      <xdr:row>26</xdr:row>
      <xdr:rowOff>428625</xdr:rowOff>
    </xdr:to>
    <xdr:sp macro="" textlink="">
      <xdr:nvSpPr>
        <xdr:cNvPr id="5168" name="Object 37" hidden="1"/>
        <xdr:cNvSpPr>
          <a:spLocks noChangeArrowheads="1"/>
        </xdr:cNvSpPr>
      </xdr:nvSpPr>
      <xdr:spPr bwMode="auto">
        <a:xfrm>
          <a:off x="5743575" y="8362950"/>
          <a:ext cx="11334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161925</xdr:colOff>
      <xdr:row>24</xdr:row>
      <xdr:rowOff>238125</xdr:rowOff>
    </xdr:from>
    <xdr:to>
      <xdr:col>16</xdr:col>
      <xdr:colOff>1238250</xdr:colOff>
      <xdr:row>24</xdr:row>
      <xdr:rowOff>600075</xdr:rowOff>
    </xdr:to>
    <xdr:pic>
      <xdr:nvPicPr>
        <xdr:cNvPr id="5169"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62625" y="7972425"/>
          <a:ext cx="107632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247650</xdr:colOff>
      <xdr:row>5</xdr:row>
      <xdr:rowOff>66675</xdr:rowOff>
    </xdr:from>
    <xdr:to>
      <xdr:col>1</xdr:col>
      <xdr:colOff>590550</xdr:colOff>
      <xdr:row>5</xdr:row>
      <xdr:rowOff>323850</xdr:rowOff>
    </xdr:to>
    <xdr:sp macro="" textlink="">
      <xdr:nvSpPr>
        <xdr:cNvPr id="5170" name="Object 38" hidden="1"/>
        <xdr:cNvSpPr>
          <a:spLocks noChangeArrowheads="1"/>
        </xdr:cNvSpPr>
      </xdr:nvSpPr>
      <xdr:spPr bwMode="auto">
        <a:xfrm>
          <a:off x="2362200" y="2200275"/>
          <a:ext cx="3429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0</xdr:colOff>
      <xdr:row>11</xdr:row>
      <xdr:rowOff>0</xdr:rowOff>
    </xdr:from>
    <xdr:to>
      <xdr:col>16</xdr:col>
      <xdr:colOff>1952625</xdr:colOff>
      <xdr:row>12</xdr:row>
      <xdr:rowOff>85725</xdr:rowOff>
    </xdr:to>
    <xdr:sp macro="" textlink="">
      <xdr:nvSpPr>
        <xdr:cNvPr id="5171" name="Object 40" hidden="1"/>
        <xdr:cNvSpPr>
          <a:spLocks noChangeArrowheads="1"/>
        </xdr:cNvSpPr>
      </xdr:nvSpPr>
      <xdr:spPr bwMode="auto">
        <a:xfrm>
          <a:off x="5600700" y="5172075"/>
          <a:ext cx="19526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0</xdr:colOff>
      <xdr:row>12</xdr:row>
      <xdr:rowOff>0</xdr:rowOff>
    </xdr:from>
    <xdr:to>
      <xdr:col>16</xdr:col>
      <xdr:colOff>1714500</xdr:colOff>
      <xdr:row>16</xdr:row>
      <xdr:rowOff>28575</xdr:rowOff>
    </xdr:to>
    <xdr:sp macro="" textlink="">
      <xdr:nvSpPr>
        <xdr:cNvPr id="5172" name="Object 41" hidden="1"/>
        <xdr:cNvSpPr>
          <a:spLocks noChangeArrowheads="1"/>
        </xdr:cNvSpPr>
      </xdr:nvSpPr>
      <xdr:spPr bwMode="auto">
        <a:xfrm>
          <a:off x="5600700" y="5610225"/>
          <a:ext cx="17145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57150</xdr:colOff>
      <xdr:row>23</xdr:row>
      <xdr:rowOff>66675</xdr:rowOff>
    </xdr:from>
    <xdr:to>
      <xdr:col>17</xdr:col>
      <xdr:colOff>1114425</xdr:colOff>
      <xdr:row>24</xdr:row>
      <xdr:rowOff>9525</xdr:rowOff>
    </xdr:to>
    <xdr:sp macro="" textlink="">
      <xdr:nvSpPr>
        <xdr:cNvPr id="5173" name="Object 42" hidden="1"/>
        <xdr:cNvSpPr>
          <a:spLocks noChangeArrowheads="1"/>
        </xdr:cNvSpPr>
      </xdr:nvSpPr>
      <xdr:spPr bwMode="auto">
        <a:xfrm>
          <a:off x="5657850" y="7229475"/>
          <a:ext cx="423862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142875</xdr:colOff>
      <xdr:row>10</xdr:row>
      <xdr:rowOff>0</xdr:rowOff>
    </xdr:from>
    <xdr:to>
      <xdr:col>16</xdr:col>
      <xdr:colOff>1276350</xdr:colOff>
      <xdr:row>10</xdr:row>
      <xdr:rowOff>19050</xdr:rowOff>
    </xdr:to>
    <xdr:sp macro="" textlink="">
      <xdr:nvSpPr>
        <xdr:cNvPr id="5174" name="Object 43" hidden="1"/>
        <xdr:cNvSpPr>
          <a:spLocks noChangeArrowheads="1"/>
        </xdr:cNvSpPr>
      </xdr:nvSpPr>
      <xdr:spPr bwMode="auto">
        <a:xfrm>
          <a:off x="5743575" y="4295775"/>
          <a:ext cx="11334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16</xdr:col>
      <xdr:colOff>114300</xdr:colOff>
      <xdr:row>4</xdr:row>
      <xdr:rowOff>47625</xdr:rowOff>
    </xdr:from>
    <xdr:to>
      <xdr:col>16</xdr:col>
      <xdr:colOff>733425</xdr:colOff>
      <xdr:row>4</xdr:row>
      <xdr:rowOff>428625</xdr:rowOff>
    </xdr:to>
    <xdr:pic>
      <xdr:nvPicPr>
        <xdr:cNvPr id="5175"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00" y="1628775"/>
          <a:ext cx="61912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114300</xdr:colOff>
      <xdr:row>5</xdr:row>
      <xdr:rowOff>95250</xdr:rowOff>
    </xdr:from>
    <xdr:to>
      <xdr:col>16</xdr:col>
      <xdr:colOff>2019300</xdr:colOff>
      <xdr:row>5</xdr:row>
      <xdr:rowOff>323850</xdr:rowOff>
    </xdr:to>
    <xdr:pic>
      <xdr:nvPicPr>
        <xdr:cNvPr id="5176" name="Picture 26"/>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00" y="2228850"/>
          <a:ext cx="19050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16</xdr:col>
          <xdr:colOff>114300</xdr:colOff>
          <xdr:row>5</xdr:row>
          <xdr:rowOff>95250</xdr:rowOff>
        </xdr:from>
        <xdr:to>
          <xdr:col>16</xdr:col>
          <xdr:colOff>2019300</xdr:colOff>
          <xdr:row>5</xdr:row>
          <xdr:rowOff>323850</xdr:rowOff>
        </xdr:to>
        <xdr:sp macro="" textlink="">
          <xdr:nvSpPr>
            <xdr:cNvPr id="5146" name="Object 26" hidden="1">
              <a:extLst>
                <a:ext uri="{63B3BB69-23CF-44E3-9099-C40C66FF867C}">
                  <a14:compatExt spid="_x0000_s5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133350</xdr:colOff>
          <xdr:row>7</xdr:row>
          <xdr:rowOff>28575</xdr:rowOff>
        </xdr:from>
        <xdr:to>
          <xdr:col>16</xdr:col>
          <xdr:colOff>1390650</xdr:colOff>
          <xdr:row>7</xdr:row>
          <xdr:rowOff>428625</xdr:rowOff>
        </xdr:to>
        <xdr:sp macro="" textlink="">
          <xdr:nvSpPr>
            <xdr:cNvPr id="2" name="Object 44" hidden="1">
              <a:extLst>
                <a:ext uri="{63B3BB69-23CF-44E3-9099-C40C66FF867C}">
                  <a14:compatExt spid="_x0000_s5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6</xdr:row>
          <xdr:rowOff>0</xdr:rowOff>
        </xdr:from>
        <xdr:to>
          <xdr:col>16</xdr:col>
          <xdr:colOff>2019300</xdr:colOff>
          <xdr:row>7</xdr:row>
          <xdr:rowOff>0</xdr:rowOff>
        </xdr:to>
        <xdr:sp macro="" textlink="">
          <xdr:nvSpPr>
            <xdr:cNvPr id="3" name="Object 45" hidden="1">
              <a:extLst>
                <a:ext uri="{63B3BB69-23CF-44E3-9099-C40C66FF867C}">
                  <a14:compatExt spid="_x0000_s5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5</xdr:row>
          <xdr:rowOff>47625</xdr:rowOff>
        </xdr:from>
        <xdr:to>
          <xdr:col>1</xdr:col>
          <xdr:colOff>561975</xdr:colOff>
          <xdr:row>5</xdr:row>
          <xdr:rowOff>304800</xdr:rowOff>
        </xdr:to>
        <xdr:sp macro="" textlink="">
          <xdr:nvSpPr>
            <xdr:cNvPr id="4" name="Object 48" hidden="1">
              <a:extLst>
                <a:ext uri="{63B3BB69-23CF-44E3-9099-C40C66FF867C}">
                  <a14:compatExt spid="_x0000_s5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152400</xdr:colOff>
          <xdr:row>11</xdr:row>
          <xdr:rowOff>19050</xdr:rowOff>
        </xdr:from>
        <xdr:to>
          <xdr:col>16</xdr:col>
          <xdr:colOff>2105025</xdr:colOff>
          <xdr:row>11</xdr:row>
          <xdr:rowOff>552450</xdr:rowOff>
        </xdr:to>
        <xdr:sp macro="" textlink="">
          <xdr:nvSpPr>
            <xdr:cNvPr id="5" name="Object 49" hidden="1">
              <a:extLst>
                <a:ext uri="{63B3BB69-23CF-44E3-9099-C40C66FF867C}">
                  <a14:compatExt spid="_x0000_s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152400</xdr:colOff>
          <xdr:row>12</xdr:row>
          <xdr:rowOff>0</xdr:rowOff>
        </xdr:from>
        <xdr:to>
          <xdr:col>16</xdr:col>
          <xdr:colOff>1866900</xdr:colOff>
          <xdr:row>12</xdr:row>
          <xdr:rowOff>419100</xdr:rowOff>
        </xdr:to>
        <xdr:sp macro="" textlink="">
          <xdr:nvSpPr>
            <xdr:cNvPr id="6" name="Object 50" hidden="1">
              <a:extLst>
                <a:ext uri="{63B3BB69-23CF-44E3-9099-C40C66FF867C}">
                  <a14:compatExt spid="_x0000_s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21</xdr:row>
          <xdr:rowOff>209550</xdr:rowOff>
        </xdr:from>
        <xdr:to>
          <xdr:col>17</xdr:col>
          <xdr:colOff>1247775</xdr:colOff>
          <xdr:row>22</xdr:row>
          <xdr:rowOff>142875</xdr:rowOff>
        </xdr:to>
        <xdr:sp macro="" textlink="">
          <xdr:nvSpPr>
            <xdr:cNvPr id="7"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180975</xdr:colOff>
          <xdr:row>10</xdr:row>
          <xdr:rowOff>114300</xdr:rowOff>
        </xdr:from>
        <xdr:to>
          <xdr:col>16</xdr:col>
          <xdr:colOff>1181100</xdr:colOff>
          <xdr:row>10</xdr:row>
          <xdr:rowOff>333375</xdr:rowOff>
        </xdr:to>
        <xdr:sp macro="" textlink="">
          <xdr:nvSpPr>
            <xdr:cNvPr id="8"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142875</xdr:colOff>
          <xdr:row>18</xdr:row>
          <xdr:rowOff>0</xdr:rowOff>
        </xdr:from>
        <xdr:to>
          <xdr:col>16</xdr:col>
          <xdr:colOff>1971675</xdr:colOff>
          <xdr:row>18</xdr:row>
          <xdr:rowOff>390525</xdr:rowOff>
        </xdr:to>
        <xdr:sp macro="" textlink="">
          <xdr:nvSpPr>
            <xdr:cNvPr id="9" name="Object 54" hidden="1">
              <a:extLst>
                <a:ext uri="{63B3BB69-23CF-44E3-9099-C40C66FF867C}">
                  <a14:compatExt spid="_x0000_s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152400</xdr:colOff>
          <xdr:row>19</xdr:row>
          <xdr:rowOff>0</xdr:rowOff>
        </xdr:from>
        <xdr:to>
          <xdr:col>16</xdr:col>
          <xdr:colOff>1781175</xdr:colOff>
          <xdr:row>19</xdr:row>
          <xdr:rowOff>390525</xdr:rowOff>
        </xdr:to>
        <xdr:sp macro="" textlink="">
          <xdr:nvSpPr>
            <xdr:cNvPr id="10" name="Object 55" hidden="1">
              <a:extLst>
                <a:ext uri="{63B3BB69-23CF-44E3-9099-C40C66FF867C}">
                  <a14:compatExt spid="_x0000_s5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0</xdr:colOff>
          <xdr:row>26</xdr:row>
          <xdr:rowOff>0</xdr:rowOff>
        </xdr:from>
        <xdr:to>
          <xdr:col>16</xdr:col>
          <xdr:colOff>1362075</xdr:colOff>
          <xdr:row>26</xdr:row>
          <xdr:rowOff>390525</xdr:rowOff>
        </xdr:to>
        <xdr:sp macro="" textlink="">
          <xdr:nvSpPr>
            <xdr:cNvPr id="11" name="Object 56" hidden="1">
              <a:extLst>
                <a:ext uri="{63B3BB69-23CF-44E3-9099-C40C66FF867C}">
                  <a14:compatExt spid="_x0000_s5176"/>
                </a:ext>
              </a:extLst>
            </xdr:cNvPr>
            <xdr:cNvSpPr/>
          </xdr:nvSpPr>
          <xdr:spPr>
            <a:xfrm>
              <a:off x="0" y="0"/>
              <a:ext cx="0" cy="0"/>
            </a:xfrm>
            <a:prstGeom prst="rect">
              <a:avLst/>
            </a:prstGeom>
          </xdr:spPr>
        </xdr:sp>
        <xdr:clientData/>
      </xdr:twoCellAnchor>
    </mc:Choice>
    <mc:Fallback/>
  </mc:AlternateContent>
  <xdr:twoCellAnchor editAs="oneCell">
    <xdr:from>
      <xdr:col>16</xdr:col>
      <xdr:colOff>66675</xdr:colOff>
      <xdr:row>25</xdr:row>
      <xdr:rowOff>27984</xdr:rowOff>
    </xdr:from>
    <xdr:to>
      <xdr:col>16</xdr:col>
      <xdr:colOff>1381125</xdr:colOff>
      <xdr:row>25</xdr:row>
      <xdr:rowOff>619045</xdr:rowOff>
    </xdr:to>
    <xdr:pic>
      <xdr:nvPicPr>
        <xdr:cNvPr id="12" name="Picture 11"/>
        <xdr:cNvPicPr>
          <a:picLocks noChangeAspect="1"/>
        </xdr:cNvPicPr>
      </xdr:nvPicPr>
      <xdr:blipFill>
        <a:blip xmlns:r="http://schemas.openxmlformats.org/officeDocument/2006/relationships" r:embed="rId4"/>
        <a:stretch>
          <a:fillRect/>
        </a:stretch>
      </xdr:blipFill>
      <xdr:spPr>
        <a:xfrm>
          <a:off x="17926050" y="12953409"/>
          <a:ext cx="1314450" cy="5910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sn.tno.nl\Documents%20and%20Settings\Kosminal\Local%20Settings\Temporary%20Internet%20Files\Content.Outlook\GGQMU9IZ\SPREADSHEET%20EPB%20standard%2013370_30%20May%20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Method_input"/>
      <sheetName val="Method_calculation"/>
      <sheetName val="Method_output"/>
      <sheetName val="History"/>
      <sheetName val="Sheet1"/>
    </sheetNames>
    <sheetDataSet>
      <sheetData sheetId="0" refreshError="1"/>
      <sheetData sheetId="1">
        <row r="6">
          <cell r="E6">
            <v>100</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w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wmf"/><Relationship Id="rId5" Type="http://schemas.openxmlformats.org/officeDocument/2006/relationships/image" Target="../media/image1.w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wmf"/></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7.bin"/><Relationship Id="rId13" Type="http://schemas.openxmlformats.org/officeDocument/2006/relationships/image" Target="../media/image9.wmf"/><Relationship Id="rId18" Type="http://schemas.openxmlformats.org/officeDocument/2006/relationships/oleObject" Target="../embeddings/oleObject12.bin"/><Relationship Id="rId3" Type="http://schemas.openxmlformats.org/officeDocument/2006/relationships/vmlDrawing" Target="../drawings/vmlDrawing2.vml"/><Relationship Id="rId21" Type="http://schemas.openxmlformats.org/officeDocument/2006/relationships/image" Target="../media/image13.wmf"/><Relationship Id="rId7" Type="http://schemas.openxmlformats.org/officeDocument/2006/relationships/image" Target="../media/image6.wmf"/><Relationship Id="rId12" Type="http://schemas.openxmlformats.org/officeDocument/2006/relationships/oleObject" Target="../embeddings/oleObject9.bin"/><Relationship Id="rId17" Type="http://schemas.openxmlformats.org/officeDocument/2006/relationships/image" Target="../media/image11.wmf"/><Relationship Id="rId25" Type="http://schemas.openxmlformats.org/officeDocument/2006/relationships/image" Target="../media/image15.wmf"/><Relationship Id="rId2" Type="http://schemas.openxmlformats.org/officeDocument/2006/relationships/drawing" Target="../drawings/drawing2.xml"/><Relationship Id="rId16" Type="http://schemas.openxmlformats.org/officeDocument/2006/relationships/oleObject" Target="../embeddings/oleObject11.bin"/><Relationship Id="rId20" Type="http://schemas.openxmlformats.org/officeDocument/2006/relationships/oleObject" Target="../embeddings/oleObject13.bin"/><Relationship Id="rId1" Type="http://schemas.openxmlformats.org/officeDocument/2006/relationships/printerSettings" Target="../printerSettings/printerSettings2.bin"/><Relationship Id="rId6" Type="http://schemas.openxmlformats.org/officeDocument/2006/relationships/oleObject" Target="../embeddings/oleObject6.bin"/><Relationship Id="rId11" Type="http://schemas.openxmlformats.org/officeDocument/2006/relationships/image" Target="../media/image8.wmf"/><Relationship Id="rId24" Type="http://schemas.openxmlformats.org/officeDocument/2006/relationships/oleObject" Target="../embeddings/oleObject15.bin"/><Relationship Id="rId5" Type="http://schemas.openxmlformats.org/officeDocument/2006/relationships/image" Target="../media/image5.emf"/><Relationship Id="rId15" Type="http://schemas.openxmlformats.org/officeDocument/2006/relationships/image" Target="../media/image10.wmf"/><Relationship Id="rId23" Type="http://schemas.openxmlformats.org/officeDocument/2006/relationships/image" Target="../media/image14.wmf"/><Relationship Id="rId10" Type="http://schemas.openxmlformats.org/officeDocument/2006/relationships/oleObject" Target="../embeddings/oleObject8.bin"/><Relationship Id="rId19" Type="http://schemas.openxmlformats.org/officeDocument/2006/relationships/image" Target="../media/image12.wmf"/><Relationship Id="rId4" Type="http://schemas.openxmlformats.org/officeDocument/2006/relationships/oleObject" Target="../embeddings/oleObject5.bin"/><Relationship Id="rId9" Type="http://schemas.openxmlformats.org/officeDocument/2006/relationships/image" Target="../media/image7.wmf"/><Relationship Id="rId14" Type="http://schemas.openxmlformats.org/officeDocument/2006/relationships/oleObject" Target="../embeddings/oleObject10.bin"/><Relationship Id="rId22" Type="http://schemas.openxmlformats.org/officeDocument/2006/relationships/oleObject" Target="../embeddings/oleObject14.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9"/>
  <sheetViews>
    <sheetView tabSelected="1" workbookViewId="0"/>
  </sheetViews>
  <sheetFormatPr defaultRowHeight="12.75" x14ac:dyDescent="0.2"/>
  <cols>
    <col min="1" max="1" width="92.5703125" style="28" customWidth="1"/>
  </cols>
  <sheetData>
    <row r="1" spans="1:1" ht="15.75" x14ac:dyDescent="0.2">
      <c r="A1" s="227" t="s">
        <v>234</v>
      </c>
    </row>
    <row r="2" spans="1:1" x14ac:dyDescent="0.2">
      <c r="A2" s="228" t="s">
        <v>235</v>
      </c>
    </row>
    <row r="3" spans="1:1" ht="30" x14ac:dyDescent="0.2">
      <c r="A3" s="229" t="s">
        <v>260</v>
      </c>
    </row>
    <row r="4" spans="1:1" x14ac:dyDescent="0.2">
      <c r="A4" s="230" t="s">
        <v>236</v>
      </c>
    </row>
    <row r="5" spans="1:1" x14ac:dyDescent="0.2">
      <c r="A5" s="230"/>
    </row>
    <row r="6" spans="1:1" ht="15.75" x14ac:dyDescent="0.2">
      <c r="A6" s="231" t="s">
        <v>237</v>
      </c>
    </row>
    <row r="7" spans="1:1" ht="38.25" x14ac:dyDescent="0.2">
      <c r="A7" s="232" t="s">
        <v>238</v>
      </c>
    </row>
    <row r="8" spans="1:1" ht="63.75" x14ac:dyDescent="0.2">
      <c r="A8" s="232" t="s">
        <v>275</v>
      </c>
    </row>
    <row r="9" spans="1:1" ht="38.25" x14ac:dyDescent="0.2">
      <c r="A9" s="232" t="s">
        <v>239</v>
      </c>
    </row>
    <row r="10" spans="1:1" ht="76.5" x14ac:dyDescent="0.2">
      <c r="A10" s="232" t="s">
        <v>240</v>
      </c>
    </row>
    <row r="11" spans="1:1" x14ac:dyDescent="0.2">
      <c r="A11" s="233" t="s">
        <v>241</v>
      </c>
    </row>
    <row r="12" spans="1:1" ht="25.5" x14ac:dyDescent="0.2">
      <c r="A12" s="232" t="s">
        <v>242</v>
      </c>
    </row>
    <row r="13" spans="1:1" x14ac:dyDescent="0.2">
      <c r="A13" s="233" t="s">
        <v>243</v>
      </c>
    </row>
    <row r="14" spans="1:1" ht="38.25" x14ac:dyDescent="0.2">
      <c r="A14" s="232" t="s">
        <v>244</v>
      </c>
    </row>
    <row r="15" spans="1:1" ht="38.25" x14ac:dyDescent="0.2">
      <c r="A15" s="232" t="s">
        <v>245</v>
      </c>
    </row>
    <row r="16" spans="1:1" ht="25.5" x14ac:dyDescent="0.2">
      <c r="A16" s="232" t="s">
        <v>246</v>
      </c>
    </row>
    <row r="17" spans="1:1" x14ac:dyDescent="0.2">
      <c r="A17" s="233" t="s">
        <v>247</v>
      </c>
    </row>
    <row r="18" spans="1:1" x14ac:dyDescent="0.2">
      <c r="A18" s="232" t="s">
        <v>248</v>
      </c>
    </row>
    <row r="19" spans="1:1" ht="38.25" x14ac:dyDescent="0.2">
      <c r="A19" s="232" t="s">
        <v>249</v>
      </c>
    </row>
    <row r="20" spans="1:1" x14ac:dyDescent="0.2">
      <c r="A20" s="234"/>
    </row>
    <row r="21" spans="1:1" x14ac:dyDescent="0.2">
      <c r="A21" s="241"/>
    </row>
    <row r="22" spans="1:1" x14ac:dyDescent="0.2">
      <c r="A22" s="239" t="s">
        <v>257</v>
      </c>
    </row>
    <row r="23" spans="1:1" x14ac:dyDescent="0.2">
      <c r="A23" s="242" t="s">
        <v>258</v>
      </c>
    </row>
    <row r="24" spans="1:1" x14ac:dyDescent="0.2">
      <c r="A24" s="242" t="s">
        <v>276</v>
      </c>
    </row>
    <row r="25" spans="1:1" x14ac:dyDescent="0.2">
      <c r="A25" s="243" t="s">
        <v>270</v>
      </c>
    </row>
    <row r="26" spans="1:1" x14ac:dyDescent="0.2">
      <c r="A26" s="243" t="s">
        <v>256</v>
      </c>
    </row>
    <row r="27" spans="1:1" x14ac:dyDescent="0.2">
      <c r="A27" s="243" t="s">
        <v>259</v>
      </c>
    </row>
    <row r="28" spans="1:1" x14ac:dyDescent="0.2">
      <c r="A28" s="244"/>
    </row>
    <row r="29" spans="1:1" x14ac:dyDescent="0.2">
      <c r="A29" s="244"/>
    </row>
    <row r="30" spans="1:1" x14ac:dyDescent="0.2">
      <c r="A30" s="244"/>
    </row>
    <row r="31" spans="1:1" s="245" customFormat="1" x14ac:dyDescent="0.2">
      <c r="A31" s="244"/>
    </row>
    <row r="32" spans="1:1" x14ac:dyDescent="0.2">
      <c r="A32" s="235"/>
    </row>
    <row r="33" spans="1:1" x14ac:dyDescent="0.2">
      <c r="A33" s="238" t="s">
        <v>255</v>
      </c>
    </row>
    <row r="34" spans="1:1" ht="168" x14ac:dyDescent="0.2">
      <c r="A34" s="236" t="s">
        <v>254</v>
      </c>
    </row>
    <row r="35" spans="1:1" ht="76.5" x14ac:dyDescent="0.2">
      <c r="A35" s="236" t="s">
        <v>250</v>
      </c>
    </row>
    <row r="36" spans="1:1" ht="38.25" x14ac:dyDescent="0.2">
      <c r="A36" s="237" t="s">
        <v>251</v>
      </c>
    </row>
    <row r="37" spans="1:1" ht="51" x14ac:dyDescent="0.2">
      <c r="A37" s="237" t="s">
        <v>252</v>
      </c>
    </row>
    <row r="38" spans="1:1" ht="38.25" x14ac:dyDescent="0.2">
      <c r="A38" s="237" t="s">
        <v>253</v>
      </c>
    </row>
    <row r="39" spans="1:1" x14ac:dyDescent="0.2">
      <c r="A39" s="240"/>
    </row>
  </sheetData>
  <sheetProtection password="CEF2" sheet="1" objects="1" scenarios="1"/>
  <phoneticPr fontId="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J37"/>
  <sheetViews>
    <sheetView workbookViewId="0">
      <selection activeCell="I36" sqref="I36"/>
    </sheetView>
  </sheetViews>
  <sheetFormatPr defaultRowHeight="12.75" x14ac:dyDescent="0.2"/>
  <cols>
    <col min="1" max="1" width="43.42578125" style="4" customWidth="1"/>
    <col min="2" max="2" width="12.7109375" style="1" customWidth="1"/>
    <col min="3" max="3" width="16.85546875" style="1" customWidth="1"/>
    <col min="4" max="4" width="9.140625" style="1"/>
    <col min="5" max="5" width="14" style="1" customWidth="1"/>
    <col min="6" max="6" width="12.28515625" style="1" customWidth="1"/>
    <col min="7" max="7" width="20" style="1" customWidth="1"/>
    <col min="8" max="8" width="9.140625" style="1"/>
    <col min="9" max="9" width="45.140625" style="67" customWidth="1"/>
    <col min="10" max="16384" width="9.140625" style="1"/>
  </cols>
  <sheetData>
    <row r="1" spans="1:10" ht="13.5" thickBot="1" x14ac:dyDescent="0.25">
      <c r="A1" s="257" t="s">
        <v>17</v>
      </c>
      <c r="B1" s="258"/>
      <c r="C1" s="258"/>
      <c r="D1" s="258"/>
      <c r="E1" s="258"/>
      <c r="F1" s="258"/>
      <c r="G1" s="258"/>
      <c r="H1" s="258"/>
      <c r="I1" s="259"/>
    </row>
    <row r="2" spans="1:10" x14ac:dyDescent="0.2">
      <c r="A2" s="1"/>
    </row>
    <row r="3" spans="1:10" ht="13.5" thickBot="1" x14ac:dyDescent="0.25"/>
    <row r="4" spans="1:10" ht="15.75" thickBot="1" x14ac:dyDescent="0.25">
      <c r="A4" s="23" t="s">
        <v>2</v>
      </c>
      <c r="B4" s="24" t="s">
        <v>6</v>
      </c>
      <c r="C4" s="24" t="s">
        <v>19</v>
      </c>
      <c r="D4" s="24" t="s">
        <v>0</v>
      </c>
      <c r="E4" s="24" t="s">
        <v>3</v>
      </c>
      <c r="F4" s="24" t="s">
        <v>8</v>
      </c>
      <c r="G4" s="24" t="s">
        <v>1</v>
      </c>
      <c r="H4" s="24" t="s">
        <v>9</v>
      </c>
      <c r="I4" s="68" t="s">
        <v>5</v>
      </c>
    </row>
    <row r="5" spans="1:10" x14ac:dyDescent="0.2">
      <c r="A5" s="40" t="s">
        <v>44</v>
      </c>
      <c r="B5" s="29"/>
      <c r="C5" s="29"/>
      <c r="D5" s="29"/>
      <c r="E5" s="29"/>
      <c r="F5" s="29"/>
      <c r="G5" s="29"/>
      <c r="H5" s="30"/>
      <c r="I5" s="69"/>
    </row>
    <row r="6" spans="1:10" ht="13.5" x14ac:dyDescent="0.2">
      <c r="A6" s="54" t="s">
        <v>20</v>
      </c>
      <c r="B6" s="57" t="s">
        <v>21</v>
      </c>
      <c r="C6" s="73" t="s">
        <v>21</v>
      </c>
      <c r="D6" s="72" t="s">
        <v>22</v>
      </c>
      <c r="E6" s="55">
        <v>100</v>
      </c>
      <c r="F6" s="72" t="s">
        <v>23</v>
      </c>
      <c r="G6" s="72"/>
      <c r="H6" s="55" t="s">
        <v>24</v>
      </c>
      <c r="I6" s="166" t="s">
        <v>186</v>
      </c>
      <c r="J6" s="5"/>
    </row>
    <row r="7" spans="1:10" x14ac:dyDescent="0.2">
      <c r="A7" s="54" t="s">
        <v>25</v>
      </c>
      <c r="B7" s="73" t="s">
        <v>26</v>
      </c>
      <c r="C7" s="73" t="s">
        <v>26</v>
      </c>
      <c r="D7" s="72" t="s">
        <v>27</v>
      </c>
      <c r="E7" s="55">
        <v>40</v>
      </c>
      <c r="F7" s="72" t="s">
        <v>23</v>
      </c>
      <c r="G7" s="72"/>
      <c r="H7" s="55" t="s">
        <v>24</v>
      </c>
      <c r="I7" s="166" t="s">
        <v>186</v>
      </c>
      <c r="J7" s="6"/>
    </row>
    <row r="8" spans="1:10" x14ac:dyDescent="0.2">
      <c r="A8" s="31"/>
      <c r="B8" s="36"/>
      <c r="C8" s="36"/>
      <c r="D8" s="37"/>
      <c r="E8" s="38"/>
      <c r="F8" s="37"/>
      <c r="G8" s="37"/>
      <c r="H8" s="38"/>
      <c r="I8" s="148"/>
      <c r="J8" s="6"/>
    </row>
    <row r="9" spans="1:10" x14ac:dyDescent="0.2">
      <c r="A9" s="54" t="s">
        <v>170</v>
      </c>
      <c r="B9" s="73" t="s">
        <v>92</v>
      </c>
      <c r="C9" s="73" t="s">
        <v>29</v>
      </c>
      <c r="D9" s="72" t="s">
        <v>27</v>
      </c>
      <c r="E9" s="55">
        <v>0.3</v>
      </c>
      <c r="F9" s="72" t="s">
        <v>28</v>
      </c>
      <c r="G9" s="72"/>
      <c r="H9" s="55" t="s">
        <v>24</v>
      </c>
      <c r="I9" s="158"/>
      <c r="J9" s="6"/>
    </row>
    <row r="10" spans="1:10" ht="24" x14ac:dyDescent="0.2">
      <c r="A10" s="32" t="s">
        <v>30</v>
      </c>
      <c r="B10" s="88" t="s">
        <v>7</v>
      </c>
      <c r="C10" s="36" t="s">
        <v>7</v>
      </c>
      <c r="D10" s="37" t="s">
        <v>27</v>
      </c>
      <c r="E10" s="38"/>
      <c r="F10" s="37" t="s">
        <v>28</v>
      </c>
      <c r="G10" s="37"/>
      <c r="H10" s="38" t="s">
        <v>24</v>
      </c>
      <c r="I10" s="148"/>
      <c r="J10" s="6"/>
    </row>
    <row r="11" spans="1:10" x14ac:dyDescent="0.2">
      <c r="A11" s="31" t="s">
        <v>31</v>
      </c>
      <c r="B11" s="88" t="s">
        <v>32</v>
      </c>
      <c r="C11" s="36" t="s">
        <v>32</v>
      </c>
      <c r="D11" s="37" t="s">
        <v>27</v>
      </c>
      <c r="E11" s="38"/>
      <c r="F11" s="37" t="s">
        <v>28</v>
      </c>
      <c r="G11" s="37"/>
      <c r="H11" s="38" t="s">
        <v>24</v>
      </c>
      <c r="I11" s="148"/>
    </row>
    <row r="12" spans="1:10" x14ac:dyDescent="0.2">
      <c r="A12" s="3"/>
      <c r="B12" s="50"/>
      <c r="C12" s="25"/>
      <c r="D12" s="2"/>
      <c r="E12" s="2"/>
      <c r="F12" s="2"/>
      <c r="G12" s="2"/>
      <c r="H12" s="2"/>
      <c r="I12" s="148"/>
    </row>
    <row r="13" spans="1:10" x14ac:dyDescent="0.2">
      <c r="A13" s="34" t="s">
        <v>33</v>
      </c>
      <c r="B13" s="56"/>
      <c r="C13" s="8"/>
      <c r="D13" s="7"/>
      <c r="E13" s="2"/>
      <c r="F13" s="2"/>
      <c r="G13" s="2"/>
      <c r="H13" s="2"/>
      <c r="I13" s="148"/>
    </row>
    <row r="14" spans="1:10" x14ac:dyDescent="0.2">
      <c r="A14" s="31"/>
      <c r="B14" s="88"/>
      <c r="C14" s="36"/>
      <c r="D14" s="37"/>
      <c r="E14" s="38"/>
      <c r="F14" s="37"/>
      <c r="G14" s="37"/>
      <c r="H14" s="38"/>
      <c r="I14" s="148"/>
    </row>
    <row r="15" spans="1:10" ht="24" x14ac:dyDescent="0.2">
      <c r="A15" s="63" t="s">
        <v>35</v>
      </c>
      <c r="B15" s="74" t="s">
        <v>95</v>
      </c>
      <c r="C15" s="74" t="s">
        <v>94</v>
      </c>
      <c r="D15" s="75" t="s">
        <v>36</v>
      </c>
      <c r="E15" s="44">
        <v>0.05</v>
      </c>
      <c r="F15" s="75" t="s">
        <v>37</v>
      </c>
      <c r="G15" s="75" t="s">
        <v>43</v>
      </c>
      <c r="H15" s="44" t="s">
        <v>24</v>
      </c>
      <c r="I15" s="149"/>
    </row>
    <row r="16" spans="1:10" ht="25.5" x14ac:dyDescent="0.2">
      <c r="A16" s="87" t="s">
        <v>171</v>
      </c>
      <c r="B16" s="64" t="s">
        <v>96</v>
      </c>
      <c r="C16" s="64" t="s">
        <v>59</v>
      </c>
      <c r="D16" s="65" t="s">
        <v>88</v>
      </c>
      <c r="E16" s="66">
        <v>2.5</v>
      </c>
      <c r="F16" s="65" t="s">
        <v>34</v>
      </c>
      <c r="G16" s="66" t="s">
        <v>89</v>
      </c>
      <c r="H16" s="66" t="s">
        <v>24</v>
      </c>
      <c r="I16" s="159"/>
    </row>
    <row r="17" spans="1:9" x14ac:dyDescent="0.2">
      <c r="A17" s="177" t="s">
        <v>62</v>
      </c>
      <c r="B17" s="178" t="s">
        <v>61</v>
      </c>
      <c r="C17" s="179" t="s">
        <v>60</v>
      </c>
      <c r="D17" s="180" t="s">
        <v>36</v>
      </c>
      <c r="E17" s="181">
        <v>2</v>
      </c>
      <c r="F17" s="163" t="s">
        <v>34</v>
      </c>
      <c r="G17" s="156" t="s">
        <v>182</v>
      </c>
      <c r="H17" s="182" t="s">
        <v>24</v>
      </c>
      <c r="I17" s="150" t="s">
        <v>185</v>
      </c>
    </row>
    <row r="18" spans="1:9" x14ac:dyDescent="0.2">
      <c r="A18" s="162" t="s">
        <v>179</v>
      </c>
      <c r="B18" s="155" t="s">
        <v>180</v>
      </c>
      <c r="C18" s="155" t="s">
        <v>181</v>
      </c>
      <c r="D18" s="163" t="s">
        <v>183</v>
      </c>
      <c r="E18" s="164">
        <f>2*10^6</f>
        <v>2000000</v>
      </c>
      <c r="F18" s="163" t="s">
        <v>184</v>
      </c>
      <c r="G18" s="156" t="s">
        <v>182</v>
      </c>
      <c r="H18" s="165" t="s">
        <v>24</v>
      </c>
      <c r="I18" s="160" t="s">
        <v>185</v>
      </c>
    </row>
    <row r="19" spans="1:9" x14ac:dyDescent="0.2">
      <c r="A19" s="32" t="s">
        <v>110</v>
      </c>
      <c r="B19" s="105" t="s">
        <v>111</v>
      </c>
      <c r="C19" s="80" t="s">
        <v>112</v>
      </c>
      <c r="D19" s="76" t="s">
        <v>27</v>
      </c>
      <c r="E19" s="79">
        <v>3.2</v>
      </c>
      <c r="F19" s="76" t="s">
        <v>34</v>
      </c>
      <c r="G19" s="78" t="s">
        <v>113</v>
      </c>
      <c r="H19" s="77" t="s">
        <v>24</v>
      </c>
      <c r="I19" s="160" t="s">
        <v>174</v>
      </c>
    </row>
    <row r="20" spans="1:9" x14ac:dyDescent="0.2">
      <c r="A20" s="42"/>
      <c r="B20" s="2"/>
      <c r="C20" s="2"/>
      <c r="D20" s="2"/>
      <c r="E20" s="2"/>
      <c r="F20" s="2"/>
      <c r="G20" s="2"/>
      <c r="H20" s="2"/>
      <c r="I20" s="151"/>
    </row>
    <row r="21" spans="1:9" x14ac:dyDescent="0.2">
      <c r="A21" s="49"/>
      <c r="B21" s="58"/>
      <c r="C21" s="47"/>
      <c r="D21" s="106"/>
      <c r="E21" s="45"/>
      <c r="F21" s="46"/>
      <c r="G21" s="46"/>
      <c r="H21" s="48"/>
      <c r="I21" s="152"/>
    </row>
    <row r="22" spans="1:9" x14ac:dyDescent="0.2">
      <c r="A22" s="33" t="s">
        <v>51</v>
      </c>
      <c r="B22" s="59"/>
      <c r="C22" s="47"/>
      <c r="D22" s="106"/>
      <c r="E22" s="45"/>
      <c r="F22" s="46"/>
      <c r="G22" s="46"/>
      <c r="H22" s="48"/>
      <c r="I22" s="152"/>
    </row>
    <row r="23" spans="1:9" ht="13.5" x14ac:dyDescent="0.2">
      <c r="A23" s="86" t="s">
        <v>52</v>
      </c>
      <c r="B23" s="73" t="s">
        <v>97</v>
      </c>
      <c r="C23" s="73" t="s">
        <v>57</v>
      </c>
      <c r="D23" s="72" t="s">
        <v>124</v>
      </c>
      <c r="E23" s="55">
        <v>0.04</v>
      </c>
      <c r="F23" s="86" t="s">
        <v>53</v>
      </c>
      <c r="G23" s="72" t="s">
        <v>56</v>
      </c>
      <c r="H23" s="55" t="s">
        <v>24</v>
      </c>
      <c r="I23" s="160" t="s">
        <v>173</v>
      </c>
    </row>
    <row r="24" spans="1:9" ht="13.5" x14ac:dyDescent="0.2">
      <c r="A24" s="86" t="s">
        <v>54</v>
      </c>
      <c r="B24" s="73" t="s">
        <v>98</v>
      </c>
      <c r="C24" s="73" t="s">
        <v>58</v>
      </c>
      <c r="D24" s="72" t="s">
        <v>124</v>
      </c>
      <c r="E24" s="55">
        <v>0.17</v>
      </c>
      <c r="F24" s="86" t="s">
        <v>55</v>
      </c>
      <c r="G24" s="72" t="s">
        <v>56</v>
      </c>
      <c r="H24" s="55" t="s">
        <v>24</v>
      </c>
      <c r="I24" s="160" t="s">
        <v>173</v>
      </c>
    </row>
    <row r="25" spans="1:9" x14ac:dyDescent="0.2">
      <c r="A25" s="82"/>
      <c r="B25" s="83"/>
      <c r="C25" s="83"/>
      <c r="D25" s="107"/>
      <c r="E25" s="84"/>
      <c r="F25" s="82"/>
      <c r="G25" s="82"/>
      <c r="H25" s="85"/>
      <c r="I25" s="152"/>
    </row>
    <row r="26" spans="1:9" x14ac:dyDescent="0.2">
      <c r="A26" s="3"/>
      <c r="B26" s="2"/>
      <c r="C26" s="2"/>
      <c r="D26" s="2"/>
      <c r="E26" s="2"/>
      <c r="F26" s="2"/>
      <c r="G26" s="2"/>
      <c r="H26" s="2"/>
      <c r="I26" s="153"/>
    </row>
    <row r="27" spans="1:9" x14ac:dyDescent="0.2">
      <c r="A27" s="39" t="s">
        <v>38</v>
      </c>
      <c r="B27" s="2"/>
      <c r="C27" s="2"/>
      <c r="D27" s="2"/>
      <c r="E27" s="2"/>
      <c r="F27" s="2"/>
      <c r="G27" s="2"/>
      <c r="H27" s="2"/>
      <c r="I27" s="153"/>
    </row>
    <row r="28" spans="1:9" ht="15" x14ac:dyDescent="0.2">
      <c r="A28" s="31" t="s">
        <v>39</v>
      </c>
      <c r="B28" s="35" t="s">
        <v>40</v>
      </c>
      <c r="C28" s="36" t="s">
        <v>41</v>
      </c>
      <c r="D28" s="37" t="s">
        <v>42</v>
      </c>
      <c r="E28" s="38">
        <v>1008</v>
      </c>
      <c r="F28" s="37"/>
      <c r="G28" s="37" t="s">
        <v>89</v>
      </c>
      <c r="H28" s="38" t="s">
        <v>24</v>
      </c>
      <c r="I28" s="160" t="s">
        <v>175</v>
      </c>
    </row>
    <row r="29" spans="1:9" x14ac:dyDescent="0.2">
      <c r="A29" s="3"/>
      <c r="B29" s="2"/>
      <c r="C29" s="2"/>
      <c r="D29" s="2"/>
      <c r="E29" s="2"/>
      <c r="F29" s="2"/>
      <c r="G29" s="2"/>
      <c r="H29" s="2"/>
      <c r="I29" s="153"/>
    </row>
    <row r="30" spans="1:9" x14ac:dyDescent="0.2">
      <c r="A30" s="122" t="s">
        <v>160</v>
      </c>
      <c r="B30" s="2"/>
      <c r="C30" s="2"/>
      <c r="D30" s="2"/>
      <c r="E30" s="2"/>
      <c r="F30" s="2"/>
      <c r="G30" s="2"/>
      <c r="H30" s="2"/>
      <c r="I30" s="153"/>
    </row>
    <row r="31" spans="1:9" ht="25.5" x14ac:dyDescent="0.2">
      <c r="A31" s="3" t="s">
        <v>116</v>
      </c>
      <c r="B31" s="26" t="s">
        <v>118</v>
      </c>
      <c r="C31" s="53" t="s">
        <v>121</v>
      </c>
      <c r="D31" s="25" t="s">
        <v>122</v>
      </c>
      <c r="E31" s="2">
        <v>0</v>
      </c>
      <c r="F31" s="25" t="s">
        <v>134</v>
      </c>
      <c r="G31" s="25" t="s">
        <v>113</v>
      </c>
      <c r="H31" s="25" t="s">
        <v>24</v>
      </c>
      <c r="I31" s="160" t="s">
        <v>176</v>
      </c>
    </row>
    <row r="32" spans="1:9" ht="25.5" x14ac:dyDescent="0.2">
      <c r="A32" s="3" t="s">
        <v>117</v>
      </c>
      <c r="B32" s="26" t="s">
        <v>119</v>
      </c>
      <c r="C32" s="53" t="s">
        <v>120</v>
      </c>
      <c r="D32" s="25" t="s">
        <v>122</v>
      </c>
      <c r="E32" s="2">
        <v>1</v>
      </c>
      <c r="F32" s="25" t="s">
        <v>134</v>
      </c>
      <c r="G32" s="25" t="s">
        <v>113</v>
      </c>
      <c r="H32" s="25" t="s">
        <v>24</v>
      </c>
      <c r="I32" s="160" t="s">
        <v>176</v>
      </c>
    </row>
    <row r="33" spans="1:9" ht="25.5" x14ac:dyDescent="0.2">
      <c r="A33" s="42" t="s">
        <v>128</v>
      </c>
      <c r="B33" s="118" t="s">
        <v>129</v>
      </c>
      <c r="C33" s="53" t="s">
        <v>130</v>
      </c>
      <c r="D33" s="25" t="s">
        <v>131</v>
      </c>
      <c r="E33" s="2">
        <v>1</v>
      </c>
      <c r="F33" s="25" t="s">
        <v>132</v>
      </c>
      <c r="G33" s="25" t="s">
        <v>133</v>
      </c>
      <c r="H33" s="25" t="s">
        <v>24</v>
      </c>
      <c r="I33" s="157" t="s">
        <v>177</v>
      </c>
    </row>
    <row r="34" spans="1:9" ht="25.5" x14ac:dyDescent="0.2">
      <c r="A34" s="42" t="s">
        <v>135</v>
      </c>
      <c r="B34" s="11"/>
      <c r="C34" s="53" t="s">
        <v>141</v>
      </c>
      <c r="D34" s="76" t="s">
        <v>90</v>
      </c>
      <c r="E34" s="2">
        <v>20</v>
      </c>
      <c r="F34" s="77" t="s">
        <v>91</v>
      </c>
      <c r="G34" s="25" t="s">
        <v>136</v>
      </c>
      <c r="H34" s="25" t="s">
        <v>24</v>
      </c>
      <c r="I34" s="150" t="s">
        <v>167</v>
      </c>
    </row>
    <row r="35" spans="1:9" ht="38.25" x14ac:dyDescent="0.2">
      <c r="A35" s="42" t="s">
        <v>137</v>
      </c>
      <c r="B35" s="11"/>
      <c r="C35" s="53" t="s">
        <v>143</v>
      </c>
      <c r="D35" s="25" t="s">
        <v>140</v>
      </c>
      <c r="E35" s="2">
        <v>2</v>
      </c>
      <c r="F35" s="77" t="s">
        <v>91</v>
      </c>
      <c r="G35" s="25" t="s">
        <v>136</v>
      </c>
      <c r="H35" s="25" t="s">
        <v>24</v>
      </c>
      <c r="I35" s="154" t="s">
        <v>168</v>
      </c>
    </row>
    <row r="36" spans="1:9" ht="38.25" x14ac:dyDescent="0.2">
      <c r="A36" s="42" t="s">
        <v>138</v>
      </c>
      <c r="B36" s="11"/>
      <c r="C36" s="53" t="s">
        <v>142</v>
      </c>
      <c r="D36" s="76" t="s">
        <v>90</v>
      </c>
      <c r="E36" s="2">
        <v>10</v>
      </c>
      <c r="F36" s="77" t="s">
        <v>91</v>
      </c>
      <c r="G36" s="25" t="s">
        <v>136</v>
      </c>
      <c r="H36" s="25" t="s">
        <v>24</v>
      </c>
      <c r="I36" s="150" t="s">
        <v>178</v>
      </c>
    </row>
    <row r="37" spans="1:9" ht="25.5" x14ac:dyDescent="0.2">
      <c r="A37" s="42" t="s">
        <v>139</v>
      </c>
      <c r="B37" s="11"/>
      <c r="C37" s="53" t="s">
        <v>144</v>
      </c>
      <c r="D37" s="25" t="s">
        <v>140</v>
      </c>
      <c r="E37" s="2">
        <v>12</v>
      </c>
      <c r="F37" s="70" t="s">
        <v>91</v>
      </c>
      <c r="G37" s="25" t="s">
        <v>136</v>
      </c>
      <c r="H37" s="25" t="s">
        <v>24</v>
      </c>
      <c r="I37" s="154" t="s">
        <v>169</v>
      </c>
    </row>
  </sheetData>
  <mergeCells count="1">
    <mergeCell ref="A1:I1"/>
  </mergeCells>
  <phoneticPr fontId="0" type="noConversion"/>
  <pageMargins left="0.23622047244094491" right="0.23622047244094491" top="0" bottom="0" header="0.31496062992125984" footer="0.31496062992125984"/>
  <pageSetup scale="90" orientation="landscape" horizontalDpi="300" verticalDpi="300" r:id="rId1"/>
  <headerFooter alignWithMargins="0"/>
  <drawing r:id="rId2"/>
  <legacyDrawing r:id="rId3"/>
  <oleObjects>
    <mc:AlternateContent xmlns:mc="http://schemas.openxmlformats.org/markup-compatibility/2006">
      <mc:Choice Requires="x14">
        <oleObject progId="Equation.DSMT4" shapeId="3081" r:id="rId4">
          <objectPr defaultSize="0" autoPict="0" r:id="rId5">
            <anchor moveWithCells="1" sizeWithCells="1">
              <from>
                <xdr:col>1</xdr:col>
                <xdr:colOff>257175</xdr:colOff>
                <xdr:row>33</xdr:row>
                <xdr:rowOff>95250</xdr:rowOff>
              </from>
              <to>
                <xdr:col>1</xdr:col>
                <xdr:colOff>581025</xdr:colOff>
                <xdr:row>34</xdr:row>
                <xdr:rowOff>0</xdr:rowOff>
              </to>
            </anchor>
          </objectPr>
        </oleObject>
      </mc:Choice>
      <mc:Fallback>
        <oleObject progId="Equation.DSMT4" shapeId="3081" r:id="rId4"/>
      </mc:Fallback>
    </mc:AlternateContent>
    <mc:AlternateContent xmlns:mc="http://schemas.openxmlformats.org/markup-compatibility/2006">
      <mc:Choice Requires="x14">
        <oleObject progId="Equation.DSMT4" shapeId="3082" r:id="rId6">
          <objectPr defaultSize="0" autoPict="0" r:id="rId7">
            <anchor moveWithCells="1" sizeWithCells="1">
              <from>
                <xdr:col>1</xdr:col>
                <xdr:colOff>285750</xdr:colOff>
                <xdr:row>34</xdr:row>
                <xdr:rowOff>85725</xdr:rowOff>
              </from>
              <to>
                <xdr:col>1</xdr:col>
                <xdr:colOff>457200</xdr:colOff>
                <xdr:row>34</xdr:row>
                <xdr:rowOff>323850</xdr:rowOff>
              </to>
            </anchor>
          </objectPr>
        </oleObject>
      </mc:Choice>
      <mc:Fallback>
        <oleObject progId="Equation.DSMT4" shapeId="3082" r:id="rId6"/>
      </mc:Fallback>
    </mc:AlternateContent>
    <mc:AlternateContent xmlns:mc="http://schemas.openxmlformats.org/markup-compatibility/2006">
      <mc:Choice Requires="x14">
        <oleObject progId="Equation.DSMT4" shapeId="3083" r:id="rId8">
          <objectPr defaultSize="0" autoPict="0" r:id="rId9">
            <anchor moveWithCells="1" sizeWithCells="1">
              <from>
                <xdr:col>1</xdr:col>
                <xdr:colOff>295275</xdr:colOff>
                <xdr:row>35</xdr:row>
                <xdr:rowOff>114300</xdr:rowOff>
              </from>
              <to>
                <xdr:col>1</xdr:col>
                <xdr:colOff>428625</xdr:colOff>
                <xdr:row>35</xdr:row>
                <xdr:rowOff>323850</xdr:rowOff>
              </to>
            </anchor>
          </objectPr>
        </oleObject>
      </mc:Choice>
      <mc:Fallback>
        <oleObject progId="Equation.DSMT4" shapeId="3083" r:id="rId8"/>
      </mc:Fallback>
    </mc:AlternateContent>
    <mc:AlternateContent xmlns:mc="http://schemas.openxmlformats.org/markup-compatibility/2006">
      <mc:Choice Requires="x14">
        <oleObject progId="Equation.DSMT4" shapeId="3084" r:id="rId10">
          <objectPr defaultSize="0" autoPict="0" r:id="rId11">
            <anchor moveWithCells="1" sizeWithCells="1">
              <from>
                <xdr:col>1</xdr:col>
                <xdr:colOff>276225</xdr:colOff>
                <xdr:row>36</xdr:row>
                <xdr:rowOff>66675</xdr:rowOff>
              </from>
              <to>
                <xdr:col>1</xdr:col>
                <xdr:colOff>561975</xdr:colOff>
                <xdr:row>37</xdr:row>
                <xdr:rowOff>0</xdr:rowOff>
              </to>
            </anchor>
          </objectPr>
        </oleObject>
      </mc:Choice>
      <mc:Fallback>
        <oleObject progId="Equation.DSMT4" shapeId="3084" r:id="rId10"/>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V65"/>
  <sheetViews>
    <sheetView topLeftCell="A6" zoomScaleNormal="100" workbookViewId="0">
      <selection activeCell="G26" sqref="G26"/>
    </sheetView>
  </sheetViews>
  <sheetFormatPr defaultRowHeight="12.75" x14ac:dyDescent="0.2"/>
  <cols>
    <col min="1" max="1" width="31.7109375" style="1" customWidth="1"/>
    <col min="2" max="2" width="12.42578125" style="1" customWidth="1"/>
    <col min="3" max="3" width="9.140625" style="1"/>
    <col min="4" max="15" width="16.7109375" style="1" customWidth="1"/>
    <col min="16" max="16" width="14" style="1" customWidth="1"/>
    <col min="17" max="17" width="47.7109375" style="1" customWidth="1"/>
    <col min="18" max="18" width="29.42578125" style="1" customWidth="1"/>
    <col min="19" max="16384" width="9.140625" style="1"/>
  </cols>
  <sheetData>
    <row r="1" spans="1:22" ht="86.25" customHeight="1" thickBot="1" x14ac:dyDescent="0.25">
      <c r="A1" s="257" t="s">
        <v>18</v>
      </c>
      <c r="B1" s="261"/>
      <c r="C1" s="261"/>
      <c r="D1" s="261"/>
      <c r="E1" s="261"/>
      <c r="F1" s="261"/>
      <c r="G1" s="261"/>
      <c r="H1" s="261"/>
      <c r="I1" s="261"/>
      <c r="J1" s="261"/>
      <c r="K1" s="261"/>
      <c r="L1" s="261"/>
      <c r="M1" s="261"/>
      <c r="N1" s="261"/>
      <c r="O1" s="261"/>
      <c r="P1" s="261"/>
      <c r="Q1" s="261"/>
      <c r="R1" s="262"/>
      <c r="S1" s="10"/>
      <c r="T1" s="10"/>
      <c r="U1" s="10"/>
      <c r="V1" s="10"/>
    </row>
    <row r="3" spans="1:22" x14ac:dyDescent="0.2">
      <c r="A3" s="9" t="s">
        <v>4</v>
      </c>
      <c r="B3" s="9" t="s">
        <v>6</v>
      </c>
      <c r="C3" s="9" t="s">
        <v>0</v>
      </c>
      <c r="D3" s="9" t="s">
        <v>3</v>
      </c>
      <c r="E3" s="140"/>
      <c r="F3" s="140" t="s">
        <v>5</v>
      </c>
      <c r="G3" s="140"/>
      <c r="H3" s="140"/>
      <c r="I3" s="140"/>
      <c r="J3" s="140"/>
      <c r="K3" s="140"/>
      <c r="L3" s="140"/>
      <c r="M3" s="140"/>
      <c r="N3" s="140"/>
      <c r="O3" s="140"/>
      <c r="P3" s="9" t="s">
        <v>11</v>
      </c>
      <c r="Q3" s="9" t="s">
        <v>10</v>
      </c>
      <c r="R3" s="9" t="s">
        <v>5</v>
      </c>
    </row>
    <row r="4" spans="1:22" ht="89.25" customHeight="1" x14ac:dyDescent="0.2">
      <c r="A4" s="2"/>
      <c r="B4" s="2"/>
      <c r="C4" s="2"/>
      <c r="D4" s="2"/>
      <c r="E4" s="2"/>
      <c r="F4" s="273" t="s">
        <v>265</v>
      </c>
      <c r="G4" s="274"/>
      <c r="H4" s="2"/>
      <c r="I4" s="2"/>
      <c r="J4" s="2"/>
      <c r="K4" s="2"/>
      <c r="L4" s="2"/>
      <c r="M4" s="2"/>
      <c r="N4" s="2"/>
      <c r="O4" s="2"/>
      <c r="P4" s="2"/>
      <c r="Q4" s="2"/>
      <c r="R4" s="2"/>
    </row>
    <row r="5" spans="1:22" ht="43.5" customHeight="1" x14ac:dyDescent="0.2">
      <c r="A5" s="41" t="s">
        <v>45</v>
      </c>
      <c r="B5" s="50" t="s">
        <v>46</v>
      </c>
      <c r="C5" s="25" t="s">
        <v>27</v>
      </c>
      <c r="D5" s="142">
        <f>Method_input!E6/(0.5*Method_input!E7)</f>
        <v>5</v>
      </c>
      <c r="E5" s="95"/>
      <c r="F5" s="95"/>
      <c r="G5" s="95"/>
      <c r="H5" s="95"/>
      <c r="I5" s="95"/>
      <c r="J5" s="95"/>
      <c r="K5" s="95"/>
      <c r="L5" s="95"/>
      <c r="M5" s="95"/>
      <c r="N5" s="95"/>
      <c r="O5" s="95"/>
      <c r="P5" s="25" t="s">
        <v>47</v>
      </c>
      <c r="Q5" s="43"/>
      <c r="R5" s="2"/>
    </row>
    <row r="6" spans="1:22" ht="30.75" customHeight="1" x14ac:dyDescent="0.2">
      <c r="A6" s="41" t="s">
        <v>172</v>
      </c>
      <c r="B6" s="110"/>
      <c r="C6" s="25" t="s">
        <v>27</v>
      </c>
      <c r="D6" s="145">
        <f>Method_input!E9+Method_input!E17*(Method_input!E24+Method_input!E16+Method_input!E23)</f>
        <v>5.72</v>
      </c>
      <c r="E6" s="96"/>
      <c r="F6" s="96"/>
      <c r="G6" s="96"/>
      <c r="H6" s="96"/>
      <c r="I6" s="96"/>
      <c r="J6" s="96"/>
      <c r="K6" s="96"/>
      <c r="L6" s="96"/>
      <c r="M6" s="96"/>
      <c r="N6" s="96"/>
      <c r="O6" s="96"/>
      <c r="P6" s="101" t="s">
        <v>48</v>
      </c>
      <c r="Q6" s="43"/>
      <c r="R6" s="25"/>
    </row>
    <row r="7" spans="1:22" ht="36" customHeight="1" x14ac:dyDescent="0.2">
      <c r="A7" s="89" t="s">
        <v>233</v>
      </c>
      <c r="B7" s="36" t="s">
        <v>101</v>
      </c>
      <c r="C7" s="92" t="s">
        <v>114</v>
      </c>
      <c r="D7" s="146">
        <f>((2*Method_input!E17)/((PI()*D5+D6))*LN((PI()*D5/D6)+1))</f>
        <v>0.24654288266266219</v>
      </c>
      <c r="E7" s="97"/>
      <c r="F7" s="97"/>
      <c r="G7" s="97"/>
      <c r="H7" s="97"/>
      <c r="I7" s="97"/>
      <c r="J7" s="97"/>
      <c r="K7" s="97"/>
      <c r="L7" s="97"/>
      <c r="M7" s="97"/>
      <c r="N7" s="97"/>
      <c r="O7" s="97"/>
      <c r="P7" s="102" t="s">
        <v>49</v>
      </c>
      <c r="Q7" s="11"/>
      <c r="R7" s="2"/>
    </row>
    <row r="8" spans="1:22" ht="38.25" x14ac:dyDescent="0.2">
      <c r="A8" s="41" t="s">
        <v>232</v>
      </c>
      <c r="B8" s="36" t="s">
        <v>101</v>
      </c>
      <c r="C8" s="92" t="s">
        <v>114</v>
      </c>
      <c r="D8" s="146">
        <f>(Method_input!E17)/(0.457*D5+D6)</f>
        <v>0.24984384759525299</v>
      </c>
      <c r="E8" s="97"/>
      <c r="F8" s="97"/>
      <c r="G8" s="97"/>
      <c r="H8" s="97"/>
      <c r="I8" s="97"/>
      <c r="J8" s="97"/>
      <c r="K8" s="97"/>
      <c r="L8" s="97"/>
      <c r="M8" s="97"/>
      <c r="N8" s="97"/>
      <c r="O8" s="97"/>
      <c r="P8" s="103" t="s">
        <v>50</v>
      </c>
      <c r="Q8" s="11"/>
      <c r="R8" s="2"/>
    </row>
    <row r="9" spans="1:22" ht="34.5" customHeight="1" x14ac:dyDescent="0.2">
      <c r="A9" s="90" t="s">
        <v>103</v>
      </c>
      <c r="B9" s="36" t="s">
        <v>101</v>
      </c>
      <c r="C9" s="92" t="s">
        <v>114</v>
      </c>
      <c r="D9" s="144">
        <f>IF(D6&lt;D5,D7,D8)</f>
        <v>0.24984384759525299</v>
      </c>
      <c r="E9" s="97"/>
      <c r="F9" s="97"/>
      <c r="G9" s="98"/>
      <c r="H9" s="98"/>
      <c r="I9" s="98"/>
      <c r="J9" s="98"/>
      <c r="K9" s="98"/>
      <c r="L9" s="98"/>
      <c r="M9" s="98"/>
      <c r="N9" s="98"/>
      <c r="O9" s="98"/>
      <c r="P9" s="104" t="s">
        <v>105</v>
      </c>
      <c r="Q9" s="11"/>
      <c r="R9" s="2"/>
    </row>
    <row r="10" spans="1:22" ht="38.25" x14ac:dyDescent="0.2">
      <c r="A10" s="32" t="s">
        <v>77</v>
      </c>
      <c r="B10" s="91" t="s">
        <v>104</v>
      </c>
      <c r="C10" s="93" t="s">
        <v>115</v>
      </c>
      <c r="D10" s="144">
        <f>1/D9-Method_input!E24</f>
        <v>3.8324999999999996</v>
      </c>
      <c r="E10" s="2"/>
      <c r="F10" s="2"/>
      <c r="G10" s="98"/>
      <c r="H10" s="98"/>
      <c r="I10" s="98"/>
      <c r="J10" s="98"/>
      <c r="K10" s="98"/>
      <c r="L10" s="98"/>
      <c r="M10" s="98"/>
      <c r="N10" s="98"/>
      <c r="O10" s="98"/>
      <c r="P10" s="249" t="s">
        <v>268</v>
      </c>
      <c r="Q10" s="248" t="s">
        <v>267</v>
      </c>
      <c r="R10" s="247" t="s">
        <v>266</v>
      </c>
    </row>
    <row r="11" spans="1:22" ht="51" x14ac:dyDescent="0.2">
      <c r="A11" s="32" t="s">
        <v>261</v>
      </c>
      <c r="B11" s="116" t="s">
        <v>145</v>
      </c>
      <c r="C11" s="108" t="s">
        <v>93</v>
      </c>
      <c r="D11" s="144">
        <f>Method_input!E6*D9+Method_input!E7*Method_input!E15</f>
        <v>26.984384759525298</v>
      </c>
      <c r="E11" s="97"/>
      <c r="F11" s="2"/>
      <c r="G11" s="141"/>
      <c r="H11" s="141"/>
      <c r="I11" s="141"/>
      <c r="J11" s="141"/>
      <c r="K11" s="141"/>
      <c r="L11" s="141"/>
      <c r="M11" s="141"/>
      <c r="N11" s="141"/>
      <c r="O11" s="141"/>
      <c r="P11" s="117" t="s">
        <v>127</v>
      </c>
      <c r="Q11" s="119"/>
      <c r="R11" s="246" t="s">
        <v>263</v>
      </c>
    </row>
    <row r="12" spans="1:22" ht="50.25" customHeight="1" x14ac:dyDescent="0.2">
      <c r="A12" s="32" t="s">
        <v>123</v>
      </c>
      <c r="B12" s="81" t="s">
        <v>99</v>
      </c>
      <c r="C12" s="108" t="s">
        <v>93</v>
      </c>
      <c r="D12" s="144">
        <f>Method_input!E6*Method_input!E17/D6*SQRT(2/((1+Method_input!E19/D6)^2+1))</f>
        <v>26.692208501718127</v>
      </c>
      <c r="E12" s="141"/>
      <c r="F12" s="167"/>
      <c r="G12" s="141"/>
      <c r="H12" s="141"/>
      <c r="I12" s="141"/>
      <c r="J12" s="141"/>
      <c r="K12" s="141"/>
      <c r="L12" s="141"/>
      <c r="M12" s="141"/>
      <c r="N12" s="141"/>
      <c r="O12" s="141"/>
      <c r="P12" s="100" t="s">
        <v>108</v>
      </c>
      <c r="Q12" s="11"/>
      <c r="R12" s="2"/>
    </row>
    <row r="13" spans="1:22" ht="38.25" customHeight="1" x14ac:dyDescent="0.2">
      <c r="A13" s="32" t="s">
        <v>262</v>
      </c>
      <c r="B13" s="81" t="s">
        <v>100</v>
      </c>
      <c r="C13" s="108" t="s">
        <v>93</v>
      </c>
      <c r="D13" s="144">
        <f>0.37*Method_input!E7*Method_input!E17*LN(Method_input!E19/D6+1)</f>
        <v>13.152083379526262</v>
      </c>
      <c r="E13" s="141"/>
      <c r="F13" s="167"/>
      <c r="G13" s="141"/>
      <c r="H13" s="141"/>
      <c r="I13" s="141"/>
      <c r="J13" s="141"/>
      <c r="K13" s="141"/>
      <c r="L13" s="141"/>
      <c r="M13" s="141"/>
      <c r="N13" s="141"/>
      <c r="O13" s="141"/>
      <c r="P13" s="100" t="s">
        <v>109</v>
      </c>
      <c r="Q13" s="11"/>
      <c r="R13" s="2"/>
    </row>
    <row r="14" spans="1:22" ht="38.25" customHeight="1" x14ac:dyDescent="0.2">
      <c r="A14" s="176" t="s">
        <v>187</v>
      </c>
      <c r="B14" s="169" t="s">
        <v>191</v>
      </c>
      <c r="C14" s="170" t="s">
        <v>115</v>
      </c>
      <c r="D14" s="171">
        <f>0.5/Method_input!E17</f>
        <v>0.25</v>
      </c>
      <c r="E14" s="172"/>
      <c r="F14" s="167"/>
      <c r="G14" s="141"/>
      <c r="H14" s="141"/>
      <c r="I14" s="141"/>
      <c r="J14" s="141"/>
      <c r="K14" s="141"/>
      <c r="L14" s="141"/>
      <c r="M14" s="141"/>
      <c r="N14" s="141"/>
      <c r="O14" s="141"/>
      <c r="P14" s="100"/>
      <c r="Q14" s="11"/>
      <c r="R14" s="2"/>
    </row>
    <row r="15" spans="1:22" ht="38.25" customHeight="1" x14ac:dyDescent="0.2">
      <c r="A15" s="168" t="s">
        <v>188</v>
      </c>
      <c r="B15" s="169" t="s">
        <v>192</v>
      </c>
      <c r="C15" s="170" t="s">
        <v>189</v>
      </c>
      <c r="D15" s="173">
        <f>0.5*Method_input!E18</f>
        <v>1000000</v>
      </c>
      <c r="E15" s="172"/>
      <c r="F15" s="167"/>
      <c r="G15" s="141"/>
      <c r="H15" s="141"/>
      <c r="I15" s="141"/>
      <c r="J15" s="141"/>
      <c r="K15" s="141"/>
      <c r="L15" s="141"/>
      <c r="M15" s="141"/>
      <c r="N15" s="141"/>
      <c r="O15" s="141"/>
      <c r="P15" s="100"/>
      <c r="Q15" s="11"/>
      <c r="R15" s="2"/>
    </row>
    <row r="16" spans="1:22" ht="76.5" x14ac:dyDescent="0.2">
      <c r="A16" s="159" t="s">
        <v>190</v>
      </c>
      <c r="B16" s="155" t="s">
        <v>219</v>
      </c>
      <c r="C16" s="156" t="s">
        <v>194</v>
      </c>
      <c r="D16" s="174">
        <f>1/D9-Method_input!E24-Method_input!E16-D14</f>
        <v>1.0824999999999996</v>
      </c>
      <c r="E16" s="175"/>
      <c r="F16" s="246"/>
      <c r="G16" s="141"/>
      <c r="H16" s="141"/>
      <c r="I16" s="141"/>
      <c r="J16" s="141"/>
      <c r="K16" s="141"/>
      <c r="L16" s="141"/>
      <c r="M16" s="141"/>
      <c r="N16" s="141"/>
      <c r="O16" s="141"/>
      <c r="P16" s="100"/>
      <c r="Q16" s="11"/>
      <c r="R16" s="246" t="s">
        <v>264</v>
      </c>
    </row>
    <row r="17" spans="1:22" s="62" customFormat="1" ht="15.75" customHeight="1" x14ac:dyDescent="0.2">
      <c r="A17" s="263" t="s">
        <v>163</v>
      </c>
      <c r="B17" s="263"/>
      <c r="C17" s="263"/>
      <c r="D17" s="263"/>
      <c r="E17" s="263"/>
      <c r="F17" s="263"/>
      <c r="G17" s="263"/>
      <c r="H17" s="263"/>
      <c r="I17" s="263"/>
      <c r="J17" s="263"/>
      <c r="K17" s="263"/>
      <c r="L17" s="263"/>
      <c r="M17" s="263"/>
      <c r="N17" s="263"/>
      <c r="O17" s="263"/>
      <c r="P17" s="263"/>
      <c r="Q17" s="99"/>
      <c r="R17" s="61"/>
    </row>
    <row r="18" spans="1:22" s="62" customFormat="1" ht="15.75" customHeight="1" x14ac:dyDescent="0.2">
      <c r="A18" s="42" t="s">
        <v>151</v>
      </c>
      <c r="B18" s="53" t="s">
        <v>27</v>
      </c>
      <c r="C18" s="121" t="s">
        <v>131</v>
      </c>
      <c r="D18" s="25">
        <v>1</v>
      </c>
      <c r="E18" s="25">
        <f>+D18+1</f>
        <v>2</v>
      </c>
      <c r="F18" s="25">
        <f t="shared" ref="F18:N18" si="0">+E18+1</f>
        <v>3</v>
      </c>
      <c r="G18" s="25">
        <f t="shared" si="0"/>
        <v>4</v>
      </c>
      <c r="H18" s="25">
        <f t="shared" si="0"/>
        <v>5</v>
      </c>
      <c r="I18" s="25">
        <f t="shared" si="0"/>
        <v>6</v>
      </c>
      <c r="J18" s="25">
        <f t="shared" si="0"/>
        <v>7</v>
      </c>
      <c r="K18" s="25">
        <f t="shared" si="0"/>
        <v>8</v>
      </c>
      <c r="L18" s="25">
        <f t="shared" si="0"/>
        <v>9</v>
      </c>
      <c r="M18" s="25">
        <f t="shared" si="0"/>
        <v>10</v>
      </c>
      <c r="N18" s="25">
        <f t="shared" si="0"/>
        <v>11</v>
      </c>
      <c r="O18" s="25">
        <f>+N18+1</f>
        <v>12</v>
      </c>
      <c r="P18" s="109"/>
      <c r="Q18" s="99"/>
      <c r="R18" s="61"/>
    </row>
    <row r="19" spans="1:22" s="62" customFormat="1" ht="36" customHeight="1" x14ac:dyDescent="0.2">
      <c r="A19" s="42" t="s">
        <v>147</v>
      </c>
      <c r="B19" s="25" t="s">
        <v>156</v>
      </c>
      <c r="C19" s="111" t="s">
        <v>90</v>
      </c>
      <c r="D19" s="143">
        <f>Method_input!$E$34-Method_input!$E$35*COS(2*PI()*(D18-Method_input!$E$33)/12)</f>
        <v>18</v>
      </c>
      <c r="E19" s="143">
        <f>Method_input!$E$34-Method_input!$E$35*COS(2*PI()*(E18-Method_input!$E$33)/12)</f>
        <v>18.267949192431121</v>
      </c>
      <c r="F19" s="143">
        <f>Method_input!$E$34-Method_input!$E$35*COS(2*PI()*(F18-Method_input!$E$33)/12)</f>
        <v>19</v>
      </c>
      <c r="G19" s="143">
        <f>Method_input!$E$34-Method_input!$E$35*COS(2*PI()*(G18-Method_input!$E$33)/12)</f>
        <v>20</v>
      </c>
      <c r="H19" s="143">
        <f>Method_input!$E$34-Method_input!$E$35*COS(2*PI()*(H18-Method_input!$E$33)/12)</f>
        <v>21</v>
      </c>
      <c r="I19" s="143">
        <f>Method_input!$E$34-Method_input!$E$35*COS(2*PI()*(I18-Method_input!$E$33)/12)</f>
        <v>21.732050807568879</v>
      </c>
      <c r="J19" s="143">
        <f>Method_input!$E$34-Method_input!$E$35*COS(2*PI()*(J18-Method_input!$E$33)/12)</f>
        <v>22</v>
      </c>
      <c r="K19" s="143">
        <f>Method_input!$E$34-Method_input!$E$35*COS(2*PI()*(K18-Method_input!$E$33)/12)</f>
        <v>21.732050807568879</v>
      </c>
      <c r="L19" s="143">
        <f>Method_input!$E$34-Method_input!$E$35*COS(2*PI()*(L18-Method_input!$E$33)/12)</f>
        <v>21</v>
      </c>
      <c r="M19" s="143">
        <f>Method_input!$E$34-Method_input!$E$35*COS(2*PI()*(M18-Method_input!$E$33)/12)</f>
        <v>20</v>
      </c>
      <c r="N19" s="143">
        <f>Method_input!$E$34-Method_input!$E$35*COS(2*PI()*(N18-Method_input!$E$33)/12)</f>
        <v>19</v>
      </c>
      <c r="O19" s="143">
        <f>Method_input!$E$34-Method_input!$E$35*COS(2*PI()*(O18-Method_input!$E$33)/12)</f>
        <v>18.267949192431125</v>
      </c>
      <c r="P19" s="25" t="s">
        <v>149</v>
      </c>
      <c r="Q19" s="11"/>
      <c r="R19" s="61"/>
    </row>
    <row r="20" spans="1:22" s="62" customFormat="1" ht="36" customHeight="1" x14ac:dyDescent="0.2">
      <c r="A20" s="42" t="s">
        <v>146</v>
      </c>
      <c r="B20" s="25" t="s">
        <v>157</v>
      </c>
      <c r="C20" s="111" t="s">
        <v>90</v>
      </c>
      <c r="D20" s="143">
        <f>Method_input!$E$36-Method_input!$E$37*COS(2*PI()*(D18-Method_input!$E$33)/12)</f>
        <v>-2</v>
      </c>
      <c r="E20" s="143">
        <f>Method_input!$E$36-Method_input!$E$37*COS(2*PI()*(E18-Method_input!$E$33)/12)</f>
        <v>-0.39230484541326405</v>
      </c>
      <c r="F20" s="143">
        <f>Method_input!$E$36-Method_input!$E$37*COS(2*PI()*(F18-Method_input!$E$33)/12)</f>
        <v>3.9999999999999982</v>
      </c>
      <c r="G20" s="143">
        <f>Method_input!$E$36-Method_input!$E$37*COS(2*PI()*(G18-Method_input!$E$33)/12)</f>
        <v>10</v>
      </c>
      <c r="H20" s="143">
        <f>Method_input!$E$36-Method_input!$E$37*COS(2*PI()*(H18-Method_input!$E$33)/12)</f>
        <v>15.999999999999996</v>
      </c>
      <c r="I20" s="143">
        <f>Method_input!$E$36-Method_input!$E$37*COS(2*PI()*(I18-Method_input!$E$33)/12)</f>
        <v>20.392304845413264</v>
      </c>
      <c r="J20" s="143">
        <f>Method_input!$E$36-Method_input!$E$37*COS(2*PI()*(J18-Method_input!$E$33)/12)</f>
        <v>22</v>
      </c>
      <c r="K20" s="143">
        <f>Method_input!$E$36-Method_input!$E$37*COS(2*PI()*(K18-Method_input!$E$33)/12)</f>
        <v>20.392304845413264</v>
      </c>
      <c r="L20" s="143">
        <f>Method_input!$E$36-Method_input!$E$37*COS(2*PI()*(L18-Method_input!$E$33)/12)</f>
        <v>16.000000000000007</v>
      </c>
      <c r="M20" s="143">
        <f>Method_input!$E$36-Method_input!$E$37*COS(2*PI()*(M18-Method_input!$E$33)/12)</f>
        <v>10.000000000000002</v>
      </c>
      <c r="N20" s="143">
        <f>Method_input!$E$36-Method_input!$E$37*COS(2*PI()*(N18-Method_input!$E$33)/12)</f>
        <v>3.9999999999999982</v>
      </c>
      <c r="O20" s="143">
        <f>Method_input!$E$36-Method_input!$E$37*COS(2*PI()*(O18-Method_input!$E$33)/12)</f>
        <v>-0.39230484541326049</v>
      </c>
      <c r="P20" s="25" t="s">
        <v>150</v>
      </c>
      <c r="Q20" s="11"/>
      <c r="R20" s="61"/>
    </row>
    <row r="21" spans="1:22" s="62" customFormat="1" ht="36" customHeight="1" x14ac:dyDescent="0.2">
      <c r="A21" s="42" t="s">
        <v>153</v>
      </c>
      <c r="B21" s="53" t="s">
        <v>166</v>
      </c>
      <c r="C21" s="120" t="s">
        <v>148</v>
      </c>
      <c r="D21" s="143">
        <f>$D$11*(Method_input!$E$34-Method_input!$E$36)</f>
        <v>269.84384759525301</v>
      </c>
      <c r="E21" s="143">
        <f>$D$11*(Method_input!$E$34-Method_input!$E$36)</f>
        <v>269.84384759525301</v>
      </c>
      <c r="F21" s="143">
        <f>$D$11*(Method_input!$E$34-Method_input!$E$36)</f>
        <v>269.84384759525301</v>
      </c>
      <c r="G21" s="143">
        <f>$D$11*(Method_input!$E$34-Method_input!$E$36)</f>
        <v>269.84384759525301</v>
      </c>
      <c r="H21" s="143">
        <f>$D$11*(Method_input!$E$34-Method_input!$E$36)</f>
        <v>269.84384759525301</v>
      </c>
      <c r="I21" s="143">
        <f>$D$11*(Method_input!$E$34-Method_input!$E$36)</f>
        <v>269.84384759525301</v>
      </c>
      <c r="J21" s="143">
        <f>$D$11*(Method_input!$E$34-Method_input!$E$36)</f>
        <v>269.84384759525301</v>
      </c>
      <c r="K21" s="143">
        <f>$D$11*(Method_input!$E$34-Method_input!$E$36)</f>
        <v>269.84384759525301</v>
      </c>
      <c r="L21" s="143">
        <f>$D$11*(Method_input!$E$34-Method_input!$E$36)</f>
        <v>269.84384759525301</v>
      </c>
      <c r="M21" s="143">
        <f>$D$11*(Method_input!$E$34-Method_input!$E$36)</f>
        <v>269.84384759525301</v>
      </c>
      <c r="N21" s="143">
        <f>$D$11*(Method_input!$E$34-Method_input!$E$36)</f>
        <v>269.84384759525301</v>
      </c>
      <c r="O21" s="143">
        <f>$D$11*(Method_input!$E$34-Method_input!$E$36)</f>
        <v>269.84384759525301</v>
      </c>
      <c r="P21" s="264" t="s">
        <v>107</v>
      </c>
      <c r="Q21" s="267"/>
      <c r="R21" s="270"/>
    </row>
    <row r="22" spans="1:22" s="62" customFormat="1" ht="36" customHeight="1" x14ac:dyDescent="0.2">
      <c r="A22" s="42" t="s">
        <v>154</v>
      </c>
      <c r="B22" s="53" t="s">
        <v>165</v>
      </c>
      <c r="C22" s="120" t="s">
        <v>148</v>
      </c>
      <c r="D22" s="143">
        <f>-$D$12*Method_input!$E$35*COS(2*PI()*(D18-Method_input!$E$33+Method_input!$E$31)/12)</f>
        <v>-53.384417003436255</v>
      </c>
      <c r="E22" s="143">
        <f>-$D$12*Method_input!$E$35*COS(2*PI()*(E18-Method_input!$E$33+Method_input!$E$31)/12)</f>
        <v>-46.232261291197737</v>
      </c>
      <c r="F22" s="143">
        <f>-$D$12*Method_input!$E$35*COS(2*PI()*(F18-Method_input!$E$33+Method_input!$E$31)/12)</f>
        <v>-26.692208501718135</v>
      </c>
      <c r="G22" s="143">
        <f>-$D$12*Method_input!$E$35*COS(2*PI()*(G18-Method_input!$E$33+Method_input!$E$31)/12)</f>
        <v>-3.2701918003978696E-15</v>
      </c>
      <c r="H22" s="143">
        <f>-$D$12*Method_input!$E$35*COS(2*PI()*(H18-Method_input!$E$33+Method_input!$E$31)/12)</f>
        <v>26.692208501718117</v>
      </c>
      <c r="I22" s="143">
        <f>-$D$12*Method_input!$E$35*COS(2*PI()*(I18-Method_input!$E$33+Method_input!$E$31)/12)</f>
        <v>46.232261291197737</v>
      </c>
      <c r="J22" s="143">
        <f>-$D$12*Method_input!$E$35*COS(2*PI()*(J18-Method_input!$E$33+Method_input!$E$31)/12)</f>
        <v>53.384417003436255</v>
      </c>
      <c r="K22" s="143">
        <f>-$D$12*Method_input!$E$35*COS(2*PI()*(K18-Method_input!$E$33+Method_input!$E$31)/12)</f>
        <v>46.232261291197744</v>
      </c>
      <c r="L22" s="143">
        <f>-$D$12*Method_input!$E$35*COS(2*PI()*(L18-Method_input!$E$33+Method_input!$E$31)/12)</f>
        <v>26.692208501718152</v>
      </c>
      <c r="M22" s="143">
        <f>-$D$12*Method_input!$E$35*COS(2*PI()*(M18-Method_input!$E$33+Method_input!$E$31)/12)</f>
        <v>9.8105754011936083E-15</v>
      </c>
      <c r="N22" s="143">
        <f>-$D$12*Method_input!$E$35*COS(2*PI()*(N18-Method_input!$E$33+Method_input!$E$31)/12)</f>
        <v>-26.692208501718135</v>
      </c>
      <c r="O22" s="143">
        <f>-$D$12*Method_input!$E$35*COS(2*PI()*(O18-Method_input!$E$33+Method_input!$E$31)/12)</f>
        <v>-46.232261291197723</v>
      </c>
      <c r="P22" s="265"/>
      <c r="Q22" s="268"/>
      <c r="R22" s="271"/>
    </row>
    <row r="23" spans="1:22" s="62" customFormat="1" ht="36" customHeight="1" x14ac:dyDescent="0.2">
      <c r="A23" s="42" t="s">
        <v>155</v>
      </c>
      <c r="B23" s="53" t="s">
        <v>164</v>
      </c>
      <c r="C23" s="120" t="s">
        <v>148</v>
      </c>
      <c r="D23" s="143">
        <f>$D$13*Method_input!$E$37*COS(2*PI()*(D18-Method_input!$E$33-Method_input!$E$32)/12)</f>
        <v>136.68045983233003</v>
      </c>
      <c r="E23" s="143">
        <f>$D$13*Method_input!$E$37*COS(2*PI()*(E18-Method_input!$E$33-Method_input!$E$32)/12)</f>
        <v>157.82500055431515</v>
      </c>
      <c r="F23" s="143">
        <f>$D$13*Method_input!$E$37*COS(2*PI()*(F18-Method_input!$E$33-Method_input!$E$32)/12)</f>
        <v>136.68045983233003</v>
      </c>
      <c r="G23" s="143">
        <f>$D$13*Method_input!$E$37*COS(2*PI()*(G18-Method_input!$E$33-Method_input!$E$32)/12)</f>
        <v>78.912500277157591</v>
      </c>
      <c r="H23" s="143">
        <f>$D$13*Method_input!$E$37*COS(2*PI()*(H18-Method_input!$E$33-Method_input!$E$32)/12)</f>
        <v>9.6679527787535658E-15</v>
      </c>
      <c r="I23" s="143">
        <f>$D$13*Method_input!$E$37*COS(2*PI()*(I18-Method_input!$E$33-Method_input!$E$32)/12)</f>
        <v>-78.912500277157548</v>
      </c>
      <c r="J23" s="143">
        <f>$D$13*Method_input!$E$37*COS(2*PI()*(J18-Method_input!$E$33-Method_input!$E$32)/12)</f>
        <v>-136.68045983233003</v>
      </c>
      <c r="K23" s="143">
        <f>$D$13*Method_input!$E$37*COS(2*PI()*(K18-Method_input!$E$33-Method_input!$E$32)/12)</f>
        <v>-157.82500055431515</v>
      </c>
      <c r="L23" s="143">
        <f>$D$13*Method_input!$E$37*COS(2*PI()*(L18-Method_input!$E$33-Method_input!$E$32)/12)</f>
        <v>-136.68045983233006</v>
      </c>
      <c r="M23" s="143">
        <f>$D$13*Method_input!$E$37*COS(2*PI()*(M18-Method_input!$E$33-Method_input!$E$32)/12)</f>
        <v>-78.912500277157648</v>
      </c>
      <c r="N23" s="143">
        <f>$D$13*Method_input!$E$37*COS(2*PI()*(N18-Method_input!$E$33-Method_input!$E$32)/12)</f>
        <v>-2.9003858336260697E-14</v>
      </c>
      <c r="O23" s="143">
        <f>$D$13*Method_input!$E$37*COS(2*PI()*(O18-Method_input!$E$33-Method_input!$E$32)/12)</f>
        <v>78.912500277157591</v>
      </c>
      <c r="P23" s="265"/>
      <c r="Q23" s="268"/>
      <c r="R23" s="271"/>
    </row>
    <row r="24" spans="1:22" s="62" customFormat="1" ht="35.25" customHeight="1" x14ac:dyDescent="0.2">
      <c r="A24" s="27" t="s">
        <v>126</v>
      </c>
      <c r="B24" s="53" t="s">
        <v>152</v>
      </c>
      <c r="C24" s="120" t="s">
        <v>148</v>
      </c>
      <c r="D24" s="143">
        <f>D21+D22+D23</f>
        <v>353.13989042414676</v>
      </c>
      <c r="E24" s="143">
        <f t="shared" ref="E24:O24" si="1">E21+E22+E23</f>
        <v>381.43658685837045</v>
      </c>
      <c r="F24" s="143">
        <f t="shared" si="1"/>
        <v>379.8320989258649</v>
      </c>
      <c r="G24" s="143">
        <f t="shared" si="1"/>
        <v>348.75634787241063</v>
      </c>
      <c r="H24" s="143">
        <f t="shared" si="1"/>
        <v>296.53605609697115</v>
      </c>
      <c r="I24" s="143">
        <f t="shared" si="1"/>
        <v>237.16360860929319</v>
      </c>
      <c r="J24" s="143">
        <f t="shared" si="1"/>
        <v>186.54780476635926</v>
      </c>
      <c r="K24" s="143">
        <f t="shared" si="1"/>
        <v>158.2511083321356</v>
      </c>
      <c r="L24" s="143">
        <f t="shared" si="1"/>
        <v>159.85559626464109</v>
      </c>
      <c r="M24" s="143">
        <f t="shared" si="1"/>
        <v>190.93134731809536</v>
      </c>
      <c r="N24" s="143">
        <f t="shared" si="1"/>
        <v>243.15163909353484</v>
      </c>
      <c r="O24" s="143">
        <f t="shared" si="1"/>
        <v>302.52408658121288</v>
      </c>
      <c r="P24" s="266"/>
      <c r="Q24" s="269"/>
      <c r="R24" s="272"/>
    </row>
    <row r="25" spans="1:22" s="62" customFormat="1" ht="56.25" customHeight="1" x14ac:dyDescent="0.2">
      <c r="A25" s="42" t="s">
        <v>161</v>
      </c>
      <c r="B25" s="114" t="s">
        <v>125</v>
      </c>
      <c r="C25" s="111" t="s">
        <v>90</v>
      </c>
      <c r="D25" s="147">
        <f>D19-D24/(Method_input!$E$6*$D9)</f>
        <v>3.8655758857735272</v>
      </c>
      <c r="E25" s="147">
        <f>E19-E24/(Method_input!$E$6*$D9)</f>
        <v>3.0009498034248452</v>
      </c>
      <c r="F25" s="147">
        <f>F19-F24/(Method_input!$E$6*$D9)</f>
        <v>3.7972202404922584</v>
      </c>
      <c r="G25" s="147">
        <f>G19-G24/(Method_input!$E$6*$D9)</f>
        <v>6.0410271764067662</v>
      </c>
      <c r="H25" s="147">
        <f>H19-H24/(Method_input!$E$6*$D9)</f>
        <v>9.1311443547187299</v>
      </c>
      <c r="I25" s="147">
        <f>I19-I24/(Method_input!$E$6*$D9)</f>
        <v>12.23957737298192</v>
      </c>
      <c r="J25" s="147">
        <f>J19-J24/(Method_input!$E$6*$D9)</f>
        <v>14.53342411422647</v>
      </c>
      <c r="K25" s="147">
        <f>K19-K24/(Method_input!$E$6*$D9)</f>
        <v>15.398050196575152</v>
      </c>
      <c r="L25" s="147">
        <f>L19-L24/(Method_input!$E$6*$D9)</f>
        <v>14.601779759507741</v>
      </c>
      <c r="M25" s="147">
        <f>M19-M24/(Method_input!$E$6*$D9)</f>
        <v>12.357972823593233</v>
      </c>
      <c r="N25" s="147">
        <f>N19-N24/(Method_input!$E$6*$D9)</f>
        <v>9.2678556452812693</v>
      </c>
      <c r="O25" s="147">
        <f>O19-O24/(Method_input!$E$6*$D9)</f>
        <v>6.1594226270180794</v>
      </c>
      <c r="P25" s="25" t="s">
        <v>106</v>
      </c>
      <c r="Q25" s="11"/>
      <c r="R25" s="189"/>
    </row>
    <row r="26" spans="1:22" s="62" customFormat="1" ht="51" x14ac:dyDescent="0.2">
      <c r="A26" s="251" t="s">
        <v>272</v>
      </c>
      <c r="B26" s="252" t="s">
        <v>158</v>
      </c>
      <c r="C26" s="253" t="s">
        <v>93</v>
      </c>
      <c r="D26" s="254">
        <f>D24/(D19-D20)</f>
        <v>17.656994521207338</v>
      </c>
      <c r="E26" s="254">
        <f t="shared" ref="E26:O26" si="2">E24/(E19-E20)</f>
        <v>20.44112508247683</v>
      </c>
      <c r="F26" s="254">
        <f t="shared" si="2"/>
        <v>25.322139928390989</v>
      </c>
      <c r="G26" s="254">
        <f t="shared" si="2"/>
        <v>34.875634787241061</v>
      </c>
      <c r="H26" s="254">
        <f t="shared" si="2"/>
        <v>59.30721121939419</v>
      </c>
      <c r="I26" s="254">
        <f t="shared" si="2"/>
        <v>177.02132740725224</v>
      </c>
      <c r="J26" s="254" t="e">
        <f t="shared" si="2"/>
        <v>#DIV/0!</v>
      </c>
      <c r="K26" s="254">
        <f t="shared" si="2"/>
        <v>118.12023532992323</v>
      </c>
      <c r="L26" s="254">
        <f t="shared" si="2"/>
        <v>31.971119252928265</v>
      </c>
      <c r="M26" s="254">
        <f t="shared" si="2"/>
        <v>19.093134731809538</v>
      </c>
      <c r="N26" s="254">
        <f t="shared" si="2"/>
        <v>16.210109272902322</v>
      </c>
      <c r="O26" s="254">
        <f t="shared" si="2"/>
        <v>16.212216938079809</v>
      </c>
      <c r="P26" s="255" t="s">
        <v>273</v>
      </c>
      <c r="Q26" s="256"/>
      <c r="R26" s="275" t="s">
        <v>274</v>
      </c>
      <c r="S26" s="276"/>
      <c r="T26" s="276"/>
      <c r="U26" s="276"/>
      <c r="V26" s="276"/>
    </row>
    <row r="27" spans="1:22" ht="39" customHeight="1" x14ac:dyDescent="0.2">
      <c r="A27" s="27" t="s">
        <v>196</v>
      </c>
      <c r="B27" s="116" t="s">
        <v>195</v>
      </c>
      <c r="C27" s="25" t="s">
        <v>93</v>
      </c>
      <c r="D27" s="143">
        <f>D24/(Method_input!$E$34-Method_input!$E$36)</f>
        <v>35.313989042414676</v>
      </c>
      <c r="E27" s="143">
        <f>E24/(Method_input!$E$34-Method_input!$E$36)</f>
        <v>38.143658685837046</v>
      </c>
      <c r="F27" s="143">
        <f>F24/(Method_input!$E$34-Method_input!$E$36)</f>
        <v>37.983209892586487</v>
      </c>
      <c r="G27" s="143">
        <f>G24/(Method_input!$E$34-Method_input!$E$36)</f>
        <v>34.875634787241061</v>
      </c>
      <c r="H27" s="143">
        <f>H24/(Method_input!$E$34-Method_input!$E$36)</f>
        <v>29.653605609697117</v>
      </c>
      <c r="I27" s="143">
        <f>I24/(Method_input!$E$34-Method_input!$E$36)</f>
        <v>23.716360860929321</v>
      </c>
      <c r="J27" s="143">
        <f>J24/(Method_input!$E$34-Method_input!$E$36)</f>
        <v>18.654780476635928</v>
      </c>
      <c r="K27" s="143">
        <f>K24/(Method_input!$E$34-Method_input!$E$36)</f>
        <v>15.825110833213561</v>
      </c>
      <c r="L27" s="143">
        <f>L24/(Method_input!$E$34-Method_input!$E$36)</f>
        <v>15.985559626464109</v>
      </c>
      <c r="M27" s="143">
        <f>M24/(Method_input!$E$34-Method_input!$E$36)</f>
        <v>19.093134731809535</v>
      </c>
      <c r="N27" s="143">
        <f>N24/(Method_input!$E$34-Method_input!$E$36)</f>
        <v>24.315163909353483</v>
      </c>
      <c r="O27" s="143">
        <f>O24/(Method_input!$E$34-Method_input!$E$36)</f>
        <v>30.25240865812129</v>
      </c>
      <c r="P27" s="25" t="s">
        <v>269</v>
      </c>
      <c r="Q27" s="216"/>
      <c r="R27" s="260" t="s">
        <v>220</v>
      </c>
      <c r="S27" s="260"/>
      <c r="T27" s="260"/>
      <c r="U27" s="260"/>
      <c r="V27" s="260"/>
    </row>
    <row r="28" spans="1:22" s="60" customFormat="1" ht="40.5" customHeight="1" x14ac:dyDescent="0.2">
      <c r="A28" s="159" t="s">
        <v>207</v>
      </c>
      <c r="B28" s="188" t="s">
        <v>208</v>
      </c>
      <c r="C28" s="188" t="s">
        <v>140</v>
      </c>
      <c r="D28" s="194">
        <f t="shared" ref="D28:O28" si="3">D19-D20</f>
        <v>20</v>
      </c>
      <c r="E28" s="194">
        <f t="shared" si="3"/>
        <v>18.660254037844386</v>
      </c>
      <c r="F28" s="194">
        <f t="shared" si="3"/>
        <v>15.000000000000002</v>
      </c>
      <c r="G28" s="194">
        <f t="shared" si="3"/>
        <v>10</v>
      </c>
      <c r="H28" s="194">
        <f t="shared" si="3"/>
        <v>5.0000000000000036</v>
      </c>
      <c r="I28" s="194">
        <f t="shared" si="3"/>
        <v>1.3397459621556145</v>
      </c>
      <c r="J28" s="194">
        <f t="shared" si="3"/>
        <v>0</v>
      </c>
      <c r="K28" s="194">
        <f t="shared" si="3"/>
        <v>1.3397459621556145</v>
      </c>
      <c r="L28" s="194">
        <f t="shared" si="3"/>
        <v>4.9999999999999929</v>
      </c>
      <c r="M28" s="194">
        <f t="shared" si="3"/>
        <v>9.9999999999999982</v>
      </c>
      <c r="N28" s="194">
        <f t="shared" si="3"/>
        <v>15.000000000000002</v>
      </c>
      <c r="O28" s="194">
        <f t="shared" si="3"/>
        <v>18.660254037844386</v>
      </c>
      <c r="P28" s="194"/>
      <c r="Q28" s="217"/>
      <c r="R28" s="156"/>
    </row>
    <row r="29" spans="1:22" ht="34.5" customHeight="1" x14ac:dyDescent="0.2">
      <c r="A29" s="183" t="s">
        <v>197</v>
      </c>
      <c r="B29" s="184"/>
      <c r="C29" s="185"/>
      <c r="D29" s="186" t="s">
        <v>198</v>
      </c>
      <c r="E29" s="186" t="s">
        <v>199</v>
      </c>
      <c r="F29" s="186" t="s">
        <v>206</v>
      </c>
      <c r="G29" s="126"/>
      <c r="H29" s="126"/>
      <c r="I29" s="126"/>
      <c r="J29" s="126"/>
      <c r="K29" s="126"/>
      <c r="L29" s="126"/>
      <c r="M29" s="126"/>
      <c r="N29" s="126"/>
      <c r="O29" s="126"/>
      <c r="P29" s="71"/>
      <c r="Q29" s="71"/>
      <c r="R29" s="71"/>
    </row>
    <row r="30" spans="1:22" s="60" customFormat="1" ht="66.75" customHeight="1" x14ac:dyDescent="0.2">
      <c r="A30" s="190" t="s">
        <v>200</v>
      </c>
      <c r="B30" s="187" t="s">
        <v>201</v>
      </c>
      <c r="C30" s="188" t="s">
        <v>93</v>
      </c>
      <c r="D30" s="195">
        <f>+(SUM(D27:O27)-IF(Method_calculation!E34&gt;5,SUM(M27:O27)+SUM(D27:F27),SUM(G27:L27)))/6</f>
        <v>30.850260820020413</v>
      </c>
      <c r="E30" s="195">
        <f>+SUM(D27:O27)/6-D30</f>
        <v>23.118508699030183</v>
      </c>
      <c r="F30" s="195" t="str">
        <f>+IF(Method_input!$E$33&lt;6,"Northern hemisphere", "Southern hemisphere")</f>
        <v>Northern hemisphere</v>
      </c>
      <c r="G30" s="196"/>
      <c r="H30" s="196"/>
      <c r="I30" s="196"/>
      <c r="J30" s="196"/>
      <c r="K30" s="196"/>
      <c r="L30" s="196"/>
      <c r="M30" s="196"/>
      <c r="N30" s="196"/>
      <c r="O30" s="196"/>
      <c r="P30" s="133"/>
      <c r="Q30" s="133"/>
      <c r="R30" s="133"/>
    </row>
    <row r="31" spans="1:22" s="60" customFormat="1" ht="50.25" customHeight="1" x14ac:dyDescent="0.2">
      <c r="A31" s="190" t="s">
        <v>202</v>
      </c>
      <c r="B31" s="188" t="s">
        <v>203</v>
      </c>
      <c r="C31" s="188" t="s">
        <v>140</v>
      </c>
      <c r="D31" s="195">
        <f>+(SUM(D28:O28)-IF(Method_input!E33&gt;5,SUM(M28:O28)+SUM(D28:F28),SUM(G28:L28)))/6</f>
        <v>16.220084679281459</v>
      </c>
      <c r="E31" s="195">
        <f>+SUM(D28:O28)/6-D31</f>
        <v>3.779915320718537</v>
      </c>
      <c r="F31" s="195" t="str">
        <f>+IF(Method_input!$E$33&lt;6,"Northern hemisphere", "Southern hemisphere")</f>
        <v>Northern hemisphere</v>
      </c>
      <c r="G31" s="196"/>
      <c r="H31" s="196"/>
      <c r="I31" s="196"/>
      <c r="J31" s="196"/>
      <c r="K31" s="196"/>
      <c r="L31" s="196"/>
      <c r="M31" s="196"/>
      <c r="N31" s="196"/>
      <c r="O31" s="196"/>
      <c r="P31" s="133"/>
      <c r="Q31" s="197"/>
      <c r="R31" s="133"/>
    </row>
    <row r="32" spans="1:22" s="60" customFormat="1" ht="51.75" customHeight="1" x14ac:dyDescent="0.2">
      <c r="A32" s="190" t="s">
        <v>204</v>
      </c>
      <c r="B32" s="187" t="s">
        <v>205</v>
      </c>
      <c r="C32" s="188" t="s">
        <v>93</v>
      </c>
      <c r="D32" s="198">
        <f>+D30*(Method_input!E34-Method_input!E36)/D31</f>
        <v>19.019790235390474</v>
      </c>
      <c r="E32" s="198">
        <f>+D30*(Method_input!$E$34-Method_input!$E$36)/E31</f>
        <v>81.616274975588553</v>
      </c>
      <c r="F32" s="195" t="str">
        <f>+IF(Method_input!$E$33&lt;6,"Northern hemisphere", "Southern hemisphere")</f>
        <v>Northern hemisphere</v>
      </c>
      <c r="G32" s="199"/>
      <c r="H32" s="199"/>
      <c r="I32" s="199"/>
      <c r="J32" s="199"/>
      <c r="K32" s="199"/>
      <c r="L32" s="199"/>
      <c r="M32" s="199"/>
      <c r="N32" s="199"/>
      <c r="O32" s="199"/>
      <c r="P32" s="133"/>
      <c r="Q32" s="197"/>
      <c r="R32" s="133"/>
    </row>
    <row r="33" spans="1:18" ht="34.5" customHeight="1" x14ac:dyDescent="0.2">
      <c r="A33" s="128"/>
      <c r="B33" s="124"/>
      <c r="C33" s="125"/>
      <c r="D33" s="126"/>
      <c r="E33" s="126"/>
      <c r="F33" s="126"/>
      <c r="G33" s="126"/>
      <c r="H33" s="126"/>
      <c r="I33" s="126"/>
      <c r="J33" s="126"/>
      <c r="K33" s="126"/>
      <c r="L33" s="126"/>
      <c r="M33" s="126"/>
      <c r="N33" s="126"/>
      <c r="O33" s="126"/>
      <c r="P33" s="125"/>
      <c r="Q33" s="125"/>
      <c r="R33" s="71"/>
    </row>
    <row r="34" spans="1:18" ht="34.5" customHeight="1" x14ac:dyDescent="0.2">
      <c r="A34" s="128"/>
      <c r="B34" s="71"/>
      <c r="C34" s="71"/>
      <c r="D34" s="71"/>
      <c r="E34" s="71"/>
      <c r="F34" s="71"/>
      <c r="G34" s="71"/>
      <c r="H34" s="71"/>
      <c r="I34" s="71"/>
      <c r="J34" s="71"/>
      <c r="K34" s="71"/>
      <c r="L34" s="71"/>
      <c r="M34" s="71"/>
      <c r="N34" s="71"/>
      <c r="O34" s="71"/>
      <c r="P34" s="125"/>
      <c r="Q34" s="125"/>
      <c r="R34" s="125"/>
    </row>
    <row r="35" spans="1:18" ht="34.5" customHeight="1" x14ac:dyDescent="0.2">
      <c r="A35" s="128"/>
      <c r="B35" s="71"/>
      <c r="C35" s="71"/>
      <c r="D35" s="71"/>
      <c r="E35" s="71"/>
      <c r="F35" s="71"/>
      <c r="G35" s="71"/>
      <c r="H35" s="71"/>
      <c r="I35" s="71"/>
      <c r="J35" s="71"/>
      <c r="K35" s="71"/>
      <c r="L35" s="71"/>
      <c r="M35" s="71"/>
      <c r="N35" s="71"/>
      <c r="O35" s="71"/>
      <c r="P35" s="71"/>
      <c r="Q35" s="71"/>
      <c r="R35" s="71"/>
    </row>
    <row r="36" spans="1:18" ht="34.5" customHeight="1" x14ac:dyDescent="0.2">
      <c r="A36" s="128"/>
      <c r="B36" s="129"/>
      <c r="C36" s="125"/>
      <c r="D36" s="130"/>
      <c r="E36" s="130"/>
      <c r="F36" s="130"/>
      <c r="G36" s="130"/>
      <c r="H36" s="130"/>
      <c r="I36" s="130"/>
      <c r="J36" s="130"/>
      <c r="K36" s="130"/>
      <c r="L36" s="130"/>
      <c r="M36" s="130"/>
      <c r="N36" s="130"/>
      <c r="O36" s="130"/>
      <c r="P36" s="125"/>
      <c r="Q36" s="127"/>
      <c r="R36" s="71"/>
    </row>
    <row r="37" spans="1:18" ht="34.5" customHeight="1" x14ac:dyDescent="0.2">
      <c r="A37" s="128"/>
      <c r="B37" s="71"/>
      <c r="C37" s="71"/>
      <c r="D37" s="71"/>
      <c r="E37" s="71"/>
      <c r="F37" s="71"/>
      <c r="G37" s="71"/>
      <c r="H37" s="71"/>
      <c r="I37" s="71"/>
      <c r="J37" s="71"/>
      <c r="K37" s="71"/>
      <c r="L37" s="71"/>
      <c r="M37" s="71"/>
      <c r="N37" s="71"/>
      <c r="O37" s="71"/>
      <c r="P37" s="71"/>
      <c r="Q37" s="71"/>
      <c r="R37" s="71"/>
    </row>
    <row r="38" spans="1:18" ht="34.5" customHeight="1" x14ac:dyDescent="0.2">
      <c r="A38" s="128"/>
      <c r="B38" s="129"/>
      <c r="C38" s="125"/>
      <c r="D38" s="130"/>
      <c r="E38" s="130"/>
      <c r="F38" s="130"/>
      <c r="G38" s="130"/>
      <c r="H38" s="130"/>
      <c r="I38" s="130"/>
      <c r="J38" s="130"/>
      <c r="K38" s="130"/>
      <c r="L38" s="130"/>
      <c r="M38" s="130"/>
      <c r="N38" s="130"/>
      <c r="O38" s="130"/>
      <c r="P38" s="125"/>
      <c r="Q38" s="127"/>
      <c r="R38" s="71"/>
    </row>
    <row r="39" spans="1:18" ht="34.5" customHeight="1" x14ac:dyDescent="0.2">
      <c r="A39" s="128"/>
      <c r="B39" s="129"/>
      <c r="C39" s="71"/>
      <c r="D39" s="130"/>
      <c r="E39" s="130"/>
      <c r="F39" s="130"/>
      <c r="G39" s="130"/>
      <c r="H39" s="130"/>
      <c r="I39" s="130"/>
      <c r="J39" s="130"/>
      <c r="K39" s="130"/>
      <c r="L39" s="130"/>
      <c r="M39" s="130"/>
      <c r="N39" s="130"/>
      <c r="O39" s="130"/>
      <c r="P39" s="71"/>
      <c r="Q39" s="71"/>
      <c r="R39" s="125"/>
    </row>
    <row r="40" spans="1:18" ht="34.5" customHeight="1" x14ac:dyDescent="0.2">
      <c r="A40" s="71"/>
      <c r="B40" s="71"/>
      <c r="C40" s="71"/>
      <c r="D40" s="71"/>
      <c r="E40" s="71"/>
      <c r="F40" s="71"/>
      <c r="G40" s="71"/>
      <c r="H40" s="71"/>
      <c r="I40" s="71"/>
      <c r="J40" s="71"/>
      <c r="K40" s="71"/>
      <c r="L40" s="71"/>
      <c r="M40" s="71"/>
      <c r="N40" s="71"/>
      <c r="O40" s="71"/>
      <c r="P40" s="71"/>
      <c r="Q40" s="71"/>
      <c r="R40" s="71"/>
    </row>
    <row r="41" spans="1:18" ht="34.5" customHeight="1" x14ac:dyDescent="0.2">
      <c r="A41" s="123"/>
      <c r="B41" s="124"/>
      <c r="C41" s="125"/>
      <c r="D41" s="131"/>
      <c r="E41" s="131"/>
      <c r="F41" s="131"/>
      <c r="G41" s="131"/>
      <c r="H41" s="131"/>
      <c r="I41" s="131"/>
      <c r="J41" s="131"/>
      <c r="K41" s="131"/>
      <c r="L41" s="131"/>
      <c r="M41" s="131"/>
      <c r="N41" s="131"/>
      <c r="O41" s="131"/>
      <c r="P41" s="125"/>
      <c r="Q41" s="127"/>
      <c r="R41" s="71"/>
    </row>
    <row r="42" spans="1:18" ht="34.5" customHeight="1" x14ac:dyDescent="0.2">
      <c r="A42" s="71"/>
      <c r="B42" s="71"/>
      <c r="C42" s="71"/>
      <c r="D42" s="71"/>
      <c r="E42" s="71"/>
      <c r="F42" s="71"/>
      <c r="G42" s="71"/>
      <c r="H42" s="71"/>
      <c r="I42" s="71"/>
      <c r="J42" s="71"/>
      <c r="K42" s="71"/>
      <c r="L42" s="71"/>
      <c r="M42" s="71"/>
      <c r="N42" s="71"/>
      <c r="O42" s="71"/>
      <c r="P42" s="71"/>
      <c r="Q42" s="71"/>
      <c r="R42" s="71"/>
    </row>
    <row r="43" spans="1:18" ht="34.5" customHeight="1" x14ac:dyDescent="0.2">
      <c r="A43" s="128"/>
      <c r="B43" s="71"/>
      <c r="C43" s="71"/>
      <c r="D43" s="71"/>
      <c r="E43" s="71"/>
      <c r="F43" s="71"/>
      <c r="G43" s="71"/>
      <c r="H43" s="71"/>
      <c r="I43" s="71"/>
      <c r="J43" s="71"/>
      <c r="K43" s="71"/>
      <c r="L43" s="71"/>
      <c r="M43" s="71"/>
      <c r="N43" s="71"/>
      <c r="O43" s="71"/>
      <c r="P43" s="125"/>
      <c r="Q43" s="125"/>
      <c r="R43" s="71"/>
    </row>
    <row r="44" spans="1:18" ht="34.5" customHeight="1" x14ac:dyDescent="0.2">
      <c r="A44" s="128"/>
      <c r="B44" s="71"/>
      <c r="C44" s="71"/>
      <c r="D44" s="71"/>
      <c r="E44" s="71"/>
      <c r="F44" s="71"/>
      <c r="G44" s="71"/>
      <c r="H44" s="71"/>
      <c r="I44" s="71"/>
      <c r="J44" s="71"/>
      <c r="K44" s="71"/>
      <c r="L44" s="71"/>
      <c r="M44" s="71"/>
      <c r="N44" s="71"/>
      <c r="O44" s="71"/>
      <c r="P44" s="71"/>
      <c r="Q44" s="71"/>
      <c r="R44" s="71"/>
    </row>
    <row r="45" spans="1:18" ht="34.5" customHeight="1" x14ac:dyDescent="0.2">
      <c r="A45" s="128"/>
      <c r="B45" s="124"/>
      <c r="C45" s="125"/>
      <c r="D45" s="130"/>
      <c r="E45" s="130"/>
      <c r="F45" s="130"/>
      <c r="G45" s="130"/>
      <c r="H45" s="130"/>
      <c r="I45" s="130"/>
      <c r="J45" s="130"/>
      <c r="K45" s="130"/>
      <c r="L45" s="130"/>
      <c r="M45" s="130"/>
      <c r="N45" s="130"/>
      <c r="O45" s="130"/>
      <c r="P45" s="125"/>
      <c r="Q45" s="127"/>
      <c r="R45" s="71"/>
    </row>
    <row r="46" spans="1:18" ht="34.5" customHeight="1" x14ac:dyDescent="0.2">
      <c r="A46" s="128"/>
      <c r="B46" s="71"/>
      <c r="C46" s="71"/>
      <c r="D46" s="71"/>
      <c r="E46" s="71"/>
      <c r="F46" s="71"/>
      <c r="G46" s="71"/>
      <c r="H46" s="71"/>
      <c r="I46" s="71"/>
      <c r="J46" s="71"/>
      <c r="K46" s="71"/>
      <c r="L46" s="71"/>
      <c r="M46" s="71"/>
      <c r="N46" s="71"/>
      <c r="O46" s="71"/>
      <c r="P46" s="71"/>
      <c r="Q46" s="71"/>
      <c r="R46" s="71"/>
    </row>
    <row r="47" spans="1:18" ht="34.5" customHeight="1" x14ac:dyDescent="0.2">
      <c r="A47" s="128"/>
      <c r="B47" s="124"/>
      <c r="C47" s="125"/>
      <c r="D47" s="130"/>
      <c r="E47" s="130"/>
      <c r="F47" s="130"/>
      <c r="G47" s="130"/>
      <c r="H47" s="130"/>
      <c r="I47" s="130"/>
      <c r="J47" s="130"/>
      <c r="K47" s="130"/>
      <c r="L47" s="130"/>
      <c r="M47" s="130"/>
      <c r="N47" s="130"/>
      <c r="O47" s="130"/>
      <c r="P47" s="125"/>
      <c r="Q47" s="127"/>
      <c r="R47" s="71"/>
    </row>
    <row r="48" spans="1:18" ht="34.5" customHeight="1" x14ac:dyDescent="0.2">
      <c r="A48" s="128"/>
      <c r="B48" s="124"/>
      <c r="C48" s="125"/>
      <c r="D48" s="130"/>
      <c r="E48" s="130"/>
      <c r="F48" s="130"/>
      <c r="G48" s="130"/>
      <c r="H48" s="130"/>
      <c r="I48" s="130"/>
      <c r="J48" s="130"/>
      <c r="K48" s="130"/>
      <c r="L48" s="130"/>
      <c r="M48" s="130"/>
      <c r="N48" s="130"/>
      <c r="O48" s="130"/>
      <c r="P48" s="71"/>
      <c r="Q48" s="71"/>
      <c r="R48" s="71"/>
    </row>
    <row r="49" spans="1:18" ht="34.5" customHeight="1" x14ac:dyDescent="0.2">
      <c r="A49" s="132"/>
      <c r="B49" s="133"/>
      <c r="C49" s="125"/>
      <c r="D49" s="126"/>
      <c r="E49" s="126"/>
      <c r="F49" s="126"/>
      <c r="G49" s="126"/>
      <c r="H49" s="126"/>
      <c r="I49" s="126"/>
      <c r="J49" s="126"/>
      <c r="K49" s="126"/>
      <c r="L49" s="126"/>
      <c r="M49" s="126"/>
      <c r="N49" s="126"/>
      <c r="O49" s="126"/>
      <c r="P49" s="125"/>
      <c r="Q49" s="127"/>
      <c r="R49" s="125"/>
    </row>
    <row r="50" spans="1:18" ht="34.5" customHeight="1" x14ac:dyDescent="0.2">
      <c r="A50" s="71"/>
      <c r="B50" s="71"/>
      <c r="C50" s="71"/>
      <c r="D50" s="71"/>
      <c r="E50" s="71"/>
      <c r="F50" s="71"/>
      <c r="G50" s="71"/>
      <c r="H50" s="71"/>
      <c r="I50" s="71"/>
      <c r="J50" s="71"/>
      <c r="K50" s="71"/>
      <c r="L50" s="71"/>
      <c r="M50" s="71"/>
      <c r="N50" s="71"/>
      <c r="O50" s="71"/>
      <c r="P50" s="71"/>
      <c r="Q50" s="71"/>
      <c r="R50" s="71"/>
    </row>
    <row r="51" spans="1:18" ht="34.5" customHeight="1" x14ac:dyDescent="0.2">
      <c r="A51" s="128"/>
      <c r="B51" s="124"/>
      <c r="C51" s="125"/>
      <c r="D51" s="126"/>
      <c r="E51" s="126"/>
      <c r="F51" s="126"/>
      <c r="G51" s="126"/>
      <c r="H51" s="126"/>
      <c r="I51" s="126"/>
      <c r="J51" s="126"/>
      <c r="K51" s="126"/>
      <c r="L51" s="126"/>
      <c r="M51" s="126"/>
      <c r="N51" s="126"/>
      <c r="O51" s="126"/>
      <c r="P51" s="125"/>
      <c r="Q51" s="127"/>
      <c r="R51" s="71"/>
    </row>
    <row r="52" spans="1:18" ht="34.5" customHeight="1" x14ac:dyDescent="0.2">
      <c r="A52" s="132"/>
      <c r="B52" s="124"/>
      <c r="C52" s="125"/>
      <c r="D52" s="126"/>
      <c r="E52" s="126"/>
      <c r="F52" s="126"/>
      <c r="G52" s="126"/>
      <c r="H52" s="126"/>
      <c r="I52" s="126"/>
      <c r="J52" s="126"/>
      <c r="K52" s="126"/>
      <c r="L52" s="126"/>
      <c r="M52" s="126"/>
      <c r="N52" s="126"/>
      <c r="O52" s="126"/>
      <c r="P52" s="125"/>
      <c r="Q52" s="127"/>
      <c r="R52" s="71"/>
    </row>
    <row r="53" spans="1:18" ht="34.5" customHeight="1" x14ac:dyDescent="0.2">
      <c r="A53" s="134"/>
      <c r="B53" s="135"/>
      <c r="C53" s="125"/>
      <c r="D53" s="126"/>
      <c r="E53" s="126"/>
      <c r="F53" s="126"/>
      <c r="G53" s="126"/>
      <c r="H53" s="126"/>
      <c r="I53" s="126"/>
      <c r="J53" s="126"/>
      <c r="K53" s="126"/>
      <c r="L53" s="126"/>
      <c r="M53" s="126"/>
      <c r="N53" s="126"/>
      <c r="O53" s="126"/>
      <c r="P53" s="125"/>
      <c r="Q53" s="127"/>
      <c r="R53" s="71"/>
    </row>
    <row r="54" spans="1:18" ht="34.5" customHeight="1" x14ac:dyDescent="0.2">
      <c r="A54" s="132"/>
      <c r="B54" s="124"/>
      <c r="C54" s="125"/>
      <c r="D54" s="126"/>
      <c r="E54" s="126"/>
      <c r="F54" s="126"/>
      <c r="G54" s="126"/>
      <c r="H54" s="126"/>
      <c r="I54" s="126"/>
      <c r="J54" s="126"/>
      <c r="K54" s="126"/>
      <c r="L54" s="126"/>
      <c r="M54" s="126"/>
      <c r="N54" s="126"/>
      <c r="O54" s="126"/>
      <c r="P54" s="125"/>
      <c r="Q54" s="127"/>
      <c r="R54" s="125"/>
    </row>
    <row r="55" spans="1:18" ht="34.5" customHeight="1" x14ac:dyDescent="0.2">
      <c r="A55" s="134"/>
      <c r="B55" s="124"/>
      <c r="C55" s="125"/>
      <c r="D55" s="131"/>
      <c r="E55" s="131"/>
      <c r="F55" s="131"/>
      <c r="G55" s="131"/>
      <c r="H55" s="131"/>
      <c r="I55" s="131"/>
      <c r="J55" s="131"/>
      <c r="K55" s="131"/>
      <c r="L55" s="131"/>
      <c r="M55" s="131"/>
      <c r="N55" s="131"/>
      <c r="O55" s="131"/>
      <c r="P55" s="125"/>
      <c r="Q55" s="127"/>
      <c r="R55" s="125"/>
    </row>
    <row r="56" spans="1:18" ht="18.75" customHeight="1" x14ac:dyDescent="0.2">
      <c r="A56" s="71"/>
      <c r="B56" s="71"/>
      <c r="C56" s="71"/>
      <c r="D56" s="71"/>
      <c r="E56" s="71"/>
      <c r="F56" s="71"/>
      <c r="G56" s="71"/>
      <c r="H56" s="71"/>
      <c r="I56" s="71"/>
      <c r="J56" s="71"/>
      <c r="K56" s="71"/>
      <c r="L56" s="71"/>
      <c r="M56" s="71"/>
      <c r="N56" s="71"/>
      <c r="O56" s="71"/>
      <c r="P56" s="71"/>
      <c r="Q56" s="71"/>
      <c r="R56" s="71"/>
    </row>
    <row r="57" spans="1:18" ht="45.75" customHeight="1" x14ac:dyDescent="0.2">
      <c r="A57" s="136"/>
      <c r="B57" s="124"/>
      <c r="C57" s="125"/>
      <c r="D57" s="131"/>
      <c r="E57" s="131"/>
      <c r="F57" s="131"/>
      <c r="G57" s="131"/>
      <c r="H57" s="131"/>
      <c r="I57" s="131"/>
      <c r="J57" s="131"/>
      <c r="K57" s="131"/>
      <c r="L57" s="131"/>
      <c r="M57" s="131"/>
      <c r="N57" s="131"/>
      <c r="O57" s="131"/>
      <c r="P57" s="133"/>
      <c r="Q57" s="137"/>
      <c r="R57" s="125"/>
    </row>
    <row r="58" spans="1:18" x14ac:dyDescent="0.2">
      <c r="A58" s="71"/>
      <c r="B58" s="71"/>
      <c r="C58" s="71"/>
      <c r="D58" s="71"/>
      <c r="E58" s="71"/>
      <c r="F58" s="71"/>
      <c r="G58" s="71"/>
      <c r="H58" s="71"/>
      <c r="I58" s="71"/>
      <c r="J58" s="71"/>
      <c r="K58" s="71"/>
      <c r="L58" s="71"/>
      <c r="M58" s="71"/>
      <c r="N58" s="71"/>
      <c r="O58" s="71"/>
      <c r="P58" s="71"/>
      <c r="Q58" s="71"/>
      <c r="R58" s="71"/>
    </row>
    <row r="59" spans="1:18" x14ac:dyDescent="0.2">
      <c r="A59" s="71"/>
      <c r="B59" s="71"/>
      <c r="C59" s="71"/>
      <c r="D59" s="71"/>
      <c r="E59" s="71"/>
      <c r="F59" s="71"/>
      <c r="G59" s="71"/>
      <c r="H59" s="71"/>
      <c r="I59" s="71"/>
      <c r="J59" s="71"/>
      <c r="K59" s="71"/>
      <c r="L59" s="71"/>
      <c r="M59" s="71"/>
      <c r="N59" s="71"/>
      <c r="O59" s="71"/>
      <c r="P59" s="71"/>
      <c r="Q59" s="71"/>
      <c r="R59" s="71"/>
    </row>
    <row r="60" spans="1:18" x14ac:dyDescent="0.2">
      <c r="A60" s="71"/>
      <c r="B60" s="71"/>
      <c r="C60" s="71"/>
      <c r="D60" s="71"/>
      <c r="E60" s="71"/>
      <c r="F60" s="71"/>
      <c r="G60" s="71"/>
      <c r="H60" s="71"/>
      <c r="I60" s="71"/>
      <c r="J60" s="71"/>
      <c r="K60" s="71"/>
      <c r="L60" s="71"/>
      <c r="M60" s="71"/>
      <c r="N60" s="71"/>
      <c r="O60" s="71"/>
      <c r="P60" s="71"/>
      <c r="Q60" s="71"/>
      <c r="R60" s="71"/>
    </row>
    <row r="61" spans="1:18" x14ac:dyDescent="0.2">
      <c r="A61" s="71"/>
      <c r="B61" s="71"/>
      <c r="C61" s="71"/>
      <c r="D61" s="71"/>
      <c r="E61" s="71"/>
      <c r="F61" s="71"/>
      <c r="G61" s="71"/>
      <c r="H61" s="71"/>
      <c r="I61" s="71"/>
      <c r="J61" s="71"/>
      <c r="K61" s="71"/>
      <c r="L61" s="71"/>
      <c r="M61" s="71"/>
      <c r="N61" s="71"/>
      <c r="O61" s="71"/>
      <c r="P61" s="71"/>
      <c r="Q61" s="71"/>
      <c r="R61" s="71"/>
    </row>
    <row r="62" spans="1:18" x14ac:dyDescent="0.2">
      <c r="A62" s="71"/>
      <c r="B62" s="71"/>
      <c r="C62" s="71"/>
      <c r="D62" s="71"/>
      <c r="E62" s="71"/>
      <c r="F62" s="71"/>
      <c r="G62" s="71"/>
      <c r="H62" s="71"/>
      <c r="I62" s="71"/>
      <c r="J62" s="71"/>
      <c r="K62" s="71"/>
      <c r="L62" s="71"/>
      <c r="M62" s="71"/>
      <c r="N62" s="71"/>
      <c r="O62" s="71"/>
      <c r="P62" s="71"/>
      <c r="Q62" s="71"/>
      <c r="R62" s="71"/>
    </row>
    <row r="63" spans="1:18" x14ac:dyDescent="0.2">
      <c r="A63" s="71"/>
      <c r="B63" s="71"/>
      <c r="C63" s="71"/>
      <c r="D63" s="71"/>
      <c r="E63" s="71"/>
      <c r="F63" s="71"/>
      <c r="G63" s="71"/>
      <c r="H63" s="71"/>
      <c r="I63" s="71"/>
      <c r="J63" s="71"/>
      <c r="K63" s="71"/>
      <c r="L63" s="71"/>
      <c r="M63" s="71"/>
      <c r="N63" s="71"/>
      <c r="O63" s="71"/>
      <c r="P63" s="71"/>
      <c r="Q63" s="71"/>
      <c r="R63" s="71"/>
    </row>
    <row r="64" spans="1:18" x14ac:dyDescent="0.2">
      <c r="A64" s="71"/>
      <c r="B64" s="71"/>
      <c r="C64" s="71"/>
      <c r="D64" s="71"/>
      <c r="E64" s="71"/>
      <c r="F64" s="71"/>
      <c r="G64" s="71"/>
      <c r="H64" s="71"/>
      <c r="I64" s="71"/>
      <c r="J64" s="71"/>
      <c r="K64" s="71"/>
      <c r="L64" s="71"/>
      <c r="M64" s="71"/>
      <c r="N64" s="71"/>
      <c r="O64" s="71"/>
      <c r="P64" s="71"/>
      <c r="Q64" s="71"/>
      <c r="R64" s="71"/>
    </row>
    <row r="65" spans="1:18" x14ac:dyDescent="0.2">
      <c r="A65" s="71"/>
      <c r="B65" s="71"/>
      <c r="C65" s="71"/>
      <c r="D65" s="71"/>
      <c r="E65" s="71"/>
      <c r="F65" s="71"/>
      <c r="G65" s="71"/>
      <c r="H65" s="71"/>
      <c r="I65" s="71"/>
      <c r="J65" s="71"/>
      <c r="K65" s="71"/>
      <c r="L65" s="71"/>
      <c r="M65" s="71"/>
      <c r="N65" s="71"/>
      <c r="O65" s="71"/>
      <c r="P65" s="71"/>
      <c r="Q65" s="71"/>
      <c r="R65" s="71"/>
    </row>
  </sheetData>
  <mergeCells count="8">
    <mergeCell ref="R27:V27"/>
    <mergeCell ref="A1:R1"/>
    <mergeCell ref="A17:P17"/>
    <mergeCell ref="P21:P24"/>
    <mergeCell ref="Q21:Q24"/>
    <mergeCell ref="R21:R24"/>
    <mergeCell ref="F4:G4"/>
    <mergeCell ref="R26:V26"/>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DSMT4" shapeId="5146" r:id="rId4">
          <objectPr defaultSize="0" autoPict="0" r:id="rId5">
            <anchor moveWithCells="1" sizeWithCells="1">
              <from>
                <xdr:col>16</xdr:col>
                <xdr:colOff>114300</xdr:colOff>
                <xdr:row>5</xdr:row>
                <xdr:rowOff>95250</xdr:rowOff>
              </from>
              <to>
                <xdr:col>16</xdr:col>
                <xdr:colOff>2019300</xdr:colOff>
                <xdr:row>5</xdr:row>
                <xdr:rowOff>323850</xdr:rowOff>
              </to>
            </anchor>
          </objectPr>
        </oleObject>
      </mc:Choice>
      <mc:Fallback>
        <oleObject progId="Equation.DSMT4" shapeId="5146" r:id="rId4"/>
      </mc:Fallback>
    </mc:AlternateContent>
    <mc:AlternateContent xmlns:mc="http://schemas.openxmlformats.org/markup-compatibility/2006">
      <mc:Choice Requires="x14">
        <oleObject progId="Equation.DSMT4" shapeId="2" r:id="rId6">
          <objectPr defaultSize="0" autoPict="0" r:id="rId7">
            <anchor moveWithCells="1" sizeWithCells="1">
              <from>
                <xdr:col>16</xdr:col>
                <xdr:colOff>133350</xdr:colOff>
                <xdr:row>7</xdr:row>
                <xdr:rowOff>28575</xdr:rowOff>
              </from>
              <to>
                <xdr:col>16</xdr:col>
                <xdr:colOff>1390650</xdr:colOff>
                <xdr:row>7</xdr:row>
                <xdr:rowOff>428625</xdr:rowOff>
              </to>
            </anchor>
          </objectPr>
        </oleObject>
      </mc:Choice>
      <mc:Fallback>
        <oleObject progId="Equation.DSMT4" shapeId="5164" r:id="rId6"/>
      </mc:Fallback>
    </mc:AlternateContent>
    <mc:AlternateContent xmlns:mc="http://schemas.openxmlformats.org/markup-compatibility/2006">
      <mc:Choice Requires="x14">
        <oleObject progId="Equation.DSMT4" shapeId="3" r:id="rId8">
          <objectPr defaultSize="0" autoPict="0" r:id="rId9">
            <anchor moveWithCells="1" sizeWithCells="1">
              <from>
                <xdr:col>16</xdr:col>
                <xdr:colOff>104775</xdr:colOff>
                <xdr:row>6</xdr:row>
                <xdr:rowOff>0</xdr:rowOff>
              </from>
              <to>
                <xdr:col>16</xdr:col>
                <xdr:colOff>2019300</xdr:colOff>
                <xdr:row>7</xdr:row>
                <xdr:rowOff>0</xdr:rowOff>
              </to>
            </anchor>
          </objectPr>
        </oleObject>
      </mc:Choice>
      <mc:Fallback>
        <oleObject progId="Equation.DSMT4" shapeId="5165" r:id="rId8"/>
      </mc:Fallback>
    </mc:AlternateContent>
    <mc:AlternateContent xmlns:mc="http://schemas.openxmlformats.org/markup-compatibility/2006">
      <mc:Choice Requires="x14">
        <oleObject progId="Equation.DSMT4" shapeId="4" r:id="rId10">
          <objectPr defaultSize="0" autoPict="0" r:id="rId11">
            <anchor moveWithCells="1" sizeWithCells="1">
              <from>
                <xdr:col>1</xdr:col>
                <xdr:colOff>219075</xdr:colOff>
                <xdr:row>5</xdr:row>
                <xdr:rowOff>47625</xdr:rowOff>
              </from>
              <to>
                <xdr:col>1</xdr:col>
                <xdr:colOff>561975</xdr:colOff>
                <xdr:row>5</xdr:row>
                <xdr:rowOff>304800</xdr:rowOff>
              </to>
            </anchor>
          </objectPr>
        </oleObject>
      </mc:Choice>
      <mc:Fallback>
        <oleObject progId="Equation.DSMT4" shapeId="5168" r:id="rId10"/>
      </mc:Fallback>
    </mc:AlternateContent>
    <mc:AlternateContent xmlns:mc="http://schemas.openxmlformats.org/markup-compatibility/2006">
      <mc:Choice Requires="x14">
        <oleObject progId="Equation.DSMT4" shapeId="5" r:id="rId12">
          <objectPr defaultSize="0" autoPict="0" r:id="rId13">
            <anchor moveWithCells="1" sizeWithCells="1">
              <from>
                <xdr:col>16</xdr:col>
                <xdr:colOff>152400</xdr:colOff>
                <xdr:row>11</xdr:row>
                <xdr:rowOff>19050</xdr:rowOff>
              </from>
              <to>
                <xdr:col>16</xdr:col>
                <xdr:colOff>2105025</xdr:colOff>
                <xdr:row>11</xdr:row>
                <xdr:rowOff>552450</xdr:rowOff>
              </to>
            </anchor>
          </objectPr>
        </oleObject>
      </mc:Choice>
      <mc:Fallback>
        <oleObject progId="Equation.DSMT4" shapeId="5169" r:id="rId12"/>
      </mc:Fallback>
    </mc:AlternateContent>
    <mc:AlternateContent xmlns:mc="http://schemas.openxmlformats.org/markup-compatibility/2006">
      <mc:Choice Requires="x14">
        <oleObject progId="Equation.DSMT4" shapeId="6" r:id="rId14">
          <objectPr defaultSize="0" autoPict="0" r:id="rId15">
            <anchor moveWithCells="1" sizeWithCells="1">
              <from>
                <xdr:col>16</xdr:col>
                <xdr:colOff>152400</xdr:colOff>
                <xdr:row>12</xdr:row>
                <xdr:rowOff>0</xdr:rowOff>
              </from>
              <to>
                <xdr:col>16</xdr:col>
                <xdr:colOff>1866900</xdr:colOff>
                <xdr:row>12</xdr:row>
                <xdr:rowOff>419100</xdr:rowOff>
              </to>
            </anchor>
          </objectPr>
        </oleObject>
      </mc:Choice>
      <mc:Fallback>
        <oleObject progId="Equation.DSMT4" shapeId="5170" r:id="rId14"/>
      </mc:Fallback>
    </mc:AlternateContent>
    <mc:AlternateContent xmlns:mc="http://schemas.openxmlformats.org/markup-compatibility/2006">
      <mc:Choice Requires="x14">
        <oleObject progId="Equation.DSMT4" shapeId="7" r:id="rId16">
          <objectPr defaultSize="0" autoPict="0" r:id="rId17">
            <anchor moveWithCells="1" sizeWithCells="1">
              <from>
                <xdr:col>16</xdr:col>
                <xdr:colOff>190500</xdr:colOff>
                <xdr:row>21</xdr:row>
                <xdr:rowOff>209550</xdr:rowOff>
              </from>
              <to>
                <xdr:col>17</xdr:col>
                <xdr:colOff>1247775</xdr:colOff>
                <xdr:row>22</xdr:row>
                <xdr:rowOff>142875</xdr:rowOff>
              </to>
            </anchor>
          </objectPr>
        </oleObject>
      </mc:Choice>
      <mc:Fallback>
        <oleObject progId="Equation.DSMT4" shapeId="5171" r:id="rId16"/>
      </mc:Fallback>
    </mc:AlternateContent>
    <mc:AlternateContent xmlns:mc="http://schemas.openxmlformats.org/markup-compatibility/2006">
      <mc:Choice Requires="x14">
        <oleObject progId="Equation.DSMT4" shapeId="8" r:id="rId18">
          <objectPr defaultSize="0" autoPict="0" r:id="rId19">
            <anchor moveWithCells="1" sizeWithCells="1">
              <from>
                <xdr:col>16</xdr:col>
                <xdr:colOff>180975</xdr:colOff>
                <xdr:row>10</xdr:row>
                <xdr:rowOff>114300</xdr:rowOff>
              </from>
              <to>
                <xdr:col>16</xdr:col>
                <xdr:colOff>1181100</xdr:colOff>
                <xdr:row>10</xdr:row>
                <xdr:rowOff>333375</xdr:rowOff>
              </to>
            </anchor>
          </objectPr>
        </oleObject>
      </mc:Choice>
      <mc:Fallback>
        <oleObject progId="Equation.DSMT4" shapeId="5173" r:id="rId18"/>
      </mc:Fallback>
    </mc:AlternateContent>
    <mc:AlternateContent xmlns:mc="http://schemas.openxmlformats.org/markup-compatibility/2006">
      <mc:Choice Requires="x14">
        <oleObject progId="Equation.DSMT4" shapeId="9" r:id="rId20">
          <objectPr defaultSize="0" autoPict="0" r:id="rId21">
            <anchor moveWithCells="1" sizeWithCells="1">
              <from>
                <xdr:col>16</xdr:col>
                <xdr:colOff>142875</xdr:colOff>
                <xdr:row>18</xdr:row>
                <xdr:rowOff>0</xdr:rowOff>
              </from>
              <to>
                <xdr:col>16</xdr:col>
                <xdr:colOff>1971675</xdr:colOff>
                <xdr:row>18</xdr:row>
                <xdr:rowOff>390525</xdr:rowOff>
              </to>
            </anchor>
          </objectPr>
        </oleObject>
      </mc:Choice>
      <mc:Fallback>
        <oleObject progId="Equation.DSMT4" shapeId="5174" r:id="rId20"/>
      </mc:Fallback>
    </mc:AlternateContent>
    <mc:AlternateContent xmlns:mc="http://schemas.openxmlformats.org/markup-compatibility/2006">
      <mc:Choice Requires="x14">
        <oleObject progId="Equation.DSMT4" shapeId="10" r:id="rId22">
          <objectPr defaultSize="0" autoPict="0" r:id="rId23">
            <anchor moveWithCells="1" sizeWithCells="1">
              <from>
                <xdr:col>16</xdr:col>
                <xdr:colOff>152400</xdr:colOff>
                <xdr:row>19</xdr:row>
                <xdr:rowOff>0</xdr:rowOff>
              </from>
              <to>
                <xdr:col>16</xdr:col>
                <xdr:colOff>1781175</xdr:colOff>
                <xdr:row>19</xdr:row>
                <xdr:rowOff>390525</xdr:rowOff>
              </to>
            </anchor>
          </objectPr>
        </oleObject>
      </mc:Choice>
      <mc:Fallback>
        <oleObject progId="Equation.DSMT4" shapeId="5175" r:id="rId22"/>
      </mc:Fallback>
    </mc:AlternateContent>
    <mc:AlternateContent xmlns:mc="http://schemas.openxmlformats.org/markup-compatibility/2006">
      <mc:Choice Requires="x14">
        <oleObject progId="Equation.DSMT4" shapeId="11" r:id="rId24">
          <objectPr defaultSize="0" autoPict="0" r:id="rId25">
            <anchor moveWithCells="1" sizeWithCells="1">
              <from>
                <xdr:col>16</xdr:col>
                <xdr:colOff>0</xdr:colOff>
                <xdr:row>26</xdr:row>
                <xdr:rowOff>0</xdr:rowOff>
              </from>
              <to>
                <xdr:col>16</xdr:col>
                <xdr:colOff>1362075</xdr:colOff>
                <xdr:row>26</xdr:row>
                <xdr:rowOff>390525</xdr:rowOff>
              </to>
            </anchor>
          </objectPr>
        </oleObject>
      </mc:Choice>
      <mc:Fallback>
        <oleObject progId="Equation.DSMT4" shapeId="5176" r:id="rId2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R26"/>
  <sheetViews>
    <sheetView topLeftCell="C1" workbookViewId="0">
      <selection activeCell="E26" sqref="E26"/>
    </sheetView>
  </sheetViews>
  <sheetFormatPr defaultRowHeight="12.75" x14ac:dyDescent="0.2"/>
  <cols>
    <col min="1" max="1" width="27" style="1" customWidth="1"/>
    <col min="2" max="2" width="12.140625" style="1" customWidth="1"/>
    <col min="3" max="3" width="16.5703125" style="1" customWidth="1"/>
    <col min="4" max="4" width="11.85546875" style="1" customWidth="1"/>
    <col min="5" max="5" width="14" style="1" customWidth="1"/>
    <col min="6" max="6" width="8.85546875" style="1" customWidth="1"/>
    <col min="7" max="7" width="10.7109375" style="1" customWidth="1"/>
    <col min="8" max="8" width="9.140625" style="1"/>
    <col min="9" max="9" width="8" style="1" customWidth="1"/>
    <col min="10" max="15" width="9.140625" style="1"/>
    <col min="16" max="16" width="9.42578125" style="1" customWidth="1"/>
    <col min="17" max="17" width="26" style="1" customWidth="1"/>
    <col min="18" max="16384" width="9.140625" style="1"/>
  </cols>
  <sheetData>
    <row r="1" spans="1:17" ht="62.25" customHeight="1" x14ac:dyDescent="0.2">
      <c r="A1" s="277" t="s">
        <v>16</v>
      </c>
      <c r="B1" s="278"/>
      <c r="C1" s="278"/>
      <c r="D1" s="278"/>
      <c r="E1" s="278"/>
      <c r="F1" s="278"/>
      <c r="G1" s="278"/>
      <c r="H1" s="278"/>
      <c r="I1" s="278"/>
    </row>
    <row r="4" spans="1:17" ht="25.5" x14ac:dyDescent="0.2">
      <c r="A4" s="2" t="s">
        <v>2</v>
      </c>
      <c r="B4" s="2" t="s">
        <v>6</v>
      </c>
      <c r="C4" s="138" t="s">
        <v>19</v>
      </c>
      <c r="D4" s="25" t="s">
        <v>0</v>
      </c>
      <c r="E4" s="25" t="s">
        <v>3</v>
      </c>
      <c r="F4" s="138" t="s">
        <v>8</v>
      </c>
      <c r="G4" s="25" t="s">
        <v>12</v>
      </c>
      <c r="H4" s="138" t="s">
        <v>9</v>
      </c>
      <c r="Q4" s="2" t="s">
        <v>5</v>
      </c>
    </row>
    <row r="5" spans="1:17" ht="24" x14ac:dyDescent="0.2">
      <c r="A5" s="51" t="s">
        <v>63</v>
      </c>
      <c r="B5" s="36" t="s">
        <v>101</v>
      </c>
      <c r="C5" s="53" t="s">
        <v>102</v>
      </c>
      <c r="D5" s="38" t="s">
        <v>64</v>
      </c>
      <c r="E5" s="250">
        <f>Method_calculation!$D$9</f>
        <v>0.24984384759525299</v>
      </c>
      <c r="F5" s="38" t="s">
        <v>66</v>
      </c>
      <c r="G5" s="38" t="s">
        <v>65</v>
      </c>
      <c r="H5" s="38" t="s">
        <v>24</v>
      </c>
      <c r="I5" s="60"/>
    </row>
    <row r="6" spans="1:17" ht="24" x14ac:dyDescent="0.2">
      <c r="A6" s="52" t="s">
        <v>67</v>
      </c>
      <c r="B6" s="112" t="s">
        <v>78</v>
      </c>
      <c r="C6" s="53"/>
      <c r="D6" s="139" t="s">
        <v>79</v>
      </c>
      <c r="E6" s="94"/>
      <c r="F6" s="139" t="s">
        <v>66</v>
      </c>
      <c r="G6" s="139" t="s">
        <v>68</v>
      </c>
      <c r="H6" s="139" t="s">
        <v>24</v>
      </c>
    </row>
    <row r="7" spans="1:17" ht="24" x14ac:dyDescent="0.2">
      <c r="A7" s="52" t="s">
        <v>69</v>
      </c>
      <c r="B7" s="113" t="s">
        <v>80</v>
      </c>
      <c r="C7" s="53"/>
      <c r="D7" s="139" t="s">
        <v>79</v>
      </c>
      <c r="E7" s="94"/>
      <c r="F7" s="139" t="s">
        <v>66</v>
      </c>
      <c r="G7" s="139" t="s">
        <v>68</v>
      </c>
      <c r="H7" s="139" t="s">
        <v>24</v>
      </c>
    </row>
    <row r="8" spans="1:17" ht="24" x14ac:dyDescent="0.2">
      <c r="A8" s="52" t="s">
        <v>70</v>
      </c>
      <c r="B8" s="113" t="s">
        <v>81</v>
      </c>
      <c r="C8" s="53"/>
      <c r="D8" s="139" t="s">
        <v>79</v>
      </c>
      <c r="E8" s="94"/>
      <c r="F8" s="139" t="s">
        <v>66</v>
      </c>
      <c r="G8" s="139" t="s">
        <v>68</v>
      </c>
      <c r="H8" s="139" t="s">
        <v>24</v>
      </c>
    </row>
    <row r="9" spans="1:17" ht="24" x14ac:dyDescent="0.2">
      <c r="A9" s="52" t="s">
        <v>71</v>
      </c>
      <c r="B9" s="113" t="s">
        <v>82</v>
      </c>
      <c r="C9" s="53"/>
      <c r="D9" s="139" t="s">
        <v>79</v>
      </c>
      <c r="E9" s="94"/>
      <c r="F9" s="139" t="s">
        <v>66</v>
      </c>
      <c r="G9" s="139" t="s">
        <v>68</v>
      </c>
      <c r="H9" s="139" t="s">
        <v>24</v>
      </c>
    </row>
    <row r="10" spans="1:17" ht="36" x14ac:dyDescent="0.2">
      <c r="A10" s="32" t="s">
        <v>77</v>
      </c>
      <c r="B10" s="91" t="s">
        <v>104</v>
      </c>
      <c r="C10" s="53" t="s">
        <v>87</v>
      </c>
      <c r="D10" s="38" t="s">
        <v>72</v>
      </c>
      <c r="E10" s="142">
        <f>Method_calculation!D10</f>
        <v>3.8324999999999996</v>
      </c>
      <c r="F10" s="38" t="s">
        <v>66</v>
      </c>
      <c r="G10" s="38" t="s">
        <v>68</v>
      </c>
      <c r="H10" s="38" t="s">
        <v>24</v>
      </c>
    </row>
    <row r="11" spans="1:17" ht="24" x14ac:dyDescent="0.2">
      <c r="A11" s="52" t="s">
        <v>73</v>
      </c>
      <c r="B11" s="113" t="s">
        <v>84</v>
      </c>
      <c r="C11" s="53"/>
      <c r="D11" s="139" t="s">
        <v>83</v>
      </c>
      <c r="E11" s="94"/>
      <c r="F11" s="139" t="s">
        <v>66</v>
      </c>
      <c r="G11" s="139" t="s">
        <v>68</v>
      </c>
      <c r="H11" s="139" t="s">
        <v>24</v>
      </c>
    </row>
    <row r="12" spans="1:17" ht="24" x14ac:dyDescent="0.2">
      <c r="A12" s="52" t="s">
        <v>74</v>
      </c>
      <c r="B12" s="113" t="s">
        <v>85</v>
      </c>
      <c r="C12" s="53"/>
      <c r="D12" s="139" t="s">
        <v>83</v>
      </c>
      <c r="E12" s="94"/>
      <c r="F12" s="139" t="s">
        <v>66</v>
      </c>
      <c r="G12" s="139" t="s">
        <v>68</v>
      </c>
      <c r="H12" s="139" t="s">
        <v>24</v>
      </c>
    </row>
    <row r="13" spans="1:17" ht="24" x14ac:dyDescent="0.2">
      <c r="A13" s="52" t="s">
        <v>75</v>
      </c>
      <c r="B13" s="113" t="s">
        <v>86</v>
      </c>
      <c r="C13" s="53"/>
      <c r="D13" s="139" t="s">
        <v>83</v>
      </c>
      <c r="E13" s="94"/>
      <c r="F13" s="139" t="s">
        <v>66</v>
      </c>
      <c r="G13" s="139" t="s">
        <v>68</v>
      </c>
      <c r="H13" s="139" t="s">
        <v>24</v>
      </c>
    </row>
    <row r="14" spans="1:17" ht="24" x14ac:dyDescent="0.2">
      <c r="A14" s="52" t="s">
        <v>76</v>
      </c>
      <c r="B14" s="113" t="s">
        <v>86</v>
      </c>
      <c r="C14" s="53"/>
      <c r="D14" s="139" t="s">
        <v>83</v>
      </c>
      <c r="E14" s="94"/>
      <c r="F14" s="139" t="s">
        <v>66</v>
      </c>
      <c r="G14" s="139" t="s">
        <v>68</v>
      </c>
      <c r="H14" s="139" t="s">
        <v>24</v>
      </c>
    </row>
    <row r="15" spans="1:17" ht="51" x14ac:dyDescent="0.2">
      <c r="A15" s="190" t="s">
        <v>209</v>
      </c>
      <c r="B15" s="187" t="s">
        <v>211</v>
      </c>
      <c r="C15" s="53" t="s">
        <v>213</v>
      </c>
      <c r="D15" s="188" t="s">
        <v>93</v>
      </c>
      <c r="E15" s="250">
        <f>Method_calculation!D32</f>
        <v>19.019790235390474</v>
      </c>
      <c r="F15" s="38" t="s">
        <v>66</v>
      </c>
      <c r="G15" s="38" t="s">
        <v>68</v>
      </c>
      <c r="H15" s="38" t="s">
        <v>24</v>
      </c>
    </row>
    <row r="16" spans="1:17" ht="51.75" thickBot="1" x14ac:dyDescent="0.25">
      <c r="A16" s="190" t="s">
        <v>210</v>
      </c>
      <c r="B16" s="200" t="s">
        <v>212</v>
      </c>
      <c r="C16" s="201" t="s">
        <v>214</v>
      </c>
      <c r="D16" s="202" t="s">
        <v>93</v>
      </c>
      <c r="E16" s="250">
        <f>Method_calculation!E32</f>
        <v>81.616274975588553</v>
      </c>
      <c r="F16" s="38" t="s">
        <v>66</v>
      </c>
      <c r="G16" s="38" t="s">
        <v>68</v>
      </c>
      <c r="H16" s="38" t="s">
        <v>24</v>
      </c>
    </row>
    <row r="17" spans="1:18" ht="25.5" x14ac:dyDescent="0.2">
      <c r="A17" s="212" t="s">
        <v>187</v>
      </c>
      <c r="B17" s="203" t="s">
        <v>191</v>
      </c>
      <c r="C17" s="25" t="s">
        <v>216</v>
      </c>
      <c r="D17" s="25" t="s">
        <v>115</v>
      </c>
      <c r="E17" s="250">
        <f>Method_calculation!D14</f>
        <v>0.25</v>
      </c>
      <c r="F17" s="38" t="s">
        <v>66</v>
      </c>
      <c r="G17" s="38" t="s">
        <v>68</v>
      </c>
      <c r="H17" s="38" t="s">
        <v>24</v>
      </c>
    </row>
    <row r="18" spans="1:18" ht="25.5" x14ac:dyDescent="0.2">
      <c r="A18" s="213" t="s">
        <v>188</v>
      </c>
      <c r="B18" s="203" t="s">
        <v>192</v>
      </c>
      <c r="C18" s="161" t="s">
        <v>217</v>
      </c>
      <c r="D18" s="161" t="s">
        <v>189</v>
      </c>
      <c r="E18" s="214">
        <f>Method_calculation!D15</f>
        <v>1000000</v>
      </c>
      <c r="F18" s="38" t="s">
        <v>66</v>
      </c>
      <c r="G18" s="38" t="s">
        <v>68</v>
      </c>
      <c r="H18" s="38" t="s">
        <v>24</v>
      </c>
    </row>
    <row r="19" spans="1:18" ht="25.5" x14ac:dyDescent="0.2">
      <c r="A19" s="42" t="s">
        <v>190</v>
      </c>
      <c r="B19" s="8" t="s">
        <v>193</v>
      </c>
      <c r="C19" s="25" t="s">
        <v>218</v>
      </c>
      <c r="D19" s="25" t="s">
        <v>194</v>
      </c>
      <c r="E19" s="142">
        <f>Method_calculation!D16</f>
        <v>1.0824999999999996</v>
      </c>
      <c r="F19" s="38" t="s">
        <v>66</v>
      </c>
      <c r="G19" s="38" t="s">
        <v>68</v>
      </c>
      <c r="H19" s="38" t="s">
        <v>24</v>
      </c>
    </row>
    <row r="20" spans="1:18" x14ac:dyDescent="0.2">
      <c r="A20" s="210"/>
      <c r="B20" s="191"/>
      <c r="C20" s="204"/>
      <c r="D20" s="205"/>
      <c r="E20" s="206"/>
      <c r="F20" s="207"/>
      <c r="G20" s="207"/>
      <c r="H20" s="207"/>
    </row>
    <row r="21" spans="1:18" x14ac:dyDescent="0.2">
      <c r="A21" s="211" t="s">
        <v>215</v>
      </c>
      <c r="B21" s="191"/>
      <c r="C21" s="204"/>
      <c r="D21" s="205"/>
      <c r="E21" s="206"/>
      <c r="F21" s="207"/>
      <c r="G21" s="207"/>
      <c r="H21" s="207"/>
    </row>
    <row r="22" spans="1:18" s="62" customFormat="1" ht="15.75" customHeight="1" x14ac:dyDescent="0.2">
      <c r="A22" s="42" t="s">
        <v>151</v>
      </c>
      <c r="B22" s="53" t="s">
        <v>27</v>
      </c>
      <c r="C22" s="53" t="s">
        <v>27</v>
      </c>
      <c r="D22" s="61" t="s">
        <v>131</v>
      </c>
      <c r="E22" s="25">
        <v>1</v>
      </c>
      <c r="F22" s="25">
        <f>+E22+1</f>
        <v>2</v>
      </c>
      <c r="G22" s="25">
        <f t="shared" ref="G22:O22" si="0">+F22+1</f>
        <v>3</v>
      </c>
      <c r="H22" s="25">
        <f t="shared" si="0"/>
        <v>4</v>
      </c>
      <c r="I22" s="25">
        <f t="shared" si="0"/>
        <v>5</v>
      </c>
      <c r="J22" s="25">
        <f t="shared" si="0"/>
        <v>6</v>
      </c>
      <c r="K22" s="25">
        <f t="shared" si="0"/>
        <v>7</v>
      </c>
      <c r="L22" s="25">
        <f t="shared" si="0"/>
        <v>8</v>
      </c>
      <c r="M22" s="25">
        <f t="shared" si="0"/>
        <v>9</v>
      </c>
      <c r="N22" s="25">
        <f t="shared" si="0"/>
        <v>10</v>
      </c>
      <c r="O22" s="25">
        <f t="shared" si="0"/>
        <v>11</v>
      </c>
      <c r="P22" s="25">
        <f>+O22+1</f>
        <v>12</v>
      </c>
      <c r="Q22" s="192"/>
      <c r="R22" s="193"/>
    </row>
    <row r="23" spans="1:18" ht="30" customHeight="1" x14ac:dyDescent="0.2">
      <c r="A23" s="115" t="s">
        <v>162</v>
      </c>
      <c r="B23" s="208" t="s">
        <v>125</v>
      </c>
      <c r="C23" s="53" t="s">
        <v>159</v>
      </c>
      <c r="D23" s="209" t="s">
        <v>90</v>
      </c>
      <c r="E23" s="142">
        <f>Method_calculation!D25</f>
        <v>3.8655758857735272</v>
      </c>
      <c r="F23" s="142">
        <f>Method_calculation!E25</f>
        <v>3.0009498034248452</v>
      </c>
      <c r="G23" s="142">
        <f>Method_calculation!F25</f>
        <v>3.7972202404922584</v>
      </c>
      <c r="H23" s="142">
        <f>Method_calculation!G25</f>
        <v>6.0410271764067662</v>
      </c>
      <c r="I23" s="142">
        <f>Method_calculation!H25</f>
        <v>9.1311443547187299</v>
      </c>
      <c r="J23" s="142">
        <f>Method_calculation!I25</f>
        <v>12.23957737298192</v>
      </c>
      <c r="K23" s="142">
        <f>Method_calculation!J25</f>
        <v>14.53342411422647</v>
      </c>
      <c r="L23" s="142">
        <f>Method_calculation!K25</f>
        <v>15.398050196575152</v>
      </c>
      <c r="M23" s="142">
        <f>Method_calculation!L25</f>
        <v>14.601779759507741</v>
      </c>
      <c r="N23" s="142">
        <f>Method_calculation!M25</f>
        <v>12.357972823593233</v>
      </c>
      <c r="O23" s="142">
        <f>Method_calculation!N25</f>
        <v>9.2678556452812693</v>
      </c>
      <c r="P23" s="142">
        <f>Method_calculation!O25</f>
        <v>6.1594226270180794</v>
      </c>
    </row>
    <row r="24" spans="1:18" ht="38.25" x14ac:dyDescent="0.2">
      <c r="A24" s="27" t="s">
        <v>196</v>
      </c>
      <c r="B24" s="116" t="s">
        <v>195</v>
      </c>
      <c r="C24" s="25" t="s">
        <v>271</v>
      </c>
      <c r="D24" s="25" t="s">
        <v>93</v>
      </c>
      <c r="E24" s="250">
        <f>Method_calculation!D27</f>
        <v>35.313989042414676</v>
      </c>
      <c r="F24" s="250">
        <f>Method_calculation!E27</f>
        <v>38.143658685837046</v>
      </c>
      <c r="G24" s="250">
        <f>Method_calculation!F27</f>
        <v>37.983209892586487</v>
      </c>
      <c r="H24" s="250">
        <f>Method_calculation!G27</f>
        <v>34.875634787241061</v>
      </c>
      <c r="I24" s="250">
        <f>Method_calculation!H27</f>
        <v>29.653605609697117</v>
      </c>
      <c r="J24" s="250">
        <f>Method_calculation!I27</f>
        <v>23.716360860929321</v>
      </c>
      <c r="K24" s="250">
        <f>Method_calculation!J27</f>
        <v>18.654780476635928</v>
      </c>
      <c r="L24" s="250">
        <f>Method_calculation!K27</f>
        <v>15.825110833213561</v>
      </c>
      <c r="M24" s="250">
        <f>Method_calculation!L27</f>
        <v>15.985559626464109</v>
      </c>
      <c r="N24" s="250">
        <f>Method_calculation!M27</f>
        <v>19.093134731809535</v>
      </c>
      <c r="O24" s="250">
        <f>Method_calculation!N27</f>
        <v>24.315163909353483</v>
      </c>
      <c r="P24" s="250">
        <f>Method_calculation!O27</f>
        <v>30.25240865812129</v>
      </c>
    </row>
    <row r="26" spans="1:18" x14ac:dyDescent="0.2">
      <c r="A26" s="4"/>
    </row>
  </sheetData>
  <mergeCells count="1">
    <mergeCell ref="A1:I1"/>
  </mergeCells>
  <phoneticPr fontId="0" type="noConversion"/>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topLeftCell="A4" workbookViewId="0">
      <selection activeCell="A6" sqref="A6"/>
    </sheetView>
  </sheetViews>
  <sheetFormatPr defaultRowHeight="12.75" x14ac:dyDescent="0.2"/>
  <cols>
    <col min="2" max="2" width="12.42578125" style="12" customWidth="1"/>
    <col min="3" max="3" width="27.5703125" customWidth="1"/>
    <col min="4" max="4" width="36.5703125" style="13" customWidth="1"/>
  </cols>
  <sheetData>
    <row r="1" spans="2:4" ht="13.5" thickBot="1" x14ac:dyDescent="0.25"/>
    <row r="2" spans="2:4" ht="13.5" thickBot="1" x14ac:dyDescent="0.25">
      <c r="B2" s="14" t="s">
        <v>13</v>
      </c>
      <c r="C2" s="15" t="s">
        <v>14</v>
      </c>
      <c r="D2" s="16" t="s">
        <v>15</v>
      </c>
    </row>
    <row r="3" spans="2:4" x14ac:dyDescent="0.2">
      <c r="B3" s="17"/>
      <c r="C3" s="218"/>
      <c r="D3" s="220"/>
    </row>
    <row r="4" spans="2:4" x14ac:dyDescent="0.2">
      <c r="B4" s="224" t="s">
        <v>222</v>
      </c>
      <c r="C4" s="215" t="s">
        <v>224</v>
      </c>
      <c r="D4" s="221"/>
    </row>
    <row r="5" spans="2:4" x14ac:dyDescent="0.2">
      <c r="B5" s="224" t="s">
        <v>223</v>
      </c>
      <c r="C5" s="215" t="s">
        <v>229</v>
      </c>
      <c r="D5" s="222" t="s">
        <v>230</v>
      </c>
    </row>
    <row r="6" spans="2:4" ht="51" x14ac:dyDescent="0.2">
      <c r="B6" s="224" t="s">
        <v>225</v>
      </c>
      <c r="C6" s="215" t="s">
        <v>227</v>
      </c>
      <c r="D6" s="215" t="s">
        <v>226</v>
      </c>
    </row>
    <row r="7" spans="2:4" ht="51" x14ac:dyDescent="0.2">
      <c r="B7" s="224" t="s">
        <v>221</v>
      </c>
      <c r="C7" s="215" t="s">
        <v>228</v>
      </c>
      <c r="D7" s="215" t="s">
        <v>231</v>
      </c>
    </row>
    <row r="8" spans="2:4" x14ac:dyDescent="0.2">
      <c r="B8" s="225"/>
      <c r="C8" s="215"/>
      <c r="D8" s="223"/>
    </row>
    <row r="9" spans="2:4" x14ac:dyDescent="0.2">
      <c r="B9" s="226"/>
      <c r="C9" s="219"/>
      <c r="D9" s="221"/>
    </row>
    <row r="10" spans="2:4" x14ac:dyDescent="0.2">
      <c r="B10" s="19"/>
      <c r="C10" s="219"/>
      <c r="D10" s="221"/>
    </row>
    <row r="11" spans="2:4" x14ac:dyDescent="0.2">
      <c r="B11" s="19"/>
      <c r="C11" s="11"/>
      <c r="D11" s="18"/>
    </row>
    <row r="12" spans="2:4" x14ac:dyDescent="0.2">
      <c r="B12" s="19"/>
      <c r="C12" s="11"/>
      <c r="D12" s="18"/>
    </row>
    <row r="13" spans="2:4" x14ac:dyDescent="0.2">
      <c r="B13" s="19"/>
      <c r="C13" s="11"/>
      <c r="D13" s="18"/>
    </row>
    <row r="14" spans="2:4" x14ac:dyDescent="0.2">
      <c r="B14" s="19"/>
      <c r="C14" s="11"/>
      <c r="D14" s="18"/>
    </row>
    <row r="15" spans="2:4" x14ac:dyDescent="0.2">
      <c r="B15" s="19"/>
      <c r="C15" s="11"/>
      <c r="D15" s="18"/>
    </row>
    <row r="16" spans="2:4" x14ac:dyDescent="0.2">
      <c r="B16" s="19"/>
      <c r="C16" s="11"/>
      <c r="D16" s="18"/>
    </row>
    <row r="17" spans="2:4" x14ac:dyDescent="0.2">
      <c r="B17" s="19"/>
      <c r="C17" s="11"/>
      <c r="D17" s="18"/>
    </row>
    <row r="18" spans="2:4" ht="13.5" thickBot="1" x14ac:dyDescent="0.25">
      <c r="B18" s="20"/>
      <c r="C18" s="21"/>
      <c r="D18" s="22"/>
    </row>
  </sheetData>
  <phoneticPr fontId="0" type="noConversion"/>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INFO</vt:lpstr>
      <vt:lpstr>Method_input</vt:lpstr>
      <vt:lpstr>Method_calculation</vt:lpstr>
      <vt:lpstr>Method_output</vt:lpstr>
      <vt:lpstr>History</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Brian Anderson</cp:lastModifiedBy>
  <cp:lastPrinted>2014-05-21T09:37:32Z</cp:lastPrinted>
  <dcterms:created xsi:type="dcterms:W3CDTF">2011-05-24T04:21:57Z</dcterms:created>
  <dcterms:modified xsi:type="dcterms:W3CDTF">2015-06-05T08:25:36Z</dcterms:modified>
</cp:coreProperties>
</file>