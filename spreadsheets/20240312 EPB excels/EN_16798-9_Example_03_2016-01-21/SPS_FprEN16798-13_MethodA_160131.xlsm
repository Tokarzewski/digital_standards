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embeddings/oleObject4.bin" ContentType="application/vnd.openxmlformats-officedocument.oleObject"/>
  <Override PartName="/xl/embeddings/oleObject5.bin" ContentType="application/vnd.openxmlformats-officedocument.oleObject"/>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embeddings/oleObject60.bin" ContentType="application/vnd.openxmlformats-officedocument.oleObject"/>
  <Override PartName="/xl/embeddings/oleObject61.bin" ContentType="application/vnd.openxmlformats-officedocument.oleObject"/>
  <Override PartName="/xl/embeddings/oleObject62.bin" ContentType="application/vnd.openxmlformats-officedocument.oleObject"/>
  <Override PartName="/xl/embeddings/oleObject63.bin" ContentType="application/vnd.openxmlformats-officedocument.oleObject"/>
  <Override PartName="/xl/embeddings/oleObject64.bin" ContentType="application/vnd.openxmlformats-officedocument.oleObject"/>
  <Override PartName="/xl/embeddings/oleObject65.bin" ContentType="application/vnd.openxmlformats-officedocument.oleObject"/>
  <Override PartName="/xl/embeddings/oleObject66.bin" ContentType="application/vnd.openxmlformats-officedocument.oleObject"/>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8" yWindow="-24" windowWidth="11544" windowHeight="11712" firstSheet="7" activeTab="9"/>
  </bookViews>
  <sheets>
    <sheet name="INFO" sheetId="16" r:id="rId1"/>
    <sheet name="Simplified_input_correlation" sheetId="9" r:id="rId2"/>
    <sheet name="Product_descriptive_data" sheetId="12" r:id="rId3"/>
    <sheet name="Product_tech_data" sheetId="10" r:id="rId4"/>
    <sheet name="Process_design_data" sheetId="13" r:id="rId5"/>
    <sheet name="Data_catalogue_example" sheetId="7" r:id="rId6"/>
    <sheet name="Input_series" sheetId="1" r:id="rId7"/>
    <sheet name="Method_input" sheetId="2" r:id="rId8"/>
    <sheet name="Method_calculation" sheetId="4" r:id="rId9"/>
    <sheet name="Method_output" sheetId="5" r:id="rId10"/>
    <sheet name="Output_series" sheetId="6" r:id="rId11"/>
    <sheet name="Graphs" sheetId="17" r:id="rId12"/>
    <sheet name="History" sheetId="11" r:id="rId13"/>
  </sheets>
  <externalReferences>
    <externalReference r:id="rId14"/>
    <externalReference r:id="rId15"/>
    <externalReference r:id="rId16"/>
  </externalReferences>
  <definedNames>
    <definedName name="_xlnm._FilterDatabase" localSheetId="5" hidden="1">Data_catalogue_example!$F$38:$F$49</definedName>
    <definedName name="_xlnm._FilterDatabase" localSheetId="4" hidden="1">Process_design_data!#REF!</definedName>
    <definedName name="_xlnm._FilterDatabase" localSheetId="2" hidden="1">Product_descriptive_data!#REF!</definedName>
    <definedName name="A">Product_tech_data!$J$11:$N$15</definedName>
    <definedName name="B">Product_tech_data!$J$17:$N$21</definedName>
    <definedName name="DATA_IN_COUNT">Input_series!$C$5</definedName>
    <definedName name="DATA_OUT_COUNT">Output_series!$C$5</definedName>
    <definedName name="delta_f_V">[1]Method_input!$E$25</definedName>
    <definedName name="f_op_ctrl">[1]Method_input!$E$26</definedName>
    <definedName name="f_op_HU">[1]Method_input!#REF!</definedName>
    <definedName name="f_op_V">[1]Method_input!$E$15</definedName>
    <definedName name="f_pl">[1]Method_input!$E$24</definedName>
    <definedName name="First_data_in">Input_series!$B$14</definedName>
    <definedName name="First_data_out">Output_series!$B$18</definedName>
    <definedName name="Method_in" localSheetId="11">[1]Method_input!$E$7:$E$26</definedName>
    <definedName name="Method_in" localSheetId="3">Product_tech_data!#REF!</definedName>
    <definedName name="Method_in" localSheetId="1">Simplified_input_correlation!$D$6</definedName>
    <definedName name="Method_in">Method_input!$D$6</definedName>
    <definedName name="Method_out" localSheetId="11">[1]Method_output!$E$6:$E$17,[1]Method_output!$E$19:$E$27</definedName>
    <definedName name="Q_C_V_out">[1]Method_input!$E$13</definedName>
    <definedName name="Q_H_V_in">[1]Method_input!$E$12</definedName>
    <definedName name="q_V_ETA_dis_zv_req">[1]Method_input!$E$17</definedName>
    <definedName name="q_V_ODA_zv_req">[1]Method_input!$E$18</definedName>
    <definedName name="q_V_SUP_dis_zv_req">[1]Method_input!$E$16</definedName>
    <definedName name="Right_side">Product_tech_data!$P$11:$P$15</definedName>
    <definedName name="t_ci">[1]Method_input!$E$6</definedName>
    <definedName name="theta_a_ETA_zV">[1]Method_input!$E$22</definedName>
    <definedName name="theta_C_coil">[1]Method_input!#REF!</definedName>
    <definedName name="theta_e">[1]Method_input!$E$7</definedName>
    <definedName name="theta_IDA_zt">[1]Method_input!$E$9</definedName>
    <definedName name="theta_SUP_req_zV">[1]Method_input!$E$19</definedName>
    <definedName name="theta_sur_nc">[1]Method_input!$E$9</definedName>
    <definedName name="TIME_STEPS_COUNT">Input_series!$C$6</definedName>
    <definedName name="x_a_ETA_zV">[1]Method_input!$E$23</definedName>
    <definedName name="x_e">[1]Method_input!$E$8</definedName>
    <definedName name="x_SUP_req_zV">[1]Method_input!$E$20</definedName>
    <definedName name="x_sur_nc">[1]Method_input!$E$11</definedName>
  </definedNames>
  <calcPr calcId="145621"/>
</workbook>
</file>

<file path=xl/calcChain.xml><?xml version="1.0" encoding="utf-8"?>
<calcChain xmlns="http://schemas.openxmlformats.org/spreadsheetml/2006/main">
  <c r="D16" i="2" l="1"/>
  <c r="D15" i="2"/>
  <c r="E29" i="10" l="1"/>
  <c r="E10" i="10"/>
  <c r="E11" i="10"/>
  <c r="E12" i="10"/>
  <c r="E13" i="10"/>
  <c r="E14" i="10"/>
  <c r="E15" i="10"/>
  <c r="E16" i="10"/>
  <c r="E17" i="10"/>
  <c r="E18" i="10"/>
  <c r="E19" i="10"/>
  <c r="E20" i="10"/>
  <c r="E21" i="10"/>
  <c r="E22" i="10"/>
  <c r="E23" i="10"/>
  <c r="E24" i="10"/>
  <c r="E25" i="10"/>
  <c r="E26" i="10"/>
  <c r="E27" i="10"/>
  <c r="E28" i="10"/>
  <c r="D11" i="10"/>
  <c r="D12" i="10"/>
  <c r="D13" i="10"/>
  <c r="D14" i="10"/>
  <c r="D15" i="10"/>
  <c r="D16" i="10"/>
  <c r="D17" i="10"/>
  <c r="D18" i="10"/>
  <c r="D19" i="10"/>
  <c r="D20" i="10"/>
  <c r="D21" i="10"/>
  <c r="D22" i="10"/>
  <c r="D23" i="10"/>
  <c r="D24" i="10"/>
  <c r="D25" i="10"/>
  <c r="D26" i="10"/>
  <c r="D27" i="10"/>
  <c r="D28" i="10"/>
  <c r="D10" i="10"/>
  <c r="D6" i="4" l="1"/>
  <c r="D5" i="4"/>
  <c r="C4" i="10" l="1"/>
  <c r="D37" i="4"/>
  <c r="D72" i="4" l="1"/>
  <c r="D71" i="4"/>
  <c r="N14" i="10"/>
  <c r="N13" i="10"/>
  <c r="N12" i="10"/>
  <c r="N11" i="10"/>
  <c r="Q11" i="10"/>
  <c r="Q12" i="10"/>
  <c r="Q13" i="10"/>
  <c r="Q14" i="10"/>
  <c r="Q15" i="10"/>
  <c r="P12" i="10"/>
  <c r="D29" i="10"/>
  <c r="P14" i="10"/>
  <c r="P13" i="10"/>
  <c r="L15" i="10"/>
  <c r="K15" i="10"/>
  <c r="J15" i="10"/>
  <c r="L14" i="10"/>
  <c r="K14" i="10"/>
  <c r="J14" i="10"/>
  <c r="L13" i="10"/>
  <c r="K13" i="10"/>
  <c r="J13" i="10"/>
  <c r="L12" i="10"/>
  <c r="K12" i="10"/>
  <c r="J12" i="10"/>
  <c r="P11" i="10"/>
  <c r="L11" i="10"/>
  <c r="K11" i="10"/>
  <c r="J11" i="10"/>
  <c r="P15" i="10" l="1"/>
  <c r="D52" i="2"/>
  <c r="N15" i="10"/>
  <c r="J17" i="10" a="1"/>
  <c r="J17" i="10" s="1"/>
  <c r="M17" i="10" l="1"/>
  <c r="N21" i="10"/>
  <c r="J18" i="10"/>
  <c r="N20" i="10"/>
  <c r="N18" i="10"/>
  <c r="N17" i="10"/>
  <c r="K21" i="10"/>
  <c r="M18" i="10"/>
  <c r="J20" i="10"/>
  <c r="M21" i="10"/>
  <c r="K19" i="10"/>
  <c r="K17" i="10"/>
  <c r="M19" i="10"/>
  <c r="L20" i="10"/>
  <c r="L19" i="10"/>
  <c r="K18" i="10"/>
  <c r="M20" i="10"/>
  <c r="K20" i="10"/>
  <c r="L17" i="10"/>
  <c r="J21" i="10"/>
  <c r="N19" i="10"/>
  <c r="J19" i="10"/>
  <c r="L18" i="10"/>
  <c r="L21" i="10"/>
  <c r="E32" i="10" l="1" a="1"/>
  <c r="D20" i="5"/>
  <c r="D18" i="5"/>
  <c r="E35" i="10" l="1"/>
  <c r="E34" i="10"/>
  <c r="E33" i="10"/>
  <c r="E32" i="10"/>
  <c r="E36" i="10"/>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14" i="1"/>
  <c r="D22" i="5" l="1"/>
  <c r="D13" i="5"/>
  <c r="D82" i="4"/>
  <c r="D17" i="9" l="1"/>
  <c r="D16" i="9"/>
  <c r="D15" i="9"/>
  <c r="C17" i="12"/>
  <c r="E24" i="2" s="1"/>
  <c r="D33" i="4" l="1"/>
  <c r="C16" i="13"/>
  <c r="C9" i="13"/>
  <c r="D65" i="2" s="1"/>
  <c r="D74" i="2" l="1"/>
  <c r="G76" i="7"/>
  <c r="G75" i="7"/>
  <c r="C25" i="12" l="1"/>
  <c r="C9" i="12"/>
  <c r="D25" i="2" l="1"/>
  <c r="D58" i="4"/>
  <c r="D48" i="4"/>
  <c r="D24" i="2"/>
  <c r="R99" i="7"/>
  <c r="Q99" i="7"/>
  <c r="P99" i="7"/>
  <c r="O99" i="7"/>
  <c r="N99" i="7"/>
  <c r="M99" i="7"/>
  <c r="L99" i="7"/>
  <c r="G99" i="7"/>
  <c r="K99" i="7"/>
  <c r="J99" i="7"/>
  <c r="O83" i="7"/>
  <c r="O82" i="7"/>
  <c r="T77" i="7"/>
  <c r="S77" i="7"/>
  <c r="O73" i="7"/>
  <c r="O77" i="7"/>
  <c r="O80" i="7"/>
  <c r="N73" i="7"/>
  <c r="N81" i="7"/>
  <c r="N95" i="7"/>
  <c r="M73" i="7"/>
  <c r="M77" i="7"/>
  <c r="M91" i="7"/>
  <c r="U72" i="7"/>
  <c r="T72" i="7"/>
  <c r="S72" i="7"/>
  <c r="R72" i="7"/>
  <c r="Q72" i="7"/>
  <c r="P72" i="7"/>
  <c r="O72" i="7"/>
  <c r="N72" i="7"/>
  <c r="M72" i="7"/>
  <c r="L72" i="7"/>
  <c r="K72" i="7"/>
  <c r="J72" i="7"/>
  <c r="D7" i="7"/>
  <c r="D15" i="7"/>
  <c r="Z39" i="7" s="1"/>
  <c r="D23" i="7"/>
  <c r="X46" i="7" s="1"/>
  <c r="G74" i="7"/>
  <c r="G112" i="7"/>
  <c r="G111" i="7"/>
  <c r="G109" i="7"/>
  <c r="G108" i="7"/>
  <c r="G107" i="7"/>
  <c r="G105" i="7"/>
  <c r="G104" i="7"/>
  <c r="G102" i="7"/>
  <c r="G101" i="7"/>
  <c r="G100" i="7"/>
  <c r="S81" i="7"/>
  <c r="T81" i="7"/>
  <c r="U73" i="7"/>
  <c r="U77" i="7"/>
  <c r="D54" i="7"/>
  <c r="D34" i="7"/>
  <c r="J73" i="7"/>
  <c r="J77" i="7"/>
  <c r="K73" i="7"/>
  <c r="K77" i="7"/>
  <c r="L73" i="7"/>
  <c r="L87" i="7"/>
  <c r="P73" i="7"/>
  <c r="P77" i="7"/>
  <c r="Q73" i="7"/>
  <c r="Q91" i="7"/>
  <c r="G91" i="7"/>
  <c r="R73" i="7"/>
  <c r="R77" i="7"/>
  <c r="R91" i="7"/>
  <c r="L81" i="7"/>
  <c r="L95" i="7"/>
  <c r="J91" i="7"/>
  <c r="J87" i="7"/>
  <c r="M87" i="7"/>
  <c r="N87" i="7"/>
  <c r="M81" i="7"/>
  <c r="M95" i="7"/>
  <c r="O87" i="7"/>
  <c r="R81" i="7"/>
  <c r="R95" i="7"/>
  <c r="P91" i="7"/>
  <c r="P81" i="7"/>
  <c r="P95" i="7"/>
  <c r="R87" i="7"/>
  <c r="P87" i="7"/>
  <c r="O84" i="7"/>
  <c r="K87" i="7"/>
  <c r="U81" i="7"/>
  <c r="N91" i="7"/>
  <c r="N77" i="7"/>
  <c r="N80" i="7"/>
  <c r="O81" i="7"/>
  <c r="O95" i="7"/>
  <c r="O91" i="7"/>
  <c r="N84" i="7"/>
  <c r="J84" i="7"/>
  <c r="J80" i="7"/>
  <c r="P84" i="7"/>
  <c r="P80" i="7"/>
  <c r="M84" i="7"/>
  <c r="M80" i="7"/>
  <c r="R84" i="7"/>
  <c r="R80" i="7"/>
  <c r="K84" i="7"/>
  <c r="K80" i="7"/>
  <c r="L91" i="7"/>
  <c r="Q77" i="7"/>
  <c r="L77" i="7"/>
  <c r="G73" i="7"/>
  <c r="K81" i="7"/>
  <c r="K95" i="7"/>
  <c r="K91" i="7"/>
  <c r="J81" i="7"/>
  <c r="J95" i="7"/>
  <c r="Q87" i="7"/>
  <c r="G87" i="7"/>
  <c r="Q81" i="7"/>
  <c r="L84" i="7"/>
  <c r="L80" i="7"/>
  <c r="Q80" i="7"/>
  <c r="G80" i="7"/>
  <c r="Q84" i="7"/>
  <c r="G84" i="7"/>
  <c r="Q95" i="7"/>
  <c r="G95" i="7"/>
  <c r="G81" i="7"/>
  <c r="D47" i="4" l="1"/>
  <c r="D49" i="4"/>
  <c r="D53" i="4"/>
  <c r="D51" i="4"/>
  <c r="D59" i="4"/>
  <c r="D45" i="4"/>
  <c r="D26" i="4"/>
  <c r="D10" i="4"/>
  <c r="D46" i="4"/>
  <c r="D44" i="4"/>
  <c r="D9" i="4"/>
  <c r="D12" i="4"/>
  <c r="D50" i="4"/>
  <c r="D28" i="5" s="1"/>
  <c r="D52" i="4"/>
  <c r="D29" i="5" s="1"/>
  <c r="X39" i="7"/>
  <c r="W39" i="7" s="1"/>
  <c r="A39" i="7" s="1"/>
  <c r="X47" i="7"/>
  <c r="X48" i="7"/>
  <c r="W48" i="7" s="1"/>
  <c r="A48" i="7" s="1"/>
  <c r="X49" i="7"/>
  <c r="X42" i="7"/>
  <c r="X44" i="7"/>
  <c r="X41" i="7"/>
  <c r="X38" i="7"/>
  <c r="X45" i="7"/>
  <c r="W45" i="7" s="1"/>
  <c r="A45" i="7" s="1"/>
  <c r="Z48" i="7"/>
  <c r="Z43" i="7"/>
  <c r="Z45" i="7"/>
  <c r="Z46" i="7"/>
  <c r="W46" i="7" s="1"/>
  <c r="A46" i="7" s="1"/>
  <c r="Z47" i="7"/>
  <c r="W47" i="7" s="1"/>
  <c r="A47" i="7" s="1"/>
  <c r="Z40" i="7"/>
  <c r="Z41" i="7"/>
  <c r="W41" i="7" s="1"/>
  <c r="A41" i="7" s="1"/>
  <c r="Z38" i="7"/>
  <c r="Z42" i="7"/>
  <c r="Z49" i="7"/>
  <c r="Z44" i="7"/>
  <c r="W44" i="7" s="1"/>
  <c r="A44" i="7" s="1"/>
  <c r="X40" i="7"/>
  <c r="W40" i="7" s="1"/>
  <c r="A40" i="7" s="1"/>
  <c r="X43" i="7"/>
  <c r="W43" i="7" s="1"/>
  <c r="A43" i="7" s="1"/>
  <c r="D17" i="4" l="1"/>
  <c r="W42" i="7"/>
  <c r="A42" i="7" s="1"/>
  <c r="W38" i="7"/>
  <c r="A38" i="7" s="1"/>
  <c r="W49" i="7"/>
  <c r="A49" i="7" s="1"/>
  <c r="D30" i="4" l="1"/>
  <c r="D23" i="4"/>
  <c r="D31" i="4"/>
  <c r="D24" i="4"/>
  <c r="D32" i="4"/>
  <c r="D25" i="4"/>
  <c r="D77" i="4" l="1"/>
  <c r="D79" i="4" l="1"/>
  <c r="D14" i="4" l="1"/>
  <c r="D32" i="10" a="1"/>
  <c r="D32" i="10" s="1"/>
  <c r="D36" i="10" l="1"/>
  <c r="D33" i="10"/>
  <c r="D34" i="10"/>
  <c r="D35" i="10"/>
  <c r="P17" i="10" l="1" a="1"/>
  <c r="P21" i="10" l="1"/>
  <c r="P20" i="10"/>
  <c r="P19" i="10"/>
  <c r="P18" i="10"/>
  <c r="P17" i="10"/>
  <c r="D10" i="2" l="1"/>
  <c r="D9" i="2"/>
  <c r="D11" i="4" l="1"/>
  <c r="D7" i="4"/>
  <c r="D21" i="5"/>
  <c r="D73" i="4" l="1"/>
  <c r="D17" i="5" s="1"/>
  <c r="D27" i="5"/>
  <c r="D16" i="5"/>
  <c r="D8" i="4"/>
  <c r="D36" i="4" l="1"/>
  <c r="D35" i="4"/>
  <c r="D20" i="4"/>
  <c r="D22" i="4"/>
  <c r="D28" i="4"/>
  <c r="D21" i="4"/>
  <c r="D34" i="4"/>
  <c r="D27" i="4"/>
  <c r="D76" i="4"/>
  <c r="D29" i="4"/>
  <c r="D55" i="4" l="1"/>
  <c r="D57" i="4"/>
  <c r="D56" i="4"/>
  <c r="D54" i="4"/>
  <c r="D74" i="4"/>
  <c r="D75" i="4"/>
  <c r="D18" i="4" l="1"/>
  <c r="D15" i="4"/>
  <c r="D19" i="4"/>
  <c r="D16" i="4"/>
  <c r="D13" i="4" l="1"/>
  <c r="D23" i="5"/>
  <c r="D24" i="5"/>
  <c r="D40" i="4"/>
  <c r="D41" i="4"/>
  <c r="D38" i="4"/>
  <c r="D39" i="4"/>
  <c r="D43" i="4" s="1"/>
  <c r="D42" i="4" l="1"/>
  <c r="D61" i="4"/>
  <c r="D15" i="5" s="1"/>
  <c r="D67" i="4" l="1"/>
  <c r="D69" i="4"/>
  <c r="D68" i="4"/>
  <c r="D70" i="4"/>
  <c r="D66" i="4" l="1"/>
  <c r="D65" i="4"/>
  <c r="D64" i="4" s="1"/>
  <c r="D11" i="5" l="1"/>
  <c r="D63" i="4"/>
  <c r="D19" i="5" s="1"/>
  <c r="D62" i="4"/>
  <c r="D81" i="4" s="1"/>
  <c r="D80" i="4" s="1"/>
  <c r="D78" i="4" s="1"/>
  <c r="D12" i="5" s="1"/>
</calcChain>
</file>

<file path=xl/comments1.xml><?xml version="1.0" encoding="utf-8"?>
<comments xmlns="http://schemas.openxmlformats.org/spreadsheetml/2006/main">
  <authors>
    <author>Laurent</author>
  </authors>
  <commentList>
    <comment ref="E4" authorId="0">
      <text>
        <r>
          <rPr>
            <b/>
            <sz val="8"/>
            <color indexed="81"/>
            <rFont val="Tahoma"/>
            <family val="2"/>
          </rPr>
          <t>Laurent:</t>
        </r>
        <r>
          <rPr>
            <sz val="8"/>
            <color indexed="81"/>
            <rFont val="Tahoma"/>
            <family val="2"/>
          </rPr>
          <t xml:space="preserve">
Indicate the expected range</t>
        </r>
      </text>
    </comment>
  </commentList>
</comments>
</file>

<file path=xl/comments2.xml><?xml version="1.0" encoding="utf-8"?>
<comments xmlns="http://schemas.openxmlformats.org/spreadsheetml/2006/main">
  <authors>
    <author>Laurent</author>
  </authors>
  <commentList>
    <comment ref="B9" authorId="0">
      <text>
        <r>
          <rPr>
            <b/>
            <sz val="8"/>
            <color indexed="81"/>
            <rFont val="Tahoma"/>
            <family val="2"/>
          </rPr>
          <t>Laurent:</t>
        </r>
        <r>
          <rPr>
            <sz val="8"/>
            <color indexed="81"/>
            <rFont val="Tahoma"/>
            <family val="2"/>
          </rPr>
          <t xml:space="preserve">
Case identifier name</t>
        </r>
      </text>
    </comment>
    <comment ref="C9" authorId="0">
      <text>
        <r>
          <rPr>
            <b/>
            <sz val="8"/>
            <color indexed="81"/>
            <rFont val="Tahoma"/>
            <family val="2"/>
          </rPr>
          <t>Laurent:</t>
        </r>
        <r>
          <rPr>
            <sz val="8"/>
            <color indexed="81"/>
            <rFont val="Tahoma"/>
            <family val="2"/>
          </rPr>
          <t xml:space="preserve">
Selected case identifier value</t>
        </r>
      </text>
    </comment>
    <comment ref="A11" authorId="0">
      <text>
        <r>
          <rPr>
            <b/>
            <sz val="8"/>
            <color indexed="81"/>
            <rFont val="Tahoma"/>
            <family val="2"/>
          </rPr>
          <t>Laurent:</t>
        </r>
        <r>
          <rPr>
            <sz val="8"/>
            <color indexed="81"/>
            <rFont val="Tahoma"/>
            <family val="2"/>
          </rPr>
          <t xml:space="preserve">
Case description</t>
        </r>
      </text>
    </comment>
    <comment ref="C11" authorId="0">
      <text>
        <r>
          <rPr>
            <b/>
            <sz val="8"/>
            <color indexed="81"/>
            <rFont val="Tahoma"/>
            <family val="2"/>
          </rPr>
          <t>Laurent:</t>
        </r>
        <r>
          <rPr>
            <sz val="8"/>
            <color indexed="81"/>
            <rFont val="Tahoma"/>
            <family val="2"/>
          </rPr>
          <t xml:space="preserve">
Case identifier</t>
        </r>
      </text>
    </comment>
    <comment ref="B17" authorId="0">
      <text>
        <r>
          <rPr>
            <b/>
            <sz val="8"/>
            <color indexed="81"/>
            <rFont val="Tahoma"/>
            <family val="2"/>
          </rPr>
          <t>Laurent:</t>
        </r>
        <r>
          <rPr>
            <sz val="8"/>
            <color indexed="81"/>
            <rFont val="Tahoma"/>
            <family val="2"/>
          </rPr>
          <t xml:space="preserve">
Case identifier name</t>
        </r>
      </text>
    </comment>
    <comment ref="A19" authorId="0">
      <text>
        <r>
          <rPr>
            <b/>
            <sz val="8"/>
            <color indexed="81"/>
            <rFont val="Tahoma"/>
            <family val="2"/>
          </rPr>
          <t>Laurent:</t>
        </r>
        <r>
          <rPr>
            <sz val="8"/>
            <color indexed="81"/>
            <rFont val="Tahoma"/>
            <family val="2"/>
          </rPr>
          <t xml:space="preserve">
Case description</t>
        </r>
      </text>
    </comment>
    <comment ref="C19" authorId="0">
      <text>
        <r>
          <rPr>
            <b/>
            <sz val="8"/>
            <color indexed="81"/>
            <rFont val="Tahoma"/>
            <family val="2"/>
          </rPr>
          <t>Laurent:</t>
        </r>
        <r>
          <rPr>
            <sz val="8"/>
            <color indexed="81"/>
            <rFont val="Tahoma"/>
            <family val="2"/>
          </rPr>
          <t xml:space="preserve">
Case identifier</t>
        </r>
      </text>
    </comment>
  </commentList>
</comments>
</file>

<file path=xl/comments3.xml><?xml version="1.0" encoding="utf-8"?>
<comments xmlns="http://schemas.openxmlformats.org/spreadsheetml/2006/main">
  <authors>
    <author>Laurent</author>
  </authors>
  <commentList>
    <comment ref="C4" authorId="0">
      <text>
        <r>
          <rPr>
            <b/>
            <sz val="8"/>
            <color indexed="81"/>
            <rFont val="Tahoma"/>
            <family val="2"/>
          </rPr>
          <t>Laurent:</t>
        </r>
        <r>
          <rPr>
            <sz val="8"/>
            <color indexed="81"/>
            <rFont val="Tahoma"/>
            <family val="2"/>
          </rPr>
          <t xml:space="preserve">
Selected case identifier value</t>
        </r>
      </text>
    </comment>
    <comment ref="C6" authorId="0">
      <text>
        <r>
          <rPr>
            <b/>
            <sz val="8"/>
            <color indexed="81"/>
            <rFont val="Tahoma"/>
            <family val="2"/>
          </rPr>
          <t>Laurent:</t>
        </r>
        <r>
          <rPr>
            <sz val="8"/>
            <color indexed="81"/>
            <rFont val="Tahoma"/>
            <family val="2"/>
          </rPr>
          <t xml:space="preserve">
Case identifier</t>
        </r>
      </text>
    </comment>
  </commentList>
</comments>
</file>

<file path=xl/comments4.xml><?xml version="1.0" encoding="utf-8"?>
<comments xmlns="http://schemas.openxmlformats.org/spreadsheetml/2006/main">
  <authors>
    <author>Laurent</author>
  </authors>
  <commentList>
    <comment ref="W37" authorId="0">
      <text>
        <r>
          <rPr>
            <b/>
            <sz val="8"/>
            <color indexed="81"/>
            <rFont val="Tahoma"/>
            <family val="2"/>
          </rPr>
          <t>Laurent:</t>
        </r>
        <r>
          <rPr>
            <sz val="8"/>
            <color indexed="81"/>
            <rFont val="Tahoma"/>
            <family val="2"/>
          </rPr>
          <t xml:space="preserve">
If this value is true, the correponding description is shown</t>
        </r>
      </text>
    </comment>
  </commentList>
</comments>
</file>

<file path=xl/comments5.xml><?xml version="1.0" encoding="utf-8"?>
<comments xmlns="http://schemas.openxmlformats.org/spreadsheetml/2006/main">
  <authors>
    <author>Laurent</author>
  </authors>
  <commentList>
    <comment ref="C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C6"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3"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List>
</comments>
</file>

<file path=xl/comments6.xml><?xml version="1.0" encoding="utf-8"?>
<comments xmlns="http://schemas.openxmlformats.org/spreadsheetml/2006/main">
  <authors>
    <author>Laurent</author>
  </authors>
  <commentList>
    <comment ref="D4" authorId="0">
      <text>
        <r>
          <rPr>
            <b/>
            <sz val="8"/>
            <color indexed="81"/>
            <rFont val="Tahoma"/>
            <family val="2"/>
          </rPr>
          <t>Laurent:</t>
        </r>
        <r>
          <rPr>
            <sz val="8"/>
            <color indexed="81"/>
            <rFont val="Tahoma"/>
            <family val="2"/>
          </rPr>
          <t xml:space="preserve">
Actual value in this calculation step</t>
        </r>
      </text>
    </comment>
    <comment ref="E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F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G4"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sharedStrings.xml><?xml version="1.0" encoding="utf-8"?>
<sst xmlns="http://schemas.openxmlformats.org/spreadsheetml/2006/main" count="1488" uniqueCount="643">
  <si>
    <t>Time stamp</t>
  </si>
  <si>
    <t>Unit</t>
  </si>
  <si>
    <t>Origin</t>
  </si>
  <si>
    <t>Destination</t>
  </si>
  <si>
    <t>VALUES</t>
  </si>
  <si>
    <t>Name</t>
  </si>
  <si>
    <t>Value</t>
  </si>
  <si>
    <t>Description</t>
  </si>
  <si>
    <t>Notes</t>
  </si>
  <si>
    <t>Symbol</t>
  </si>
  <si>
    <t>kWh</t>
  </si>
  <si>
    <t>-</t>
  </si>
  <si>
    <t>generator output at full load;</t>
  </si>
  <si>
    <t>generator efficiency at full load;</t>
  </si>
  <si>
    <t>generator average water temperature at test conditions for full load;</t>
  </si>
  <si>
    <t>correction factor of full-load efficiency;</t>
  </si>
  <si>
    <t>generator output at intermediate load;</t>
  </si>
  <si>
    <t>generator efficiency at intermediate load;</t>
  </si>
  <si>
    <t>generator average water temperature at test conditions for intermediate load;</t>
  </si>
  <si>
    <t>correction factor of intermediate load efficiency;</t>
  </si>
  <si>
    <r>
      <t xml:space="preserve">stand-by heat loss at test temperature difference </t>
    </r>
    <r>
      <rPr>
        <i/>
        <sz val="10"/>
        <rFont val="Symbol"/>
        <family val="1"/>
        <charset val="2"/>
      </rPr>
      <t>D</t>
    </r>
    <r>
      <rPr>
        <i/>
        <sz val="10"/>
        <rFont val="Arial"/>
        <family val="2"/>
      </rPr>
      <t>θ</t>
    </r>
    <r>
      <rPr>
        <vertAlign val="subscript"/>
        <sz val="10"/>
        <rFont val="Arial"/>
        <family val="2"/>
      </rPr>
      <t>i,test</t>
    </r>
    <r>
      <rPr>
        <sz val="10"/>
        <rFont val="Arial"/>
        <family val="2"/>
      </rPr>
      <t>;</t>
    </r>
  </si>
  <si>
    <t>difference between mean boiler temperature and test room temperature in test conditions;</t>
  </si>
  <si>
    <t>power consumption of auxiliary devices at full load;</t>
  </si>
  <si>
    <t>power consumption of auxiliary devices at intermediate load;</t>
  </si>
  <si>
    <t>stand-by power consumption of auxiliary devices;</t>
  </si>
  <si>
    <t>minimum operating boiler temperature.</t>
  </si>
  <si>
    <r>
      <t>Ф</t>
    </r>
    <r>
      <rPr>
        <vertAlign val="subscript"/>
        <sz val="10"/>
        <rFont val="Arial"/>
        <family val="2"/>
      </rPr>
      <t>Pn</t>
    </r>
    <r>
      <rPr>
        <sz val="10"/>
        <rFont val="Arial"/>
        <family val="2"/>
      </rPr>
      <t xml:space="preserve"> </t>
    </r>
  </si>
  <si>
    <r>
      <t>η</t>
    </r>
    <r>
      <rPr>
        <vertAlign val="subscript"/>
        <sz val="10"/>
        <rFont val="Arial"/>
        <family val="2"/>
      </rPr>
      <t>gnr,Pn</t>
    </r>
    <r>
      <rPr>
        <sz val="10"/>
        <rFont val="Arial"/>
        <family val="2"/>
      </rPr>
      <t xml:space="preserve"> </t>
    </r>
  </si>
  <si>
    <r>
      <t>θ</t>
    </r>
    <r>
      <rPr>
        <vertAlign val="subscript"/>
        <sz val="10"/>
        <rFont val="Arial"/>
        <family val="2"/>
      </rPr>
      <t>gnr,test,Pn</t>
    </r>
  </si>
  <si>
    <r>
      <t>f</t>
    </r>
    <r>
      <rPr>
        <vertAlign val="subscript"/>
        <sz val="10"/>
        <rFont val="Arial"/>
        <family val="2"/>
      </rPr>
      <t>corr,Pn</t>
    </r>
    <r>
      <rPr>
        <sz val="10"/>
        <rFont val="Arial"/>
        <family val="2"/>
      </rPr>
      <t xml:space="preserve"> </t>
    </r>
  </si>
  <si>
    <r>
      <t>Ф</t>
    </r>
    <r>
      <rPr>
        <vertAlign val="subscript"/>
        <sz val="10"/>
        <rFont val="Arial"/>
        <family val="2"/>
      </rPr>
      <t>Pint</t>
    </r>
    <r>
      <rPr>
        <sz val="10"/>
        <rFont val="Arial"/>
        <family val="2"/>
      </rPr>
      <t xml:space="preserve"> </t>
    </r>
  </si>
  <si>
    <r>
      <t>η</t>
    </r>
    <r>
      <rPr>
        <vertAlign val="subscript"/>
        <sz val="10"/>
        <rFont val="Arial"/>
        <family val="2"/>
      </rPr>
      <t>gnr,Pint</t>
    </r>
    <r>
      <rPr>
        <sz val="10"/>
        <rFont val="Arial"/>
        <family val="2"/>
      </rPr>
      <t xml:space="preserve"> </t>
    </r>
  </si>
  <si>
    <r>
      <t>θ</t>
    </r>
    <r>
      <rPr>
        <vertAlign val="subscript"/>
        <sz val="10"/>
        <rFont val="Arial"/>
        <family val="2"/>
      </rPr>
      <t>gnr,test,Pint</t>
    </r>
  </si>
  <si>
    <r>
      <t>f</t>
    </r>
    <r>
      <rPr>
        <vertAlign val="subscript"/>
        <sz val="10"/>
        <rFont val="Arial"/>
        <family val="2"/>
      </rPr>
      <t>corr,Pint</t>
    </r>
    <r>
      <rPr>
        <sz val="10"/>
        <rFont val="Arial"/>
        <family val="2"/>
      </rPr>
      <t xml:space="preserve"> </t>
    </r>
  </si>
  <si>
    <r>
      <t>Ф</t>
    </r>
    <r>
      <rPr>
        <vertAlign val="subscript"/>
        <sz val="10"/>
        <rFont val="Arial"/>
        <family val="2"/>
      </rPr>
      <t>gnr,ls,P0</t>
    </r>
  </si>
  <si>
    <r>
      <t>P</t>
    </r>
    <r>
      <rPr>
        <vertAlign val="subscript"/>
        <sz val="10"/>
        <rFont val="Arial"/>
        <family val="2"/>
      </rPr>
      <t xml:space="preserve">aux,gnr,Pn </t>
    </r>
  </si>
  <si>
    <r>
      <t>P</t>
    </r>
    <r>
      <rPr>
        <vertAlign val="subscript"/>
        <sz val="10"/>
        <rFont val="Arial"/>
        <family val="2"/>
      </rPr>
      <t xml:space="preserve">aux,gnr,Pint </t>
    </r>
  </si>
  <si>
    <r>
      <t>P</t>
    </r>
    <r>
      <rPr>
        <vertAlign val="subscript"/>
        <sz val="10"/>
        <rFont val="Arial"/>
        <family val="2"/>
      </rPr>
      <t xml:space="preserve">aux,gnr,P0 </t>
    </r>
  </si>
  <si>
    <r>
      <t>θ</t>
    </r>
    <r>
      <rPr>
        <vertAlign val="subscript"/>
        <sz val="10"/>
        <rFont val="Arial"/>
        <family val="2"/>
      </rPr>
      <t>gnr,min</t>
    </r>
  </si>
  <si>
    <t>kW</t>
  </si>
  <si>
    <t>°C</t>
  </si>
  <si>
    <r>
      <t>q</t>
    </r>
    <r>
      <rPr>
        <vertAlign val="subscript"/>
        <sz val="10"/>
        <rFont val="Arial"/>
        <family val="2"/>
      </rPr>
      <t>i,brm</t>
    </r>
    <r>
      <rPr>
        <sz val="10"/>
        <rFont val="Arial"/>
        <family val="2"/>
      </rPr>
      <t xml:space="preserve"> </t>
    </r>
  </si>
  <si>
    <r>
      <t>b</t>
    </r>
    <r>
      <rPr>
        <vertAlign val="subscript"/>
        <sz val="10"/>
        <rFont val="Arial"/>
        <family val="2"/>
      </rPr>
      <t>brm</t>
    </r>
  </si>
  <si>
    <t>h</t>
  </si>
  <si>
    <t>%</t>
  </si>
  <si>
    <r>
      <t>D</t>
    </r>
    <r>
      <rPr>
        <i/>
        <sz val="10"/>
        <rFont val="Arial"/>
        <family val="2"/>
      </rPr>
      <t>θ</t>
    </r>
    <r>
      <rPr>
        <vertAlign val="subscript"/>
        <sz val="10"/>
        <rFont val="Arial"/>
        <family val="2"/>
      </rPr>
      <t>test,P0</t>
    </r>
    <r>
      <rPr>
        <sz val="10"/>
        <rFont val="Arial"/>
        <family val="2"/>
      </rPr>
      <t xml:space="preserve"> </t>
    </r>
  </si>
  <si>
    <t>part of the auxiliary energy recovered</t>
  </si>
  <si>
    <r>
      <t>f</t>
    </r>
    <r>
      <rPr>
        <vertAlign val="subscript"/>
        <sz val="10"/>
        <rFont val="Arial"/>
        <family val="2"/>
      </rPr>
      <t xml:space="preserve">rvd,aux </t>
    </r>
  </si>
  <si>
    <t>auxiliary power when the generation system is inactive</t>
  </si>
  <si>
    <r>
      <t>P</t>
    </r>
    <r>
      <rPr>
        <vertAlign val="subscript"/>
        <sz val="10"/>
        <rFont val="Arial"/>
        <family val="2"/>
      </rPr>
      <t>aux,off</t>
    </r>
  </si>
  <si>
    <t>part of the nominal electrical power not transmitted to the distribution sub-system</t>
  </si>
  <si>
    <r>
      <t>f</t>
    </r>
    <r>
      <rPr>
        <vertAlign val="subscript"/>
        <sz val="10"/>
        <rFont val="Arial"/>
        <family val="2"/>
      </rPr>
      <t xml:space="preserve">rbl,aux </t>
    </r>
  </si>
  <si>
    <r>
      <t>f</t>
    </r>
    <r>
      <rPr>
        <vertAlign val="subscript"/>
        <sz val="10"/>
        <rFont val="Arial"/>
        <family val="2"/>
      </rPr>
      <t>gnr,env</t>
    </r>
  </si>
  <si>
    <t>Recoverable fraction of stand-by losses</t>
  </si>
  <si>
    <t>Range</t>
  </si>
  <si>
    <r>
      <t>0...</t>
    </r>
    <r>
      <rPr>
        <sz val="10"/>
        <rFont val="Calibri"/>
        <family val="2"/>
      </rPr>
      <t>∞</t>
    </r>
  </si>
  <si>
    <t>Varying</t>
  </si>
  <si>
    <t>Boiler type, condensing / non condensing</t>
  </si>
  <si>
    <t>BLR_COND</t>
  </si>
  <si>
    <t>Values</t>
  </si>
  <si>
    <t>Condensing</t>
  </si>
  <si>
    <t>Non condensing</t>
  </si>
  <si>
    <t>BLR_COND_YES</t>
  </si>
  <si>
    <t>BLR_COND_NO</t>
  </si>
  <si>
    <t>Boiler product data</t>
  </si>
  <si>
    <t>Custom values</t>
  </si>
  <si>
    <t>Option tag</t>
  </si>
  <si>
    <t>Variable TAG</t>
  </si>
  <si>
    <t>BLR_DATA</t>
  </si>
  <si>
    <t>BLR_DATA_USR</t>
  </si>
  <si>
    <t>System design data</t>
  </si>
  <si>
    <t>Operating conditions</t>
  </si>
  <si>
    <t>Localisation</t>
  </si>
  <si>
    <t>Heated space</t>
  </si>
  <si>
    <t>Unheated space</t>
  </si>
  <si>
    <t>Boiler room</t>
  </si>
  <si>
    <t>External</t>
  </si>
  <si>
    <t>Default national: 1 - old oil boiler</t>
  </si>
  <si>
    <t>Default national: 2 - old gas boiler</t>
  </si>
  <si>
    <t>Default national: 3 - new boiler</t>
  </si>
  <si>
    <t>BLR_DATA_NAT_1</t>
  </si>
  <si>
    <t>BLR_DATA_NAT_2</t>
  </si>
  <si>
    <t>BLR_DATA_NAT_3</t>
  </si>
  <si>
    <t>BLR_DATA_CAT_01</t>
  </si>
  <si>
    <t>BLR_DATA_CAT_02</t>
  </si>
  <si>
    <t>Direct connection</t>
  </si>
  <si>
    <t>Independent flow rate</t>
  </si>
  <si>
    <t>Heat exchanger</t>
  </si>
  <si>
    <t>Last option</t>
  </si>
  <si>
    <t xml:space="preserve"> Product descriptive data (qualitative)</t>
  </si>
  <si>
    <t>Product technical data</t>
  </si>
  <si>
    <t>Installation room temperature;</t>
  </si>
  <si>
    <t>Temperature reduction factor of install. room</t>
  </si>
  <si>
    <t>C1</t>
  </si>
  <si>
    <t>C2</t>
  </si>
  <si>
    <t>C3</t>
  </si>
  <si>
    <t>C4</t>
  </si>
  <si>
    <t>C5</t>
  </si>
  <si>
    <t>C6</t>
  </si>
  <si>
    <t>C7</t>
  </si>
  <si>
    <t>C8</t>
  </si>
  <si>
    <t>n</t>
  </si>
  <si>
    <t>W</t>
  </si>
  <si>
    <t>Boiler type</t>
  </si>
  <si>
    <t>Formula</t>
  </si>
  <si>
    <t>All</t>
  </si>
  <si>
    <t>Gas</t>
  </si>
  <si>
    <t>Oil</t>
  </si>
  <si>
    <t>BLR_FUEL_GAS</t>
  </si>
  <si>
    <t>BLR_FUEL_OIL</t>
  </si>
  <si>
    <t>Fuel</t>
  </si>
  <si>
    <t>Formula ref</t>
  </si>
  <si>
    <t>Energy flow data</t>
  </si>
  <si>
    <t>BLR_FUEL</t>
  </si>
  <si>
    <t>Boiler use</t>
  </si>
  <si>
    <t>BLR_USE</t>
  </si>
  <si>
    <t>Heating</t>
  </si>
  <si>
    <t>Domestic hot water</t>
  </si>
  <si>
    <t>BLR_USE_H</t>
  </si>
  <si>
    <t>BLR_USE_DHW</t>
  </si>
  <si>
    <t>BLR_USE_ALL</t>
  </si>
  <si>
    <t>BLR_FUEL_ALL</t>
  </si>
  <si>
    <t>Generator output at full load;</t>
  </si>
  <si>
    <t>Oil, standard, minimum value</t>
  </si>
  <si>
    <t>Oil, low temperature, minimum value</t>
  </si>
  <si>
    <t>Oil, condensing, minimum value</t>
  </si>
  <si>
    <t>Gas, standard, minimum value</t>
  </si>
  <si>
    <t>Gas, low temperature, minimum value</t>
  </si>
  <si>
    <t>Gas, Condensing, minimum value</t>
  </si>
  <si>
    <t>BLR_DATA_OIL_STD</t>
  </si>
  <si>
    <t>BLR_DATA_OIL_LT</t>
  </si>
  <si>
    <t>BLR_DATA_OIL_CND</t>
  </si>
  <si>
    <t>BLR_DATA_GAS_STD</t>
  </si>
  <si>
    <t>BLR_DATA_GAS_LT</t>
  </si>
  <si>
    <t>BLR_DATA_GAS_CND</t>
  </si>
  <si>
    <t>Make 1 boiler 2 oil (catalogue)</t>
  </si>
  <si>
    <t>Make 1 boiler 1 gas (catalogue)</t>
  </si>
  <si>
    <t>Fuel type</t>
  </si>
  <si>
    <t>Limited power</t>
  </si>
  <si>
    <r>
      <t>Ф</t>
    </r>
    <r>
      <rPr>
        <vertAlign val="subscript"/>
        <sz val="10"/>
        <rFont val="Arial"/>
        <family val="2"/>
      </rPr>
      <t>Pn,ltd</t>
    </r>
  </si>
  <si>
    <t>Input data</t>
  </si>
  <si>
    <t>Length of the building</t>
  </si>
  <si>
    <t>Width of the building</t>
  </si>
  <si>
    <t>Number of loors</t>
  </si>
  <si>
    <t>Floor heigth</t>
  </si>
  <si>
    <t>2…5</t>
  </si>
  <si>
    <t>m</t>
  </si>
  <si>
    <t>Formula ref.</t>
  </si>
  <si>
    <t>METHOD</t>
  </si>
  <si>
    <t>Output data</t>
  </si>
  <si>
    <t>Length of shafts</t>
  </si>
  <si>
    <t>Length of base ring</t>
  </si>
  <si>
    <t>diameter of shafts</t>
  </si>
  <si>
    <t>diameter of base ring</t>
  </si>
  <si>
    <r>
      <t>l</t>
    </r>
    <r>
      <rPr>
        <i/>
        <vertAlign val="subscript"/>
        <sz val="10"/>
        <rFont val="Arial"/>
        <family val="2"/>
      </rPr>
      <t>S</t>
    </r>
  </si>
  <si>
    <r>
      <t>l</t>
    </r>
    <r>
      <rPr>
        <i/>
        <vertAlign val="subscript"/>
        <sz val="10"/>
        <rFont val="Arial"/>
        <family val="2"/>
      </rPr>
      <t>B</t>
    </r>
  </si>
  <si>
    <r>
      <t>d</t>
    </r>
    <r>
      <rPr>
        <i/>
        <vertAlign val="subscript"/>
        <sz val="10"/>
        <rFont val="Arial"/>
        <family val="2"/>
      </rPr>
      <t>S</t>
    </r>
  </si>
  <si>
    <r>
      <t>d</t>
    </r>
    <r>
      <rPr>
        <i/>
        <vertAlign val="subscript"/>
        <sz val="10"/>
        <rFont val="Arial"/>
        <family val="2"/>
      </rPr>
      <t>B</t>
    </r>
  </si>
  <si>
    <t>0…0,2</t>
  </si>
  <si>
    <t>Detail all formulas</t>
  </si>
  <si>
    <t>DATA FOR EACH BOILER</t>
  </si>
  <si>
    <t>SELECTION OF BOILERS COMPATIBLE WITH THE QUALITATIVE DESCRIPTION</t>
  </si>
  <si>
    <t>Condensing ?</t>
  </si>
  <si>
    <t>Fuel ?</t>
  </si>
  <si>
    <t>Display ?</t>
  </si>
  <si>
    <t>Condition 3?</t>
  </si>
  <si>
    <t>Condition 4?</t>
  </si>
  <si>
    <t>Intended destination</t>
  </si>
  <si>
    <t>Date</t>
  </si>
  <si>
    <t>Version scope</t>
  </si>
  <si>
    <t>Changes, notes</t>
  </si>
  <si>
    <t>Time series for data input</t>
  </si>
  <si>
    <t>Number of input data</t>
  </si>
  <si>
    <t>Number of time steps</t>
  </si>
  <si>
    <t>Settings</t>
  </si>
  <si>
    <t>Time series for data output</t>
  </si>
  <si>
    <t>Number of output data</t>
  </si>
  <si>
    <t>Press "Run method" to start calculation of individual time steps</t>
  </si>
  <si>
    <t>Press CLEAR OUTPUT to reset output series</t>
  </si>
  <si>
    <t>LOC</t>
  </si>
  <si>
    <t>LOC_INT</t>
  </si>
  <si>
    <t>LOC_UNH</t>
  </si>
  <si>
    <t>LOC_BLR</t>
  </si>
  <si>
    <t>LOC_EXT</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</si>
  <si>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</si>
  <si>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r>
      <rPr>
        <b/>
        <sz val="10"/>
        <rFont val="Arial"/>
        <family val="2"/>
      </rPr>
      <t>EXAMPLE OF A PRODUCT DATA CATALOGUE</t>
    </r>
    <r>
      <rPr>
        <sz val="10"/>
        <rFont val="Arial"/>
        <family val="2"/>
      </rPr>
      <t xml:space="preserve">
Product descriptive data is used to filter the actual catalogue. Unsuitable prioducts are indicated by "Non available"
The desired product in the catalogue is then selected via the main list --&gt; alla data is available with one click.
NOTE: Default data are also part of the catalogue.
This sample catalogue is connected to the "Method input" sheet.
NOTE: This highlights the high importance of the user interface and of a correct data input structuring.</t>
    </r>
  </si>
  <si>
    <r>
      <rPr>
        <b/>
        <sz val="10"/>
        <rFont val="Arial"/>
        <family val="2"/>
      </rPr>
      <t>EXAMPLE OF A SHEET WITH DEFAULT INPUT</t>
    </r>
    <r>
      <rPr>
        <sz val="10"/>
        <rFont val="Arial"/>
        <family val="2"/>
      </rPr>
      <t xml:space="preserve">
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</si>
  <si>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BLR_CE_YES</t>
  </si>
  <si>
    <t>BLR_CE_NO</t>
  </si>
  <si>
    <t>CE marking</t>
  </si>
  <si>
    <t>Control type data</t>
  </si>
  <si>
    <t>Operating conditions data</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</si>
  <si>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</si>
  <si>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 xml:space="preserve"> Process design data (qualitative)</t>
  </si>
  <si>
    <t>Water specific heat</t>
  </si>
  <si>
    <t>Wh/kg°C</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</si>
  <si>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</si>
  <si>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</si>
  <si>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</si>
  <si>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</si>
  <si>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</si>
  <si>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 xml:space="preserve">cp,w </t>
  </si>
  <si>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</si>
  <si>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</si>
  <si>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</si>
  <si>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</si>
  <si>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</si>
  <si>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</si>
  <si>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</si>
  <si>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</si>
  <si>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</si>
  <si>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</si>
  <si>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Output_series
</t>
    </r>
    <r>
      <rPr>
        <sz val="10"/>
        <rFont val="Arial"/>
        <family val="2"/>
      </rPr>
      <t>Series alculation results are stored in this sheet.
Calculation for each time step is launched in this sheet.</t>
    </r>
  </si>
  <si>
    <r>
      <t>l</t>
    </r>
    <r>
      <rPr>
        <i/>
        <vertAlign val="subscript"/>
        <sz val="10"/>
        <rFont val="Arial"/>
        <family val="2"/>
      </rPr>
      <t>L</t>
    </r>
  </si>
  <si>
    <r>
      <t>l</t>
    </r>
    <r>
      <rPr>
        <i/>
        <vertAlign val="subscript"/>
        <sz val="10"/>
        <rFont val="Arial"/>
        <family val="2"/>
      </rPr>
      <t>W</t>
    </r>
  </si>
  <si>
    <r>
      <t>H</t>
    </r>
    <r>
      <rPr>
        <i/>
        <vertAlign val="subscript"/>
        <sz val="10"/>
        <rFont val="Arial"/>
        <family val="2"/>
      </rPr>
      <t>fl</t>
    </r>
  </si>
  <si>
    <r>
      <t>N</t>
    </r>
    <r>
      <rPr>
        <i/>
        <vertAlign val="subscript"/>
        <sz val="10"/>
        <rFont val="Arial"/>
        <family val="2"/>
      </rPr>
      <t>lev</t>
    </r>
  </si>
  <si>
    <t>1…10</t>
  </si>
  <si>
    <t>4…100</t>
  </si>
  <si>
    <t>4…20</t>
  </si>
  <si>
    <t xml:space="preserve">Length of connection of radiators to vertical shafts </t>
  </si>
  <si>
    <t>Length of vertical shafts</t>
  </si>
  <si>
    <t>Length of base collector</t>
  </si>
  <si>
    <t>…</t>
  </si>
  <si>
    <r>
      <t>l</t>
    </r>
    <r>
      <rPr>
        <i/>
        <vertAlign val="subscript"/>
        <sz val="10"/>
        <rFont val="Arial"/>
        <family val="2"/>
      </rPr>
      <t>A</t>
    </r>
  </si>
  <si>
    <r>
      <t>l</t>
    </r>
    <r>
      <rPr>
        <i/>
        <vertAlign val="subscript"/>
        <sz val="10"/>
        <rFont val="Arial"/>
        <family val="2"/>
      </rPr>
      <t>V</t>
    </r>
  </si>
  <si>
    <t>Create here a simulation of each correlation method in your Annex C</t>
  </si>
  <si>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</si>
  <si>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LIST OF AVAILABLE SHEETS</t>
  </si>
  <si>
    <r>
      <rPr>
        <b/>
        <i/>
        <sz val="10"/>
        <rFont val="Arial"/>
        <family val="2"/>
      </rPr>
      <t xml:space="preserve">Method_input
</t>
    </r>
    <r>
      <rPr>
        <sz val="10"/>
        <rFont val="Arial"/>
        <family val="2"/>
      </rPr>
      <t xml:space="preserve">List in this sheet all the input required for the calculation in one time step.
</t>
    </r>
    <r>
      <rPr>
        <b/>
        <sz val="10"/>
        <color rgb="FFFF000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</si>
  <si>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color rgb="FFFF000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</si>
  <si>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color rgb="FFFF0000"/>
        <rFont val="Arial"/>
        <family val="2"/>
      </rPr>
      <t>THIS SHEET IS REQUIRED TO DEMONSTRATE THE AVAILABLE DATA OUTPUT.</t>
    </r>
  </si>
  <si>
    <t>yes</t>
  </si>
  <si>
    <t>Cooling generation electrical energy input</t>
  </si>
  <si>
    <r>
      <t>E</t>
    </r>
    <r>
      <rPr>
        <i/>
        <vertAlign val="subscript"/>
        <sz val="9"/>
        <rFont val="Arial"/>
        <family val="2"/>
      </rPr>
      <t>C,gen,el,in</t>
    </r>
  </si>
  <si>
    <t>Generation system auxiliary energy input</t>
  </si>
  <si>
    <r>
      <t>W</t>
    </r>
    <r>
      <rPr>
        <i/>
        <vertAlign val="subscript"/>
        <sz val="9"/>
        <rFont val="Arial"/>
        <family val="2"/>
      </rPr>
      <t>C;aux;gen</t>
    </r>
  </si>
  <si>
    <t>Absorption cooling generation heat input</t>
  </si>
  <si>
    <r>
      <t>Q</t>
    </r>
    <r>
      <rPr>
        <i/>
        <vertAlign val="subscript"/>
        <sz val="9"/>
        <rFont val="Arial"/>
        <family val="2"/>
      </rPr>
      <t>H;C;gen;abs;in</t>
    </r>
  </si>
  <si>
    <t>Cooling energy extracted by generation system</t>
  </si>
  <si>
    <r>
      <t>Q</t>
    </r>
    <r>
      <rPr>
        <i/>
        <vertAlign val="subscript"/>
        <sz val="9"/>
        <rFont val="Arial"/>
        <family val="2"/>
      </rPr>
      <t>C;gen;in</t>
    </r>
  </si>
  <si>
    <t>Maximum cooling energy extracted by the generation system at the current time step</t>
  </si>
  <si>
    <r>
      <t>Q</t>
    </r>
    <r>
      <rPr>
        <i/>
        <vertAlign val="subscript"/>
        <sz val="9"/>
        <rFont val="Arial"/>
        <family val="2"/>
      </rPr>
      <t>C;gen;in;max</t>
    </r>
  </si>
  <si>
    <t>Distribution inlet temperature from the cooling generation</t>
  </si>
  <si>
    <r>
      <t>ϑ</t>
    </r>
    <r>
      <rPr>
        <i/>
        <vertAlign val="subscript"/>
        <sz val="9"/>
        <rFont val="Arial"/>
        <family val="2"/>
      </rPr>
      <t>C;gen;out</t>
    </r>
  </si>
  <si>
    <t>Required absorption cooling generation heat input</t>
  </si>
  <si>
    <r>
      <t>Q</t>
    </r>
    <r>
      <rPr>
        <i/>
        <vertAlign val="subscript"/>
        <sz val="9"/>
        <rFont val="Arial"/>
        <family val="2"/>
      </rPr>
      <t>H;C;gen;abs;in;req</t>
    </r>
  </si>
  <si>
    <t>required supply temperature of absorption generation heat input</t>
  </si>
  <si>
    <r>
      <t>ϑ</t>
    </r>
    <r>
      <rPr>
        <i/>
        <vertAlign val="subscript"/>
        <sz val="9"/>
        <rFont val="Arial"/>
        <family val="2"/>
      </rPr>
      <t>H;C;gen;abs;in;req</t>
    </r>
  </si>
  <si>
    <t>Recoverable heat of the cooling generation system</t>
  </si>
  <si>
    <r>
      <t>Q</t>
    </r>
    <r>
      <rPr>
        <i/>
        <vertAlign val="subscript"/>
        <sz val="9"/>
        <rFont val="Arial"/>
        <family val="2"/>
      </rPr>
      <t>C;gen;out;rbl</t>
    </r>
  </si>
  <si>
    <t>Max. temperature level of recoverable heat</t>
  </si>
  <si>
    <r>
      <t>ϑ</t>
    </r>
    <r>
      <rPr>
        <i/>
        <vertAlign val="subscript"/>
        <sz val="9"/>
        <rFont val="Arial"/>
        <family val="2"/>
      </rPr>
      <t>C,gen;out;max</t>
    </r>
  </si>
  <si>
    <t>Required energy to be extracted by the generation system</t>
  </si>
  <si>
    <r>
      <t>Q</t>
    </r>
    <r>
      <rPr>
        <i/>
        <vertAlign val="subscript"/>
        <sz val="9"/>
        <rFont val="Arial"/>
        <family val="2"/>
      </rPr>
      <t>C;gen;in;req</t>
    </r>
  </si>
  <si>
    <t>Number of generators</t>
  </si>
  <si>
    <r>
      <t>n</t>
    </r>
    <r>
      <rPr>
        <i/>
        <vertAlign val="subscript"/>
        <sz val="9"/>
        <rFont val="Arial"/>
        <family val="2"/>
      </rPr>
      <t>gen</t>
    </r>
  </si>
  <si>
    <r>
      <t>Q</t>
    </r>
    <r>
      <rPr>
        <i/>
        <vertAlign val="subscript"/>
        <sz val="9"/>
        <rFont val="Arial"/>
        <family val="2"/>
      </rPr>
      <t>C;gen;in;j;max</t>
    </r>
  </si>
  <si>
    <t>M4-4</t>
  </si>
  <si>
    <t>M4-1</t>
  </si>
  <si>
    <t>M3-1</t>
  </si>
  <si>
    <t>M10-12</t>
  </si>
  <si>
    <t>Calculation time interval</t>
  </si>
  <si>
    <r>
      <t>t</t>
    </r>
    <r>
      <rPr>
        <i/>
        <vertAlign val="subscript"/>
        <sz val="10"/>
        <rFont val="Arial"/>
        <family val="2"/>
      </rPr>
      <t>c,i</t>
    </r>
  </si>
  <si>
    <t>Ambient air temperature</t>
  </si>
  <si>
    <r>
      <t>ϑ</t>
    </r>
    <r>
      <rPr>
        <i/>
        <vertAlign val="subscript"/>
        <sz val="10"/>
        <rFont val="Arial"/>
        <family val="2"/>
      </rPr>
      <t>e</t>
    </r>
    <r>
      <rPr>
        <i/>
        <sz val="10"/>
        <rFont val="Arial"/>
        <family val="2"/>
      </rPr>
      <t xml:space="preserve"> </t>
    </r>
  </si>
  <si>
    <t>Ambient air wet-bulb temperature</t>
  </si>
  <si>
    <r>
      <t>ϑ</t>
    </r>
    <r>
      <rPr>
        <i/>
        <vertAlign val="subscript"/>
        <sz val="10"/>
        <rFont val="Arial"/>
        <family val="2"/>
      </rPr>
      <t>e,wb</t>
    </r>
  </si>
  <si>
    <t>Required cooling energy to be extracted by the generation system</t>
  </si>
  <si>
    <r>
      <t>Q</t>
    </r>
    <r>
      <rPr>
        <i/>
        <vertAlign val="subscript"/>
        <sz val="10"/>
        <rFont val="Arial"/>
        <family val="2"/>
      </rPr>
      <t>C;gen;in;req</t>
    </r>
  </si>
  <si>
    <t>Required generation outlet temperature</t>
  </si>
  <si>
    <r>
      <t>ϑ</t>
    </r>
    <r>
      <rPr>
        <i/>
        <vertAlign val="subscript"/>
        <sz val="10"/>
        <rFont val="Arial"/>
        <family val="2"/>
      </rPr>
      <t>C;gen;out;req</t>
    </r>
  </si>
  <si>
    <t>Recovered heat of the cooling generation system</t>
  </si>
  <si>
    <r>
      <t>Q</t>
    </r>
    <r>
      <rPr>
        <i/>
        <vertAlign val="subscript"/>
        <sz val="10"/>
        <rFont val="Arial"/>
        <family val="2"/>
      </rPr>
      <t>C;gen;out;rd</t>
    </r>
  </si>
  <si>
    <r>
      <t>Q</t>
    </r>
    <r>
      <rPr>
        <i/>
        <vertAlign val="subscript"/>
        <sz val="10"/>
        <rFont val="Arial"/>
        <family val="2"/>
      </rPr>
      <t>H;C;gen;abs;in</t>
    </r>
  </si>
  <si>
    <t>Supply temperature of absorption generation heat input</t>
  </si>
  <si>
    <r>
      <t>ϑ</t>
    </r>
    <r>
      <rPr>
        <i/>
        <vertAlign val="subscript"/>
        <sz val="10"/>
        <rFont val="Arial"/>
        <family val="2"/>
      </rPr>
      <t>H;C;gen;abs;in</t>
    </r>
  </si>
  <si>
    <t>p</t>
  </si>
  <si>
    <t>Sink temperature for generator type OTHER</t>
  </si>
  <si>
    <r>
      <t>ϑ</t>
    </r>
    <r>
      <rPr>
        <i/>
        <vertAlign val="subscript"/>
        <sz val="10"/>
        <rFont val="Arial"/>
        <family val="2"/>
      </rPr>
      <t>sk</t>
    </r>
    <r>
      <rPr>
        <i/>
        <sz val="10"/>
        <rFont val="Arial"/>
        <family val="2"/>
      </rPr>
      <t xml:space="preserve"> </t>
    </r>
  </si>
  <si>
    <t>Cooling operation factor</t>
  </si>
  <si>
    <r>
      <t>f</t>
    </r>
    <r>
      <rPr>
        <i/>
        <vertAlign val="subscript"/>
        <sz val="10"/>
        <rFont val="Arial"/>
        <family val="2"/>
      </rPr>
      <t>op;C</t>
    </r>
  </si>
  <si>
    <t>Operation factor of the control devices</t>
  </si>
  <si>
    <r>
      <t>f</t>
    </r>
    <r>
      <rPr>
        <i/>
        <vertAlign val="subscript"/>
        <sz val="10"/>
        <rFont val="Arial"/>
        <family val="2"/>
      </rPr>
      <t>op;ctrl</t>
    </r>
  </si>
  <si>
    <t>M1-9</t>
  </si>
  <si>
    <t>M1-13</t>
  </si>
  <si>
    <t>local</t>
  </si>
  <si>
    <t>M4-1/
M4-7</t>
  </si>
  <si>
    <t>no</t>
  </si>
  <si>
    <t>Generator outlet temperature limit</t>
  </si>
  <si>
    <r>
      <t>J</t>
    </r>
    <r>
      <rPr>
        <vertAlign val="subscript"/>
        <sz val="10"/>
        <color rgb="FF000000"/>
        <rFont val="Arial"/>
        <family val="2"/>
      </rPr>
      <t>C;gen;out;lim</t>
    </r>
  </si>
  <si>
    <r>
      <t>Φ</t>
    </r>
    <r>
      <rPr>
        <i/>
        <vertAlign val="subscript"/>
        <sz val="10"/>
        <rFont val="Arial"/>
        <family val="2"/>
      </rPr>
      <t>C;gen;n</t>
    </r>
  </si>
  <si>
    <t>condensor cooling water/air inlet temperature at nominal conditions</t>
  </si>
  <si>
    <r>
      <t>ϑ</t>
    </r>
    <r>
      <rPr>
        <i/>
        <vertAlign val="subscript"/>
        <sz val="10"/>
        <rFont val="Arial"/>
        <family val="2"/>
      </rPr>
      <t>cond;in;n</t>
    </r>
  </si>
  <si>
    <t>evaporator chilled water outlet temperature at nominal conditions</t>
  </si>
  <si>
    <t>specific electrical power demand of the heat rejection system in dry operation</t>
  </si>
  <si>
    <r>
      <t>p</t>
    </r>
    <r>
      <rPr>
        <i/>
        <vertAlign val="subscript"/>
        <sz val="10"/>
        <rFont val="Arial"/>
        <family val="2"/>
      </rPr>
      <t>hr;el;dry</t>
    </r>
  </si>
  <si>
    <t>specific electrical power demand of the heat rejection system in wet operation</t>
  </si>
  <si>
    <r>
      <t>p</t>
    </r>
    <r>
      <rPr>
        <i/>
        <vertAlign val="subscript"/>
        <sz val="10"/>
        <rFont val="Arial"/>
        <family val="2"/>
      </rPr>
      <t>hr;el;wet</t>
    </r>
  </si>
  <si>
    <t>specific electrical power demand of the heat rejection system type OTHER</t>
  </si>
  <si>
    <r>
      <t>p</t>
    </r>
    <r>
      <rPr>
        <i/>
        <vertAlign val="subscript"/>
        <sz val="10"/>
        <rFont val="Arial"/>
        <family val="2"/>
      </rPr>
      <t>hr;el;oth</t>
    </r>
  </si>
  <si>
    <t>electric power consumption of control device i (sensors, actuators, controllers)</t>
  </si>
  <si>
    <r>
      <t>P</t>
    </r>
    <r>
      <rPr>
        <i/>
        <vertAlign val="subscript"/>
        <sz val="10"/>
        <rFont val="Arial"/>
        <family val="2"/>
      </rPr>
      <t>el;C;ctrl,i</t>
    </r>
  </si>
  <si>
    <t>kW/kW</t>
  </si>
  <si>
    <t>No</t>
  </si>
  <si>
    <t>EN 14825</t>
  </si>
  <si>
    <t>number of generators</t>
  </si>
  <si>
    <r>
      <t>n</t>
    </r>
    <r>
      <rPr>
        <i/>
        <vertAlign val="subscript"/>
        <sz val="10"/>
        <rFont val="Arial"/>
        <family val="2"/>
      </rPr>
      <t>gen</t>
    </r>
  </si>
  <si>
    <t>wet heat rejection temperature limit</t>
  </si>
  <si>
    <r>
      <t>ϑ</t>
    </r>
    <r>
      <rPr>
        <vertAlign val="subscript"/>
        <sz val="10"/>
        <rFont val="Arial"/>
        <family val="2"/>
      </rPr>
      <t>lim;wet;hr</t>
    </r>
  </si>
  <si>
    <t>free cooling operation temperature difference limit</t>
  </si>
  <si>
    <r>
      <t>DJ</t>
    </r>
    <r>
      <rPr>
        <i/>
        <vertAlign val="subscript"/>
        <sz val="10"/>
        <rFont val="Arial"/>
        <family val="2"/>
      </rPr>
      <t>fc</t>
    </r>
  </si>
  <si>
    <t>heat rejection operation temperature difference</t>
  </si>
  <si>
    <r>
      <t>DJ</t>
    </r>
    <r>
      <rPr>
        <i/>
        <vertAlign val="subscript"/>
        <sz val="10"/>
        <rFont val="Arial"/>
        <family val="2"/>
      </rPr>
      <t>hr</t>
    </r>
  </si>
  <si>
    <t xml:space="preserve">Evaporator water outlet temperature for chiller type generators </t>
  </si>
  <si>
    <t>generation outlet temperature really delivered</t>
  </si>
  <si>
    <r>
      <t>J</t>
    </r>
    <r>
      <rPr>
        <vertAlign val="subscript"/>
        <sz val="10"/>
        <rFont val="Arial"/>
        <family val="2"/>
      </rPr>
      <t>C;gen;out</t>
    </r>
    <r>
      <rPr>
        <sz val="10"/>
        <rFont val="Arial"/>
        <family val="2"/>
      </rPr>
      <t xml:space="preserve"> = max(</t>
    </r>
    <r>
      <rPr>
        <i/>
        <sz val="10"/>
        <rFont val="Symbol"/>
        <family val="1"/>
        <charset val="2"/>
      </rPr>
      <t>J</t>
    </r>
    <r>
      <rPr>
        <vertAlign val="subscript"/>
        <sz val="10"/>
        <rFont val="Arial"/>
        <family val="2"/>
      </rPr>
      <t>C;gen;out;req</t>
    </r>
    <r>
      <rPr>
        <sz val="10"/>
        <rFont val="Arial"/>
        <family val="2"/>
      </rPr>
      <t xml:space="preserve"> ; </t>
    </r>
    <r>
      <rPr>
        <i/>
        <sz val="10"/>
        <rFont val="Symbol"/>
        <family val="1"/>
        <charset val="2"/>
      </rPr>
      <t>J</t>
    </r>
    <r>
      <rPr>
        <vertAlign val="subscript"/>
        <sz val="10"/>
        <rFont val="Arial"/>
        <family val="2"/>
      </rPr>
      <t>C;gen;out;lim</t>
    </r>
    <r>
      <rPr>
        <sz val="10"/>
        <rFont val="Arial"/>
        <family val="2"/>
      </rPr>
      <t>)</t>
    </r>
  </si>
  <si>
    <t>Formula (4)</t>
  </si>
  <si>
    <t>Evaporator outlet water temperature in case of compression or absorption chillers</t>
  </si>
  <si>
    <t>Formula (5)</t>
  </si>
  <si>
    <r>
      <t>J</t>
    </r>
    <r>
      <rPr>
        <vertAlign val="subscript"/>
        <sz val="10"/>
        <rFont val="Arial"/>
        <family val="2"/>
      </rPr>
      <t>C;gen;out</t>
    </r>
    <r>
      <rPr>
        <sz val="10"/>
        <rFont val="Arial"/>
        <family val="2"/>
      </rPr>
      <t/>
    </r>
  </si>
  <si>
    <r>
      <t>f</t>
    </r>
    <r>
      <rPr>
        <i/>
        <vertAlign val="subscript"/>
        <sz val="10"/>
        <rFont val="Arial"/>
        <family val="2"/>
      </rPr>
      <t>op;fc</t>
    </r>
    <r>
      <rPr>
        <sz val="10"/>
        <rFont val="Arial"/>
        <family val="2"/>
      </rPr>
      <t xml:space="preserve"> = 0</t>
    </r>
  </si>
  <si>
    <r>
      <t>f</t>
    </r>
    <r>
      <rPr>
        <i/>
        <vertAlign val="subscript"/>
        <sz val="10"/>
        <rFont val="Arial"/>
        <family val="2"/>
      </rPr>
      <t>op;fc</t>
    </r>
  </si>
  <si>
    <t>Formula (6a)</t>
  </si>
  <si>
    <t>Operation factor for free cooling mode, if FREE_COOL_OP = NO</t>
  </si>
  <si>
    <t>Operation factor for free cooling mode, else if HEAT_REJ_TYPE = DRY</t>
  </si>
  <si>
    <r>
      <rPr>
        <sz val="10"/>
        <rFont val="Arial"/>
        <family val="2"/>
      </rPr>
      <t>If (</t>
    </r>
    <r>
      <rPr>
        <i/>
        <sz val="10"/>
        <rFont val="Symbol"/>
        <family val="1"/>
        <charset val="2"/>
      </rPr>
      <t>J</t>
    </r>
    <r>
      <rPr>
        <i/>
        <vertAlign val="subscript"/>
        <sz val="10"/>
        <rFont val="Arial"/>
        <family val="2"/>
      </rPr>
      <t>C;gen;out;req</t>
    </r>
    <r>
      <rPr>
        <i/>
        <sz val="10"/>
        <rFont val="Arial"/>
        <family val="2"/>
      </rPr>
      <t xml:space="preserve"> </t>
    </r>
    <r>
      <rPr>
        <sz val="10"/>
        <rFont val="Arial"/>
        <family val="2"/>
      </rPr>
      <t xml:space="preserve">- </t>
    </r>
    <r>
      <rPr>
        <i/>
        <sz val="10"/>
        <rFont val="Symbol"/>
        <family val="1"/>
        <charset val="2"/>
      </rPr>
      <t>J</t>
    </r>
    <r>
      <rPr>
        <i/>
        <vertAlign val="subscript"/>
        <sz val="10"/>
        <rFont val="Arial"/>
        <family val="2"/>
      </rPr>
      <t>e</t>
    </r>
    <r>
      <rPr>
        <sz val="10"/>
        <rFont val="Arial"/>
        <family val="2"/>
      </rPr>
      <t xml:space="preserve">) &gt; </t>
    </r>
    <r>
      <rPr>
        <i/>
        <sz val="10"/>
        <rFont val="Symbol"/>
        <family val="1"/>
        <charset val="2"/>
      </rPr>
      <t>DJ</t>
    </r>
    <r>
      <rPr>
        <i/>
        <vertAlign val="subscript"/>
        <sz val="10"/>
        <rFont val="Arial"/>
        <family val="2"/>
      </rPr>
      <t>fc</t>
    </r>
    <r>
      <rPr>
        <i/>
        <sz val="10"/>
        <rFont val="Arial"/>
        <family val="2"/>
      </rPr>
      <t xml:space="preserve">                 f</t>
    </r>
    <r>
      <rPr>
        <i/>
        <vertAlign val="subscript"/>
        <sz val="10"/>
        <rFont val="Arial"/>
        <family val="2"/>
      </rPr>
      <t>op;fc</t>
    </r>
    <r>
      <rPr>
        <i/>
        <sz val="10"/>
        <rFont val="Arial"/>
        <family val="2"/>
      </rPr>
      <t xml:space="preserve"> = 1
</t>
    </r>
    <r>
      <rPr>
        <sz val="10"/>
        <rFont val="Arial"/>
        <family val="2"/>
      </rPr>
      <t xml:space="preserve">else                                                 </t>
    </r>
    <r>
      <rPr>
        <i/>
        <sz val="10"/>
        <rFont val="Arial"/>
        <family val="2"/>
      </rPr>
      <t xml:space="preserve">  f</t>
    </r>
    <r>
      <rPr>
        <i/>
        <vertAlign val="subscript"/>
        <sz val="10"/>
        <rFont val="Arial"/>
        <family val="2"/>
      </rPr>
      <t>op;fc</t>
    </r>
    <r>
      <rPr>
        <sz val="10"/>
        <rFont val="Arial"/>
        <family val="2"/>
      </rPr>
      <t xml:space="preserve"> = 0</t>
    </r>
  </si>
  <si>
    <t>Formula (6b)</t>
  </si>
  <si>
    <t>Operation factor for free cooling mode, else if HEAT_REJ_TYPE = WET or HYBRID</t>
  </si>
  <si>
    <t>Formula (6c)</t>
  </si>
  <si>
    <r>
      <rPr>
        <sz val="10"/>
        <rFont val="Arial"/>
        <family val="2"/>
      </rPr>
      <t>If (</t>
    </r>
    <r>
      <rPr>
        <i/>
        <sz val="10"/>
        <rFont val="Symbol"/>
        <family val="1"/>
        <charset val="2"/>
      </rPr>
      <t>J</t>
    </r>
    <r>
      <rPr>
        <i/>
        <vertAlign val="subscript"/>
        <sz val="10"/>
        <rFont val="Arial"/>
        <family val="2"/>
      </rPr>
      <t>C;gen;out;req</t>
    </r>
    <r>
      <rPr>
        <i/>
        <sz val="10"/>
        <rFont val="Arial"/>
        <family val="2"/>
      </rPr>
      <t xml:space="preserve"> </t>
    </r>
    <r>
      <rPr>
        <sz val="10"/>
        <rFont val="Arial"/>
        <family val="2"/>
      </rPr>
      <t xml:space="preserve">- </t>
    </r>
    <r>
      <rPr>
        <i/>
        <sz val="10"/>
        <rFont val="Symbol"/>
        <family val="1"/>
        <charset val="2"/>
      </rPr>
      <t>J</t>
    </r>
    <r>
      <rPr>
        <i/>
        <vertAlign val="subscript"/>
        <sz val="10"/>
        <rFont val="Arial"/>
        <family val="2"/>
      </rPr>
      <t>e;wb</t>
    </r>
    <r>
      <rPr>
        <sz val="10"/>
        <rFont val="Arial"/>
        <family val="2"/>
      </rPr>
      <t xml:space="preserve">) &gt; </t>
    </r>
    <r>
      <rPr>
        <i/>
        <sz val="10"/>
        <rFont val="Symbol"/>
        <family val="1"/>
        <charset val="2"/>
      </rPr>
      <t>DJ</t>
    </r>
    <r>
      <rPr>
        <i/>
        <vertAlign val="subscript"/>
        <sz val="10"/>
        <rFont val="Arial"/>
        <family val="2"/>
      </rPr>
      <t>fc</t>
    </r>
    <r>
      <rPr>
        <i/>
        <sz val="10"/>
        <rFont val="Arial"/>
        <family val="2"/>
      </rPr>
      <t xml:space="preserve">              f</t>
    </r>
    <r>
      <rPr>
        <i/>
        <vertAlign val="subscript"/>
        <sz val="10"/>
        <rFont val="Arial"/>
        <family val="2"/>
      </rPr>
      <t>op;fc</t>
    </r>
    <r>
      <rPr>
        <i/>
        <sz val="10"/>
        <rFont val="Arial"/>
        <family val="2"/>
      </rPr>
      <t xml:space="preserve"> = 1
</t>
    </r>
    <r>
      <rPr>
        <sz val="10"/>
        <rFont val="Arial"/>
        <family val="2"/>
      </rPr>
      <t xml:space="preserve">else                                                 </t>
    </r>
    <r>
      <rPr>
        <i/>
        <sz val="10"/>
        <rFont val="Arial"/>
        <family val="2"/>
      </rPr>
      <t xml:space="preserve">  f</t>
    </r>
    <r>
      <rPr>
        <i/>
        <vertAlign val="subscript"/>
        <sz val="10"/>
        <rFont val="Arial"/>
        <family val="2"/>
      </rPr>
      <t>op;fc</t>
    </r>
    <r>
      <rPr>
        <sz val="10"/>
        <rFont val="Arial"/>
        <family val="2"/>
      </rPr>
      <t xml:space="preserve"> = 0</t>
    </r>
  </si>
  <si>
    <r>
      <rPr>
        <sz val="10"/>
        <rFont val="Arial"/>
        <family val="2"/>
      </rPr>
      <t>If (</t>
    </r>
    <r>
      <rPr>
        <i/>
        <sz val="10"/>
        <rFont val="Symbol"/>
        <family val="1"/>
        <charset val="2"/>
      </rPr>
      <t>J</t>
    </r>
    <r>
      <rPr>
        <i/>
        <vertAlign val="subscript"/>
        <sz val="10"/>
        <rFont val="Arial"/>
        <family val="2"/>
      </rPr>
      <t>C;gen;out;req</t>
    </r>
    <r>
      <rPr>
        <i/>
        <sz val="10"/>
        <rFont val="Arial"/>
        <family val="2"/>
      </rPr>
      <t xml:space="preserve"> </t>
    </r>
    <r>
      <rPr>
        <sz val="10"/>
        <rFont val="Arial"/>
        <family val="2"/>
      </rPr>
      <t xml:space="preserve">- </t>
    </r>
    <r>
      <rPr>
        <i/>
        <sz val="10"/>
        <rFont val="Symbol"/>
        <family val="1"/>
        <charset val="2"/>
      </rPr>
      <t>J</t>
    </r>
    <r>
      <rPr>
        <i/>
        <vertAlign val="subscript"/>
        <sz val="10"/>
        <rFont val="Arial"/>
        <family val="2"/>
      </rPr>
      <t>sk</t>
    </r>
    <r>
      <rPr>
        <sz val="10"/>
        <rFont val="Arial"/>
        <family val="2"/>
      </rPr>
      <t xml:space="preserve">) &gt; </t>
    </r>
    <r>
      <rPr>
        <i/>
        <sz val="10"/>
        <rFont val="Symbol"/>
        <family val="1"/>
        <charset val="2"/>
      </rPr>
      <t>DJ</t>
    </r>
    <r>
      <rPr>
        <i/>
        <vertAlign val="subscript"/>
        <sz val="10"/>
        <rFont val="Arial"/>
        <family val="2"/>
      </rPr>
      <t>fc</t>
    </r>
    <r>
      <rPr>
        <i/>
        <sz val="10"/>
        <rFont val="Arial"/>
        <family val="2"/>
      </rPr>
      <t xml:space="preserve">              f</t>
    </r>
    <r>
      <rPr>
        <i/>
        <vertAlign val="subscript"/>
        <sz val="10"/>
        <rFont val="Arial"/>
        <family val="2"/>
      </rPr>
      <t>op;fc</t>
    </r>
    <r>
      <rPr>
        <i/>
        <sz val="10"/>
        <rFont val="Arial"/>
        <family val="2"/>
      </rPr>
      <t xml:space="preserve"> = 1
</t>
    </r>
    <r>
      <rPr>
        <sz val="10"/>
        <rFont val="Arial"/>
        <family val="2"/>
      </rPr>
      <t xml:space="preserve">else                                                 </t>
    </r>
    <r>
      <rPr>
        <i/>
        <sz val="10"/>
        <rFont val="Arial"/>
        <family val="2"/>
      </rPr>
      <t xml:space="preserve">  f</t>
    </r>
    <r>
      <rPr>
        <i/>
        <vertAlign val="subscript"/>
        <sz val="10"/>
        <rFont val="Arial"/>
        <family val="2"/>
      </rPr>
      <t>op;fc</t>
    </r>
    <r>
      <rPr>
        <sz val="10"/>
        <rFont val="Arial"/>
        <family val="2"/>
      </rPr>
      <t xml:space="preserve"> = 0</t>
    </r>
  </si>
  <si>
    <t>Operation factor for free cooling mode, else</t>
  </si>
  <si>
    <t>Formula (6d)</t>
  </si>
  <si>
    <t xml:space="preserve">Maximum energy possibly extracted by the generation system </t>
  </si>
  <si>
    <t>Formula (7)</t>
  </si>
  <si>
    <t>Formula (8a)</t>
  </si>
  <si>
    <t>Formula (8c)</t>
  </si>
  <si>
    <t>Formula (8b)</t>
  </si>
  <si>
    <r>
      <t>Energy to be extracted by the generator with priority p (for p = 1..</t>
    </r>
    <r>
      <rPr>
        <i/>
        <sz val="10"/>
        <rFont val="Arial"/>
        <family val="2"/>
      </rPr>
      <t>n</t>
    </r>
    <r>
      <rPr>
        <i/>
        <vertAlign val="subscript"/>
        <sz val="10"/>
        <rFont val="Arial"/>
        <family val="2"/>
      </rPr>
      <t>gen</t>
    </r>
    <r>
      <rPr>
        <sz val="10"/>
        <rFont val="Arial"/>
        <family val="2"/>
      </rPr>
      <t xml:space="preserve">), if
</t>
    </r>
  </si>
  <si>
    <t>Formula (9a)</t>
  </si>
  <si>
    <t>Formula (10a)</t>
  </si>
  <si>
    <t>Formula (9b)</t>
  </si>
  <si>
    <t>Formula (10b)</t>
  </si>
  <si>
    <t>Part-load factor of generator j=1</t>
  </si>
  <si>
    <t>Part-load factor of generator j=2</t>
  </si>
  <si>
    <t>Operation conditions calculations</t>
  </si>
  <si>
    <r>
      <t>f</t>
    </r>
    <r>
      <rPr>
        <i/>
        <vertAlign val="subscript"/>
        <sz val="10"/>
        <rFont val="Arial"/>
        <family val="2"/>
      </rPr>
      <t>op;hr;wet</t>
    </r>
    <r>
      <rPr>
        <sz val="10"/>
        <rFont val="Arial"/>
        <family val="2"/>
      </rPr>
      <t xml:space="preserve"> = 0</t>
    </r>
  </si>
  <si>
    <r>
      <t>f</t>
    </r>
    <r>
      <rPr>
        <i/>
        <vertAlign val="subscript"/>
        <sz val="10"/>
        <rFont val="Arial"/>
        <family val="2"/>
      </rPr>
      <t>op;hr;wet</t>
    </r>
  </si>
  <si>
    <t>Formula (13a)</t>
  </si>
  <si>
    <t>Condenser inlet temperature from the heat rejection device, else if HEAT_REJ_TYPE = DRY</t>
  </si>
  <si>
    <t>Operation factor of the heat rejection device, else if HEAT_REJ_TYPE = DRY</t>
  </si>
  <si>
    <t>Formula (13b)</t>
  </si>
  <si>
    <t>Operation factor of the heat rejection device, else if HEAT_REJ_TYPE = WET</t>
  </si>
  <si>
    <t>Condenser inlet temperature from the heat rejection device, else if HEAT_REJ_TYPE = WET</t>
  </si>
  <si>
    <r>
      <t>f</t>
    </r>
    <r>
      <rPr>
        <i/>
        <vertAlign val="subscript"/>
        <sz val="10"/>
        <rFont val="Arial"/>
        <family val="2"/>
      </rPr>
      <t>op;hr;wet</t>
    </r>
    <r>
      <rPr>
        <sz val="10"/>
        <rFont val="Arial"/>
        <family val="2"/>
      </rPr>
      <t xml:space="preserve"> = 1</t>
    </r>
  </si>
  <si>
    <t>Formula (13c)</t>
  </si>
  <si>
    <t>Formula (13d)</t>
  </si>
  <si>
    <t>Formula (13e)</t>
  </si>
  <si>
    <r>
      <t xml:space="preserve">Operation factor of the heat rejection device, else if HEAT_REJ_TYPE = HYBRID, else if HEAT_REJ_CTRL = MAX_POWER, if </t>
    </r>
    <r>
      <rPr>
        <i/>
        <sz val="10"/>
        <rFont val="Symbol"/>
        <family val="1"/>
        <charset val="2"/>
      </rPr>
      <t/>
    </r>
  </si>
  <si>
    <t>Formula (13f)</t>
  </si>
  <si>
    <t>Formula (13g)</t>
  </si>
  <si>
    <t>Formula (13h)</t>
  </si>
  <si>
    <t>Operation factor of the heat rejection device, else</t>
  </si>
  <si>
    <t>Condenser inlet temperature from the heat rejection device, else</t>
  </si>
  <si>
    <t>Energy calculations</t>
  </si>
  <si>
    <t>Priority for operation of generator j=1</t>
  </si>
  <si>
    <t>Priority for operation of generator j=2</t>
  </si>
  <si>
    <t>Generator 1</t>
  </si>
  <si>
    <t>Generator 2</t>
  </si>
  <si>
    <t>Heat extracted by the cooling generation system</t>
  </si>
  <si>
    <t>Formula (15)</t>
  </si>
  <si>
    <t xml:space="preserve">Total heat potentially recoverable or to be rejected </t>
  </si>
  <si>
    <t>Formula (16)</t>
  </si>
  <si>
    <t>Heat potentially recoverable</t>
  </si>
  <si>
    <t>Formula (17)</t>
  </si>
  <si>
    <t>Formula (18)</t>
  </si>
  <si>
    <t>Energy efficiency ratio for generator j =1</t>
  </si>
  <si>
    <t>Formula (19)</t>
  </si>
  <si>
    <t>Energy efficiency ratio for generator j =2</t>
  </si>
  <si>
    <t>Heat ratio for generator k=1</t>
  </si>
  <si>
    <t>Formula (22)</t>
  </si>
  <si>
    <t xml:space="preserve">Carnot heat ratio </t>
  </si>
  <si>
    <t>Required electrical energy for the generators 1..n of type OTHER</t>
  </si>
  <si>
    <t>Auxiliary electrical energy demand</t>
  </si>
  <si>
    <t>Auxiliary electrical energy demand for the heat rejection</t>
  </si>
  <si>
    <t xml:space="preserve">Heat input to the rejection system </t>
  </si>
  <si>
    <t>Auxiliary energy consumption of the control components</t>
  </si>
  <si>
    <r>
      <t>Q</t>
    </r>
    <r>
      <rPr>
        <i/>
        <vertAlign val="subscript"/>
        <sz val="10"/>
        <rFont val="Arial"/>
        <family val="2"/>
      </rPr>
      <t>C;gen;in</t>
    </r>
  </si>
  <si>
    <r>
      <t>Q</t>
    </r>
    <r>
      <rPr>
        <i/>
        <vertAlign val="subscript"/>
        <sz val="10"/>
        <rFont val="Arial"/>
        <family val="2"/>
      </rPr>
      <t>C;gen;out</t>
    </r>
  </si>
  <si>
    <r>
      <t>Q</t>
    </r>
    <r>
      <rPr>
        <i/>
        <vertAlign val="subscript"/>
        <sz val="10"/>
        <rFont val="Arial"/>
        <family val="2"/>
      </rPr>
      <t>C;gen;out;rbl</t>
    </r>
  </si>
  <si>
    <r>
      <t>E</t>
    </r>
    <r>
      <rPr>
        <i/>
        <vertAlign val="subscript"/>
        <sz val="10"/>
        <rFont val="Arial"/>
        <family val="2"/>
      </rPr>
      <t>C;gen;el;in</t>
    </r>
  </si>
  <si>
    <r>
      <t>Q</t>
    </r>
    <r>
      <rPr>
        <i/>
        <vertAlign val="subscript"/>
        <sz val="10"/>
        <rFont val="Arial"/>
        <family val="2"/>
      </rPr>
      <t>H;C;gen;abs;in;req</t>
    </r>
  </si>
  <si>
    <r>
      <rPr>
        <i/>
        <sz val="10"/>
        <rFont val="Symbol"/>
        <family val="1"/>
        <charset val="2"/>
      </rPr>
      <t>z</t>
    </r>
    <r>
      <rPr>
        <i/>
        <vertAlign val="subscript"/>
        <sz val="10"/>
        <rFont val="Arial"/>
        <family val="2"/>
      </rPr>
      <t>k</t>
    </r>
  </si>
  <si>
    <r>
      <rPr>
        <i/>
        <sz val="10"/>
        <rFont val="Symbol"/>
        <family val="1"/>
        <charset val="2"/>
      </rPr>
      <t>z</t>
    </r>
    <r>
      <rPr>
        <i/>
        <vertAlign val="subscript"/>
        <sz val="10"/>
        <rFont val="Arial"/>
        <family val="2"/>
      </rPr>
      <t>c</t>
    </r>
  </si>
  <si>
    <r>
      <t>W</t>
    </r>
    <r>
      <rPr>
        <i/>
        <vertAlign val="subscript"/>
        <sz val="10"/>
        <rFont val="Arial"/>
        <family val="2"/>
      </rPr>
      <t>C;aux;gen</t>
    </r>
  </si>
  <si>
    <r>
      <t>W</t>
    </r>
    <r>
      <rPr>
        <i/>
        <vertAlign val="subscript"/>
        <sz val="10"/>
        <rFont val="Arial"/>
        <family val="2"/>
      </rPr>
      <t>hr</t>
    </r>
  </si>
  <si>
    <r>
      <t>Q</t>
    </r>
    <r>
      <rPr>
        <i/>
        <vertAlign val="subscript"/>
        <sz val="10"/>
        <rFont val="Arial"/>
        <family val="2"/>
      </rPr>
      <t>hr</t>
    </r>
  </si>
  <si>
    <r>
      <t>W</t>
    </r>
    <r>
      <rPr>
        <i/>
        <vertAlign val="subscript"/>
        <sz val="10"/>
        <rFont val="Arial"/>
        <family val="2"/>
      </rPr>
      <t>C;ctrl</t>
    </r>
  </si>
  <si>
    <t>Product description data</t>
  </si>
  <si>
    <t>GEN_TYPE</t>
  </si>
  <si>
    <t>Generator type</t>
  </si>
  <si>
    <t>Heat rejection type</t>
  </si>
  <si>
    <t>HEAT_REJ_TYPE</t>
  </si>
  <si>
    <t>List</t>
  </si>
  <si>
    <t>COMP</t>
  </si>
  <si>
    <t>ABS</t>
  </si>
  <si>
    <t>OTHER</t>
  </si>
  <si>
    <t>Cooling generator type 1</t>
  </si>
  <si>
    <t>Cooling generator type 2</t>
  </si>
  <si>
    <t>Compression chiller</t>
  </si>
  <si>
    <t>Absorption chiller</t>
  </si>
  <si>
    <t>Any other generator type</t>
  </si>
  <si>
    <t>Air cooled condenser</t>
  </si>
  <si>
    <t>Heat rejection with dry operation</t>
  </si>
  <si>
    <t>Heat rejection with wet operation (sprayed air cooler, cooling tower)</t>
  </si>
  <si>
    <t>Heat rejection with dry or wet operation depending on conditions</t>
  </si>
  <si>
    <t>Other type of heat rejection (ground, ground water, surface water)</t>
  </si>
  <si>
    <t>AIR_C_COND</t>
  </si>
  <si>
    <t>DRY</t>
  </si>
  <si>
    <t>WET</t>
  </si>
  <si>
    <t>HYBRID</t>
  </si>
  <si>
    <t>Free cooling operation possibility</t>
  </si>
  <si>
    <t>FREE_COOL_OP</t>
  </si>
  <si>
    <t>Free cooling possibility available (chiller can be bypassed)</t>
  </si>
  <si>
    <t>Free cooling not available</t>
  </si>
  <si>
    <t>YES</t>
  </si>
  <si>
    <t>NO</t>
  </si>
  <si>
    <t>Control of the hybrid heat rejection</t>
  </si>
  <si>
    <t>Switch between dry and wet operation at a fixed outside air temperature</t>
  </si>
  <si>
    <t>Switch between dry and wet operation when chiller max. power at dry operation exceeded</t>
  </si>
  <si>
    <t>HEAT_REJ_CTRL</t>
  </si>
  <si>
    <t>TEMP</t>
  </si>
  <si>
    <t>MAX_POWER</t>
  </si>
  <si>
    <t>Process design</t>
  </si>
  <si>
    <t>Coefficient for the calculation of absorption chiller characteristics</t>
  </si>
  <si>
    <r>
      <t>C</t>
    </r>
    <r>
      <rPr>
        <i/>
        <vertAlign val="subscript"/>
        <sz val="10"/>
        <rFont val="Arial"/>
        <family val="2"/>
      </rPr>
      <t>5</t>
    </r>
  </si>
  <si>
    <r>
      <t>C</t>
    </r>
    <r>
      <rPr>
        <i/>
        <vertAlign val="subscript"/>
        <sz val="10"/>
        <rFont val="Arial"/>
        <family val="2"/>
      </rPr>
      <t>6</t>
    </r>
  </si>
  <si>
    <r>
      <t>C</t>
    </r>
    <r>
      <rPr>
        <i/>
        <vertAlign val="subscript"/>
        <sz val="10"/>
        <rFont val="Arial"/>
        <family val="2"/>
      </rPr>
      <t>7</t>
    </r>
  </si>
  <si>
    <t>Coefficient for the calculation of compression chiller characteristics</t>
  </si>
  <si>
    <r>
      <t>C</t>
    </r>
    <r>
      <rPr>
        <i/>
        <vertAlign val="subscript"/>
        <sz val="10"/>
        <rFont val="Arial"/>
        <family val="2"/>
      </rPr>
      <t>1</t>
    </r>
  </si>
  <si>
    <r>
      <t>C</t>
    </r>
    <r>
      <rPr>
        <i/>
        <vertAlign val="subscript"/>
        <sz val="10"/>
        <rFont val="Arial"/>
        <family val="2"/>
      </rPr>
      <t>2</t>
    </r>
  </si>
  <si>
    <r>
      <t>C</t>
    </r>
    <r>
      <rPr>
        <i/>
        <vertAlign val="subscript"/>
        <sz val="10"/>
        <rFont val="Arial"/>
        <family val="2"/>
      </rPr>
      <t>3</t>
    </r>
  </si>
  <si>
    <r>
      <t>C</t>
    </r>
    <r>
      <rPr>
        <i/>
        <vertAlign val="subscript"/>
        <sz val="10"/>
        <rFont val="Arial"/>
        <family val="2"/>
      </rPr>
      <t>4</t>
    </r>
  </si>
  <si>
    <t>Corrective temperature difference</t>
  </si>
  <si>
    <r>
      <rPr>
        <i/>
        <sz val="10"/>
        <rFont val="Symbol"/>
        <family val="1"/>
        <charset val="2"/>
      </rPr>
      <t>D</t>
    </r>
    <r>
      <rPr>
        <i/>
        <sz val="10"/>
        <rFont val="Arial"/>
        <family val="2"/>
      </rPr>
      <t>ϑ</t>
    </r>
    <r>
      <rPr>
        <i/>
        <vertAlign val="subscript"/>
        <sz val="10"/>
        <rFont val="Arial"/>
        <family val="2"/>
      </rPr>
      <t>corr</t>
    </r>
  </si>
  <si>
    <t>Condenser inlet temperature from the heat rejection device, if HEAT_REJ_TYPE = AIR_C_COND</t>
  </si>
  <si>
    <t>Operation factor of the heat rejection device, if HEAT_REJ_TYPE = AIR_C_COND</t>
  </si>
  <si>
    <t>Temperature difference due to the heat losses in the heat rejection circuit</t>
  </si>
  <si>
    <r>
      <t>DJ</t>
    </r>
    <r>
      <rPr>
        <i/>
        <vertAlign val="subscript"/>
        <sz val="10"/>
        <rFont val="Arial"/>
        <family val="2"/>
      </rPr>
      <t>ls;dis;hr;</t>
    </r>
  </si>
  <si>
    <t>K</t>
  </si>
  <si>
    <t>M4-6</t>
  </si>
  <si>
    <t>Yes</t>
  </si>
  <si>
    <t>Formula (1)</t>
  </si>
  <si>
    <t>Matrix A:</t>
  </si>
  <si>
    <t>B = Inverse of matrix A:</t>
  </si>
  <si>
    <t>6.3.2.2.2 Compressor chiller characteristics</t>
  </si>
  <si>
    <t>Chiller 1</t>
  </si>
  <si>
    <t>Chiller 2</t>
  </si>
  <si>
    <r>
      <t>J</t>
    </r>
    <r>
      <rPr>
        <vertAlign val="subscript"/>
        <sz val="10"/>
        <rFont val="Arial"/>
        <family val="2"/>
      </rPr>
      <t>C;evap;out</t>
    </r>
    <r>
      <rPr>
        <sz val="10"/>
        <rFont val="Arial"/>
        <family val="2"/>
      </rPr>
      <t/>
    </r>
  </si>
  <si>
    <r>
      <t>J</t>
    </r>
    <r>
      <rPr>
        <vertAlign val="subscript"/>
        <sz val="10"/>
        <rFont val="Arial"/>
        <family val="2"/>
      </rPr>
      <t>C,cond;in;dry</t>
    </r>
  </si>
  <si>
    <r>
      <t>J</t>
    </r>
    <r>
      <rPr>
        <vertAlign val="subscript"/>
        <sz val="10"/>
        <rFont val="Arial"/>
        <family val="2"/>
      </rPr>
      <t>C,cond;in;wet</t>
    </r>
  </si>
  <si>
    <t>Formula (3a)</t>
  </si>
  <si>
    <t>Formula (3b)</t>
  </si>
  <si>
    <t>The maximum heat extraction of generator j=1, If HEAT_REJ_TYPE = AIR_C_COND</t>
  </si>
  <si>
    <r>
      <t>The maximum heat extraction of generator j=1, else if f</t>
    </r>
    <r>
      <rPr>
        <vertAlign val="subscript"/>
        <sz val="10"/>
        <rFont val="Arial"/>
        <family val="2"/>
      </rPr>
      <t>op;hr;wet</t>
    </r>
    <r>
      <rPr>
        <sz val="10"/>
        <rFont val="Arial"/>
        <family val="2"/>
      </rPr>
      <t xml:space="preserve"> = 1</t>
    </r>
  </si>
  <si>
    <t>The maximum heat extraction of generator j=1, else</t>
  </si>
  <si>
    <r>
      <t>Q</t>
    </r>
    <r>
      <rPr>
        <i/>
        <vertAlign val="subscript"/>
        <sz val="10"/>
        <rFont val="Arial"/>
        <family val="2"/>
      </rPr>
      <t>C;gen;in;max;j</t>
    </r>
    <r>
      <rPr>
        <i/>
        <sz val="10"/>
        <rFont val="Arial"/>
        <family val="2"/>
      </rPr>
      <t xml:space="preserve"> = Q</t>
    </r>
    <r>
      <rPr>
        <i/>
        <vertAlign val="subscript"/>
        <sz val="10"/>
        <rFont val="Arial"/>
        <family val="2"/>
      </rPr>
      <t>C;gen;in;max;j;e</t>
    </r>
  </si>
  <si>
    <r>
      <t>Q</t>
    </r>
    <r>
      <rPr>
        <i/>
        <vertAlign val="subscript"/>
        <sz val="10"/>
        <rFont val="Arial"/>
        <family val="2"/>
      </rPr>
      <t>C;gen;in;max;j</t>
    </r>
    <r>
      <rPr>
        <i/>
        <sz val="10"/>
        <rFont val="Arial"/>
        <family val="2"/>
      </rPr>
      <t xml:space="preserve"> = Q</t>
    </r>
    <r>
      <rPr>
        <i/>
        <vertAlign val="subscript"/>
        <sz val="10"/>
        <rFont val="Arial"/>
        <family val="2"/>
      </rPr>
      <t>C;gen;in;max;j;wet</t>
    </r>
  </si>
  <si>
    <r>
      <t>Q</t>
    </r>
    <r>
      <rPr>
        <i/>
        <vertAlign val="subscript"/>
        <sz val="10"/>
        <rFont val="Arial"/>
        <family val="2"/>
      </rPr>
      <t>C;gen;in;max;j</t>
    </r>
    <r>
      <rPr>
        <i/>
        <sz val="10"/>
        <rFont val="Arial"/>
        <family val="2"/>
      </rPr>
      <t xml:space="preserve"> = Q</t>
    </r>
    <r>
      <rPr>
        <i/>
        <vertAlign val="subscript"/>
        <sz val="10"/>
        <rFont val="Arial"/>
        <family val="2"/>
      </rPr>
      <t>C;gen;in;max;j;dry</t>
    </r>
  </si>
  <si>
    <t>The maximum heat extraction of generator j=2, If HEAT_REJ_TYPE = AIR_C_COND</t>
  </si>
  <si>
    <r>
      <t>The maximum heat extraction of generator j=2, else if f</t>
    </r>
    <r>
      <rPr>
        <vertAlign val="subscript"/>
        <sz val="10"/>
        <rFont val="Arial"/>
        <family val="2"/>
      </rPr>
      <t>op;hr;wet</t>
    </r>
    <r>
      <rPr>
        <sz val="10"/>
        <rFont val="Arial"/>
        <family val="2"/>
      </rPr>
      <t xml:space="preserve"> = 1</t>
    </r>
  </si>
  <si>
    <t>The maximum heat extraction of generator j=2, else</t>
  </si>
  <si>
    <t>Formula (9c)</t>
  </si>
  <si>
    <t>maximum heat extraction of the generator j=1 depending on type and operation, if GEN_TYPE = COMP</t>
  </si>
  <si>
    <t>Maximum heat extraction of the generator j=1 depending on type and operation, if GEN_TYPE = COMP</t>
  </si>
  <si>
    <r>
      <t>Q</t>
    </r>
    <r>
      <rPr>
        <i/>
        <vertAlign val="subscript"/>
        <sz val="10"/>
        <rFont val="Arial"/>
        <family val="2"/>
      </rPr>
      <t>C;gen;in;max;j;e</t>
    </r>
  </si>
  <si>
    <r>
      <t>Q</t>
    </r>
    <r>
      <rPr>
        <i/>
        <vertAlign val="subscript"/>
        <sz val="10"/>
        <rFont val="Arial"/>
        <family val="2"/>
      </rPr>
      <t>C;gen;in;max;j;dry</t>
    </r>
  </si>
  <si>
    <r>
      <t>Q</t>
    </r>
    <r>
      <rPr>
        <i/>
        <vertAlign val="subscript"/>
        <sz val="10"/>
        <rFont val="Arial"/>
        <family val="2"/>
      </rPr>
      <t>C;gen;in;max;j;wet</t>
    </r>
  </si>
  <si>
    <t>Formula (9d)</t>
  </si>
  <si>
    <t>Formula (9e)</t>
  </si>
  <si>
    <t>Maximum heat extraction of the generator j=1 depending on type and operation, if GEN_TYPE = ABS</t>
  </si>
  <si>
    <t>Formula (9f)</t>
  </si>
  <si>
    <t>Formula (9g)</t>
  </si>
  <si>
    <t>Maximum heat extraction of the generator j=1 depending on type and operation, else</t>
  </si>
  <si>
    <t>maximum heat extraction of the generator j=2 depending on type and operation, if GEN_TYPE = COMP</t>
  </si>
  <si>
    <t>Maximum heat extraction of the generator j=2 depending on type and operation, if GEN_TYPE = COMP</t>
  </si>
  <si>
    <t>Maximum heat extraction of the generator j=2 depending on type and operation, if GEN_TYPE = ABS</t>
  </si>
  <si>
    <t>Maximum heat extraction of the generator j=2 depending on type and operation, else</t>
  </si>
  <si>
    <r>
      <t>Q</t>
    </r>
    <r>
      <rPr>
        <i/>
        <vertAlign val="subscript"/>
        <sz val="10"/>
        <rFont val="Arial"/>
        <family val="2"/>
      </rPr>
      <t>C;gen;in;max;j</t>
    </r>
    <r>
      <rPr>
        <i/>
        <sz val="10"/>
        <rFont val="Arial"/>
        <family val="2"/>
      </rPr>
      <t/>
    </r>
  </si>
  <si>
    <r>
      <t>Q</t>
    </r>
    <r>
      <rPr>
        <i/>
        <vertAlign val="subscript"/>
        <sz val="10"/>
        <rFont val="Arial"/>
        <family val="2"/>
      </rPr>
      <t>C;gen;in;max</t>
    </r>
    <r>
      <rPr>
        <i/>
        <sz val="10"/>
        <rFont val="Arial"/>
        <family val="2"/>
      </rPr>
      <t/>
    </r>
  </si>
  <si>
    <t>Formula (11a)</t>
  </si>
  <si>
    <t>Formula (11b)</t>
  </si>
  <si>
    <t>Formula (12)</t>
  </si>
  <si>
    <r>
      <t>Energy to be extracted by the generator with priority p (for p = 1..</t>
    </r>
    <r>
      <rPr>
        <i/>
        <sz val="10"/>
        <rFont val="Arial"/>
        <family val="2"/>
      </rPr>
      <t>n</t>
    </r>
    <r>
      <rPr>
        <i/>
        <vertAlign val="subscript"/>
        <sz val="10"/>
        <rFont val="Arial"/>
        <family val="2"/>
      </rPr>
      <t>gen</t>
    </r>
    <r>
      <rPr>
        <sz val="10"/>
        <rFont val="Arial"/>
        <family val="2"/>
      </rPr>
      <t>), else</t>
    </r>
  </si>
  <si>
    <t>Formula (14a)</t>
  </si>
  <si>
    <t>Formula (14b)</t>
  </si>
  <si>
    <t>Formula (14c)</t>
  </si>
  <si>
    <t>Formula (14d)</t>
  </si>
  <si>
    <t>Formula (14e)</t>
  </si>
  <si>
    <t>Formula (14f)</t>
  </si>
  <si>
    <t>Formula (14g)</t>
  </si>
  <si>
    <t>Formula (14h)</t>
  </si>
  <si>
    <t>Heat ratio for generator k=2</t>
  </si>
  <si>
    <t>Required electrical energy for the compression chillers</t>
  </si>
  <si>
    <t>Required heat input for the absorption chillers</t>
  </si>
  <si>
    <t>Heat losses in the heat rejection circuit</t>
  </si>
  <si>
    <r>
      <t>Q</t>
    </r>
    <r>
      <rPr>
        <i/>
        <vertAlign val="subscript"/>
        <sz val="10"/>
        <rFont val="Arial"/>
        <family val="2"/>
      </rPr>
      <t>ls;dis;hr;</t>
    </r>
  </si>
  <si>
    <t>Auxiliary energy consumption in the heat rejection circuit</t>
  </si>
  <si>
    <r>
      <rPr>
        <i/>
        <sz val="10"/>
        <rFont val="Arial"/>
        <family val="2"/>
      </rPr>
      <t>W</t>
    </r>
    <r>
      <rPr>
        <i/>
        <vertAlign val="subscript"/>
        <sz val="10"/>
        <rFont val="Arial"/>
        <family val="2"/>
      </rPr>
      <t>aux;dis;hr;</t>
    </r>
  </si>
  <si>
    <t>Maximum heat extraction of generator j=1 at the current time step</t>
  </si>
  <si>
    <t>Maximum heat extraction of generator j=2 at the current time step</t>
  </si>
  <si>
    <t xml:space="preserve">Carnot heat ratio with dry heat rejection </t>
  </si>
  <si>
    <t>Carnot heat ratio with wet heat rejection</t>
  </si>
  <si>
    <r>
      <rPr>
        <i/>
        <sz val="10"/>
        <rFont val="Symbol"/>
        <family val="1"/>
        <charset val="2"/>
      </rPr>
      <t>z</t>
    </r>
    <r>
      <rPr>
        <i/>
        <vertAlign val="subscript"/>
        <sz val="10"/>
        <rFont val="Arial"/>
        <family val="2"/>
      </rPr>
      <t>c;dry</t>
    </r>
  </si>
  <si>
    <r>
      <rPr>
        <i/>
        <sz val="10"/>
        <rFont val="Symbol"/>
        <family val="1"/>
        <charset val="2"/>
      </rPr>
      <t>z</t>
    </r>
    <r>
      <rPr>
        <i/>
        <vertAlign val="subscript"/>
        <sz val="10"/>
        <rFont val="Arial"/>
        <family val="2"/>
      </rPr>
      <t>c;wet</t>
    </r>
  </si>
  <si>
    <r>
      <rPr>
        <i/>
        <sz val="10"/>
        <rFont val="Symbol"/>
        <family val="1"/>
        <charset val="2"/>
      </rPr>
      <t>z</t>
    </r>
    <r>
      <rPr>
        <i/>
        <vertAlign val="subscript"/>
        <sz val="10"/>
        <rFont val="Arial"/>
        <family val="2"/>
      </rPr>
      <t>c;n</t>
    </r>
  </si>
  <si>
    <r>
      <rPr>
        <i/>
        <sz val="10"/>
        <rFont val="Symbol"/>
        <family val="1"/>
        <charset val="2"/>
      </rPr>
      <t>z</t>
    </r>
    <r>
      <rPr>
        <i/>
        <vertAlign val="subscript"/>
        <sz val="10"/>
        <rFont val="Arial"/>
        <family val="2"/>
      </rPr>
      <t>c;e</t>
    </r>
  </si>
  <si>
    <t>Carnot heat ratio with outdoor air</t>
  </si>
  <si>
    <t>Carnot heat ratio under nominal conditions</t>
  </si>
  <si>
    <t>1st complete version</t>
  </si>
  <si>
    <t>condenser input limit temperature</t>
  </si>
  <si>
    <r>
      <t>J</t>
    </r>
    <r>
      <rPr>
        <i/>
        <vertAlign val="subscript"/>
        <sz val="10"/>
        <rFont val="Arial"/>
        <family val="2"/>
      </rPr>
      <t>cond;in;lim</t>
    </r>
  </si>
  <si>
    <r>
      <t>J</t>
    </r>
    <r>
      <rPr>
        <i/>
        <vertAlign val="subscript"/>
        <sz val="10"/>
        <rFont val="Arial"/>
        <family val="2"/>
      </rPr>
      <t>cond;in</t>
    </r>
    <r>
      <rPr>
        <sz val="10"/>
        <rFont val="Arial"/>
        <family val="2"/>
      </rPr>
      <t/>
    </r>
  </si>
  <si>
    <t>Operation conditions data</t>
  </si>
  <si>
    <t>graphs added</t>
  </si>
  <si>
    <t>Auxiliary electrical energy demand for the heat rejection if HEAT_REC_TYPE = OTHER</t>
  </si>
  <si>
    <t>Method output</t>
  </si>
  <si>
    <t>Method output (looped through, but also used in calculation)</t>
  </si>
  <si>
    <t>Method output (looped through)</t>
  </si>
  <si>
    <t xml:space="preserve">
DISCLAIMER:
• This spreadsheet has been developed in the framework of the preparation and revision of the set of EN or ISO standards on the energy performance of buildings, to support the European "Energy Performance of Buildings Directive" recast (EPBD-recast, directive 2010/31/EU). 
• It is meant for use by  CEN and ISO technical committee(s) and the working group(s) working on the preparation or revision of the EPB-standard to which this spreadsheet applies. The spreadsheet supports checking  that all equations in the developed standard are consistent and can be linked with other relevant standards. It is not meant to perform a full or partial energy performance calculation.
• The spreadsheet supports the expert user of the standards, in particular those who want to review the content of the standard and those who want to translate the standard to a software, to understand the correct interpretation of the equations and calculation steps in the standard.
• Although it has been developed with care, neither the technical committee(s), nor the working group(s) and experts related to the EPB- standard to which this spreadsheet applies warrant that the calculations and procedures in this spreadsheet are free of errors. The technical committees as well as the working groups and their respective members expressly disclaim any liability or responsibility arising from use of this spreadsheet, or any consequences thereof. Any responsibility arising from the use of this spreadsheet lies with the user.</t>
  </si>
  <si>
    <t>DRAFT VERSION:
• As long as the associated EPB standard or any of the other EPB standards to which it is directly linked are in a draft stage, this spreadsheet is also a draft version only.</t>
  </si>
  <si>
    <t xml:space="preserve">WARNINGS: 
• Note that the spreadsheet may not allow testing all calculation options that are possible according to the standard to which it applies. This remark applies in particular but not only to limitations on the number instances of a variable that can be considered. 
• In case of differences, the standard should be regarded as the reference, not the spreadsheet. However, during the standard's drafting phase, shortcomings in the draft standard may have been detected and dealt with in the spreadsheets (ideally, such differences are marked).
• Note also that these spreadsheets are purely intended for testing and demonstration and therefore not aiming to be user friendly or to be protected against wrong or improper use. 
</t>
  </si>
  <si>
    <t xml:space="preserve">TERMS OF USE:
• The user is not allowed to redistribute a modified version of this spreadsheet.
• The author(s) would appreciate your feed back on the spreadsheet via the comment sheets for the associated draft standard to be prepared by the national standards bodies during enquiry of the draft standard(s),
</t>
  </si>
  <si>
    <t>disclaimer updated</t>
  </si>
  <si>
    <r>
      <t>M</t>
    </r>
    <r>
      <rPr>
        <sz val="9"/>
        <color rgb="FFFF0000"/>
        <rFont val="Arial"/>
        <family val="2"/>
      </rPr>
      <t>4-1</t>
    </r>
    <r>
      <rPr>
        <sz val="9"/>
        <rFont val="Arial"/>
        <family val="2"/>
      </rPr>
      <t>, M4-4</t>
    </r>
  </si>
  <si>
    <t>Required supply temperature of absorption generation heat input</t>
  </si>
  <si>
    <t>Maximum heat extraction of generator j=1 at the current calculation interval</t>
  </si>
  <si>
    <t>Maximum heat extraction of generator j=2 at the current calculation interval</t>
  </si>
  <si>
    <t>Nominal energy efficiency ratio</t>
  </si>
  <si>
    <r>
      <t>EER</t>
    </r>
    <r>
      <rPr>
        <i/>
        <vertAlign val="subscript"/>
        <sz val="10"/>
        <color rgb="FF000000"/>
        <rFont val="Arial"/>
        <family val="2"/>
      </rPr>
      <t>n</t>
    </r>
  </si>
  <si>
    <t>EN 14511</t>
  </si>
  <si>
    <t>Nominal thermal power extracted from chilled water circuit</t>
  </si>
  <si>
    <t>Energy efficiency at part load condition A</t>
  </si>
  <si>
    <t>Part load ratio A</t>
  </si>
  <si>
    <t>Evaporator chilled water outlet temperature at part load condition A</t>
  </si>
  <si>
    <t>Condensor cooling water/air inlet temperature part load condition A</t>
  </si>
  <si>
    <t>Energy efficiency at part load condition B</t>
  </si>
  <si>
    <t>Part load ratio B</t>
  </si>
  <si>
    <t>Evaporator chilled water outlet temperature at part load condition B</t>
  </si>
  <si>
    <t>Condensor cooling water/air inlet temperature at part load condition B</t>
  </si>
  <si>
    <t>Energy efficiency at part load condition C</t>
  </si>
  <si>
    <t>Part load ratio C</t>
  </si>
  <si>
    <t>Evaporator chilled water outlet temperature at part load condition C</t>
  </si>
  <si>
    <t>Condensor cooling water/air inlet temperature at part load condition C</t>
  </si>
  <si>
    <t>Energy efficiency at part load condition D</t>
  </si>
  <si>
    <t>Part load ratio D</t>
  </si>
  <si>
    <t>Evaporator chilled water outlet temperature at part load condition D</t>
  </si>
  <si>
    <t>Condensor cooling water/air inlet temperature at part load condition D</t>
  </si>
  <si>
    <t>Formula (2) or local</t>
  </si>
  <si>
    <t>Reference Temperature</t>
  </si>
  <si>
    <r>
      <t>EER</t>
    </r>
    <r>
      <rPr>
        <i/>
        <vertAlign val="subscript"/>
        <sz val="10"/>
        <color rgb="FFFF0000"/>
        <rFont val="Arial"/>
        <family val="2"/>
      </rPr>
      <t>A</t>
    </r>
  </si>
  <si>
    <r>
      <t>f</t>
    </r>
    <r>
      <rPr>
        <i/>
        <vertAlign val="subscript"/>
        <sz val="10"/>
        <color rgb="FFFF0000"/>
        <rFont val="Arial"/>
        <family val="2"/>
      </rPr>
      <t>C;PL;A</t>
    </r>
  </si>
  <si>
    <r>
      <t>ϑ</t>
    </r>
    <r>
      <rPr>
        <i/>
        <vertAlign val="subscript"/>
        <sz val="10"/>
        <color rgb="FFFF0000"/>
        <rFont val="Arial"/>
        <family val="2"/>
      </rPr>
      <t>C; evap;out;A</t>
    </r>
  </si>
  <si>
    <r>
      <t>ϑ</t>
    </r>
    <r>
      <rPr>
        <i/>
        <vertAlign val="subscript"/>
        <sz val="10"/>
        <color rgb="FFFF0000"/>
        <rFont val="Arial"/>
        <family val="2"/>
      </rPr>
      <t>cond;in;A</t>
    </r>
  </si>
  <si>
    <r>
      <t>EER</t>
    </r>
    <r>
      <rPr>
        <i/>
        <vertAlign val="subscript"/>
        <sz val="10"/>
        <color rgb="FFFF0000"/>
        <rFont val="Arial"/>
        <family val="2"/>
      </rPr>
      <t>B</t>
    </r>
  </si>
  <si>
    <r>
      <t>f</t>
    </r>
    <r>
      <rPr>
        <i/>
        <vertAlign val="subscript"/>
        <sz val="10"/>
        <color rgb="FFFF0000"/>
        <rFont val="Arial"/>
        <family val="2"/>
      </rPr>
      <t>C;PL;B</t>
    </r>
  </si>
  <si>
    <r>
      <t>ϑ</t>
    </r>
    <r>
      <rPr>
        <i/>
        <vertAlign val="subscript"/>
        <sz val="10"/>
        <color rgb="FFFF0000"/>
        <rFont val="Arial"/>
        <family val="2"/>
      </rPr>
      <t>C;evap;out;B</t>
    </r>
  </si>
  <si>
    <r>
      <t>ϑ</t>
    </r>
    <r>
      <rPr>
        <i/>
        <vertAlign val="subscript"/>
        <sz val="10"/>
        <color rgb="FFFF0000"/>
        <rFont val="Arial"/>
        <family val="2"/>
      </rPr>
      <t>cond;in;B</t>
    </r>
  </si>
  <si>
    <r>
      <t>EER</t>
    </r>
    <r>
      <rPr>
        <i/>
        <vertAlign val="subscript"/>
        <sz val="10"/>
        <color rgb="FFFF0000"/>
        <rFont val="Arial"/>
        <family val="2"/>
      </rPr>
      <t>C</t>
    </r>
  </si>
  <si>
    <r>
      <t>f</t>
    </r>
    <r>
      <rPr>
        <i/>
        <vertAlign val="subscript"/>
        <sz val="10"/>
        <color rgb="FFFF0000"/>
        <rFont val="Arial"/>
        <family val="2"/>
      </rPr>
      <t>C;PL;C</t>
    </r>
  </si>
  <si>
    <r>
      <t>ϑ</t>
    </r>
    <r>
      <rPr>
        <i/>
        <vertAlign val="subscript"/>
        <sz val="10"/>
        <color rgb="FFFF0000"/>
        <rFont val="Arial"/>
        <family val="2"/>
      </rPr>
      <t>C;evap;out;C</t>
    </r>
  </si>
  <si>
    <r>
      <t>ϑ</t>
    </r>
    <r>
      <rPr>
        <i/>
        <vertAlign val="subscript"/>
        <sz val="10"/>
        <color rgb="FFFF0000"/>
        <rFont val="Arial"/>
        <family val="2"/>
      </rPr>
      <t>cond;in;C</t>
    </r>
  </si>
  <si>
    <r>
      <t>EER</t>
    </r>
    <r>
      <rPr>
        <i/>
        <vertAlign val="subscript"/>
        <sz val="10"/>
        <color rgb="FFFF0000"/>
        <rFont val="Arial"/>
        <family val="2"/>
      </rPr>
      <t>D</t>
    </r>
  </si>
  <si>
    <r>
      <t>f</t>
    </r>
    <r>
      <rPr>
        <i/>
        <vertAlign val="subscript"/>
        <sz val="10"/>
        <color rgb="FFFF0000"/>
        <rFont val="Arial"/>
        <family val="2"/>
      </rPr>
      <t>C;PL;D</t>
    </r>
  </si>
  <si>
    <r>
      <t>ϑ</t>
    </r>
    <r>
      <rPr>
        <i/>
        <vertAlign val="subscript"/>
        <sz val="10"/>
        <color rgb="FFFF0000"/>
        <rFont val="Arial"/>
        <family val="2"/>
      </rPr>
      <t>C;evap;out;D</t>
    </r>
  </si>
  <si>
    <r>
      <t>ϑ</t>
    </r>
    <r>
      <rPr>
        <i/>
        <vertAlign val="subscript"/>
        <sz val="10"/>
        <color rgb="FFFF0000"/>
        <rFont val="Arial"/>
        <family val="2"/>
      </rPr>
      <t>cond;in;D</t>
    </r>
  </si>
  <si>
    <r>
      <t>Part load ratio at 5</t>
    </r>
    <r>
      <rPr>
        <vertAlign val="superscript"/>
        <sz val="10"/>
        <color rgb="FFFF0000"/>
        <rFont val="Arial"/>
        <family val="2"/>
      </rPr>
      <t>th</t>
    </r>
    <r>
      <rPr>
        <sz val="10"/>
        <color rgb="FFFF0000"/>
        <rFont val="Arial"/>
        <family val="2"/>
      </rPr>
      <t xml:space="preserve"> mearured point</t>
    </r>
  </si>
  <si>
    <r>
      <t>f</t>
    </r>
    <r>
      <rPr>
        <i/>
        <vertAlign val="subscript"/>
        <sz val="10"/>
        <color rgb="FFFF0000"/>
        <rFont val="Arial"/>
        <family val="2"/>
      </rPr>
      <t>C;PL;5</t>
    </r>
  </si>
  <si>
    <r>
      <t>Evaporator chilled water outlet temperature at 5</t>
    </r>
    <r>
      <rPr>
        <vertAlign val="superscript"/>
        <sz val="10"/>
        <color rgb="FFFF0000"/>
        <rFont val="Arial"/>
        <family val="2"/>
      </rPr>
      <t>th</t>
    </r>
    <r>
      <rPr>
        <sz val="10"/>
        <color rgb="FFFF0000"/>
        <rFont val="Arial"/>
        <family val="2"/>
      </rPr>
      <t xml:space="preserve"> measured point</t>
    </r>
  </si>
  <si>
    <r>
      <t>ϑ</t>
    </r>
    <r>
      <rPr>
        <i/>
        <vertAlign val="subscript"/>
        <sz val="10"/>
        <color rgb="FFFF0000"/>
        <rFont val="Arial"/>
        <family val="2"/>
      </rPr>
      <t>C;evap;out;5</t>
    </r>
  </si>
  <si>
    <r>
      <t>Condensor cooling water/air inlet temperature at 5</t>
    </r>
    <r>
      <rPr>
        <vertAlign val="superscript"/>
        <sz val="10"/>
        <color rgb="FFFF0000"/>
        <rFont val="Arial"/>
        <family val="2"/>
      </rPr>
      <t>th</t>
    </r>
    <r>
      <rPr>
        <sz val="10"/>
        <color rgb="FFFF0000"/>
        <rFont val="Arial"/>
        <family val="2"/>
      </rPr>
      <t xml:space="preserve"> measured point</t>
    </r>
  </si>
  <si>
    <r>
      <t>ϑ</t>
    </r>
    <r>
      <rPr>
        <i/>
        <vertAlign val="subscript"/>
        <sz val="10"/>
        <color rgb="FFFF0000"/>
        <rFont val="Arial"/>
        <family val="2"/>
      </rPr>
      <t>cond;in;5</t>
    </r>
  </si>
  <si>
    <r>
      <t>Energy efficiency at 5</t>
    </r>
    <r>
      <rPr>
        <vertAlign val="superscript"/>
        <sz val="10"/>
        <color rgb="FFFF0000"/>
        <rFont val="Arial"/>
        <family val="2"/>
      </rPr>
      <t>th</t>
    </r>
    <r>
      <rPr>
        <sz val="10"/>
        <color rgb="FFFF0000"/>
        <rFont val="Arial"/>
        <family val="2"/>
      </rPr>
      <t xml:space="preserve"> measured point</t>
    </r>
  </si>
  <si>
    <r>
      <t>EER</t>
    </r>
    <r>
      <rPr>
        <i/>
        <vertAlign val="subscript"/>
        <sz val="10"/>
        <color rgb="FFFF0000"/>
        <rFont val="Arial"/>
        <family val="2"/>
      </rPr>
      <t>5</t>
    </r>
  </si>
  <si>
    <t>Test:</t>
  </si>
  <si>
    <t>Minimum part load ratio of the generator</t>
  </si>
  <si>
    <r>
      <t>f</t>
    </r>
    <r>
      <rPr>
        <i/>
        <vertAlign val="subscript"/>
        <sz val="10"/>
        <color rgb="FFFF0000"/>
        <rFont val="Arial"/>
        <family val="2"/>
      </rPr>
      <t>C;PL;min</t>
    </r>
  </si>
  <si>
    <r>
      <rPr>
        <sz val="8"/>
        <color rgb="FFFF0000"/>
        <rFont val="Arial"/>
        <family val="2"/>
      </rPr>
      <t>HBRD_</t>
    </r>
    <r>
      <rPr>
        <sz val="8"/>
        <rFont val="Arial"/>
        <family val="2"/>
      </rPr>
      <t>HEAT_REJ_CTRL</t>
    </r>
  </si>
  <si>
    <r>
      <t>T</t>
    </r>
    <r>
      <rPr>
        <vertAlign val="subscript"/>
        <sz val="9"/>
        <color rgb="FFFF0000"/>
        <rFont val="Arial"/>
        <family val="2"/>
      </rPr>
      <t>0,abs</t>
    </r>
  </si>
  <si>
    <r>
      <rPr>
        <i/>
        <sz val="10"/>
        <color rgb="FFFF0000"/>
        <rFont val="Symbol"/>
        <family val="1"/>
        <charset val="2"/>
      </rPr>
      <t>J</t>
    </r>
    <r>
      <rPr>
        <vertAlign val="subscript"/>
        <sz val="10"/>
        <color rgb="FFFF0000"/>
        <rFont val="Arial"/>
        <family val="2"/>
      </rPr>
      <t>C;evap;out</t>
    </r>
    <r>
      <rPr>
        <sz val="10"/>
        <rFont val="Arial"/>
        <family val="2"/>
      </rPr>
      <t xml:space="preserve"> = </t>
    </r>
    <r>
      <rPr>
        <i/>
        <sz val="10"/>
        <rFont val="Arial"/>
        <family val="2"/>
      </rPr>
      <t xml:space="preserve"> </t>
    </r>
    <r>
      <rPr>
        <i/>
        <sz val="10"/>
        <rFont val="Symbol"/>
        <family val="1"/>
        <charset val="2"/>
      </rPr>
      <t>J</t>
    </r>
    <r>
      <rPr>
        <vertAlign val="subscript"/>
        <sz val="10"/>
        <rFont val="Arial"/>
        <family val="2"/>
      </rPr>
      <t>C;gen;out</t>
    </r>
  </si>
  <si>
    <r>
      <t>ϑ</t>
    </r>
    <r>
      <rPr>
        <i/>
        <vertAlign val="subscript"/>
        <sz val="10"/>
        <color rgb="FFFF0000"/>
        <rFont val="Arial"/>
        <family val="2"/>
      </rPr>
      <t>C;evap;out;n</t>
    </r>
  </si>
  <si>
    <r>
      <t>J</t>
    </r>
    <r>
      <rPr>
        <i/>
        <vertAlign val="subscript"/>
        <sz val="10"/>
        <color rgb="FFFF0000"/>
        <rFont val="Arial"/>
        <family val="2"/>
      </rPr>
      <t>cond;in</t>
    </r>
    <r>
      <rPr>
        <sz val="10"/>
        <color rgb="FFFF0000"/>
        <rFont val="Arial"/>
        <family val="2"/>
      </rPr>
      <t xml:space="preserve"> = max(</t>
    </r>
    <r>
      <rPr>
        <i/>
        <sz val="10"/>
        <color rgb="FFFF0000"/>
        <rFont val="Symbol"/>
        <family val="1"/>
        <charset val="2"/>
      </rPr>
      <t>J</t>
    </r>
    <r>
      <rPr>
        <i/>
        <vertAlign val="subscript"/>
        <sz val="10"/>
        <color rgb="FFFF0000"/>
        <rFont val="Arial"/>
        <family val="2"/>
      </rPr>
      <t>cond;in;lim</t>
    </r>
    <r>
      <rPr>
        <i/>
        <sz val="10"/>
        <color rgb="FFFF0000"/>
        <rFont val="Arial"/>
        <family val="2"/>
      </rPr>
      <t xml:space="preserve"> ; </t>
    </r>
    <r>
      <rPr>
        <i/>
        <sz val="10"/>
        <color rgb="FFFF0000"/>
        <rFont val="Symbol"/>
        <family val="1"/>
        <charset val="2"/>
      </rPr>
      <t>J</t>
    </r>
    <r>
      <rPr>
        <i/>
        <vertAlign val="subscript"/>
        <sz val="10"/>
        <color rgb="FFFF0000"/>
        <rFont val="Arial"/>
        <family val="2"/>
      </rPr>
      <t>cond;in;wet</t>
    </r>
    <r>
      <rPr>
        <sz val="10"/>
        <color rgb="FFFF0000"/>
        <rFont val="Arial"/>
        <family val="2"/>
      </rPr>
      <t>)</t>
    </r>
  </si>
  <si>
    <r>
      <t>J</t>
    </r>
    <r>
      <rPr>
        <i/>
        <vertAlign val="subscript"/>
        <sz val="10"/>
        <color rgb="FFFF0000"/>
        <rFont val="Arial"/>
        <family val="2"/>
      </rPr>
      <t>cond;in</t>
    </r>
    <r>
      <rPr>
        <sz val="10"/>
        <color rgb="FFFF0000"/>
        <rFont val="Arial"/>
        <family val="2"/>
      </rPr>
      <t xml:space="preserve"> = max(</t>
    </r>
    <r>
      <rPr>
        <i/>
        <sz val="10"/>
        <color rgb="FFFF0000"/>
        <rFont val="Symbol"/>
        <family val="1"/>
        <charset val="2"/>
      </rPr>
      <t>J</t>
    </r>
    <r>
      <rPr>
        <i/>
        <vertAlign val="subscript"/>
        <sz val="10"/>
        <color rgb="FFFF0000"/>
        <rFont val="Arial"/>
        <family val="2"/>
      </rPr>
      <t>cond;in;lim</t>
    </r>
    <r>
      <rPr>
        <i/>
        <sz val="10"/>
        <color rgb="FFFF0000"/>
        <rFont val="Arial"/>
        <family val="2"/>
      </rPr>
      <t xml:space="preserve"> ; </t>
    </r>
    <r>
      <rPr>
        <i/>
        <sz val="10"/>
        <color rgb="FFFF0000"/>
        <rFont val="Symbol"/>
        <family val="1"/>
        <charset val="2"/>
      </rPr>
      <t>J</t>
    </r>
    <r>
      <rPr>
        <i/>
        <vertAlign val="subscript"/>
        <sz val="10"/>
        <color rgb="FFFF0000"/>
        <rFont val="Arial"/>
        <family val="2"/>
      </rPr>
      <t>e</t>
    </r>
    <r>
      <rPr>
        <sz val="10"/>
        <color rgb="FFFF0000"/>
        <rFont val="Arial"/>
        <family val="2"/>
      </rPr>
      <t>)</t>
    </r>
  </si>
  <si>
    <r>
      <t xml:space="preserve">Operation factor of the heat rejection device, else if HEAT_REJ_TYPE = HYBRID, if </t>
    </r>
    <r>
      <rPr>
        <sz val="10"/>
        <color rgb="FFFF0000"/>
        <rFont val="Arial"/>
        <family val="2"/>
      </rPr>
      <t>HBRD_</t>
    </r>
    <r>
      <rPr>
        <sz val="10"/>
        <rFont val="Arial"/>
        <family val="2"/>
      </rPr>
      <t xml:space="preserve">HEAT_REJ_CTRL = TEMP, if </t>
    </r>
    <r>
      <rPr>
        <i/>
        <sz val="10"/>
        <rFont val="Symbol"/>
        <family val="1"/>
        <charset val="2"/>
      </rPr>
      <t>J</t>
    </r>
    <r>
      <rPr>
        <i/>
        <vertAlign val="subscript"/>
        <sz val="10"/>
        <rFont val="Arial"/>
        <family val="2"/>
      </rPr>
      <t>e</t>
    </r>
    <r>
      <rPr>
        <i/>
        <sz val="10"/>
        <rFont val="Arial"/>
        <family val="2"/>
      </rPr>
      <t xml:space="preserve"> &gt; </t>
    </r>
    <r>
      <rPr>
        <i/>
        <sz val="10"/>
        <rFont val="Symbol"/>
        <family val="1"/>
        <charset val="2"/>
      </rPr>
      <t>J</t>
    </r>
    <r>
      <rPr>
        <i/>
        <vertAlign val="subscript"/>
        <sz val="10"/>
        <rFont val="Arial"/>
        <family val="2"/>
      </rPr>
      <t>lim;wet;hr</t>
    </r>
  </si>
  <si>
    <r>
      <t xml:space="preserve">Condenser inlet temperature from the heat rejection device, else if HEAT_REJ_TYPE = HYBRID, if </t>
    </r>
    <r>
      <rPr>
        <sz val="10"/>
        <color rgb="FFFF0000"/>
        <rFont val="Arial"/>
        <family val="2"/>
      </rPr>
      <t>HBRD_</t>
    </r>
    <r>
      <rPr>
        <sz val="10"/>
        <rFont val="Arial"/>
        <family val="2"/>
      </rPr>
      <t xml:space="preserve">HEAT_REJ_CTRL = TEMP, if </t>
    </r>
    <r>
      <rPr>
        <i/>
        <sz val="10"/>
        <rFont val="Symbol"/>
        <family val="1"/>
        <charset val="2"/>
      </rPr>
      <t>J</t>
    </r>
    <r>
      <rPr>
        <i/>
        <vertAlign val="subscript"/>
        <sz val="10"/>
        <rFont val="Arial"/>
        <family val="2"/>
      </rPr>
      <t>e</t>
    </r>
    <r>
      <rPr>
        <i/>
        <sz val="10"/>
        <rFont val="Arial"/>
        <family val="2"/>
      </rPr>
      <t xml:space="preserve"> &gt; </t>
    </r>
    <r>
      <rPr>
        <i/>
        <sz val="10"/>
        <rFont val="Symbol"/>
        <family val="1"/>
        <charset val="2"/>
      </rPr>
      <t>J</t>
    </r>
    <r>
      <rPr>
        <i/>
        <vertAlign val="subscript"/>
        <sz val="10"/>
        <rFont val="Arial"/>
        <family val="2"/>
      </rPr>
      <t>lim;wet;hr</t>
    </r>
  </si>
  <si>
    <r>
      <t xml:space="preserve">Operation factor of the heat rejection device, else if HEAT_REJ_TYPE = HYBRID, if </t>
    </r>
    <r>
      <rPr>
        <sz val="10"/>
        <color rgb="FFFF0000"/>
        <rFont val="Arial"/>
        <family val="2"/>
      </rPr>
      <t>HBRD_</t>
    </r>
    <r>
      <rPr>
        <sz val="10"/>
        <rFont val="Arial"/>
        <family val="2"/>
      </rPr>
      <t>HEAT_REJ_CTRL = TEMP, else</t>
    </r>
  </si>
  <si>
    <r>
      <t xml:space="preserve">Condenser inlet temperature from the heat rejection device, else if HEAT_REJ_TYPE = HYBRID, if </t>
    </r>
    <r>
      <rPr>
        <sz val="10"/>
        <color rgb="FFFF0000"/>
        <rFont val="Arial"/>
        <family val="2"/>
      </rPr>
      <t>HBRD_</t>
    </r>
    <r>
      <rPr>
        <sz val="10"/>
        <rFont val="Arial"/>
        <family val="2"/>
      </rPr>
      <t>HEAT_REJ_CTRL = TEMP, else</t>
    </r>
  </si>
  <si>
    <r>
      <t xml:space="preserve">Operation factor of the heat rejection device, else if HEAT_REJ_TYPE = HYBRID,  else if </t>
    </r>
    <r>
      <rPr>
        <sz val="10"/>
        <color rgb="FFFF0000"/>
        <rFont val="Arial"/>
        <family val="2"/>
      </rPr>
      <t>HBRD_</t>
    </r>
    <r>
      <rPr>
        <sz val="10"/>
        <rFont val="Arial"/>
        <family val="2"/>
      </rPr>
      <t>HEAT_REJ_CTRL = MAX_POWER,, else</t>
    </r>
  </si>
  <si>
    <r>
      <t xml:space="preserve">Condenser inlet temperature from the heat rejection device, else if HEAT_REJ_TYPE = HYBRID, else if </t>
    </r>
    <r>
      <rPr>
        <sz val="10"/>
        <color rgb="FFFF0000"/>
        <rFont val="Arial"/>
        <family val="2"/>
      </rPr>
      <t>HBRD_</t>
    </r>
    <r>
      <rPr>
        <sz val="10"/>
        <rFont val="Arial"/>
        <family val="2"/>
      </rPr>
      <t xml:space="preserve">HEAT_REJ_CTRL = MAX_POWER, if </t>
    </r>
  </si>
  <si>
    <r>
      <t xml:space="preserve">Condenser inlet temperature from the heat rejection device, else if HEAT_REJ_TYPE = HYBRID,  else if </t>
    </r>
    <r>
      <rPr>
        <sz val="10"/>
        <color rgb="FFFF0000"/>
        <rFont val="Arial"/>
        <family val="2"/>
      </rPr>
      <t>HBRD_</t>
    </r>
    <r>
      <rPr>
        <sz val="10"/>
        <rFont val="Arial"/>
        <family val="2"/>
      </rPr>
      <t>HEAT_REJ_CTRL = MAX_POWER, else</t>
    </r>
  </si>
  <si>
    <r>
      <t>J</t>
    </r>
    <r>
      <rPr>
        <i/>
        <vertAlign val="subscript"/>
        <sz val="10"/>
        <color rgb="FFFF0000"/>
        <rFont val="Arial"/>
        <family val="2"/>
      </rPr>
      <t>cond;in</t>
    </r>
    <r>
      <rPr>
        <sz val="10"/>
        <color rgb="FFFF0000"/>
        <rFont val="Arial"/>
        <family val="2"/>
      </rPr>
      <t xml:space="preserve"> = max(</t>
    </r>
    <r>
      <rPr>
        <i/>
        <sz val="10"/>
        <color rgb="FFFF0000"/>
        <rFont val="Symbol"/>
        <family val="1"/>
        <charset val="2"/>
      </rPr>
      <t>J</t>
    </r>
    <r>
      <rPr>
        <i/>
        <vertAlign val="subscript"/>
        <sz val="10"/>
        <color rgb="FFFF0000"/>
        <rFont val="Arial"/>
        <family val="2"/>
      </rPr>
      <t>cond;in;lim</t>
    </r>
    <r>
      <rPr>
        <i/>
        <sz val="10"/>
        <color rgb="FFFF0000"/>
        <rFont val="Arial"/>
        <family val="2"/>
      </rPr>
      <t xml:space="preserve"> ; </t>
    </r>
    <r>
      <rPr>
        <i/>
        <sz val="10"/>
        <color rgb="FFFF0000"/>
        <rFont val="Symbol"/>
        <family val="1"/>
        <charset val="2"/>
      </rPr>
      <t>J</t>
    </r>
    <r>
      <rPr>
        <i/>
        <vertAlign val="subscript"/>
        <sz val="10"/>
        <color rgb="FFFF0000"/>
        <rFont val="Arial"/>
        <family val="2"/>
      </rPr>
      <t>sk</t>
    </r>
    <r>
      <rPr>
        <sz val="10"/>
        <color rgb="FFFF0000"/>
        <rFont val="Arial"/>
        <family val="2"/>
      </rPr>
      <t>)</t>
    </r>
  </si>
  <si>
    <t>Formula (20a)</t>
  </si>
  <si>
    <t>Formula (20b)</t>
  </si>
  <si>
    <t>Formula (20c)</t>
  </si>
  <si>
    <r>
      <t>EER</t>
    </r>
    <r>
      <rPr>
        <i/>
        <vertAlign val="subscript"/>
        <sz val="10"/>
        <color rgb="FFFF0000"/>
        <rFont val="Arial"/>
        <family val="2"/>
      </rPr>
      <t>j</t>
    </r>
  </si>
  <si>
    <r>
      <t>EER</t>
    </r>
    <r>
      <rPr>
        <vertAlign val="subscript"/>
        <sz val="10"/>
        <color rgb="FFFF0000"/>
        <rFont val="Arial"/>
        <family val="2"/>
      </rPr>
      <t>j</t>
    </r>
    <r>
      <rPr>
        <sz val="10"/>
        <color rgb="FFFF0000"/>
        <rFont val="Arial"/>
        <family val="2"/>
      </rPr>
      <t xml:space="preserve"> = </t>
    </r>
    <r>
      <rPr>
        <i/>
        <sz val="10"/>
        <color rgb="FFFF0000"/>
        <rFont val="Arial"/>
        <family val="2"/>
      </rPr>
      <t>EER</t>
    </r>
    <r>
      <rPr>
        <vertAlign val="subscript"/>
        <sz val="10"/>
        <color rgb="FFFF0000"/>
        <rFont val="Arial"/>
        <family val="2"/>
      </rPr>
      <t>n;j</t>
    </r>
    <r>
      <rPr>
        <sz val="10"/>
        <color rgb="FFFF0000"/>
        <rFont val="Arial"/>
        <family val="2"/>
      </rPr>
      <t xml:space="preserve"> </t>
    </r>
    <r>
      <rPr>
        <sz val="10"/>
        <color rgb="FFFF0000"/>
        <rFont val="Symbol"/>
        <family val="1"/>
        <charset val="2"/>
      </rPr>
      <t>×</t>
    </r>
    <r>
      <rPr>
        <sz val="10"/>
        <color rgb="FFFF0000"/>
        <rFont val="Arial"/>
        <family val="2"/>
      </rPr>
      <t xml:space="preserve"> </t>
    </r>
    <r>
      <rPr>
        <i/>
        <sz val="10"/>
        <color rgb="FFFF0000"/>
        <rFont val="Arial"/>
        <family val="2"/>
      </rPr>
      <t>f</t>
    </r>
    <r>
      <rPr>
        <vertAlign val="subscript"/>
        <sz val="10"/>
        <color rgb="FFFF0000"/>
        <rFont val="Arial"/>
        <family val="2"/>
      </rPr>
      <t>EER;j</t>
    </r>
  </si>
  <si>
    <r>
      <t>f</t>
    </r>
    <r>
      <rPr>
        <vertAlign val="subscript"/>
        <sz val="10"/>
        <color rgb="FFFF0000"/>
        <rFont val="Arial"/>
        <family val="2"/>
      </rPr>
      <t>EER;j</t>
    </r>
  </si>
  <si>
    <r>
      <t>Formula (2</t>
    </r>
    <r>
      <rPr>
        <sz val="10"/>
        <color rgb="FFFF0000"/>
        <rFont val="Arial"/>
        <family val="2"/>
      </rPr>
      <t>1</t>
    </r>
    <r>
      <rPr>
        <sz val="10"/>
        <rFont val="Arial"/>
        <family val="2"/>
      </rPr>
      <t>)</t>
    </r>
  </si>
  <si>
    <r>
      <t>Formula (2</t>
    </r>
    <r>
      <rPr>
        <sz val="10"/>
        <color rgb="FFFF0000"/>
        <rFont val="Arial"/>
        <family val="2"/>
      </rPr>
      <t>2</t>
    </r>
    <r>
      <rPr>
        <sz val="10"/>
        <rFont val="Arial"/>
        <family val="2"/>
      </rPr>
      <t>)</t>
    </r>
  </si>
  <si>
    <r>
      <t>Formula (2</t>
    </r>
    <r>
      <rPr>
        <sz val="10"/>
        <color rgb="FFFF0000"/>
        <rFont val="Arial"/>
        <family val="2"/>
      </rPr>
      <t>3</t>
    </r>
    <r>
      <rPr>
        <sz val="10"/>
        <rFont val="Arial"/>
        <family val="2"/>
      </rPr>
      <t>)</t>
    </r>
  </si>
  <si>
    <r>
      <t>Formula (2</t>
    </r>
    <r>
      <rPr>
        <sz val="10"/>
        <color rgb="FFFF0000"/>
        <rFont val="Arial"/>
        <family val="2"/>
      </rPr>
      <t>4</t>
    </r>
    <r>
      <rPr>
        <sz val="10"/>
        <rFont val="Arial"/>
        <family val="2"/>
      </rPr>
      <t>)</t>
    </r>
  </si>
  <si>
    <r>
      <t>Formula (2</t>
    </r>
    <r>
      <rPr>
        <sz val="10"/>
        <color rgb="FFFF0000"/>
        <rFont val="Arial"/>
        <family val="2"/>
      </rPr>
      <t>5</t>
    </r>
    <r>
      <rPr>
        <sz val="10"/>
        <rFont val="Arial"/>
        <family val="2"/>
      </rPr>
      <t>)</t>
    </r>
  </si>
  <si>
    <r>
      <t>Formula (2</t>
    </r>
    <r>
      <rPr>
        <sz val="10"/>
        <color rgb="FFFF0000"/>
        <rFont val="Arial"/>
        <family val="2"/>
      </rPr>
      <t>6</t>
    </r>
    <r>
      <rPr>
        <sz val="10"/>
        <rFont val="Arial"/>
        <family val="2"/>
      </rPr>
      <t>a)</t>
    </r>
  </si>
  <si>
    <r>
      <t>Formula (2</t>
    </r>
    <r>
      <rPr>
        <sz val="10"/>
        <color rgb="FFFF0000"/>
        <rFont val="Arial"/>
        <family val="2"/>
      </rPr>
      <t>6</t>
    </r>
    <r>
      <rPr>
        <sz val="10"/>
        <rFont val="Arial"/>
        <family val="2"/>
      </rPr>
      <t>b)</t>
    </r>
  </si>
  <si>
    <r>
      <t>Formula (2</t>
    </r>
    <r>
      <rPr>
        <sz val="10"/>
        <color rgb="FFFF0000"/>
        <rFont val="Arial"/>
        <family val="2"/>
      </rPr>
      <t>7</t>
    </r>
    <r>
      <rPr>
        <sz val="10"/>
        <rFont val="Arial"/>
        <family val="2"/>
      </rPr>
      <t>)</t>
    </r>
  </si>
  <si>
    <r>
      <t>Formula (2</t>
    </r>
    <r>
      <rPr>
        <sz val="10"/>
        <color rgb="FFFF0000"/>
        <rFont val="Arial"/>
        <family val="2"/>
      </rPr>
      <t>8</t>
    </r>
    <r>
      <rPr>
        <sz val="10"/>
        <rFont val="Arial"/>
        <family val="2"/>
      </rPr>
      <t>)</t>
    </r>
  </si>
  <si>
    <r>
      <t xml:space="preserve">factor for the calculation of the EER based on EN 14825 data if </t>
    </r>
    <r>
      <rPr>
        <i/>
        <sz val="10"/>
        <color rgb="FFFF0000"/>
        <rFont val="Arial"/>
        <family val="2"/>
      </rPr>
      <t>f</t>
    </r>
    <r>
      <rPr>
        <vertAlign val="subscript"/>
        <sz val="10"/>
        <color rgb="FFFF0000"/>
        <rFont val="Arial"/>
        <family val="2"/>
      </rPr>
      <t xml:space="preserve">C;PL;j </t>
    </r>
    <r>
      <rPr>
        <sz val="10"/>
        <color rgb="FFFF0000"/>
        <rFont val="Arial"/>
        <family val="2"/>
      </rPr>
      <t xml:space="preserve">&gt; </t>
    </r>
    <r>
      <rPr>
        <i/>
        <sz val="10"/>
        <color rgb="FFFF0000"/>
        <rFont val="Arial"/>
        <family val="2"/>
      </rPr>
      <t>f</t>
    </r>
    <r>
      <rPr>
        <vertAlign val="subscript"/>
        <sz val="10"/>
        <color rgb="FFFF0000"/>
        <rFont val="Arial"/>
        <family val="2"/>
      </rPr>
      <t>C;PL;j;min</t>
    </r>
    <r>
      <rPr>
        <sz val="10"/>
        <color rgb="FFFF0000"/>
        <rFont val="Arial"/>
        <family val="2"/>
      </rPr>
      <t>,  for generator j =1</t>
    </r>
  </si>
  <si>
    <r>
      <t xml:space="preserve">factor for the calculation of the EER based on EN 14825 data if </t>
    </r>
    <r>
      <rPr>
        <i/>
        <sz val="10"/>
        <color rgb="FFFF0000"/>
        <rFont val="Arial"/>
        <family val="2"/>
      </rPr>
      <t>f</t>
    </r>
    <r>
      <rPr>
        <vertAlign val="subscript"/>
        <sz val="10"/>
        <color rgb="FFFF0000"/>
        <rFont val="Arial"/>
        <family val="2"/>
      </rPr>
      <t xml:space="preserve">C;PL;j </t>
    </r>
    <r>
      <rPr>
        <sz val="10"/>
        <color rgb="FFFF0000"/>
        <rFont val="Arial"/>
        <family val="2"/>
      </rPr>
      <t xml:space="preserve">&gt; </t>
    </r>
    <r>
      <rPr>
        <i/>
        <sz val="10"/>
        <color rgb="FFFF0000"/>
        <rFont val="Arial"/>
        <family val="2"/>
      </rPr>
      <t>f</t>
    </r>
    <r>
      <rPr>
        <vertAlign val="subscript"/>
        <sz val="10"/>
        <color rgb="FFFF0000"/>
        <rFont val="Arial"/>
        <family val="2"/>
      </rPr>
      <t>C;PL;j;min</t>
    </r>
    <r>
      <rPr>
        <sz val="10"/>
        <color rgb="FFFF0000"/>
        <rFont val="Arial"/>
        <family val="2"/>
      </rPr>
      <t>,  for generator j =2</t>
    </r>
  </si>
  <si>
    <t>factor for the calculation of the EER based on EN 14825 data, else, for generator j =1</t>
  </si>
  <si>
    <t>factor for the calculation of the EER based on EN 14825 data, else, for generator j =2</t>
  </si>
  <si>
    <t>factor for the calculation of the EER based on nominal EER from EN 14511 or default value, for generator j =1</t>
  </si>
  <si>
    <t>factor for the calculation of the EER based on nominal EER from EN 14511 or default value, for generator j =2</t>
  </si>
  <si>
    <t>Data input type</t>
  </si>
  <si>
    <t>EN 14511 or default value</t>
  </si>
  <si>
    <t>or default value</t>
  </si>
  <si>
    <t>adapted to FV version</t>
  </si>
  <si>
    <t>EN 14825 / 14511 / default added</t>
  </si>
  <si>
    <r>
      <t>J</t>
    </r>
    <r>
      <rPr>
        <i/>
        <vertAlign val="subscript"/>
        <sz val="10"/>
        <color rgb="FFFF0000"/>
        <rFont val="Arial"/>
        <family val="2"/>
      </rPr>
      <t>cond;in</t>
    </r>
    <r>
      <rPr>
        <sz val="10"/>
        <color rgb="FFFF0000"/>
        <rFont val="Arial"/>
        <family val="2"/>
      </rPr>
      <t xml:space="preserve"> = </t>
    </r>
    <r>
      <rPr>
        <i/>
        <sz val="10"/>
        <color rgb="FFFF0000"/>
        <rFont val="Symbol"/>
        <family val="1"/>
        <charset val="2"/>
      </rPr>
      <t>J</t>
    </r>
    <r>
      <rPr>
        <i/>
        <vertAlign val="subscript"/>
        <sz val="10"/>
        <color rgb="FFFF0000"/>
        <rFont val="Arial"/>
        <family val="2"/>
      </rPr>
      <t>cond;in;dry</t>
    </r>
  </si>
  <si>
    <r>
      <t>J</t>
    </r>
    <r>
      <rPr>
        <i/>
        <vertAlign val="subscript"/>
        <sz val="10"/>
        <color rgb="FFFF0000"/>
        <rFont val="Arial"/>
        <family val="2"/>
      </rPr>
      <t>cond;in</t>
    </r>
    <r>
      <rPr>
        <sz val="10"/>
        <color rgb="FFFF0000"/>
        <rFont val="Arial"/>
        <family val="2"/>
      </rPr>
      <t xml:space="preserve"> = </t>
    </r>
    <r>
      <rPr>
        <i/>
        <sz val="10"/>
        <color rgb="FFFF0000"/>
        <rFont val="Symbol"/>
        <family val="1"/>
        <charset val="2"/>
      </rPr>
      <t>J</t>
    </r>
    <r>
      <rPr>
        <i/>
        <vertAlign val="subscript"/>
        <sz val="10"/>
        <color rgb="FFFF0000"/>
        <rFont val="Arial"/>
        <family val="2"/>
      </rPr>
      <t>cond;in;wet</t>
    </r>
  </si>
  <si>
    <r>
      <t>max(</t>
    </r>
    <r>
      <rPr>
        <i/>
        <sz val="10"/>
        <color rgb="FFFF0000"/>
        <rFont val="Symbol"/>
        <family val="1"/>
        <charset val="2"/>
      </rPr>
      <t>J</t>
    </r>
    <r>
      <rPr>
        <i/>
        <vertAlign val="subscript"/>
        <sz val="10"/>
        <color rgb="FFFF0000"/>
        <rFont val="Arial"/>
        <family val="2"/>
      </rPr>
      <t>cond;in;lim</t>
    </r>
    <r>
      <rPr>
        <i/>
        <sz val="10"/>
        <color rgb="FFFF0000"/>
        <rFont val="Arial"/>
        <family val="2"/>
      </rPr>
      <t xml:space="preserve"> ; </t>
    </r>
    <r>
      <rPr>
        <i/>
        <sz val="10"/>
        <color rgb="FFFF0000"/>
        <rFont val="Symbol"/>
        <family val="1"/>
        <charset val="2"/>
      </rPr>
      <t>J</t>
    </r>
    <r>
      <rPr>
        <i/>
        <vertAlign val="subscript"/>
        <sz val="10"/>
        <color rgb="FFFF0000"/>
        <rFont val="Arial"/>
        <family val="2"/>
      </rPr>
      <t>e</t>
    </r>
    <r>
      <rPr>
        <sz val="10"/>
        <color rgb="FFFF0000"/>
        <rFont val="Arial"/>
        <family val="2"/>
      </rPr>
      <t xml:space="preserve"> + </t>
    </r>
    <r>
      <rPr>
        <i/>
        <sz val="10"/>
        <color rgb="FFFF0000"/>
        <rFont val="Symbol"/>
        <family val="1"/>
        <charset val="2"/>
      </rPr>
      <t>DJ</t>
    </r>
    <r>
      <rPr>
        <i/>
        <vertAlign val="subscript"/>
        <sz val="10"/>
        <color rgb="FFFF0000"/>
        <rFont val="Arial"/>
        <family val="2"/>
      </rPr>
      <t>hr</t>
    </r>
    <r>
      <rPr>
        <sz val="10"/>
        <color rgb="FFFF0000"/>
        <rFont val="Arial"/>
        <family val="2"/>
      </rPr>
      <t xml:space="preserve"> + </t>
    </r>
    <r>
      <rPr>
        <i/>
        <sz val="10"/>
        <color rgb="FFFF0000"/>
        <rFont val="Symbol"/>
        <family val="1"/>
        <charset val="2"/>
      </rPr>
      <t>DJ</t>
    </r>
    <r>
      <rPr>
        <i/>
        <vertAlign val="subscript"/>
        <sz val="10"/>
        <color rgb="FFFF0000"/>
        <rFont val="Arial"/>
        <family val="2"/>
      </rPr>
      <t>ls;dis;hr</t>
    </r>
    <r>
      <rPr>
        <sz val="10"/>
        <color rgb="FFFF0000"/>
        <rFont val="Arial"/>
        <family val="2"/>
      </rPr>
      <t>)</t>
    </r>
  </si>
  <si>
    <r>
      <t>max(</t>
    </r>
    <r>
      <rPr>
        <i/>
        <sz val="10"/>
        <color rgb="FFFF0000"/>
        <rFont val="Symbol"/>
        <family val="1"/>
        <charset val="2"/>
      </rPr>
      <t>J</t>
    </r>
    <r>
      <rPr>
        <i/>
        <vertAlign val="subscript"/>
        <sz val="10"/>
        <color rgb="FFFF0000"/>
        <rFont val="Arial"/>
        <family val="2"/>
      </rPr>
      <t>cond;in;lim</t>
    </r>
    <r>
      <rPr>
        <i/>
        <sz val="10"/>
        <color rgb="FFFF0000"/>
        <rFont val="Arial"/>
        <family val="2"/>
      </rPr>
      <t xml:space="preserve"> ; </t>
    </r>
    <r>
      <rPr>
        <i/>
        <sz val="10"/>
        <color rgb="FFFF0000"/>
        <rFont val="Symbol"/>
        <family val="1"/>
        <charset val="2"/>
      </rPr>
      <t>J</t>
    </r>
    <r>
      <rPr>
        <i/>
        <vertAlign val="subscript"/>
        <sz val="10"/>
        <color rgb="FFFF0000"/>
        <rFont val="Arial"/>
        <family val="2"/>
      </rPr>
      <t>e;wb</t>
    </r>
    <r>
      <rPr>
        <sz val="10"/>
        <color rgb="FFFF0000"/>
        <rFont val="Arial"/>
        <family val="2"/>
      </rPr>
      <t xml:space="preserve"> + </t>
    </r>
    <r>
      <rPr>
        <i/>
        <sz val="10"/>
        <color rgb="FFFF0000"/>
        <rFont val="Symbol"/>
        <family val="1"/>
        <charset val="2"/>
      </rPr>
      <t>DJ</t>
    </r>
    <r>
      <rPr>
        <i/>
        <vertAlign val="subscript"/>
        <sz val="10"/>
        <color rgb="FFFF0000"/>
        <rFont val="Arial"/>
        <family val="2"/>
      </rPr>
      <t>hr</t>
    </r>
    <r>
      <rPr>
        <sz val="10"/>
        <color rgb="FFFF0000"/>
        <rFont val="Arial"/>
        <family val="2"/>
      </rPr>
      <t xml:space="preserve"> + </t>
    </r>
    <r>
      <rPr>
        <i/>
        <sz val="10"/>
        <color rgb="FFFF0000"/>
        <rFont val="Symbol"/>
        <family val="1"/>
        <charset val="2"/>
      </rPr>
      <t>DJ</t>
    </r>
    <r>
      <rPr>
        <i/>
        <vertAlign val="subscript"/>
        <sz val="10"/>
        <color rgb="FFFF0000"/>
        <rFont val="Arial"/>
        <family val="2"/>
      </rPr>
      <t>ls;dis;hr</t>
    </r>
    <r>
      <rPr>
        <sz val="10"/>
        <color rgb="FFFF0000"/>
        <rFont val="Arial"/>
        <family val="2"/>
      </rPr>
      <t>)</t>
    </r>
  </si>
  <si>
    <t>used in sheet "Product_tech_data" to calculate performance map</t>
  </si>
  <si>
    <t>linked to '[SPS_FprEN16798-9_160121_det_master.xlsm]Method_input'!$D$33</t>
  </si>
  <si>
    <t>linked to '[SPS_FprEN16798-9_160121_det_master.xlsm]Method_input'!$D$34</t>
  </si>
  <si>
    <t>linked to '[SPS_FprEN16798-9_160121_det_master.xlsm]Method_input'!$D$35</t>
  </si>
  <si>
    <t>linked to '[SPS_FprEN16798-9_160121_det_master.xlsm]Method_input'!$D$36</t>
  </si>
  <si>
    <t>linked to '[SPS_FprEN16798-9_160121_det_master.xlsm]Method_input'!$D$37</t>
  </si>
  <si>
    <t>linked with '[SPS_FprEN16798-9_160121_det_master.xlsm]Method_output'!$D$25</t>
  </si>
  <si>
    <t>linked with '[SPS_FprEN16798-9_160121_det_master.xlsm]Method_output'!$D$27</t>
  </si>
  <si>
    <t>variable not available</t>
  </si>
  <si>
    <t>linked with '[SPS 15316-3_03.xlsm]Method_output'!$D$12</t>
  </si>
  <si>
    <t>linked with '[SPS 15316-3_03.xlsm]Method_output'!$D$25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</si>
</sst>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4" x14ac:knownFonts="1">
    <font>
      <sz val="10"/>
      <name val="Arial"/>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sz val="10"/>
      <name val="Calibri"/>
      <family val="2"/>
    </font>
    <font>
      <b/>
      <sz val="11"/>
      <name val="Arial"/>
      <family val="2"/>
    </font>
    <font>
      <b/>
      <i/>
      <sz val="10"/>
      <name val="Arial"/>
      <family val="2"/>
    </font>
    <font>
      <sz val="8"/>
      <name val="Arial"/>
      <family val="2"/>
    </font>
    <font>
      <sz val="6"/>
      <name val="Arial"/>
      <family val="2"/>
    </font>
    <font>
      <b/>
      <sz val="14"/>
      <name val="Arial"/>
      <family val="2"/>
    </font>
    <font>
      <sz val="9"/>
      <name val="Arial"/>
      <family val="2"/>
    </font>
    <font>
      <i/>
      <sz val="9"/>
      <name val="Arial"/>
      <family val="2"/>
    </font>
    <font>
      <i/>
      <vertAlign val="subscript"/>
      <sz val="10"/>
      <name val="Arial"/>
      <family val="2"/>
    </font>
    <font>
      <sz val="10"/>
      <color indexed="10"/>
      <name val="Arial"/>
      <family val="2"/>
    </font>
    <font>
      <sz val="10"/>
      <color rgb="FF0070C0"/>
      <name val="Arial"/>
      <family val="2"/>
    </font>
    <font>
      <sz val="10"/>
      <color theme="3"/>
      <name val="Arial"/>
      <family val="2"/>
    </font>
    <font>
      <sz val="10"/>
      <color rgb="FF000000"/>
      <name val="Arial"/>
      <family val="2"/>
    </font>
    <font>
      <b/>
      <sz val="10"/>
      <color rgb="FFFF0000"/>
      <name val="Arial"/>
      <family val="2"/>
    </font>
    <font>
      <i/>
      <vertAlign val="subscript"/>
      <sz val="9"/>
      <name val="Arial"/>
      <family val="2"/>
    </font>
    <font>
      <sz val="11"/>
      <name val="Calibri"/>
      <family val="2"/>
    </font>
    <font>
      <i/>
      <sz val="10"/>
      <color rgb="FF000000"/>
      <name val="Symbol"/>
      <family val="1"/>
      <charset val="2"/>
    </font>
    <font>
      <vertAlign val="subscript"/>
      <sz val="10"/>
      <color rgb="FF000000"/>
      <name val="Arial"/>
      <family val="2"/>
    </font>
    <font>
      <sz val="10"/>
      <color rgb="FFFF0000"/>
      <name val="Arial"/>
      <family val="2"/>
    </font>
    <font>
      <b/>
      <sz val="18"/>
      <name val="Arial"/>
      <family val="2"/>
    </font>
    <font>
      <sz val="10"/>
      <color theme="1"/>
      <name val="Arial"/>
      <family val="2"/>
    </font>
    <font>
      <sz val="9"/>
      <color rgb="FFFF0000"/>
      <name val="Arial"/>
      <family val="2"/>
    </font>
    <font>
      <sz val="9"/>
      <color rgb="FF000000"/>
      <name val="Arial"/>
      <family val="2"/>
    </font>
    <font>
      <i/>
      <sz val="10"/>
      <color rgb="FF000000"/>
      <name val="Arial"/>
      <family val="2"/>
    </font>
    <font>
      <i/>
      <vertAlign val="subscript"/>
      <sz val="10"/>
      <color rgb="FF000000"/>
      <name val="Arial"/>
      <family val="2"/>
    </font>
    <font>
      <i/>
      <sz val="10"/>
      <color rgb="FFFF0000"/>
      <name val="Arial"/>
      <family val="2"/>
    </font>
    <font>
      <i/>
      <vertAlign val="subscript"/>
      <sz val="10"/>
      <color rgb="FFFF0000"/>
      <name val="Arial"/>
      <family val="2"/>
    </font>
    <font>
      <vertAlign val="superscript"/>
      <sz val="10"/>
      <color rgb="FFFF0000"/>
      <name val="Arial"/>
      <family val="2"/>
    </font>
    <font>
      <sz val="8"/>
      <color rgb="FFFF0000"/>
      <name val="Arial"/>
      <family val="2"/>
    </font>
    <font>
      <i/>
      <sz val="9"/>
      <color rgb="FFFF0000"/>
      <name val="Arial"/>
      <family val="2"/>
    </font>
    <font>
      <vertAlign val="subscript"/>
      <sz val="9"/>
      <color rgb="FFFF0000"/>
      <name val="Arial"/>
      <family val="2"/>
    </font>
    <font>
      <i/>
      <sz val="10"/>
      <color rgb="FFFF0000"/>
      <name val="Symbol"/>
      <family val="1"/>
      <charset val="2"/>
    </font>
    <font>
      <vertAlign val="subscript"/>
      <sz val="10"/>
      <color rgb="FFFF0000"/>
      <name val="Arial"/>
      <family val="2"/>
    </font>
    <font>
      <sz val="10"/>
      <color rgb="FFFF0000"/>
      <name val="Symbol"/>
      <family val="1"/>
      <charset val="2"/>
    </font>
  </fonts>
  <fills count="13">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dotted">
        <color indexed="64"/>
      </bottom>
      <diagonal/>
    </border>
    <border>
      <left/>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dotted">
        <color indexed="64"/>
      </top>
      <bottom/>
      <diagonal/>
    </border>
    <border>
      <left style="thin">
        <color indexed="64"/>
      </left>
      <right/>
      <top style="dotted">
        <color indexed="64"/>
      </top>
      <bottom/>
      <diagonal/>
    </border>
    <border>
      <left/>
      <right style="thin">
        <color indexed="64"/>
      </right>
      <top/>
      <bottom style="dotted">
        <color indexed="64"/>
      </bottom>
      <diagonal/>
    </border>
    <border>
      <left style="thin">
        <color indexed="64"/>
      </left>
      <right/>
      <top/>
      <bottom style="dotted">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dotted">
        <color indexed="64"/>
      </top>
      <bottom/>
      <diagonal/>
    </border>
    <border>
      <left style="medium">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dotted">
        <color indexed="64"/>
      </left>
      <right style="medium">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medium">
        <color indexed="64"/>
      </left>
      <right/>
      <top/>
      <bottom style="thin">
        <color indexed="64"/>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s>
  <cellStyleXfs count="7">
    <xf numFmtId="0" fontId="0" fillId="0" borderId="0"/>
    <xf numFmtId="0" fontId="4" fillId="0" borderId="0"/>
    <xf numFmtId="0" fontId="30" fillId="0" borderId="0"/>
    <xf numFmtId="0" fontId="30" fillId="0" borderId="0"/>
    <xf numFmtId="0" fontId="30" fillId="0" borderId="0"/>
    <xf numFmtId="0" fontId="30" fillId="0" borderId="0"/>
    <xf numFmtId="0" fontId="30" fillId="0" borderId="0"/>
  </cellStyleXfs>
  <cellXfs count="506">
    <xf numFmtId="0" fontId="0" fillId="0" borderId="0" xfId="0"/>
    <xf numFmtId="0" fontId="0" fillId="0" borderId="0" xfId="0"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0" xfId="0" applyBorder="1" applyAlignment="1">
      <alignment horizontal="center" vertical="center" wrapText="1"/>
    </xf>
    <xf numFmtId="0" fontId="0" fillId="0" borderId="12" xfId="0" applyBorder="1" applyAlignment="1">
      <alignment horizontal="center" vertical="center"/>
    </xf>
    <xf numFmtId="0" fontId="0" fillId="0" borderId="10" xfId="0" applyBorder="1" applyAlignment="1">
      <alignment horizontal="center" vertical="center"/>
    </xf>
    <xf numFmtId="0" fontId="5" fillId="0" borderId="0" xfId="0" applyFont="1" applyAlignment="1">
      <alignment horizontal="justify" vertical="center"/>
    </xf>
    <xf numFmtId="0" fontId="5" fillId="0" borderId="0" xfId="0" applyFont="1" applyAlignment="1">
      <alignment horizontal="center" vertical="center" wrapText="1"/>
    </xf>
    <xf numFmtId="0" fontId="5" fillId="0" borderId="0" xfId="0" quotePrefix="1" applyFont="1" applyAlignment="1">
      <alignment horizontal="center" vertical="center" wrapText="1"/>
    </xf>
    <xf numFmtId="0" fontId="5" fillId="0" borderId="0" xfId="0" applyFont="1" applyBorder="1" applyAlignment="1">
      <alignment horizontal="left" vertical="center" wrapText="1"/>
    </xf>
    <xf numFmtId="0" fontId="5" fillId="0" borderId="0" xfId="0" applyFont="1" applyBorder="1" applyAlignment="1">
      <alignment horizontal="center" vertical="center" wrapText="1"/>
    </xf>
    <xf numFmtId="0" fontId="8" fillId="0" borderId="0" xfId="0" applyFont="1" applyBorder="1" applyAlignment="1">
      <alignment horizontal="center" vertical="center" wrapText="1"/>
    </xf>
    <xf numFmtId="0" fontId="5" fillId="0" borderId="0" xfId="0" applyFont="1" applyAlignment="1">
      <alignment horizontal="left" vertical="center" wrapText="1"/>
    </xf>
    <xf numFmtId="0" fontId="5" fillId="0" borderId="0" xfId="0" quotePrefix="1" applyFont="1" applyBorder="1" applyAlignment="1">
      <alignment horizontal="center" vertical="center" wrapText="1"/>
    </xf>
    <xf numFmtId="3" fontId="0" fillId="0" borderId="1" xfId="0" applyNumberFormat="1" applyBorder="1"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wrapText="1"/>
    </xf>
    <xf numFmtId="0" fontId="0" fillId="0" borderId="13" xfId="0"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0" fillId="0" borderId="3" xfId="0" applyBorder="1" applyAlignment="1">
      <alignment horizontal="center" vertical="center" wrapText="1"/>
    </xf>
    <xf numFmtId="0" fontId="5" fillId="0" borderId="3" xfId="0" applyFont="1" applyBorder="1" applyAlignment="1">
      <alignment horizontal="center" vertical="center" wrapText="1"/>
    </xf>
    <xf numFmtId="0" fontId="0" fillId="0" borderId="14" xfId="0" applyBorder="1" applyAlignment="1">
      <alignment horizontal="center" vertical="center" wrapText="1"/>
    </xf>
    <xf numFmtId="0" fontId="5" fillId="0" borderId="15" xfId="0" applyFont="1" applyBorder="1" applyAlignment="1">
      <alignment horizontal="left" vertical="center" wrapText="1"/>
    </xf>
    <xf numFmtId="0" fontId="5" fillId="0" borderId="16" xfId="0" applyFont="1" applyBorder="1" applyAlignment="1">
      <alignment horizontal="left" vertical="center" wrapText="1"/>
    </xf>
    <xf numFmtId="0" fontId="5" fillId="0" borderId="17" xfId="0" applyFont="1" applyBorder="1" applyAlignment="1">
      <alignment horizontal="center" vertical="center" wrapText="1"/>
    </xf>
    <xf numFmtId="0" fontId="5" fillId="0" borderId="18" xfId="0" applyFont="1" applyBorder="1" applyAlignment="1">
      <alignment horizontal="center" vertical="center"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11" fillId="0" borderId="0" xfId="0" applyFont="1" applyAlignment="1">
      <alignment horizontal="left" vertical="center" wrapText="1"/>
    </xf>
    <xf numFmtId="0" fontId="11" fillId="0" borderId="0" xfId="0" applyFont="1" applyAlignment="1">
      <alignment vertical="center"/>
    </xf>
    <xf numFmtId="0" fontId="5" fillId="0" borderId="19" xfId="0" applyFont="1" applyBorder="1" applyAlignment="1">
      <alignment horizontal="left" vertical="center" wrapText="1"/>
    </xf>
    <xf numFmtId="0" fontId="5" fillId="0" borderId="20" xfId="0" applyFont="1" applyBorder="1" applyAlignment="1">
      <alignment horizontal="left" vertical="center" wrapText="1"/>
    </xf>
    <xf numFmtId="0" fontId="0" fillId="0" borderId="21" xfId="0" applyBorder="1" applyAlignment="1">
      <alignment horizontal="center" vertical="center" wrapText="1"/>
    </xf>
    <xf numFmtId="0" fontId="0" fillId="0" borderId="22" xfId="0" applyBorder="1" applyAlignment="1">
      <alignment horizontal="center" vertical="center" wrapText="1"/>
    </xf>
    <xf numFmtId="0" fontId="5" fillId="0" borderId="15" xfId="0" applyFont="1" applyBorder="1" applyAlignment="1">
      <alignment horizontal="justify" vertical="center" wrapText="1"/>
    </xf>
    <xf numFmtId="0" fontId="6" fillId="0" borderId="0" xfId="0" applyFont="1" applyBorder="1" applyAlignment="1">
      <alignment horizontal="center" vertical="center"/>
    </xf>
    <xf numFmtId="0" fontId="5" fillId="0" borderId="0" xfId="0" applyFont="1" applyAlignment="1">
      <alignment horizontal="center" vertical="center" textRotation="90" wrapText="1"/>
    </xf>
    <xf numFmtId="0" fontId="5" fillId="0" borderId="0" xfId="0" applyFont="1" applyBorder="1" applyAlignment="1">
      <alignment horizontal="center" vertical="center" textRotation="90" wrapText="1"/>
    </xf>
    <xf numFmtId="0" fontId="8" fillId="0" borderId="1" xfId="0" applyFont="1" applyBorder="1" applyAlignment="1">
      <alignment horizontal="center" vertical="center" wrapText="1"/>
    </xf>
    <xf numFmtId="0" fontId="5" fillId="0" borderId="1" xfId="0" applyFont="1" applyBorder="1" applyAlignment="1">
      <alignment horizontal="left" vertical="center" wrapText="1"/>
    </xf>
    <xf numFmtId="0" fontId="5"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5" fillId="0" borderId="1" xfId="0" quotePrefix="1" applyFont="1" applyBorder="1" applyAlignment="1">
      <alignment horizontal="center" vertical="center" wrapText="1"/>
    </xf>
    <xf numFmtId="0" fontId="11" fillId="0" borderId="1" xfId="0" applyFont="1" applyBorder="1" applyAlignment="1">
      <alignment horizontal="left" vertical="center" wrapText="1"/>
    </xf>
    <xf numFmtId="0" fontId="5" fillId="0" borderId="1" xfId="0" applyFont="1" applyBorder="1" applyAlignment="1">
      <alignment horizontal="justify" vertical="center"/>
    </xf>
    <xf numFmtId="0" fontId="6" fillId="0" borderId="1" xfId="0" applyFont="1" applyBorder="1" applyAlignment="1">
      <alignment horizontal="center"/>
    </xf>
    <xf numFmtId="0" fontId="7" fillId="0" borderId="1" xfId="0" applyFont="1" applyBorder="1" applyAlignment="1">
      <alignment horizontal="center"/>
    </xf>
    <xf numFmtId="0" fontId="13" fillId="0" borderId="1" xfId="0" applyFont="1" applyBorder="1" applyAlignment="1">
      <alignment horizontal="center" vertical="center" textRotation="90" wrapText="1"/>
    </xf>
    <xf numFmtId="164" fontId="5" fillId="0" borderId="1" xfId="0" applyNumberFormat="1" applyFont="1" applyBorder="1" applyAlignment="1">
      <alignment horizontal="center" vertical="center" wrapText="1"/>
    </xf>
    <xf numFmtId="164" fontId="20" fillId="2" borderId="1" xfId="0" applyNumberFormat="1" applyFont="1" applyFill="1" applyBorder="1" applyAlignment="1">
      <alignment horizontal="center" vertical="center" wrapText="1"/>
    </xf>
    <xf numFmtId="164" fontId="20" fillId="0" borderId="1" xfId="0" applyNumberFormat="1" applyFont="1" applyFill="1" applyBorder="1" applyAlignment="1">
      <alignment horizontal="center" vertical="center" wrapText="1"/>
    </xf>
    <xf numFmtId="2" fontId="20" fillId="2" borderId="1" xfId="0" applyNumberFormat="1" applyFont="1" applyFill="1" applyBorder="1" applyAlignment="1">
      <alignment horizontal="center" vertical="center" wrapText="1"/>
    </xf>
    <xf numFmtId="0" fontId="20" fillId="2" borderId="1" xfId="0" applyFont="1" applyFill="1" applyBorder="1" applyAlignment="1">
      <alignment horizontal="center" vertical="center" wrapText="1"/>
    </xf>
    <xf numFmtId="0" fontId="14" fillId="0" borderId="1" xfId="0" applyFont="1" applyBorder="1" applyAlignment="1">
      <alignment horizontal="center" vertical="center" wrapText="1"/>
    </xf>
    <xf numFmtId="0" fontId="5" fillId="0" borderId="9" xfId="0" applyFont="1" applyBorder="1" applyAlignment="1">
      <alignment horizontal="justify" vertical="center"/>
    </xf>
    <xf numFmtId="0" fontId="6" fillId="0" borderId="9" xfId="0" applyFont="1" applyBorder="1" applyAlignment="1">
      <alignment horizontal="center" vertical="center"/>
    </xf>
    <xf numFmtId="0" fontId="5" fillId="0" borderId="9" xfId="0" applyFont="1" applyBorder="1" applyAlignment="1">
      <alignment horizontal="center" vertical="center" wrapText="1"/>
    </xf>
    <xf numFmtId="0" fontId="0" fillId="0" borderId="13" xfId="0" applyBorder="1" applyAlignment="1">
      <alignment horizontal="left" vertical="center" wrapText="1"/>
    </xf>
    <xf numFmtId="0" fontId="0" fillId="0" borderId="23" xfId="0" applyBorder="1" applyAlignment="1">
      <alignment horizontal="center" vertical="center" wrapText="1"/>
    </xf>
    <xf numFmtId="0" fontId="0" fillId="0" borderId="0" xfId="0" applyBorder="1" applyAlignment="1">
      <alignment horizontal="left" vertical="center" wrapText="1"/>
    </xf>
    <xf numFmtId="0" fontId="5" fillId="0" borderId="13" xfId="0" applyFont="1" applyBorder="1" applyAlignment="1">
      <alignment horizontal="left" vertical="center" wrapText="1"/>
    </xf>
    <xf numFmtId="0" fontId="5" fillId="0" borderId="14" xfId="0" applyFont="1" applyBorder="1" applyAlignment="1">
      <alignment horizontal="left" vertical="center" wrapText="1"/>
    </xf>
    <xf numFmtId="0" fontId="5" fillId="0" borderId="21" xfId="0" applyFont="1" applyBorder="1" applyAlignment="1">
      <alignment horizontal="left" vertical="center" wrapText="1"/>
    </xf>
    <xf numFmtId="0" fontId="5" fillId="0" borderId="0" xfId="0" applyFont="1" applyBorder="1" applyAlignment="1">
      <alignment horizontal="justify" vertical="center" wrapText="1"/>
    </xf>
    <xf numFmtId="0" fontId="13" fillId="0" borderId="1" xfId="0" applyFont="1" applyBorder="1" applyAlignment="1">
      <alignment horizontal="center" vertical="center" wrapText="1"/>
    </xf>
    <xf numFmtId="0" fontId="0" fillId="0" borderId="20" xfId="0" applyBorder="1" applyAlignment="1">
      <alignment horizontal="center" vertical="center" wrapText="1"/>
    </xf>
    <xf numFmtId="0" fontId="0" fillId="0" borderId="15" xfId="0" applyBorder="1" applyAlignment="1">
      <alignment horizontal="center" vertical="center" wrapText="1"/>
    </xf>
    <xf numFmtId="0" fontId="5" fillId="0" borderId="24" xfId="0" applyFont="1" applyBorder="1" applyAlignment="1">
      <alignment horizontal="center" vertical="center" wrapText="1"/>
    </xf>
    <xf numFmtId="0" fontId="0" fillId="0" borderId="24" xfId="0" applyBorder="1" applyAlignment="1">
      <alignment horizontal="center" vertical="center" wrapText="1"/>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left"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0" fillId="0" borderId="30" xfId="0" applyBorder="1" applyAlignment="1">
      <alignment horizontal="center" vertical="center" wrapText="1"/>
    </xf>
    <xf numFmtId="0" fontId="5" fillId="0" borderId="31" xfId="0" applyFont="1" applyBorder="1" applyAlignment="1">
      <alignment horizontal="left" vertical="center" wrapText="1"/>
    </xf>
    <xf numFmtId="0" fontId="5" fillId="0" borderId="32" xfId="0" applyFont="1" applyBorder="1" applyAlignment="1">
      <alignment horizontal="left" vertical="center" wrapText="1"/>
    </xf>
    <xf numFmtId="0" fontId="0" fillId="0" borderId="33" xfId="0" applyBorder="1" applyAlignment="1">
      <alignment horizontal="center" vertical="center" wrapText="1"/>
    </xf>
    <xf numFmtId="0" fontId="5" fillId="0" borderId="34" xfId="0" applyFont="1" applyBorder="1" applyAlignment="1">
      <alignment horizontal="center" vertical="center" wrapText="1"/>
    </xf>
    <xf numFmtId="0" fontId="8" fillId="0" borderId="35" xfId="0" applyFont="1" applyBorder="1" applyAlignment="1">
      <alignment horizontal="center" vertical="center" wrapText="1"/>
    </xf>
    <xf numFmtId="0" fontId="5" fillId="0" borderId="29" xfId="0" applyFont="1" applyBorder="1" applyAlignment="1">
      <alignment horizontal="left" vertical="center" wrapText="1"/>
    </xf>
    <xf numFmtId="0" fontId="5" fillId="0" borderId="30" xfId="0" applyFont="1" applyBorder="1" applyAlignment="1">
      <alignment horizontal="center" vertical="center" wrapText="1"/>
    </xf>
    <xf numFmtId="0" fontId="5" fillId="0" borderId="36" xfId="0" applyFont="1" applyBorder="1" applyAlignment="1">
      <alignment horizontal="center" vertical="center" wrapText="1"/>
    </xf>
    <xf numFmtId="0" fontId="15" fillId="0" borderId="1" xfId="0" applyFont="1" applyBorder="1" applyAlignment="1">
      <alignment horizontal="left" vertical="center" wrapText="1"/>
    </xf>
    <xf numFmtId="0" fontId="0" fillId="0" borderId="0" xfId="0" applyAlignment="1">
      <alignment vertical="center" wrapText="1"/>
    </xf>
    <xf numFmtId="0" fontId="0" fillId="0" borderId="1" xfId="0" applyBorder="1"/>
    <xf numFmtId="0" fontId="5" fillId="0" borderId="37" xfId="0" applyFont="1" applyBorder="1" applyAlignment="1">
      <alignment horizontal="justify" vertical="center"/>
    </xf>
    <xf numFmtId="0" fontId="5" fillId="0" borderId="10" xfId="0" applyFont="1" applyBorder="1" applyAlignment="1">
      <alignment horizontal="justify" vertical="center"/>
    </xf>
    <xf numFmtId="0" fontId="6" fillId="0" borderId="10" xfId="0" applyFont="1" applyBorder="1" applyAlignment="1">
      <alignment horizontal="center" vertical="center"/>
    </xf>
    <xf numFmtId="0" fontId="5" fillId="0" borderId="10" xfId="0" applyFont="1" applyBorder="1" applyAlignment="1">
      <alignment horizontal="center" vertical="center" wrapText="1"/>
    </xf>
    <xf numFmtId="0" fontId="20" fillId="2" borderId="38" xfId="0" applyFont="1" applyFill="1" applyBorder="1" applyAlignment="1">
      <alignment horizontal="center" vertical="center" wrapText="1"/>
    </xf>
    <xf numFmtId="0" fontId="12" fillId="0" borderId="20" xfId="0" applyFont="1" applyBorder="1" applyAlignment="1">
      <alignment horizontal="left" vertical="center" wrapText="1"/>
    </xf>
    <xf numFmtId="0" fontId="12" fillId="0" borderId="21" xfId="0" applyFont="1" applyBorder="1" applyAlignment="1">
      <alignment horizontal="left" vertical="center" wrapText="1"/>
    </xf>
    <xf numFmtId="0" fontId="5" fillId="0" borderId="22" xfId="0" applyFont="1" applyBorder="1" applyAlignment="1">
      <alignment horizontal="center"/>
    </xf>
    <xf numFmtId="0" fontId="0" fillId="0" borderId="15" xfId="0" applyBorder="1" applyAlignment="1">
      <alignment horizontal="left" vertical="center" wrapText="1"/>
    </xf>
    <xf numFmtId="0" fontId="0" fillId="0" borderId="17" xfId="0" applyBorder="1" applyAlignment="1">
      <alignment horizontal="center" vertical="center" wrapText="1"/>
    </xf>
    <xf numFmtId="0" fontId="5" fillId="0" borderId="39" xfId="0" applyFont="1" applyBorder="1" applyAlignment="1">
      <alignment horizontal="left" vertical="center" wrapText="1"/>
    </xf>
    <xf numFmtId="0" fontId="14" fillId="2" borderId="1" xfId="0" applyFont="1" applyFill="1" applyBorder="1" applyAlignment="1">
      <alignment horizontal="center" vertical="center" wrapText="1"/>
    </xf>
    <xf numFmtId="164" fontId="14" fillId="2" borderId="1" xfId="0" applyNumberFormat="1" applyFont="1" applyFill="1" applyBorder="1" applyAlignment="1">
      <alignment horizontal="center" vertical="center" wrapText="1"/>
    </xf>
    <xf numFmtId="0" fontId="0" fillId="0" borderId="39" xfId="0" applyBorder="1" applyAlignment="1">
      <alignment horizontal="center" vertical="center" wrapText="1"/>
    </xf>
    <xf numFmtId="0" fontId="5" fillId="0" borderId="2" xfId="0" applyFont="1" applyBorder="1" applyAlignment="1">
      <alignment horizontal="justify" vertical="center"/>
    </xf>
    <xf numFmtId="0" fontId="5" fillId="0" borderId="3" xfId="0" applyFont="1" applyBorder="1" applyAlignment="1">
      <alignment horizontal="justify" vertical="center"/>
    </xf>
    <xf numFmtId="0" fontId="0" fillId="0" borderId="40" xfId="0" applyBorder="1" applyAlignment="1">
      <alignment horizontal="center" vertical="center" wrapText="1"/>
    </xf>
    <xf numFmtId="164" fontId="20" fillId="2" borderId="3" xfId="0" applyNumberFormat="1" applyFont="1" applyFill="1" applyBorder="1" applyAlignment="1">
      <alignment horizontal="center" vertical="center" wrapText="1"/>
    </xf>
    <xf numFmtId="164" fontId="20" fillId="0" borderId="3" xfId="0" applyNumberFormat="1" applyFont="1" applyFill="1" applyBorder="1" applyAlignment="1">
      <alignment horizontal="center" vertical="center" wrapText="1"/>
    </xf>
    <xf numFmtId="0" fontId="5" fillId="0" borderId="4" xfId="0" applyFont="1" applyBorder="1" applyAlignment="1">
      <alignment horizontal="justify" vertical="center"/>
    </xf>
    <xf numFmtId="0" fontId="5" fillId="0" borderId="5" xfId="0" applyFont="1" applyBorder="1" applyAlignment="1">
      <alignment horizontal="justify" vertical="center"/>
    </xf>
    <xf numFmtId="0" fontId="5" fillId="0" borderId="6" xfId="0" applyFont="1" applyBorder="1" applyAlignment="1">
      <alignment horizontal="justify" vertical="center"/>
    </xf>
    <xf numFmtId="0" fontId="0" fillId="0" borderId="32" xfId="0" applyBorder="1"/>
    <xf numFmtId="0" fontId="6" fillId="0" borderId="6" xfId="0" applyFont="1" applyBorder="1" applyAlignment="1">
      <alignment horizontal="center" vertical="center"/>
    </xf>
    <xf numFmtId="0" fontId="5" fillId="0" borderId="6" xfId="0" quotePrefix="1" applyFont="1" applyBorder="1" applyAlignment="1">
      <alignment horizontal="center" vertical="center" wrapText="1"/>
    </xf>
    <xf numFmtId="164" fontId="0" fillId="0" borderId="6" xfId="0" applyNumberFormat="1" applyBorder="1" applyAlignment="1">
      <alignment horizontal="center" vertical="center" wrapText="1"/>
    </xf>
    <xf numFmtId="0" fontId="0" fillId="0" borderId="41" xfId="0" applyBorder="1" applyAlignment="1">
      <alignment horizontal="center" vertical="center" wrapText="1"/>
    </xf>
    <xf numFmtId="164" fontId="20" fillId="2" borderId="6" xfId="0" applyNumberFormat="1" applyFont="1" applyFill="1" applyBorder="1" applyAlignment="1">
      <alignment horizontal="center" vertical="center" wrapText="1"/>
    </xf>
    <xf numFmtId="0" fontId="0" fillId="0" borderId="32" xfId="0" applyBorder="1" applyAlignment="1">
      <alignment horizontal="center" vertical="center" wrapText="1"/>
    </xf>
    <xf numFmtId="0" fontId="5" fillId="0" borderId="3" xfId="0" quotePrefix="1" applyFont="1" applyBorder="1" applyAlignment="1">
      <alignment horizontal="center" vertical="center" wrapText="1"/>
    </xf>
    <xf numFmtId="0" fontId="5" fillId="0" borderId="6" xfId="0" applyFont="1" applyBorder="1" applyAlignment="1">
      <alignment horizontal="center" vertical="center" wrapText="1"/>
    </xf>
    <xf numFmtId="2" fontId="0" fillId="0" borderId="6" xfId="0" applyNumberFormat="1" applyBorder="1" applyAlignment="1">
      <alignment horizontal="center" vertical="center" wrapText="1"/>
    </xf>
    <xf numFmtId="2" fontId="20" fillId="2" borderId="9" xfId="0" applyNumberFormat="1" applyFont="1" applyFill="1" applyBorder="1" applyAlignment="1">
      <alignment horizontal="center" vertical="center" wrapText="1"/>
    </xf>
    <xf numFmtId="2" fontId="20" fillId="2" borderId="6" xfId="0" applyNumberFormat="1" applyFont="1" applyFill="1" applyBorder="1" applyAlignment="1">
      <alignment horizontal="center" vertical="center" wrapText="1"/>
    </xf>
    <xf numFmtId="2" fontId="20" fillId="2" borderId="3" xfId="0" applyNumberFormat="1" applyFont="1" applyFill="1" applyBorder="1" applyAlignment="1">
      <alignment horizontal="center" vertical="center" wrapText="1"/>
    </xf>
    <xf numFmtId="2" fontId="0" fillId="0" borderId="3" xfId="0" applyNumberFormat="1" applyBorder="1" applyAlignment="1">
      <alignment horizontal="center" vertical="center" wrapText="1"/>
    </xf>
    <xf numFmtId="0" fontId="20" fillId="2" borderId="6" xfId="0" applyFont="1" applyFill="1" applyBorder="1" applyAlignment="1">
      <alignment horizontal="center" vertical="center" wrapText="1"/>
    </xf>
    <xf numFmtId="0" fontId="6" fillId="0" borderId="9" xfId="0" applyFont="1" applyBorder="1" applyAlignment="1">
      <alignment horizontal="center"/>
    </xf>
    <xf numFmtId="0" fontId="5" fillId="0" borderId="23" xfId="0" applyFont="1" applyBorder="1" applyAlignment="1">
      <alignment horizontal="justify" vertical="center"/>
    </xf>
    <xf numFmtId="0" fontId="5" fillId="0" borderId="23" xfId="0" applyFont="1" applyBorder="1" applyAlignment="1">
      <alignment horizontal="center" vertical="center" wrapText="1"/>
    </xf>
    <xf numFmtId="164" fontId="5" fillId="0" borderId="39" xfId="0" applyNumberFormat="1" applyFont="1" applyBorder="1" applyAlignment="1">
      <alignment horizontal="center" vertical="center" wrapText="1"/>
    </xf>
    <xf numFmtId="0" fontId="6" fillId="0" borderId="23" xfId="0" applyFont="1" applyBorder="1" applyAlignment="1">
      <alignment horizontal="center" vertical="center"/>
    </xf>
    <xf numFmtId="164" fontId="0" fillId="0" borderId="23" xfId="0" applyNumberFormat="1" applyBorder="1" applyAlignment="1">
      <alignment horizontal="center" vertical="center" wrapText="1"/>
    </xf>
    <xf numFmtId="0" fontId="21" fillId="2" borderId="1" xfId="0" applyFont="1" applyFill="1" applyBorder="1" applyAlignment="1">
      <alignment horizontal="center" vertical="center" wrapText="1"/>
    </xf>
    <xf numFmtId="2" fontId="21" fillId="2" borderId="3" xfId="0" applyNumberFormat="1" applyFont="1" applyFill="1" applyBorder="1" applyAlignment="1">
      <alignment horizontal="center" vertical="center" wrapText="1"/>
    </xf>
    <xf numFmtId="2" fontId="21" fillId="2" borderId="1" xfId="0" applyNumberFormat="1" applyFont="1" applyFill="1" applyBorder="1" applyAlignment="1">
      <alignment horizontal="center" vertical="center" wrapText="1"/>
    </xf>
    <xf numFmtId="0" fontId="0" fillId="3" borderId="24" xfId="0" applyFill="1" applyBorder="1" applyAlignment="1">
      <alignment horizontal="center" vertical="center"/>
    </xf>
    <xf numFmtId="0" fontId="0" fillId="3" borderId="25" xfId="0" applyFill="1" applyBorder="1" applyAlignment="1">
      <alignment horizontal="center" vertical="center"/>
    </xf>
    <xf numFmtId="0" fontId="0" fillId="3" borderId="0" xfId="0" applyFill="1" applyBorder="1" applyAlignment="1">
      <alignment horizontal="center" vertical="center"/>
    </xf>
    <xf numFmtId="0" fontId="0" fillId="3" borderId="28" xfId="0" applyFill="1" applyBorder="1" applyAlignment="1">
      <alignment horizontal="center" vertical="center"/>
    </xf>
    <xf numFmtId="0" fontId="0" fillId="3" borderId="42" xfId="0" applyFill="1" applyBorder="1" applyAlignment="1">
      <alignment horizontal="left" vertical="center"/>
    </xf>
    <xf numFmtId="0" fontId="0" fillId="3" borderId="14" xfId="0" applyFill="1" applyBorder="1" applyAlignment="1">
      <alignment horizontal="center" vertical="center"/>
    </xf>
    <xf numFmtId="0" fontId="0" fillId="3" borderId="43" xfId="0" applyFill="1" applyBorder="1" applyAlignment="1">
      <alignment horizontal="left" vertical="center"/>
    </xf>
    <xf numFmtId="0" fontId="0" fillId="3" borderId="44" xfId="0" applyFill="1" applyBorder="1" applyAlignment="1">
      <alignment horizontal="center" vertical="center"/>
    </xf>
    <xf numFmtId="0" fontId="8" fillId="3" borderId="35" xfId="0" applyFont="1" applyFill="1" applyBorder="1" applyAlignment="1">
      <alignment horizontal="left" vertical="center"/>
    </xf>
    <xf numFmtId="0" fontId="6" fillId="3" borderId="45" xfId="0" applyFont="1" applyFill="1" applyBorder="1" applyAlignment="1">
      <alignment horizontal="left" vertical="center"/>
    </xf>
    <xf numFmtId="0" fontId="0" fillId="4" borderId="46" xfId="0" applyFill="1" applyBorder="1" applyAlignment="1">
      <alignment horizontal="center" vertical="center"/>
    </xf>
    <xf numFmtId="0" fontId="0" fillId="4" borderId="47" xfId="0" applyFill="1" applyBorder="1" applyAlignment="1">
      <alignment horizontal="center" vertical="center"/>
    </xf>
    <xf numFmtId="0" fontId="5" fillId="3" borderId="42" xfId="0" applyFont="1" applyFill="1" applyBorder="1" applyAlignment="1">
      <alignment horizontal="left" vertical="center"/>
    </xf>
    <xf numFmtId="0" fontId="0" fillId="3" borderId="13" xfId="0" applyFill="1" applyBorder="1" applyAlignment="1">
      <alignment horizontal="center" vertical="center" wrapText="1"/>
    </xf>
    <xf numFmtId="0" fontId="0" fillId="5" borderId="37"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38" xfId="0" applyFill="1" applyBorder="1" applyAlignment="1">
      <alignment horizontal="center" vertical="center" wrapText="1"/>
    </xf>
    <xf numFmtId="0" fontId="0" fillId="0" borderId="43" xfId="0" applyBorder="1" applyAlignment="1">
      <alignment horizontal="center" vertical="center" wrapText="1"/>
    </xf>
    <xf numFmtId="0" fontId="5" fillId="0" borderId="48" xfId="0" applyFont="1" applyBorder="1" applyAlignment="1">
      <alignment horizontal="left" vertical="center" wrapText="1"/>
    </xf>
    <xf numFmtId="0" fontId="0" fillId="0" borderId="49" xfId="0" applyBorder="1" applyAlignment="1">
      <alignment horizontal="left" vertical="center" wrapText="1"/>
    </xf>
    <xf numFmtId="0" fontId="0" fillId="0" borderId="50" xfId="0" applyBorder="1" applyAlignment="1">
      <alignment horizontal="center" vertical="center" wrapText="1"/>
    </xf>
    <xf numFmtId="0" fontId="5" fillId="0" borderId="51" xfId="0" applyFont="1" applyBorder="1" applyAlignment="1">
      <alignment horizontal="center" vertical="center" wrapText="1"/>
    </xf>
    <xf numFmtId="0" fontId="5" fillId="0" borderId="52" xfId="0" applyFont="1" applyBorder="1" applyAlignment="1">
      <alignment horizontal="left" vertical="center" wrapText="1"/>
    </xf>
    <xf numFmtId="0" fontId="0" fillId="0" borderId="53" xfId="0" applyBorder="1" applyAlignment="1">
      <alignment horizontal="left" vertical="center" wrapText="1"/>
    </xf>
    <xf numFmtId="0" fontId="0" fillId="0" borderId="54" xfId="0" applyBorder="1" applyAlignment="1">
      <alignment horizontal="center" vertical="center" wrapText="1"/>
    </xf>
    <xf numFmtId="0" fontId="5" fillId="0" borderId="55" xfId="0" applyFont="1" applyBorder="1" applyAlignment="1">
      <alignment horizontal="center" vertical="center" wrapText="1"/>
    </xf>
    <xf numFmtId="0" fontId="5" fillId="0" borderId="56" xfId="0" applyFont="1" applyBorder="1" applyAlignment="1">
      <alignment horizontal="left" vertical="center" wrapText="1"/>
    </xf>
    <xf numFmtId="0" fontId="5" fillId="0" borderId="57" xfId="0" applyFont="1" applyBorder="1" applyAlignment="1">
      <alignment horizontal="left" vertical="center" wrapText="1"/>
    </xf>
    <xf numFmtId="0" fontId="0" fillId="0" borderId="58" xfId="0" applyBorder="1" applyAlignment="1">
      <alignment horizontal="center" vertical="center" wrapText="1"/>
    </xf>
    <xf numFmtId="0" fontId="5" fillId="0" borderId="59" xfId="0" applyFont="1" applyBorder="1" applyAlignment="1">
      <alignment horizontal="center"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4" xfId="0" applyBorder="1" applyAlignment="1">
      <alignment horizontal="center" vertical="center" wrapText="1"/>
    </xf>
    <xf numFmtId="0" fontId="0" fillId="0" borderId="0" xfId="0" applyAlignment="1">
      <alignment horizontal="center"/>
    </xf>
    <xf numFmtId="0" fontId="0" fillId="0" borderId="0" xfId="0" applyAlignment="1">
      <alignment wrapText="1"/>
    </xf>
    <xf numFmtId="0" fontId="0" fillId="0" borderId="9" xfId="0" applyBorder="1"/>
    <xf numFmtId="0" fontId="8" fillId="0" borderId="60" xfId="0" applyFont="1" applyBorder="1" applyAlignment="1">
      <alignment horizontal="center"/>
    </xf>
    <xf numFmtId="0" fontId="8" fillId="0" borderId="61" xfId="0" applyFont="1" applyBorder="1" applyAlignment="1">
      <alignment horizontal="center"/>
    </xf>
    <xf numFmtId="0" fontId="8" fillId="0" borderId="62" xfId="0" applyFont="1" applyBorder="1" applyAlignment="1">
      <alignment horizontal="center" wrapText="1"/>
    </xf>
    <xf numFmtId="0" fontId="0" fillId="0" borderId="63" xfId="0" applyBorder="1" applyAlignment="1">
      <alignment horizontal="center"/>
    </xf>
    <xf numFmtId="0" fontId="0" fillId="0" borderId="64" xfId="0" applyBorder="1" applyAlignment="1">
      <alignment wrapText="1"/>
    </xf>
    <xf numFmtId="14" fontId="5" fillId="0" borderId="4" xfId="0" applyNumberFormat="1" applyFont="1" applyBorder="1" applyAlignment="1">
      <alignment horizontal="center"/>
    </xf>
    <xf numFmtId="0" fontId="0" fillId="0" borderId="7" xfId="0" applyBorder="1" applyAlignment="1">
      <alignment wrapText="1"/>
    </xf>
    <xf numFmtId="14" fontId="0" fillId="0" borderId="4" xfId="0" applyNumberForma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xf numFmtId="0" fontId="0" fillId="0" borderId="8" xfId="0" applyBorder="1" applyAlignment="1">
      <alignment wrapText="1"/>
    </xf>
    <xf numFmtId="0" fontId="11" fillId="0" borderId="60" xfId="0" applyFont="1" applyBorder="1" applyAlignment="1">
      <alignment horizontal="center" vertical="center" wrapText="1"/>
    </xf>
    <xf numFmtId="0" fontId="11" fillId="0" borderId="61" xfId="0" applyFont="1" applyBorder="1" applyAlignment="1">
      <alignment horizontal="center" vertical="center" wrapText="1"/>
    </xf>
    <xf numFmtId="0" fontId="11" fillId="0" borderId="62" xfId="0" applyFont="1" applyBorder="1" applyAlignment="1">
      <alignment horizontal="center" vertical="center" wrapText="1"/>
    </xf>
    <xf numFmtId="0" fontId="12" fillId="0" borderId="1" xfId="0" applyFont="1" applyBorder="1" applyAlignment="1">
      <alignment horizontal="justify" vertical="center"/>
    </xf>
    <xf numFmtId="0" fontId="5" fillId="3" borderId="0" xfId="0" applyFont="1" applyFill="1" applyBorder="1" applyAlignment="1">
      <alignment horizontal="left" vertical="center"/>
    </xf>
    <xf numFmtId="0" fontId="0" fillId="0" borderId="0" xfId="0" applyFill="1" applyBorder="1" applyAlignment="1">
      <alignment horizontal="center" vertical="center"/>
    </xf>
    <xf numFmtId="0" fontId="5" fillId="0" borderId="42" xfId="0" applyFont="1" applyBorder="1" applyAlignment="1">
      <alignment horizontal="left" vertical="center"/>
    </xf>
    <xf numFmtId="0" fontId="0" fillId="0" borderId="46" xfId="0" applyBorder="1" applyAlignment="1">
      <alignment horizontal="center" vertical="center" wrapText="1"/>
    </xf>
    <xf numFmtId="0" fontId="5" fillId="0" borderId="43" xfId="0" applyFont="1" applyBorder="1" applyAlignment="1">
      <alignment horizontal="left" vertical="center"/>
    </xf>
    <xf numFmtId="0" fontId="0" fillId="0" borderId="44" xfId="0" applyBorder="1" applyAlignment="1">
      <alignment horizontal="center" vertical="center" wrapText="1"/>
    </xf>
    <xf numFmtId="0" fontId="0" fillId="0" borderId="47" xfId="0" applyBorder="1" applyAlignment="1">
      <alignment horizontal="center" vertical="center" wrapText="1"/>
    </xf>
    <xf numFmtId="0" fontId="4" fillId="0" borderId="1" xfId="0" applyFont="1" applyBorder="1" applyAlignment="1">
      <alignment horizontal="center" vertical="center" wrapText="1"/>
    </xf>
    <xf numFmtId="0" fontId="0" fillId="8" borderId="1" xfId="0" applyFill="1" applyBorder="1" applyAlignment="1">
      <alignment horizontal="center" vertical="center" wrapText="1"/>
    </xf>
    <xf numFmtId="0" fontId="0" fillId="0" borderId="4" xfId="0" applyBorder="1" applyAlignment="1">
      <alignment horizontal="left" vertical="center" wrapText="1"/>
    </xf>
    <xf numFmtId="0" fontId="0" fillId="8" borderId="43" xfId="0" applyFill="1" applyBorder="1" applyAlignment="1">
      <alignment horizontal="center" vertical="center" wrapText="1"/>
    </xf>
    <xf numFmtId="0" fontId="0" fillId="8" borderId="32" xfId="0" applyFill="1" applyBorder="1" applyAlignment="1">
      <alignment horizontal="center" vertical="center" wrapText="1"/>
    </xf>
    <xf numFmtId="0" fontId="5" fillId="8" borderId="6" xfId="0" applyFont="1" applyFill="1" applyBorder="1" applyAlignment="1">
      <alignment horizontal="center" vertical="center" wrapText="1"/>
    </xf>
    <xf numFmtId="0" fontId="0" fillId="8" borderId="8" xfId="0" applyFill="1" applyBorder="1" applyAlignment="1">
      <alignment horizontal="center" vertical="center" wrapText="1"/>
    </xf>
    <xf numFmtId="0" fontId="0" fillId="8" borderId="26" xfId="0" applyFill="1" applyBorder="1" applyAlignment="1">
      <alignment horizontal="center" vertical="center" wrapText="1"/>
    </xf>
    <xf numFmtId="0" fontId="0" fillId="8" borderId="0" xfId="0" applyFill="1" applyBorder="1" applyAlignment="1">
      <alignment horizontal="center" vertical="center" wrapText="1"/>
    </xf>
    <xf numFmtId="0" fontId="5" fillId="8" borderId="1" xfId="0" applyFont="1" applyFill="1" applyBorder="1" applyAlignment="1">
      <alignment horizontal="center" vertical="center" wrapText="1"/>
    </xf>
    <xf numFmtId="0" fontId="0" fillId="8" borderId="7" xfId="0" applyFill="1" applyBorder="1" applyAlignment="1">
      <alignment horizontal="center" vertical="center" wrapText="1"/>
    </xf>
    <xf numFmtId="0" fontId="0" fillId="9" borderId="0" xfId="0" applyFill="1" applyAlignment="1">
      <alignment horizontal="left" vertical="center" wrapText="1"/>
    </xf>
    <xf numFmtId="0" fontId="12" fillId="0" borderId="60" xfId="0" applyFont="1" applyBorder="1" applyAlignment="1">
      <alignment horizontal="left" vertical="center" wrapText="1"/>
    </xf>
    <xf numFmtId="0" fontId="12" fillId="0" borderId="61" xfId="0" applyFont="1" applyBorder="1" applyAlignment="1">
      <alignment horizontal="left" vertical="center" wrapText="1"/>
    </xf>
    <xf numFmtId="0" fontId="12" fillId="0" borderId="61" xfId="0" applyFont="1" applyBorder="1" applyAlignment="1">
      <alignment horizontal="center" vertical="center" wrapText="1"/>
    </xf>
    <xf numFmtId="0" fontId="12" fillId="0" borderId="62" xfId="0" applyFont="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4" fillId="0" borderId="51" xfId="0" applyFont="1" applyBorder="1" applyAlignment="1">
      <alignment horizontal="center" vertical="center" wrapText="1"/>
    </xf>
    <xf numFmtId="0" fontId="4" fillId="0" borderId="9" xfId="0" applyFont="1" applyBorder="1" applyAlignment="1">
      <alignment horizontal="justify" vertical="center"/>
    </xf>
    <xf numFmtId="0" fontId="4" fillId="0" borderId="6" xfId="0" applyFont="1" applyBorder="1" applyAlignment="1">
      <alignment horizontal="center" vertical="center" wrapText="1"/>
    </xf>
    <xf numFmtId="0" fontId="12" fillId="0" borderId="1" xfId="0" applyFont="1" applyBorder="1" applyAlignment="1">
      <alignment horizontal="left" vertical="center" indent="1"/>
    </xf>
    <xf numFmtId="0" fontId="4" fillId="0" borderId="1" xfId="0" applyFont="1" applyBorder="1" applyAlignment="1">
      <alignment horizontal="left" indent="2"/>
    </xf>
    <xf numFmtId="0" fontId="4" fillId="0" borderId="7" xfId="0" applyFont="1" applyBorder="1" applyAlignment="1">
      <alignment horizontal="center" vertical="center" wrapText="1"/>
    </xf>
    <xf numFmtId="0" fontId="4" fillId="0" borderId="65" xfId="0" applyFont="1" applyBorder="1" applyAlignment="1">
      <alignment horizontal="left" vertical="center" wrapText="1"/>
    </xf>
    <xf numFmtId="0" fontId="0" fillId="0" borderId="70" xfId="0" applyBorder="1" applyAlignment="1">
      <alignment horizontal="center" vertical="center" wrapText="1"/>
    </xf>
    <xf numFmtId="0" fontId="0" fillId="0" borderId="72" xfId="0"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0" xfId="0" applyFont="1" applyAlignment="1">
      <alignment vertical="center" wrapText="1"/>
    </xf>
    <xf numFmtId="0" fontId="0" fillId="0" borderId="0" xfId="0" applyAlignment="1">
      <alignment vertical="center"/>
    </xf>
    <xf numFmtId="0" fontId="8" fillId="0" borderId="0" xfId="0" applyFont="1" applyAlignment="1">
      <alignment vertical="center"/>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0" fontId="4" fillId="2" borderId="29" xfId="0" applyFont="1" applyFill="1" applyBorder="1" applyAlignment="1">
      <alignment horizontal="left" vertical="center" wrapText="1"/>
    </xf>
    <xf numFmtId="0" fontId="4" fillId="2" borderId="56" xfId="0" applyFont="1" applyFill="1" applyBorder="1" applyAlignment="1">
      <alignment horizontal="left" vertical="center" wrapText="1"/>
    </xf>
    <xf numFmtId="0" fontId="4" fillId="4" borderId="51" xfId="0" applyFont="1" applyFill="1" applyBorder="1" applyAlignment="1">
      <alignment horizontal="center" vertical="center" wrapText="1"/>
    </xf>
    <xf numFmtId="0" fontId="4" fillId="4" borderId="36" xfId="0" applyFont="1" applyFill="1" applyBorder="1" applyAlignment="1">
      <alignment horizontal="center" vertical="center" wrapText="1"/>
    </xf>
    <xf numFmtId="0" fontId="4" fillId="4" borderId="59" xfId="0" applyFont="1" applyFill="1" applyBorder="1" applyAlignment="1">
      <alignment horizontal="center" vertical="center" wrapText="1"/>
    </xf>
    <xf numFmtId="0" fontId="5" fillId="4" borderId="51" xfId="0" applyFont="1" applyFill="1" applyBorder="1" applyAlignment="1">
      <alignment horizontal="center" vertical="center" wrapText="1"/>
    </xf>
    <xf numFmtId="0" fontId="4" fillId="4" borderId="55" xfId="0" applyFont="1" applyFill="1" applyBorder="1" applyAlignment="1">
      <alignment horizontal="center" vertical="center" wrapText="1"/>
    </xf>
    <xf numFmtId="0" fontId="5" fillId="4" borderId="59" xfId="0" applyFont="1" applyFill="1" applyBorder="1" applyAlignment="1">
      <alignment horizontal="center" vertical="center" wrapText="1"/>
    </xf>
    <xf numFmtId="0" fontId="5" fillId="2" borderId="48" xfId="0" applyFont="1" applyFill="1" applyBorder="1" applyAlignment="1">
      <alignment horizontal="left" vertical="center" wrapText="1"/>
    </xf>
    <xf numFmtId="0" fontId="5" fillId="2" borderId="52" xfId="0" applyFont="1" applyFill="1" applyBorder="1" applyAlignment="1">
      <alignment horizontal="left" vertical="center" wrapText="1"/>
    </xf>
    <xf numFmtId="0" fontId="5" fillId="2" borderId="56" xfId="0" applyFont="1" applyFill="1" applyBorder="1" applyAlignment="1">
      <alignment horizontal="left" vertical="center" wrapText="1"/>
    </xf>
    <xf numFmtId="0" fontId="4" fillId="2" borderId="71" xfId="0" applyFont="1" applyFill="1" applyBorder="1" applyAlignment="1">
      <alignment horizontal="left" vertical="center" wrapText="1"/>
    </xf>
    <xf numFmtId="0" fontId="5" fillId="4" borderId="55" xfId="0" applyFont="1" applyFill="1" applyBorder="1" applyAlignment="1">
      <alignment horizontal="center" vertical="center" wrapText="1"/>
    </xf>
    <xf numFmtId="0" fontId="4" fillId="0" borderId="1" xfId="0" applyFont="1" applyBorder="1" applyAlignment="1">
      <alignment horizontal="justify" vertical="center"/>
    </xf>
    <xf numFmtId="0" fontId="0" fillId="0" borderId="0" xfId="0" applyAlignment="1">
      <alignment horizontal="center" vertical="center" wrapText="1"/>
    </xf>
    <xf numFmtId="0" fontId="4" fillId="5" borderId="0" xfId="0" applyFont="1" applyFill="1" applyAlignment="1">
      <alignment vertical="center" wrapText="1"/>
    </xf>
    <xf numFmtId="0" fontId="4" fillId="0" borderId="1" xfId="0" applyFont="1" applyBorder="1" applyAlignment="1">
      <alignment horizontal="center" vertical="center"/>
    </xf>
    <xf numFmtId="0" fontId="4" fillId="0" borderId="4" xfId="0" applyFont="1" applyBorder="1" applyAlignment="1">
      <alignment horizontal="left"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17" fillId="0" borderId="1" xfId="0" applyFont="1" applyBorder="1" applyAlignment="1">
      <alignment horizontal="center" vertical="center" wrapText="1"/>
    </xf>
    <xf numFmtId="0" fontId="16" fillId="0" borderId="1" xfId="0" applyFont="1" applyBorder="1" applyAlignment="1">
      <alignment horizontal="center" vertical="center" wrapText="1"/>
    </xf>
    <xf numFmtId="0" fontId="11" fillId="0" borderId="2" xfId="0" applyFont="1" applyBorder="1" applyAlignment="1">
      <alignment horizontal="left" vertical="center" wrapText="1"/>
    </xf>
    <xf numFmtId="0" fontId="0" fillId="0" borderId="73" xfId="0" applyBorder="1" applyAlignment="1">
      <alignment horizontal="center" vertical="center" wrapText="1"/>
    </xf>
    <xf numFmtId="0" fontId="4" fillId="0" borderId="4" xfId="0" applyFont="1" applyBorder="1" applyAlignment="1">
      <alignment horizontal="justify" vertical="center" wrapText="1"/>
    </xf>
    <xf numFmtId="0" fontId="25" fillId="0" borderId="1" xfId="0" applyFont="1" applyBorder="1" applyAlignment="1">
      <alignment horizontal="center" vertical="center" wrapText="1"/>
    </xf>
    <xf numFmtId="0" fontId="25" fillId="0" borderId="1" xfId="0" applyFont="1" applyBorder="1" applyAlignment="1">
      <alignment horizontal="center" vertical="center"/>
    </xf>
    <xf numFmtId="0" fontId="4" fillId="0" borderId="4" xfId="0" applyFont="1" applyBorder="1" applyAlignment="1">
      <alignment horizontal="left" vertical="center" wrapText="1" indent="2"/>
    </xf>
    <xf numFmtId="0" fontId="11" fillId="0" borderId="4" xfId="0" applyFont="1" applyBorder="1" applyAlignment="1">
      <alignment horizontal="left" vertical="center" wrapText="1"/>
    </xf>
    <xf numFmtId="0" fontId="22" fillId="0" borderId="4" xfId="0" applyFont="1" applyBorder="1" applyAlignment="1">
      <alignment horizontal="left" vertical="center" wrapText="1"/>
    </xf>
    <xf numFmtId="0" fontId="26" fillId="0" borderId="1" xfId="0" applyFont="1" applyBorder="1" applyAlignment="1">
      <alignment horizontal="center" vertical="center"/>
    </xf>
    <xf numFmtId="0" fontId="22" fillId="0" borderId="1" xfId="0" applyFont="1" applyBorder="1" applyAlignment="1">
      <alignment horizontal="center" vertical="center"/>
    </xf>
    <xf numFmtId="0" fontId="0" fillId="6" borderId="1" xfId="0" applyFill="1" applyBorder="1" applyAlignment="1">
      <alignment horizontal="center" vertical="center" wrapText="1"/>
    </xf>
    <xf numFmtId="164" fontId="0" fillId="6" borderId="1" xfId="0" applyNumberFormat="1" applyFill="1" applyBorder="1" applyAlignment="1">
      <alignment horizontal="center" vertical="center" wrapText="1"/>
    </xf>
    <xf numFmtId="0" fontId="11" fillId="0" borderId="39" xfId="0" applyFont="1" applyBorder="1" applyAlignment="1">
      <alignment horizontal="left" vertical="center" wrapText="1"/>
    </xf>
    <xf numFmtId="0" fontId="6" fillId="0" borderId="39" xfId="0" applyFont="1" applyBorder="1" applyAlignment="1">
      <alignment horizontal="center" vertical="center"/>
    </xf>
    <xf numFmtId="0" fontId="4" fillId="0" borderId="4" xfId="0" applyFont="1" applyBorder="1" applyAlignment="1">
      <alignment horizontal="justify" vertical="center"/>
    </xf>
    <xf numFmtId="0" fontId="4" fillId="0" borderId="1" xfId="0" quotePrefix="1" applyFont="1" applyBorder="1" applyAlignment="1">
      <alignment horizontal="center" vertical="center" wrapText="1"/>
    </xf>
    <xf numFmtId="0" fontId="4" fillId="0" borderId="1" xfId="0" applyFont="1" applyBorder="1" applyAlignment="1">
      <alignment horizontal="left" vertical="center" wrapText="1"/>
    </xf>
    <xf numFmtId="0" fontId="7" fillId="0" borderId="1" xfId="0" applyFont="1" applyBorder="1" applyAlignment="1">
      <alignment vertical="center"/>
    </xf>
    <xf numFmtId="0" fontId="6" fillId="0" borderId="1" xfId="0" applyFont="1" applyBorder="1" applyAlignment="1">
      <alignment vertical="center"/>
    </xf>
    <xf numFmtId="0" fontId="9" fillId="0" borderId="1" xfId="0" applyFont="1" applyBorder="1" applyAlignment="1">
      <alignment horizontal="justify" vertical="center" wrapText="1"/>
    </xf>
    <xf numFmtId="0" fontId="4" fillId="0" borderId="0" xfId="0" applyFont="1" applyAlignment="1">
      <alignment vertical="center"/>
    </xf>
    <xf numFmtId="0" fontId="4" fillId="0" borderId="4" xfId="0" applyFont="1" applyBorder="1" applyAlignment="1">
      <alignment vertical="center"/>
    </xf>
    <xf numFmtId="0" fontId="12" fillId="0" borderId="1" xfId="0" applyFont="1" applyBorder="1" applyAlignment="1">
      <alignment horizontal="left" vertical="center" wrapText="1"/>
    </xf>
    <xf numFmtId="0" fontId="6" fillId="0" borderId="1" xfId="0" applyFont="1" applyBorder="1" applyAlignment="1">
      <alignment horizontal="left" vertical="center"/>
    </xf>
    <xf numFmtId="0" fontId="4" fillId="0" borderId="4" xfId="0" applyFont="1" applyBorder="1" applyAlignment="1">
      <alignment horizontal="justify" vertical="top"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18" fillId="0" borderId="1" xfId="0" applyFont="1"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4" fillId="0" borderId="0" xfId="0" applyFont="1"/>
    <xf numFmtId="0" fontId="4" fillId="2" borderId="65" xfId="0" applyFont="1" applyFill="1" applyBorder="1" applyAlignment="1">
      <alignment horizontal="left" vertical="center" wrapText="1"/>
    </xf>
    <xf numFmtId="0" fontId="5" fillId="2" borderId="69" xfId="0" applyFont="1" applyFill="1" applyBorder="1" applyAlignment="1">
      <alignment horizontal="left" vertical="center" wrapText="1"/>
    </xf>
    <xf numFmtId="0" fontId="5" fillId="4" borderId="74" xfId="0" applyFont="1" applyFill="1" applyBorder="1" applyAlignment="1">
      <alignment horizontal="center" vertical="center" wrapText="1"/>
    </xf>
    <xf numFmtId="0" fontId="0" fillId="0" borderId="1" xfId="0" applyFill="1" applyBorder="1" applyAlignment="1">
      <alignment horizontal="center" vertical="center" wrapText="1"/>
    </xf>
    <xf numFmtId="0" fontId="4" fillId="0" borderId="31" xfId="0" applyFont="1" applyBorder="1" applyAlignment="1">
      <alignment horizontal="left" vertical="center" wrapText="1"/>
    </xf>
    <xf numFmtId="0" fontId="4" fillId="0" borderId="34" xfId="0" applyFont="1" applyBorder="1" applyAlignment="1">
      <alignment horizontal="center" vertical="center" wrapText="1"/>
    </xf>
    <xf numFmtId="0" fontId="16" fillId="0" borderId="75" xfId="0" applyFont="1" applyBorder="1" applyAlignment="1">
      <alignment horizontal="justify" vertical="center" wrapText="1"/>
    </xf>
    <xf numFmtId="0" fontId="0" fillId="0" borderId="76" xfId="0" applyBorder="1" applyAlignment="1">
      <alignment horizontal="center" vertical="center" wrapText="1"/>
    </xf>
    <xf numFmtId="0" fontId="4" fillId="0" borderId="77" xfId="0" applyFont="1" applyBorder="1" applyAlignment="1">
      <alignment horizontal="center" vertical="center" wrapText="1"/>
    </xf>
    <xf numFmtId="0" fontId="16" fillId="0" borderId="78" xfId="0" applyFont="1" applyBorder="1" applyAlignment="1">
      <alignment horizontal="justify" vertical="center" wrapText="1"/>
    </xf>
    <xf numFmtId="0" fontId="0" fillId="0" borderId="79" xfId="0" applyBorder="1" applyAlignment="1">
      <alignment horizontal="center" vertical="center" wrapText="1"/>
    </xf>
    <xf numFmtId="0" fontId="4" fillId="0" borderId="80" xfId="0" applyFont="1" applyBorder="1" applyAlignment="1">
      <alignment horizontal="center" vertical="center" wrapText="1"/>
    </xf>
    <xf numFmtId="0" fontId="8" fillId="0" borderId="0" xfId="0" applyFont="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4" fillId="0" borderId="63" xfId="0" applyFont="1" applyBorder="1" applyAlignment="1">
      <alignment horizontal="justify" vertical="center" wrapText="1"/>
    </xf>
    <xf numFmtId="0" fontId="4" fillId="0" borderId="9" xfId="0" applyFont="1" applyBorder="1" applyAlignment="1">
      <alignment horizontal="center" vertical="center"/>
    </xf>
    <xf numFmtId="0" fontId="0" fillId="6" borderId="9" xfId="0" applyFill="1" applyBorder="1" applyAlignment="1">
      <alignment horizontal="center" vertical="center" wrapText="1"/>
    </xf>
    <xf numFmtId="0" fontId="4" fillId="0" borderId="9" xfId="0" applyFont="1" applyBorder="1" applyAlignment="1">
      <alignment horizontal="center" vertical="center" wrapText="1"/>
    </xf>
    <xf numFmtId="0" fontId="0" fillId="8" borderId="9" xfId="0" applyFill="1" applyBorder="1" applyAlignment="1">
      <alignment horizontal="center" vertical="center" wrapText="1"/>
    </xf>
    <xf numFmtId="0" fontId="25" fillId="0" borderId="9" xfId="0" applyFont="1" applyBorder="1" applyAlignment="1">
      <alignment horizontal="center" vertical="center"/>
    </xf>
    <xf numFmtId="0" fontId="0" fillId="0" borderId="64" xfId="0" applyBorder="1" applyAlignment="1">
      <alignment horizontal="center" vertical="center" wrapText="1"/>
    </xf>
    <xf numFmtId="0" fontId="4" fillId="0" borderId="1" xfId="0" applyFont="1" applyBorder="1" applyAlignment="1">
      <alignment horizontal="justify" vertical="center" wrapText="1"/>
    </xf>
    <xf numFmtId="3" fontId="4" fillId="0" borderId="1" xfId="0" applyNumberFormat="1" applyFont="1" applyBorder="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horizontal="left" vertical="center"/>
    </xf>
    <xf numFmtId="0" fontId="4" fillId="0" borderId="0" xfId="0" applyFont="1" applyAlignment="1">
      <alignment horizontal="left" vertical="center"/>
    </xf>
    <xf numFmtId="0" fontId="4" fillId="0" borderId="0" xfId="0" applyFont="1" applyAlignment="1">
      <alignment horizontal="left" vertical="center" wrapText="1"/>
    </xf>
    <xf numFmtId="0" fontId="0" fillId="10" borderId="1" xfId="0" applyFill="1" applyBorder="1" applyAlignment="1">
      <alignment vertical="center"/>
    </xf>
    <xf numFmtId="0" fontId="0" fillId="10" borderId="1" xfId="0" applyFill="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81" xfId="0" applyBorder="1" applyAlignment="1">
      <alignment horizontal="center" vertical="center" wrapText="1"/>
    </xf>
    <xf numFmtId="0" fontId="16" fillId="0" borderId="1" xfId="0" applyFont="1" applyBorder="1" applyAlignment="1">
      <alignment horizontal="left"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4" fillId="0" borderId="1" xfId="0" applyFont="1" applyBorder="1" applyAlignment="1">
      <alignment horizontal="center" vertical="center"/>
    </xf>
    <xf numFmtId="0" fontId="0" fillId="0" borderId="0" xfId="0" applyAlignment="1">
      <alignment horizontal="center" vertical="center" wrapText="1"/>
    </xf>
    <xf numFmtId="0" fontId="4" fillId="0" borderId="1" xfId="0" applyFont="1" applyBorder="1" applyAlignment="1">
      <alignment horizontal="center" vertical="center" textRotation="90" wrapText="1"/>
    </xf>
    <xf numFmtId="0" fontId="0" fillId="0" borderId="38" xfId="0" applyBorder="1" applyAlignment="1">
      <alignment horizontal="center" vertical="center"/>
    </xf>
    <xf numFmtId="0" fontId="0" fillId="0" borderId="1" xfId="0" applyFill="1" applyBorder="1" applyAlignment="1">
      <alignment horizontal="center" vertical="center"/>
    </xf>
    <xf numFmtId="0" fontId="0" fillId="0" borderId="1" xfId="0" applyFill="1" applyBorder="1"/>
    <xf numFmtId="0" fontId="0" fillId="0" borderId="9" xfId="0" applyFill="1" applyBorder="1" applyAlignment="1">
      <alignment horizontal="center" vertical="center"/>
    </xf>
    <xf numFmtId="0" fontId="0" fillId="0" borderId="9" xfId="0" applyFill="1" applyBorder="1"/>
    <xf numFmtId="0" fontId="0" fillId="0" borderId="9" xfId="0" applyFill="1" applyBorder="1" applyAlignment="1">
      <alignment horizontal="center" vertical="center" wrapText="1"/>
    </xf>
    <xf numFmtId="0" fontId="0" fillId="0" borderId="9" xfId="0" applyFill="1" applyBorder="1" applyAlignment="1">
      <alignment horizontal="center"/>
    </xf>
    <xf numFmtId="0" fontId="0" fillId="0" borderId="1" xfId="0" applyFill="1" applyBorder="1" applyAlignment="1">
      <alignment horizontal="center"/>
    </xf>
    <xf numFmtId="0" fontId="16" fillId="0" borderId="1" xfId="0" applyFont="1" applyBorder="1" applyAlignment="1">
      <alignment horizontal="center" vertical="center" textRotation="90" wrapText="1"/>
    </xf>
    <xf numFmtId="0" fontId="0" fillId="0" borderId="10" xfId="0" applyBorder="1" applyAlignment="1">
      <alignment horizontal="centerContinuous" vertical="center" wrapText="1"/>
    </xf>
    <xf numFmtId="0" fontId="0" fillId="0" borderId="37" xfId="0" applyBorder="1" applyAlignment="1">
      <alignment horizontal="centerContinuous" vertical="center" wrapText="1"/>
    </xf>
    <xf numFmtId="0" fontId="0" fillId="0" borderId="82" xfId="0" applyBorder="1" applyAlignment="1">
      <alignment horizontal="center" vertical="center" wrapText="1"/>
    </xf>
    <xf numFmtId="0" fontId="0" fillId="0" borderId="42" xfId="0" applyBorder="1" applyAlignment="1">
      <alignment horizontal="center" vertical="center" wrapText="1"/>
    </xf>
    <xf numFmtId="165" fontId="0" fillId="0" borderId="1" xfId="0" applyNumberFormat="1" applyBorder="1" applyAlignment="1">
      <alignment horizontal="center" vertical="center" wrapText="1"/>
    </xf>
    <xf numFmtId="165" fontId="0" fillId="0" borderId="9" xfId="0" applyNumberFormat="1" applyBorder="1" applyAlignment="1">
      <alignment horizontal="center" vertical="center" wrapText="1"/>
    </xf>
    <xf numFmtId="165" fontId="0" fillId="0" borderId="61" xfId="0" applyNumberFormat="1" applyBorder="1" applyAlignment="1">
      <alignment horizontal="centerContinuous" vertical="center" wrapText="1"/>
    </xf>
    <xf numFmtId="165" fontId="0" fillId="0" borderId="62" xfId="0" applyNumberFormat="1" applyBorder="1" applyAlignment="1">
      <alignment horizontal="centerContinuous" vertical="center" wrapText="1"/>
    </xf>
    <xf numFmtId="0" fontId="4" fillId="0" borderId="1" xfId="0" applyFont="1" applyBorder="1"/>
    <xf numFmtId="0" fontId="4" fillId="0" borderId="39" xfId="0" applyFont="1" applyBorder="1" applyAlignment="1">
      <alignment horizontal="left" vertical="center" wrapText="1"/>
    </xf>
    <xf numFmtId="0" fontId="4" fillId="0" borderId="39" xfId="0" applyFont="1" applyBorder="1" applyAlignment="1">
      <alignment horizontal="center" vertical="center"/>
    </xf>
    <xf numFmtId="0" fontId="0" fillId="6" borderId="39" xfId="0" applyFill="1" applyBorder="1" applyAlignment="1">
      <alignment horizontal="center" vertical="center" wrapText="1"/>
    </xf>
    <xf numFmtId="0" fontId="0" fillId="0" borderId="83" xfId="0" applyBorder="1" applyAlignment="1">
      <alignment horizontal="center" vertical="center" wrapText="1"/>
    </xf>
    <xf numFmtId="165" fontId="0" fillId="0" borderId="0" xfId="0" applyNumberForma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29" fillId="0" borderId="0" xfId="1" applyFont="1"/>
    <xf numFmtId="0" fontId="4" fillId="0" borderId="0" xfId="1"/>
    <xf numFmtId="0" fontId="4" fillId="0" borderId="7" xfId="0" applyFont="1" applyBorder="1" applyAlignment="1">
      <alignment wrapText="1"/>
    </xf>
    <xf numFmtId="3" fontId="0" fillId="0" borderId="0" xfId="0" applyNumberFormat="1" applyAlignment="1">
      <alignment horizontal="center" vertical="center" wrapText="1"/>
    </xf>
    <xf numFmtId="0" fontId="28" fillId="0" borderId="9" xfId="0" applyFont="1" applyFill="1" applyBorder="1" applyAlignment="1">
      <alignment horizontal="center" vertical="center" wrapText="1"/>
    </xf>
    <xf numFmtId="0" fontId="0" fillId="0" borderId="0" xfId="0" applyAlignment="1">
      <alignment horizontal="center" vertical="center" wrapText="1"/>
    </xf>
    <xf numFmtId="0" fontId="4" fillId="5" borderId="4" xfId="0" applyFont="1" applyFill="1" applyBorder="1" applyAlignment="1">
      <alignment horizontal="left" vertical="center" wrapText="1"/>
    </xf>
    <xf numFmtId="0" fontId="6" fillId="5" borderId="1" xfId="0" applyFont="1" applyFill="1" applyBorder="1" applyAlignment="1">
      <alignment horizontal="center" vertical="center"/>
    </xf>
    <xf numFmtId="0" fontId="4" fillId="5" borderId="1" xfId="0" applyFont="1" applyFill="1" applyBorder="1" applyAlignment="1">
      <alignment horizontal="center" vertical="center" wrapText="1"/>
    </xf>
    <xf numFmtId="2" fontId="0" fillId="5" borderId="1" xfId="0" applyNumberFormat="1" applyFill="1" applyBorder="1" applyAlignment="1">
      <alignment horizontal="center" vertical="center" wrapText="1"/>
    </xf>
    <xf numFmtId="0" fontId="0" fillId="5" borderId="1" xfId="0" applyFill="1" applyBorder="1"/>
    <xf numFmtId="0" fontId="4" fillId="5" borderId="1" xfId="0" applyFont="1" applyFill="1" applyBorder="1" applyAlignment="1">
      <alignment horizontal="left" vertical="center" wrapText="1"/>
    </xf>
    <xf numFmtId="0" fontId="4" fillId="5" borderId="4" xfId="0" applyFont="1" applyFill="1" applyBorder="1" applyAlignment="1">
      <alignment horizontal="justify" vertical="center" wrapText="1"/>
    </xf>
    <xf numFmtId="0" fontId="5" fillId="5" borderId="1" xfId="0" applyFont="1" applyFill="1" applyBorder="1" applyAlignment="1">
      <alignment horizontal="center" vertical="center" wrapText="1"/>
    </xf>
    <xf numFmtId="0" fontId="25" fillId="5" borderId="1" xfId="0" applyFont="1" applyFill="1" applyBorder="1" applyAlignment="1">
      <alignment horizontal="center" vertical="center" wrapText="1"/>
    </xf>
    <xf numFmtId="0" fontId="4" fillId="5" borderId="7" xfId="0" applyFont="1" applyFill="1" applyBorder="1" applyAlignment="1">
      <alignment horizontal="center" vertical="center" wrapText="1"/>
    </xf>
    <xf numFmtId="0" fontId="6" fillId="5" borderId="1" xfId="0" applyFont="1" applyFill="1" applyBorder="1" applyAlignment="1">
      <alignment vertical="center"/>
    </xf>
    <xf numFmtId="0" fontId="7" fillId="5" borderId="1" xfId="0" applyFont="1" applyFill="1" applyBorder="1" applyAlignment="1">
      <alignment horizontal="center" vertical="center"/>
    </xf>
    <xf numFmtId="0" fontId="4" fillId="5" borderId="1" xfId="0" quotePrefix="1" applyFont="1" applyFill="1" applyBorder="1" applyAlignment="1">
      <alignment horizontal="center" vertical="center" wrapText="1"/>
    </xf>
    <xf numFmtId="0" fontId="7" fillId="5" borderId="1" xfId="0" applyFont="1" applyFill="1" applyBorder="1" applyAlignment="1">
      <alignment vertical="center"/>
    </xf>
    <xf numFmtId="164" fontId="0" fillId="5" borderId="1" xfId="0" applyNumberFormat="1" applyFill="1" applyBorder="1" applyAlignment="1">
      <alignment horizontal="center" vertical="center" wrapText="1"/>
    </xf>
    <xf numFmtId="0" fontId="4" fillId="5" borderId="4" xfId="0" applyFont="1" applyFill="1" applyBorder="1" applyAlignment="1">
      <alignment horizontal="justify" vertical="center"/>
    </xf>
    <xf numFmtId="0" fontId="5" fillId="5" borderId="1" xfId="0" quotePrefix="1" applyFont="1" applyFill="1" applyBorder="1" applyAlignment="1">
      <alignment horizontal="center" vertical="center" wrapText="1"/>
    </xf>
    <xf numFmtId="0" fontId="4" fillId="5" borderId="1" xfId="0" applyFont="1" applyFill="1" applyBorder="1" applyAlignment="1">
      <alignment wrapText="1"/>
    </xf>
    <xf numFmtId="0" fontId="16" fillId="5" borderId="1" xfId="0" applyFont="1" applyFill="1" applyBorder="1" applyAlignment="1">
      <alignment horizontal="left" vertical="center" wrapText="1"/>
    </xf>
    <xf numFmtId="0" fontId="17" fillId="5" borderId="1" xfId="0" applyFont="1" applyFill="1" applyBorder="1" applyAlignment="1">
      <alignment horizontal="center" vertical="center" wrapText="1"/>
    </xf>
    <xf numFmtId="0" fontId="16" fillId="5" borderId="1" xfId="0" applyFont="1" applyFill="1" applyBorder="1" applyAlignment="1">
      <alignment horizontal="center" vertical="center" wrapText="1"/>
    </xf>
    <xf numFmtId="2" fontId="0" fillId="6" borderId="1" xfId="0" applyNumberFormat="1" applyFill="1" applyBorder="1" applyAlignment="1">
      <alignment horizontal="center" vertical="center" wrapText="1"/>
    </xf>
    <xf numFmtId="0" fontId="4" fillId="0" borderId="1" xfId="0" applyFont="1"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11" xfId="0" applyBorder="1" applyAlignment="1">
      <alignment horizontal="center" vertical="center" wrapText="1"/>
    </xf>
    <xf numFmtId="0" fontId="0" fillId="0" borderId="0" xfId="0" applyAlignment="1">
      <alignment horizontal="center" vertical="center" wrapText="1"/>
    </xf>
    <xf numFmtId="2" fontId="0" fillId="2" borderId="11" xfId="0" applyNumberFormat="1" applyFill="1" applyBorder="1" applyAlignment="1">
      <alignment horizontal="center" vertical="center" wrapText="1"/>
    </xf>
    <xf numFmtId="2" fontId="0" fillId="10" borderId="11" xfId="0" applyNumberFormat="1" applyFill="1" applyBorder="1" applyAlignment="1">
      <alignment horizontal="center" vertical="center" wrapText="1"/>
    </xf>
    <xf numFmtId="0" fontId="8" fillId="0" borderId="0" xfId="0" applyFont="1" applyBorder="1" applyAlignment="1">
      <alignment horizontal="center" vertical="center"/>
    </xf>
    <xf numFmtId="0" fontId="0" fillId="0" borderId="0" xfId="0" applyBorder="1" applyAlignment="1">
      <alignment horizontal="center" vertical="center"/>
    </xf>
    <xf numFmtId="0" fontId="8" fillId="0" borderId="19" xfId="0" applyFont="1" applyBorder="1" applyAlignment="1">
      <alignment horizontal="center" vertical="center"/>
    </xf>
    <xf numFmtId="0" fontId="8" fillId="0" borderId="14" xfId="0" applyFont="1" applyBorder="1" applyAlignment="1">
      <alignment horizontal="center" vertical="center"/>
    </xf>
    <xf numFmtId="0" fontId="4" fillId="0" borderId="14" xfId="0" applyFont="1" applyBorder="1" applyAlignment="1">
      <alignment horizontal="center" vertical="center"/>
    </xf>
    <xf numFmtId="0" fontId="0" fillId="0" borderId="14" xfId="0" applyBorder="1" applyAlignment="1">
      <alignment horizontal="center" vertical="center"/>
    </xf>
    <xf numFmtId="0" fontId="0" fillId="0" borderId="11" xfId="0" applyBorder="1" applyAlignment="1">
      <alignment horizontal="center" vertical="center"/>
    </xf>
    <xf numFmtId="0" fontId="0" fillId="0" borderId="11" xfId="0" applyBorder="1"/>
    <xf numFmtId="0" fontId="0" fillId="0" borderId="14" xfId="0" applyBorder="1"/>
    <xf numFmtId="0" fontId="5" fillId="0" borderId="39" xfId="0" applyFont="1" applyBorder="1" applyAlignment="1">
      <alignment horizontal="center" vertical="center" wrapText="1"/>
    </xf>
    <xf numFmtId="0" fontId="17" fillId="0" borderId="11" xfId="0" applyFont="1" applyBorder="1" applyAlignment="1">
      <alignment horizontal="center" vertical="center" wrapText="1"/>
    </xf>
    <xf numFmtId="0" fontId="32" fillId="0" borderId="1" xfId="0" applyFont="1" applyBorder="1" applyAlignment="1">
      <alignment horizontal="left" vertical="center" wrapText="1"/>
    </xf>
    <xf numFmtId="0" fontId="28" fillId="0" borderId="1" xfId="0" applyFont="1" applyBorder="1" applyAlignment="1">
      <alignment horizontal="justify" vertical="center" wrapText="1"/>
    </xf>
    <xf numFmtId="0" fontId="35" fillId="0" borderId="1" xfId="0" applyFont="1" applyBorder="1" applyAlignment="1">
      <alignment horizontal="center" vertical="center"/>
    </xf>
    <xf numFmtId="0" fontId="28" fillId="0" borderId="1" xfId="0" applyFont="1" applyBorder="1" applyAlignment="1">
      <alignment horizontal="left" vertical="center" wrapText="1"/>
    </xf>
    <xf numFmtId="0" fontId="28" fillId="3" borderId="1" xfId="0" applyFont="1" applyFill="1" applyBorder="1" applyAlignment="1">
      <alignment horizontal="center" vertical="center" wrapText="1"/>
    </xf>
    <xf numFmtId="0" fontId="4" fillId="0" borderId="0" xfId="0" applyFont="1" applyAlignment="1">
      <alignment horizontal="center" vertical="center" wrapText="1"/>
    </xf>
    <xf numFmtId="0" fontId="4" fillId="0" borderId="9" xfId="0" applyFont="1" applyBorder="1" applyAlignment="1">
      <alignment horizontal="left" vertical="center" wrapText="1"/>
    </xf>
    <xf numFmtId="0" fontId="33" fillId="0" borderId="1" xfId="0" applyFont="1" applyBorder="1" applyAlignment="1">
      <alignment horizontal="center" vertical="center"/>
    </xf>
    <xf numFmtId="0" fontId="28" fillId="0" borderId="1" xfId="0" applyFont="1" applyBorder="1" applyAlignment="1">
      <alignment horizontal="center" vertical="center"/>
    </xf>
    <xf numFmtId="0" fontId="28" fillId="6" borderId="11" xfId="0" applyFont="1" applyFill="1" applyBorder="1" applyAlignment="1">
      <alignment horizontal="center" vertical="center" wrapText="1"/>
    </xf>
    <xf numFmtId="0" fontId="28" fillId="6" borderId="1" xfId="0" applyFont="1" applyFill="1" applyBorder="1" applyAlignment="1">
      <alignment horizontal="center" vertical="center" wrapText="1"/>
    </xf>
    <xf numFmtId="0" fontId="28" fillId="0" borderId="46" xfId="0" applyFont="1" applyBorder="1" applyAlignment="1">
      <alignment horizontal="center" vertical="center" wrapText="1"/>
    </xf>
    <xf numFmtId="0" fontId="28" fillId="0" borderId="1" xfId="0" applyFont="1" applyBorder="1" applyAlignment="1">
      <alignment horizontal="left" indent="2"/>
    </xf>
    <xf numFmtId="0" fontId="39" fillId="0" borderId="1" xfId="0" applyFont="1" applyBorder="1" applyAlignment="1">
      <alignment horizontal="center" vertical="center" wrapText="1"/>
    </xf>
    <xf numFmtId="0" fontId="31" fillId="0" borderId="1" xfId="0" applyFont="1" applyBorder="1" applyAlignment="1">
      <alignment horizontal="center" vertical="center" wrapText="1"/>
    </xf>
    <xf numFmtId="0" fontId="13" fillId="0" borderId="0" xfId="0" applyFont="1" applyAlignment="1">
      <alignment horizontal="center"/>
    </xf>
    <xf numFmtId="0" fontId="13" fillId="0" borderId="1" xfId="0" applyFont="1" applyBorder="1" applyAlignment="1">
      <alignment horizontal="center" vertical="center"/>
    </xf>
    <xf numFmtId="0" fontId="4" fillId="0" borderId="11" xfId="0" applyFont="1" applyBorder="1" applyAlignment="1">
      <alignment horizontal="center" vertical="center"/>
    </xf>
    <xf numFmtId="0" fontId="4" fillId="0" borderId="27" xfId="0" applyFont="1" applyBorder="1" applyAlignment="1">
      <alignment horizontal="justify" vertical="center" wrapText="1"/>
    </xf>
    <xf numFmtId="0" fontId="22" fillId="0" borderId="1" xfId="0" applyFont="1" applyBorder="1" applyAlignment="1">
      <alignment horizontal="justify" vertical="center" wrapText="1"/>
    </xf>
    <xf numFmtId="0" fontId="41" fillId="0" borderId="0" xfId="0" applyFont="1" applyAlignment="1">
      <alignment vertical="center"/>
    </xf>
    <xf numFmtId="0" fontId="41" fillId="0" borderId="0" xfId="0" applyFont="1" applyAlignment="1">
      <alignment horizontal="left" vertical="center"/>
    </xf>
    <xf numFmtId="0" fontId="0" fillId="5" borderId="0" xfId="0" applyFill="1"/>
    <xf numFmtId="0" fontId="28" fillId="0" borderId="4" xfId="0" applyFont="1" applyBorder="1" applyAlignment="1">
      <alignment horizontal="left" vertical="center" wrapText="1"/>
    </xf>
    <xf numFmtId="0" fontId="28" fillId="0" borderId="1" xfId="0" applyFont="1" applyBorder="1" applyAlignment="1">
      <alignment horizontal="center" vertical="center" wrapText="1"/>
    </xf>
    <xf numFmtId="2" fontId="28" fillId="0" borderId="1" xfId="0" applyNumberFormat="1" applyFont="1" applyBorder="1" applyAlignment="1">
      <alignment horizontal="center" vertical="center" wrapText="1"/>
    </xf>
    <xf numFmtId="0" fontId="35" fillId="0" borderId="1" xfId="0" applyFont="1" applyBorder="1" applyAlignment="1">
      <alignment vertical="center"/>
    </xf>
    <xf numFmtId="0" fontId="28" fillId="0" borderId="1" xfId="0" applyFont="1" applyBorder="1"/>
    <xf numFmtId="164" fontId="28" fillId="0" borderId="1" xfId="0" applyNumberFormat="1" applyFont="1" applyBorder="1" applyAlignment="1">
      <alignment horizontal="center" vertical="center" wrapText="1"/>
    </xf>
    <xf numFmtId="0" fontId="28" fillId="0" borderId="0" xfId="0" applyFont="1"/>
    <xf numFmtId="0" fontId="28" fillId="0" borderId="0" xfId="0" applyFont="1" applyAlignment="1">
      <alignment vertical="center"/>
    </xf>
    <xf numFmtId="0" fontId="4" fillId="2" borderId="84" xfId="0" applyFont="1" applyFill="1" applyBorder="1" applyAlignment="1">
      <alignment horizontal="left" vertical="center" wrapText="1"/>
    </xf>
    <xf numFmtId="0" fontId="0" fillId="0" borderId="85" xfId="0" applyBorder="1" applyAlignment="1">
      <alignment horizontal="center" vertical="center" wrapText="1"/>
    </xf>
    <xf numFmtId="0" fontId="4" fillId="4" borderId="86" xfId="0" applyFont="1" applyFill="1" applyBorder="1" applyAlignment="1">
      <alignment horizontal="center" vertical="center" wrapText="1"/>
    </xf>
    <xf numFmtId="0" fontId="4" fillId="2" borderId="5" xfId="0" applyFont="1" applyFill="1" applyBorder="1" applyAlignment="1">
      <alignment horizontal="left" vertical="center" wrapText="1"/>
    </xf>
    <xf numFmtId="0" fontId="0" fillId="0" borderId="87" xfId="0" applyBorder="1" applyAlignment="1">
      <alignment horizontal="center" vertical="center" wrapText="1"/>
    </xf>
    <xf numFmtId="0" fontId="4" fillId="4" borderId="8" xfId="0" applyFont="1" applyFill="1" applyBorder="1" applyAlignment="1">
      <alignment horizontal="center" vertical="center" wrapText="1"/>
    </xf>
    <xf numFmtId="0" fontId="0" fillId="6" borderId="19" xfId="0" applyFill="1" applyBorder="1" applyAlignment="1">
      <alignment horizontal="center" vertical="center" wrapText="1"/>
    </xf>
    <xf numFmtId="0" fontId="28" fillId="0" borderId="46" xfId="0" applyFont="1" applyBorder="1" applyAlignment="1">
      <alignment horizontal="left" vertical="center" wrapText="1"/>
    </xf>
    <xf numFmtId="0" fontId="0" fillId="0" borderId="0" xfId="0" applyAlignment="1">
      <alignment horizontal="center" vertical="center" wrapText="1"/>
    </xf>
    <xf numFmtId="0" fontId="16" fillId="0" borderId="1" xfId="0" applyFont="1" applyBorder="1" applyAlignment="1">
      <alignment horizontal="center" vertical="center"/>
    </xf>
    <xf numFmtId="0" fontId="28" fillId="0" borderId="1" xfId="0" applyFont="1" applyBorder="1" applyAlignment="1">
      <alignment vertical="center"/>
    </xf>
    <xf numFmtId="2" fontId="28" fillId="6" borderId="1" xfId="0" applyNumberFormat="1" applyFont="1" applyFill="1" applyBorder="1" applyAlignment="1">
      <alignment horizontal="center" vertical="center" wrapText="1"/>
    </xf>
    <xf numFmtId="2" fontId="0" fillId="0" borderId="0" xfId="0" applyNumberFormat="1" applyAlignment="1">
      <alignment horizontal="center" vertical="center" wrapText="1"/>
    </xf>
    <xf numFmtId="2" fontId="0" fillId="11" borderId="1" xfId="0" applyNumberFormat="1" applyFill="1" applyBorder="1" applyAlignment="1">
      <alignment horizontal="center" vertical="center" wrapText="1"/>
    </xf>
    <xf numFmtId="0" fontId="16" fillId="11" borderId="1" xfId="0" applyFont="1" applyFill="1" applyBorder="1" applyAlignment="1">
      <alignment horizontal="center" vertical="center" wrapText="1"/>
    </xf>
    <xf numFmtId="0" fontId="4" fillId="11" borderId="1" xfId="0" applyFont="1" applyFill="1" applyBorder="1" applyAlignment="1">
      <alignment horizontal="center" vertical="center"/>
    </xf>
    <xf numFmtId="0" fontId="4" fillId="11" borderId="1" xfId="0" applyFont="1" applyFill="1" applyBorder="1" applyAlignment="1">
      <alignment horizontal="center" vertical="center" wrapText="1"/>
    </xf>
    <xf numFmtId="0" fontId="4" fillId="11" borderId="7" xfId="0" applyFont="1" applyFill="1" applyBorder="1" applyAlignment="1">
      <alignment horizontal="center" vertical="center" wrapText="1"/>
    </xf>
    <xf numFmtId="0" fontId="0" fillId="11" borderId="1" xfId="0" applyFill="1" applyBorder="1" applyAlignment="1">
      <alignment horizontal="center" vertical="center" wrapText="1"/>
    </xf>
    <xf numFmtId="0" fontId="4" fillId="3" borderId="1" xfId="0" applyFont="1" applyFill="1" applyBorder="1" applyAlignment="1">
      <alignment horizontal="left" vertical="center" wrapText="1"/>
    </xf>
    <xf numFmtId="0" fontId="6" fillId="3" borderId="1" xfId="0" applyFont="1" applyFill="1" applyBorder="1" applyAlignment="1">
      <alignment vertical="center"/>
    </xf>
    <xf numFmtId="0" fontId="4" fillId="3" borderId="1" xfId="0" applyFont="1" applyFill="1" applyBorder="1" applyAlignment="1">
      <alignment horizontal="center" vertical="center" wrapText="1"/>
    </xf>
    <xf numFmtId="2" fontId="0" fillId="3" borderId="1" xfId="0" applyNumberFormat="1" applyFill="1" applyBorder="1" applyAlignment="1">
      <alignment horizontal="center" vertical="center" wrapText="1"/>
    </xf>
    <xf numFmtId="0" fontId="0" fillId="3" borderId="1" xfId="0" applyFill="1" applyBorder="1"/>
    <xf numFmtId="0" fontId="0" fillId="12" borderId="1" xfId="0" applyFill="1" applyBorder="1" applyAlignment="1">
      <alignment horizontal="center" vertical="center" wrapText="1"/>
    </xf>
    <xf numFmtId="0" fontId="4" fillId="12" borderId="1" xfId="0" applyFont="1" applyFill="1" applyBorder="1" applyAlignment="1">
      <alignment horizontal="center" vertical="center" wrapText="1"/>
    </xf>
    <xf numFmtId="0" fontId="25" fillId="11" borderId="1" xfId="0" applyFont="1" applyFill="1" applyBorder="1" applyAlignment="1">
      <alignment horizontal="center" vertical="center" wrapText="1"/>
    </xf>
    <xf numFmtId="0" fontId="4" fillId="7" borderId="37" xfId="0" applyFont="1" applyFill="1" applyBorder="1" applyAlignment="1">
      <alignment horizontal="center" vertical="center" wrapText="1"/>
    </xf>
    <xf numFmtId="0" fontId="0" fillId="7" borderId="10" xfId="0" applyFill="1" applyBorder="1" applyAlignment="1">
      <alignment horizontal="center" vertical="center" wrapText="1"/>
    </xf>
    <xf numFmtId="0" fontId="0" fillId="7" borderId="38" xfId="0" applyFill="1" applyBorder="1" applyAlignment="1">
      <alignment horizontal="center" vertical="center" wrapText="1"/>
    </xf>
    <xf numFmtId="0" fontId="4" fillId="0" borderId="20" xfId="0" applyFont="1" applyBorder="1" applyAlignment="1">
      <alignment horizontal="center" vertical="center"/>
    </xf>
    <xf numFmtId="0" fontId="0" fillId="0" borderId="0" xfId="0" applyBorder="1" applyAlignment="1">
      <alignment horizontal="center" vertical="center"/>
    </xf>
    <xf numFmtId="0" fontId="0" fillId="0" borderId="17" xfId="0" applyBorder="1" applyAlignment="1">
      <alignment horizontal="center" vertical="center"/>
    </xf>
    <xf numFmtId="0" fontId="0" fillId="0" borderId="15" xfId="0" applyBorder="1" applyAlignment="1">
      <alignment horizontal="center" vertical="center"/>
    </xf>
    <xf numFmtId="0" fontId="0" fillId="0" borderId="0" xfId="0" applyAlignment="1">
      <alignment horizontal="center" vertical="center"/>
    </xf>
    <xf numFmtId="0" fontId="0" fillId="0" borderId="16" xfId="0" applyBorder="1" applyAlignment="1">
      <alignment horizontal="center" vertical="center"/>
    </xf>
    <xf numFmtId="0" fontId="0" fillId="0" borderId="13" xfId="0" applyBorder="1" applyAlignment="1">
      <alignment horizontal="center" vertical="center"/>
    </xf>
    <xf numFmtId="0" fontId="0" fillId="0" borderId="18" xfId="0" applyBorder="1" applyAlignment="1">
      <alignment horizontal="center" vertical="center"/>
    </xf>
    <xf numFmtId="0" fontId="4" fillId="3" borderId="39" xfId="0" applyFont="1" applyFill="1" applyBorder="1" applyAlignment="1">
      <alignment horizontal="center" vertical="center" wrapText="1"/>
    </xf>
    <xf numFmtId="0" fontId="0" fillId="0" borderId="23" xfId="0" applyBorder="1" applyAlignment="1">
      <alignment horizontal="center" vertical="center" wrapText="1"/>
    </xf>
    <xf numFmtId="0" fontId="0" fillId="0" borderId="9" xfId="0" applyBorder="1" applyAlignment="1">
      <alignment horizontal="center" vertical="center" wrapText="1"/>
    </xf>
    <xf numFmtId="0" fontId="8" fillId="0" borderId="0" xfId="0" applyFont="1" applyAlignment="1">
      <alignment horizontal="center" vertical="center" wrapText="1"/>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19" xfId="0" applyFont="1" applyBorder="1" applyAlignment="1">
      <alignment horizontal="center" vertical="center" wrapText="1"/>
    </xf>
    <xf numFmtId="0" fontId="0" fillId="0" borderId="11" xfId="0" applyBorder="1"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0" fillId="7" borderId="10" xfId="0" applyFill="1" applyBorder="1" applyAlignment="1">
      <alignment horizontal="center" vertical="center"/>
    </xf>
    <xf numFmtId="0" fontId="0" fillId="7" borderId="38" xfId="0" applyFill="1" applyBorder="1" applyAlignment="1">
      <alignment horizontal="center" vertical="center"/>
    </xf>
    <xf numFmtId="0" fontId="5" fillId="7" borderId="10" xfId="0" applyFont="1" applyFill="1" applyBorder="1" applyAlignment="1">
      <alignment horizontal="center" vertical="center" wrapText="1"/>
    </xf>
    <xf numFmtId="0" fontId="5" fillId="7" borderId="38" xfId="0" applyFont="1" applyFill="1" applyBorder="1" applyAlignment="1">
      <alignment horizontal="center" vertical="center" wrapText="1"/>
    </xf>
    <xf numFmtId="0" fontId="4" fillId="7" borderId="0" xfId="0" applyFont="1" applyFill="1" applyAlignment="1">
      <alignment horizontal="center" vertical="center" wrapText="1"/>
    </xf>
    <xf numFmtId="0" fontId="0" fillId="7" borderId="0" xfId="0" applyFill="1" applyAlignment="1">
      <alignment horizontal="center" vertical="center" wrapText="1"/>
    </xf>
    <xf numFmtId="0" fontId="4" fillId="0" borderId="66" xfId="0" applyFont="1" applyBorder="1" applyAlignment="1">
      <alignment horizontal="left" vertical="center" wrapText="1"/>
    </xf>
    <xf numFmtId="0" fontId="5" fillId="0" borderId="67" xfId="0" applyFont="1" applyBorder="1" applyAlignment="1">
      <alignment horizontal="left" vertical="center" wrapText="1"/>
    </xf>
    <xf numFmtId="0" fontId="5" fillId="0" borderId="68" xfId="0" applyFont="1" applyBorder="1" applyAlignment="1">
      <alignment horizontal="left" vertical="center" wrapText="1"/>
    </xf>
    <xf numFmtId="0" fontId="8" fillId="7" borderId="37" xfId="0" applyFont="1" applyFill="1" applyBorder="1" applyAlignment="1">
      <alignment horizontal="center" vertical="center" wrapText="1"/>
    </xf>
  </cellXfs>
  <cellStyles count="7">
    <cellStyle name="Normale 2" xfId="2"/>
    <cellStyle name="Normale 2 2" xfId="3"/>
    <cellStyle name="Normale 3" xfId="4"/>
    <cellStyle name="Normale 3 2" xfId="5"/>
    <cellStyle name="Normale 4" xfId="6"/>
    <cellStyle name="Standard" xfId="0" builtinId="0"/>
    <cellStyle name="Standard 2" xfId="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CCFFCC"/>
      <color rgb="FFFFFFCC"/>
      <color rgb="FF00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Output_series!$B$13</c:f>
              <c:strCache>
                <c:ptCount val="1"/>
                <c:pt idx="0">
                  <c:v>Cooling generation electrical energy input</c:v>
                </c:pt>
              </c:strCache>
            </c:strRef>
          </c:tx>
          <c:marker>
            <c:symbol val="none"/>
          </c:marker>
          <c:val>
            <c:numRef>
              <c:f>Output_series!$B$18:$B$89</c:f>
              <c:numCache>
                <c:formatCode>0.000</c:formatCode>
                <c:ptCount val="72"/>
                <c:pt idx="0">
                  <c:v>0</c:v>
                </c:pt>
                <c:pt idx="1">
                  <c:v>0</c:v>
                </c:pt>
                <c:pt idx="2">
                  <c:v>0</c:v>
                </c:pt>
                <c:pt idx="3">
                  <c:v>0</c:v>
                </c:pt>
                <c:pt idx="4">
                  <c:v>0</c:v>
                </c:pt>
                <c:pt idx="5">
                  <c:v>0</c:v>
                </c:pt>
                <c:pt idx="6">
                  <c:v>0</c:v>
                </c:pt>
                <c:pt idx="7">
                  <c:v>0</c:v>
                </c:pt>
                <c:pt idx="8">
                  <c:v>0</c:v>
                </c:pt>
                <c:pt idx="9">
                  <c:v>0</c:v>
                </c:pt>
                <c:pt idx="10">
                  <c:v>4.5948775712538303</c:v>
                </c:pt>
                <c:pt idx="11">
                  <c:v>10.38070407345417</c:v>
                </c:pt>
                <c:pt idx="12">
                  <c:v>4.9147471155689262</c:v>
                </c:pt>
                <c:pt idx="13">
                  <c:v>6.7871715740141028</c:v>
                </c:pt>
                <c:pt idx="14">
                  <c:v>9.921132642611024</c:v>
                </c:pt>
                <c:pt idx="15">
                  <c:v>4.3195572707867491</c:v>
                </c:pt>
                <c:pt idx="16">
                  <c:v>1.3254790304955923</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7.416033704032845</c:v>
                </c:pt>
                <c:pt idx="35">
                  <c:v>14.036878902792399</c:v>
                </c:pt>
                <c:pt idx="36">
                  <c:v>8.9671468449560994</c:v>
                </c:pt>
                <c:pt idx="37">
                  <c:v>10.498981614141382</c:v>
                </c:pt>
                <c:pt idx="38">
                  <c:v>14.099697643796739</c:v>
                </c:pt>
                <c:pt idx="39">
                  <c:v>7.0638361972898895</c:v>
                </c:pt>
                <c:pt idx="40">
                  <c:v>2.8106006336705303</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Cache>
            </c:numRef>
          </c:val>
          <c:smooth val="0"/>
        </c:ser>
        <c:dLbls>
          <c:showLegendKey val="0"/>
          <c:showVal val="0"/>
          <c:showCatName val="0"/>
          <c:showSerName val="0"/>
          <c:showPercent val="0"/>
          <c:showBubbleSize val="0"/>
        </c:dLbls>
        <c:marker val="1"/>
        <c:smooth val="0"/>
        <c:axId val="244189824"/>
        <c:axId val="244196480"/>
      </c:lineChart>
      <c:catAx>
        <c:axId val="244189824"/>
        <c:scaling>
          <c:orientation val="minMax"/>
        </c:scaling>
        <c:delete val="0"/>
        <c:axPos val="b"/>
        <c:majorTickMark val="out"/>
        <c:minorTickMark val="none"/>
        <c:tickLblPos val="nextTo"/>
        <c:crossAx val="244196480"/>
        <c:crosses val="autoZero"/>
        <c:auto val="1"/>
        <c:lblAlgn val="ctr"/>
        <c:lblOffset val="100"/>
        <c:noMultiLvlLbl val="0"/>
      </c:catAx>
      <c:valAx>
        <c:axId val="244196480"/>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24418982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Output_series!$C$13</c:f>
              <c:strCache>
                <c:ptCount val="1"/>
                <c:pt idx="0">
                  <c:v>Generation system auxiliary energy input</c:v>
                </c:pt>
              </c:strCache>
            </c:strRef>
          </c:tx>
          <c:marker>
            <c:symbol val="none"/>
          </c:marker>
          <c:val>
            <c:numRef>
              <c:f>Output_series!$C$18:$C$89</c:f>
              <c:numCache>
                <c:formatCode>0.000</c:formatCode>
                <c:ptCount val="72"/>
                <c:pt idx="0">
                  <c:v>1.1635611789660905</c:v>
                </c:pt>
                <c:pt idx="1">
                  <c:v>0.84144657499999997</c:v>
                </c:pt>
                <c:pt idx="2">
                  <c:v>0.841458225</c:v>
                </c:pt>
                <c:pt idx="3">
                  <c:v>0.84138072500000005</c:v>
                </c:pt>
                <c:pt idx="4">
                  <c:v>0.84139222499999999</c:v>
                </c:pt>
                <c:pt idx="5">
                  <c:v>1.1676307419931526</c:v>
                </c:pt>
                <c:pt idx="6">
                  <c:v>2.3869425550448855</c:v>
                </c:pt>
                <c:pt idx="7">
                  <c:v>1.2367581345831209</c:v>
                </c:pt>
                <c:pt idx="8">
                  <c:v>3.0216046528342888</c:v>
                </c:pt>
                <c:pt idx="9">
                  <c:v>5.5784425073935031</c:v>
                </c:pt>
                <c:pt idx="10">
                  <c:v>6.844858553482684</c:v>
                </c:pt>
                <c:pt idx="11">
                  <c:v>8.2827789880552967</c:v>
                </c:pt>
                <c:pt idx="12">
                  <c:v>6.8686931184450835</c:v>
                </c:pt>
                <c:pt idx="13">
                  <c:v>7.3495963255737742</c:v>
                </c:pt>
                <c:pt idx="14">
                  <c:v>8.4504925308374723</c:v>
                </c:pt>
                <c:pt idx="15">
                  <c:v>6.8300349435672718</c:v>
                </c:pt>
                <c:pt idx="16">
                  <c:v>6.1223123816376628</c:v>
                </c:pt>
                <c:pt idx="17">
                  <c:v>5.0676019592465238</c:v>
                </c:pt>
                <c:pt idx="18">
                  <c:v>4.1642513672990775</c:v>
                </c:pt>
                <c:pt idx="19">
                  <c:v>1.4652164041867695</c:v>
                </c:pt>
                <c:pt idx="20">
                  <c:v>1.2373838189592195</c:v>
                </c:pt>
                <c:pt idx="21">
                  <c:v>1.2118760600651446</c:v>
                </c:pt>
                <c:pt idx="22">
                  <c:v>1.1935385205878839</c:v>
                </c:pt>
                <c:pt idx="23">
                  <c:v>1.1844276289918461</c:v>
                </c:pt>
                <c:pt idx="24">
                  <c:v>1.1872425107852509</c:v>
                </c:pt>
                <c:pt idx="25">
                  <c:v>1.1832222698168913</c:v>
                </c:pt>
                <c:pt idx="26">
                  <c:v>1.180097638717124</c:v>
                </c:pt>
                <c:pt idx="27">
                  <c:v>1.1772826705332731</c:v>
                </c:pt>
                <c:pt idx="28">
                  <c:v>1.1745953960206781</c:v>
                </c:pt>
                <c:pt idx="29">
                  <c:v>1.1804952611926662</c:v>
                </c:pt>
                <c:pt idx="30">
                  <c:v>1.8480326591802176</c:v>
                </c:pt>
                <c:pt idx="31">
                  <c:v>1.2984786597834579</c:v>
                </c:pt>
                <c:pt idx="32">
                  <c:v>3.5586208627216758</c:v>
                </c:pt>
                <c:pt idx="33">
                  <c:v>5.588895509347509</c:v>
                </c:pt>
                <c:pt idx="34">
                  <c:v>6.9823212458643926</c:v>
                </c:pt>
                <c:pt idx="35">
                  <c:v>8.5672975574234584</c:v>
                </c:pt>
                <c:pt idx="36">
                  <c:v>7.2098028895148607</c:v>
                </c:pt>
                <c:pt idx="37">
                  <c:v>7.6860029468979754</c:v>
                </c:pt>
                <c:pt idx="38">
                  <c:v>8.5814782758766022</c:v>
                </c:pt>
                <c:pt idx="39">
                  <c:v>6.9492200181418751</c:v>
                </c:pt>
                <c:pt idx="40">
                  <c:v>6.2078286345424365</c:v>
                </c:pt>
                <c:pt idx="41">
                  <c:v>5.1451568461076125</c:v>
                </c:pt>
                <c:pt idx="42">
                  <c:v>3.6383312896512288</c:v>
                </c:pt>
                <c:pt idx="43">
                  <c:v>1.4610891609134031</c:v>
                </c:pt>
                <c:pt idx="44">
                  <c:v>1.4258280182426843</c:v>
                </c:pt>
                <c:pt idx="45">
                  <c:v>1.2161059749778875</c:v>
                </c:pt>
                <c:pt idx="46">
                  <c:v>1.201927206922957</c:v>
                </c:pt>
                <c:pt idx="47">
                  <c:v>1.1970141781421062</c:v>
                </c:pt>
                <c:pt idx="48">
                  <c:v>1.1826046983345697</c:v>
                </c:pt>
                <c:pt idx="49">
                  <c:v>1.1804868161112765</c:v>
                </c:pt>
                <c:pt idx="50">
                  <c:v>1.1751576508355783</c:v>
                </c:pt>
                <c:pt idx="51">
                  <c:v>1.1704649326071332</c:v>
                </c:pt>
                <c:pt idx="52">
                  <c:v>1.1655963792651209</c:v>
                </c:pt>
                <c:pt idx="53">
                  <c:v>1.1596085329399641</c:v>
                </c:pt>
                <c:pt idx="54">
                  <c:v>1.0208863241480195</c:v>
                </c:pt>
                <c:pt idx="55">
                  <c:v>1.0314768196151325</c:v>
                </c:pt>
                <c:pt idx="56">
                  <c:v>1.0401992133348275</c:v>
                </c:pt>
                <c:pt idx="57">
                  <c:v>1.0789595271783714</c:v>
                </c:pt>
                <c:pt idx="58">
                  <c:v>1.2878320426130587</c:v>
                </c:pt>
                <c:pt idx="59">
                  <c:v>1.9605326086230397</c:v>
                </c:pt>
                <c:pt idx="60">
                  <c:v>1.9897461988626275</c:v>
                </c:pt>
                <c:pt idx="61">
                  <c:v>2.2675435598569331</c:v>
                </c:pt>
                <c:pt idx="62">
                  <c:v>3.1454795720875919</c:v>
                </c:pt>
                <c:pt idx="63">
                  <c:v>1.9125314595821075</c:v>
                </c:pt>
                <c:pt idx="64">
                  <c:v>1.440905537995137</c:v>
                </c:pt>
                <c:pt idx="65">
                  <c:v>1.0798361042780416</c:v>
                </c:pt>
                <c:pt idx="66">
                  <c:v>1.0340755325976208</c:v>
                </c:pt>
                <c:pt idx="67">
                  <c:v>1.1680932412159373</c:v>
                </c:pt>
                <c:pt idx="68">
                  <c:v>1.1610637214503949</c:v>
                </c:pt>
                <c:pt idx="69">
                  <c:v>1.154710668150104</c:v>
                </c:pt>
                <c:pt idx="70">
                  <c:v>0.84067837499999998</c:v>
                </c:pt>
                <c:pt idx="71">
                  <c:v>0.84051929999999997</c:v>
                </c:pt>
              </c:numCache>
            </c:numRef>
          </c:val>
          <c:smooth val="0"/>
        </c:ser>
        <c:dLbls>
          <c:showLegendKey val="0"/>
          <c:showVal val="0"/>
          <c:showCatName val="0"/>
          <c:showSerName val="0"/>
          <c:showPercent val="0"/>
          <c:showBubbleSize val="0"/>
        </c:dLbls>
        <c:marker val="1"/>
        <c:smooth val="0"/>
        <c:axId val="356414592"/>
        <c:axId val="356416128"/>
      </c:lineChart>
      <c:catAx>
        <c:axId val="356414592"/>
        <c:scaling>
          <c:orientation val="minMax"/>
        </c:scaling>
        <c:delete val="0"/>
        <c:axPos val="b"/>
        <c:majorTickMark val="out"/>
        <c:minorTickMark val="none"/>
        <c:tickLblPos val="nextTo"/>
        <c:crossAx val="356416128"/>
        <c:crosses val="autoZero"/>
        <c:auto val="1"/>
        <c:lblAlgn val="ctr"/>
        <c:lblOffset val="100"/>
        <c:noMultiLvlLbl val="0"/>
      </c:catAx>
      <c:valAx>
        <c:axId val="35641612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35641459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Output_series!$D$13</c:f>
              <c:strCache>
                <c:ptCount val="1"/>
                <c:pt idx="0">
                  <c:v>Absorption cooling generation heat input</c:v>
                </c:pt>
              </c:strCache>
            </c:strRef>
          </c:tx>
          <c:marker>
            <c:symbol val="none"/>
          </c:marker>
          <c:val>
            <c:numRef>
              <c:f>Output_series!$D$18:$D$89</c:f>
              <c:numCache>
                <c:formatCode>0.000</c:formatCode>
                <c:ptCount val="72"/>
                <c:pt idx="0">
                  <c:v>12.864532158643614</c:v>
                </c:pt>
                <c:pt idx="1">
                  <c:v>0</c:v>
                </c:pt>
                <c:pt idx="2">
                  <c:v>0</c:v>
                </c:pt>
                <c:pt idx="3">
                  <c:v>0</c:v>
                </c:pt>
                <c:pt idx="4">
                  <c:v>0</c:v>
                </c:pt>
                <c:pt idx="5">
                  <c:v>13.02465167972611</c:v>
                </c:pt>
                <c:pt idx="6">
                  <c:v>44.533992201795414</c:v>
                </c:pt>
                <c:pt idx="7">
                  <c:v>15.233012383324832</c:v>
                </c:pt>
                <c:pt idx="8">
                  <c:v>62.058716113371553</c:v>
                </c:pt>
                <c:pt idx="9">
                  <c:v>94.578854163439516</c:v>
                </c:pt>
                <c:pt idx="10">
                  <c:v>99.107080413069951</c:v>
                </c:pt>
                <c:pt idx="11">
                  <c:v>99.107080413069966</c:v>
                </c:pt>
                <c:pt idx="12">
                  <c:v>99.107080413069966</c:v>
                </c:pt>
                <c:pt idx="13">
                  <c:v>99.107080413069951</c:v>
                </c:pt>
                <c:pt idx="14">
                  <c:v>99.107080413069966</c:v>
                </c:pt>
                <c:pt idx="15">
                  <c:v>99.107080413069966</c:v>
                </c:pt>
                <c:pt idx="16">
                  <c:v>99.107080413069966</c:v>
                </c:pt>
                <c:pt idx="17">
                  <c:v>85.740707552924974</c:v>
                </c:pt>
                <c:pt idx="18">
                  <c:v>68.067127190881138</c:v>
                </c:pt>
                <c:pt idx="19">
                  <c:v>15.486534914750589</c:v>
                </c:pt>
                <c:pt idx="20">
                  <c:v>15.322028758368772</c:v>
                </c:pt>
                <c:pt idx="21">
                  <c:v>14.531460402605775</c:v>
                </c:pt>
                <c:pt idx="22">
                  <c:v>13.975924823515356</c:v>
                </c:pt>
                <c:pt idx="23">
                  <c:v>13.652604159673837</c:v>
                </c:pt>
                <c:pt idx="24">
                  <c:v>13.78258043141004</c:v>
                </c:pt>
                <c:pt idx="25">
                  <c:v>13.621811792675652</c:v>
                </c:pt>
                <c:pt idx="26">
                  <c:v>13.507525548684956</c:v>
                </c:pt>
                <c:pt idx="27">
                  <c:v>13.40028382133092</c:v>
                </c:pt>
                <c:pt idx="28">
                  <c:v>13.295481840827124</c:v>
                </c:pt>
                <c:pt idx="29">
                  <c:v>13.517657447706645</c:v>
                </c:pt>
                <c:pt idx="30">
                  <c:v>30.904986367208704</c:v>
                </c:pt>
                <c:pt idx="31">
                  <c:v>16.922587391338315</c:v>
                </c:pt>
                <c:pt idx="32">
                  <c:v>56.784857658232582</c:v>
                </c:pt>
                <c:pt idx="33">
                  <c:v>96.952831798409377</c:v>
                </c:pt>
                <c:pt idx="34">
                  <c:v>99.107080413069966</c:v>
                </c:pt>
                <c:pt idx="35">
                  <c:v>99.107080413069966</c:v>
                </c:pt>
                <c:pt idx="36">
                  <c:v>99.10708041306998</c:v>
                </c:pt>
                <c:pt idx="37">
                  <c:v>99.107080413069966</c:v>
                </c:pt>
                <c:pt idx="38">
                  <c:v>99.107080413069966</c:v>
                </c:pt>
                <c:pt idx="39">
                  <c:v>99.107080413069966</c:v>
                </c:pt>
                <c:pt idx="40">
                  <c:v>99.107080413069966</c:v>
                </c:pt>
                <c:pt idx="41">
                  <c:v>88.827235639624618</c:v>
                </c:pt>
                <c:pt idx="42">
                  <c:v>58.639785140946323</c:v>
                </c:pt>
                <c:pt idx="43">
                  <c:v>15.651717936769794</c:v>
                </c:pt>
                <c:pt idx="44">
                  <c:v>14.901762461899528</c:v>
                </c:pt>
                <c:pt idx="45">
                  <c:v>14.773003999115499</c:v>
                </c:pt>
                <c:pt idx="46">
                  <c:v>14.341742276918279</c:v>
                </c:pt>
                <c:pt idx="47">
                  <c:v>14.161030125684247</c:v>
                </c:pt>
                <c:pt idx="48">
                  <c:v>13.655611933382788</c:v>
                </c:pt>
                <c:pt idx="49">
                  <c:v>13.576973644451058</c:v>
                </c:pt>
                <c:pt idx="50">
                  <c:v>13.372920033423137</c:v>
                </c:pt>
                <c:pt idx="51">
                  <c:v>13.190798304285336</c:v>
                </c:pt>
                <c:pt idx="52">
                  <c:v>13.011649170604837</c:v>
                </c:pt>
                <c:pt idx="53">
                  <c:v>12.78462031759857</c:v>
                </c:pt>
                <c:pt idx="54">
                  <c:v>9.3114349659207729</c:v>
                </c:pt>
                <c:pt idx="55">
                  <c:v>9.7013007846052979</c:v>
                </c:pt>
                <c:pt idx="56">
                  <c:v>10.016083533393093</c:v>
                </c:pt>
                <c:pt idx="57">
                  <c:v>11.082774087134849</c:v>
                </c:pt>
                <c:pt idx="58">
                  <c:v>16.595931704522339</c:v>
                </c:pt>
                <c:pt idx="59">
                  <c:v>34.280204344921586</c:v>
                </c:pt>
                <c:pt idx="60">
                  <c:v>25.536851177655372</c:v>
                </c:pt>
                <c:pt idx="61">
                  <c:v>30.975533025967668</c:v>
                </c:pt>
                <c:pt idx="62">
                  <c:v>47.925344608714909</c:v>
                </c:pt>
                <c:pt idx="63">
                  <c:v>24.062970593397193</c:v>
                </c:pt>
                <c:pt idx="64">
                  <c:v>14.919192999852637</c:v>
                </c:pt>
                <c:pt idx="65">
                  <c:v>11.111034171121657</c:v>
                </c:pt>
                <c:pt idx="66">
                  <c:v>9.773883303904821</c:v>
                </c:pt>
                <c:pt idx="67">
                  <c:v>13.065129648637486</c:v>
                </c:pt>
                <c:pt idx="68">
                  <c:v>12.792425858015797</c:v>
                </c:pt>
                <c:pt idx="69">
                  <c:v>12.552226726004163</c:v>
                </c:pt>
                <c:pt idx="70">
                  <c:v>0</c:v>
                </c:pt>
                <c:pt idx="71">
                  <c:v>0</c:v>
                </c:pt>
              </c:numCache>
            </c:numRef>
          </c:val>
          <c:smooth val="0"/>
        </c:ser>
        <c:dLbls>
          <c:showLegendKey val="0"/>
          <c:showVal val="0"/>
          <c:showCatName val="0"/>
          <c:showSerName val="0"/>
          <c:showPercent val="0"/>
          <c:showBubbleSize val="0"/>
        </c:dLbls>
        <c:marker val="1"/>
        <c:smooth val="0"/>
        <c:axId val="356436992"/>
        <c:axId val="361964288"/>
      </c:lineChart>
      <c:catAx>
        <c:axId val="356436992"/>
        <c:scaling>
          <c:orientation val="minMax"/>
        </c:scaling>
        <c:delete val="0"/>
        <c:axPos val="b"/>
        <c:majorTickMark val="out"/>
        <c:minorTickMark val="none"/>
        <c:tickLblPos val="low"/>
        <c:crossAx val="361964288"/>
        <c:crosses val="autoZero"/>
        <c:auto val="1"/>
        <c:lblAlgn val="ctr"/>
        <c:lblOffset val="100"/>
        <c:noMultiLvlLbl val="0"/>
      </c:catAx>
      <c:valAx>
        <c:axId val="36196428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35643699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Output_series!$F$13</c:f>
              <c:strCache>
                <c:ptCount val="1"/>
                <c:pt idx="0">
                  <c:v>Cooling energy extracted by generation system</c:v>
                </c:pt>
              </c:strCache>
            </c:strRef>
          </c:tx>
          <c:marker>
            <c:symbol val="none"/>
          </c:marker>
          <c:val>
            <c:numRef>
              <c:f>Output_series!$F$18:$F$89</c:f>
              <c:numCache>
                <c:formatCode>0.000</c:formatCode>
                <c:ptCount val="72"/>
                <c:pt idx="0">
                  <c:v>7.6779149999999996</c:v>
                </c:pt>
                <c:pt idx="1">
                  <c:v>7.6578629999999999</c:v>
                </c:pt>
                <c:pt idx="2">
                  <c:v>7.6583290000000002</c:v>
                </c:pt>
                <c:pt idx="3">
                  <c:v>7.6552290000000003</c:v>
                </c:pt>
                <c:pt idx="4">
                  <c:v>7.6556890000000006</c:v>
                </c:pt>
                <c:pt idx="5">
                  <c:v>7.6805780000000006</c:v>
                </c:pt>
                <c:pt idx="6">
                  <c:v>24.943709999999996</c:v>
                </c:pt>
                <c:pt idx="7">
                  <c:v>8.2373130000000003</c:v>
                </c:pt>
                <c:pt idx="8">
                  <c:v>32.80547</c:v>
                </c:pt>
                <c:pt idx="9">
                  <c:v>54.28304</c:v>
                </c:pt>
                <c:pt idx="10">
                  <c:v>83.536179999999987</c:v>
                </c:pt>
                <c:pt idx="11">
                  <c:v>121.3237</c:v>
                </c:pt>
                <c:pt idx="12">
                  <c:v>83.938570000000013</c:v>
                </c:pt>
                <c:pt idx="13">
                  <c:v>96.63897</c:v>
                </c:pt>
                <c:pt idx="14">
                  <c:v>126.8655</c:v>
                </c:pt>
                <c:pt idx="15">
                  <c:v>83.362300000000005</c:v>
                </c:pt>
                <c:pt idx="16">
                  <c:v>64.910240000000002</c:v>
                </c:pt>
                <c:pt idx="17">
                  <c:v>47.641169999999995</c:v>
                </c:pt>
                <c:pt idx="18">
                  <c:v>37.940489999999997</c:v>
                </c:pt>
                <c:pt idx="19">
                  <c:v>8.7321439999999999</c:v>
                </c:pt>
                <c:pt idx="20">
                  <c:v>8.1733239999999991</c:v>
                </c:pt>
                <c:pt idx="21">
                  <c:v>7.9435820000000001</c:v>
                </c:pt>
                <c:pt idx="22">
                  <c:v>7.7656159999999996</c:v>
                </c:pt>
                <c:pt idx="23">
                  <c:v>7.7245010000000001</c:v>
                </c:pt>
                <c:pt idx="24">
                  <c:v>7.7071199999999997</c:v>
                </c:pt>
                <c:pt idx="25">
                  <c:v>7.7070789999999993</c:v>
                </c:pt>
                <c:pt idx="26">
                  <c:v>7.6963800000000004</c:v>
                </c:pt>
                <c:pt idx="27">
                  <c:v>7.6910230000000004</c:v>
                </c:pt>
                <c:pt idx="28">
                  <c:v>7.6883340000000002</c:v>
                </c:pt>
                <c:pt idx="29">
                  <c:v>7.702153</c:v>
                </c:pt>
                <c:pt idx="30">
                  <c:v>17.01632</c:v>
                </c:pt>
                <c:pt idx="31">
                  <c:v>9.0165589999999991</c:v>
                </c:pt>
                <c:pt idx="32">
                  <c:v>30.87032</c:v>
                </c:pt>
                <c:pt idx="33">
                  <c:v>52.225819999999999</c:v>
                </c:pt>
                <c:pt idx="34">
                  <c:v>84.880560000000003</c:v>
                </c:pt>
                <c:pt idx="35">
                  <c:v>126.2893</c:v>
                </c:pt>
                <c:pt idx="36">
                  <c:v>90.222830000000002</c:v>
                </c:pt>
                <c:pt idx="37">
                  <c:v>103.12130000000001</c:v>
                </c:pt>
                <c:pt idx="38">
                  <c:v>126.65620000000001</c:v>
                </c:pt>
                <c:pt idx="39">
                  <c:v>84.229690000000005</c:v>
                </c:pt>
                <c:pt idx="40">
                  <c:v>66.01652</c:v>
                </c:pt>
                <c:pt idx="41">
                  <c:v>46.904789999999998</c:v>
                </c:pt>
                <c:pt idx="42">
                  <c:v>31.430859999999999</c:v>
                </c:pt>
                <c:pt idx="43">
                  <c:v>8.4418930000000003</c:v>
                </c:pt>
                <c:pt idx="44">
                  <c:v>8.123329</c:v>
                </c:pt>
                <c:pt idx="45">
                  <c:v>7.8712349999999995</c:v>
                </c:pt>
                <c:pt idx="46">
                  <c:v>7.7353459999999998</c:v>
                </c:pt>
                <c:pt idx="47">
                  <c:v>7.7195369999999999</c:v>
                </c:pt>
                <c:pt idx="48">
                  <c:v>7.6485760000000003</c:v>
                </c:pt>
                <c:pt idx="49">
                  <c:v>7.642498999999999</c:v>
                </c:pt>
                <c:pt idx="50">
                  <c:v>7.6333860000000007</c:v>
                </c:pt>
                <c:pt idx="51">
                  <c:v>7.6277989999999996</c:v>
                </c:pt>
                <c:pt idx="52">
                  <c:v>7.6122060000000005</c:v>
                </c:pt>
                <c:pt idx="53">
                  <c:v>7.5997209999999997</c:v>
                </c:pt>
                <c:pt idx="54">
                  <c:v>5.5240179999999999</c:v>
                </c:pt>
                <c:pt idx="55">
                  <c:v>5.5577719999999999</c:v>
                </c:pt>
                <c:pt idx="56">
                  <c:v>5.5918850000000004</c:v>
                </c:pt>
                <c:pt idx="57">
                  <c:v>6.0756069999999998</c:v>
                </c:pt>
                <c:pt idx="58">
                  <c:v>8.9173500000000008</c:v>
                </c:pt>
                <c:pt idx="59">
                  <c:v>18.141099999999998</c:v>
                </c:pt>
                <c:pt idx="60">
                  <c:v>14.57667</c:v>
                </c:pt>
                <c:pt idx="61">
                  <c:v>17.556090000000001</c:v>
                </c:pt>
                <c:pt idx="62">
                  <c:v>27.2104</c:v>
                </c:pt>
                <c:pt idx="63">
                  <c:v>13.710709999999999</c:v>
                </c:pt>
                <c:pt idx="64">
                  <c:v>8.5627929999999992</c:v>
                </c:pt>
                <c:pt idx="65">
                  <c:v>6.0824099999999994</c:v>
                </c:pt>
                <c:pt idx="66">
                  <c:v>5.5891380000000002</c:v>
                </c:pt>
                <c:pt idx="67">
                  <c:v>7.6586000000000007</c:v>
                </c:pt>
                <c:pt idx="68">
                  <c:v>7.6501229999999998</c:v>
                </c:pt>
                <c:pt idx="69">
                  <c:v>7.6361999999999997</c:v>
                </c:pt>
                <c:pt idx="70">
                  <c:v>7.627135</c:v>
                </c:pt>
                <c:pt idx="71">
                  <c:v>7.6207719999999997</c:v>
                </c:pt>
              </c:numCache>
            </c:numRef>
          </c:val>
          <c:smooth val="0"/>
        </c:ser>
        <c:dLbls>
          <c:showLegendKey val="0"/>
          <c:showVal val="0"/>
          <c:showCatName val="0"/>
          <c:showSerName val="0"/>
          <c:showPercent val="0"/>
          <c:showBubbleSize val="0"/>
        </c:dLbls>
        <c:marker val="1"/>
        <c:smooth val="0"/>
        <c:axId val="361981056"/>
        <c:axId val="361982592"/>
      </c:lineChart>
      <c:catAx>
        <c:axId val="361981056"/>
        <c:scaling>
          <c:orientation val="minMax"/>
        </c:scaling>
        <c:delete val="0"/>
        <c:axPos val="b"/>
        <c:majorTickMark val="out"/>
        <c:minorTickMark val="none"/>
        <c:tickLblPos val="nextTo"/>
        <c:crossAx val="361982592"/>
        <c:crosses val="autoZero"/>
        <c:auto val="1"/>
        <c:lblAlgn val="ctr"/>
        <c:lblOffset val="100"/>
        <c:noMultiLvlLbl val="0"/>
      </c:catAx>
      <c:valAx>
        <c:axId val="361982592"/>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36198105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Output_series!$G$13</c:f>
              <c:strCache>
                <c:ptCount val="1"/>
                <c:pt idx="0">
                  <c:v>Maximum cooling energy extracted by the generation system at the current time step</c:v>
                </c:pt>
              </c:strCache>
            </c:strRef>
          </c:tx>
          <c:marker>
            <c:symbol val="none"/>
          </c:marker>
          <c:val>
            <c:numRef>
              <c:f>Output_series!$G$18:$G$89</c:f>
              <c:numCache>
                <c:formatCode>0.000</c:formatCode>
                <c:ptCount val="72"/>
                <c:pt idx="0">
                  <c:v>318.81317162905145</c:v>
                </c:pt>
                <c:pt idx="1">
                  <c:v>344.69811444887358</c:v>
                </c:pt>
                <c:pt idx="2">
                  <c:v>354.38611055993402</c:v>
                </c:pt>
                <c:pt idx="3">
                  <c:v>354.38611055993402</c:v>
                </c:pt>
                <c:pt idx="4">
                  <c:v>354.38611055993402</c:v>
                </c:pt>
                <c:pt idx="5">
                  <c:v>303.8185790769237</c:v>
                </c:pt>
                <c:pt idx="6">
                  <c:v>250.75210709136277</c:v>
                </c:pt>
                <c:pt idx="7">
                  <c:v>219.73779266040214</c:v>
                </c:pt>
                <c:pt idx="8">
                  <c:v>201.00189186172173</c:v>
                </c:pt>
                <c:pt idx="9">
                  <c:v>274.33851594655533</c:v>
                </c:pt>
                <c:pt idx="10">
                  <c:v>260.25489455652979</c:v>
                </c:pt>
                <c:pt idx="11">
                  <c:v>249.24735764139336</c:v>
                </c:pt>
                <c:pt idx="12">
                  <c:v>253.82741809575776</c:v>
                </c:pt>
                <c:pt idx="13">
                  <c:v>260.25489455652979</c:v>
                </c:pt>
                <c:pt idx="14">
                  <c:v>268.85200866709351</c:v>
                </c:pt>
                <c:pt idx="15">
                  <c:v>267.07953154437178</c:v>
                </c:pt>
                <c:pt idx="16">
                  <c:v>268.85200866709351</c:v>
                </c:pt>
                <c:pt idx="17">
                  <c:v>243.43722785383505</c:v>
                </c:pt>
                <c:pt idx="18">
                  <c:v>246.30138909015704</c:v>
                </c:pt>
                <c:pt idx="19">
                  <c:v>256.99367220030194</c:v>
                </c:pt>
                <c:pt idx="20">
                  <c:v>208.38965534939362</c:v>
                </c:pt>
                <c:pt idx="21">
                  <c:v>229.00671023783912</c:v>
                </c:pt>
                <c:pt idx="22">
                  <c:v>243.43722785383505</c:v>
                </c:pt>
                <c:pt idx="23">
                  <c:v>260.25489455652979</c:v>
                </c:pt>
                <c:pt idx="24">
                  <c:v>249.24735764139336</c:v>
                </c:pt>
                <c:pt idx="25">
                  <c:v>260.25489455652979</c:v>
                </c:pt>
                <c:pt idx="26">
                  <c:v>267.07953154437178</c:v>
                </c:pt>
                <c:pt idx="27">
                  <c:v>274.33851594655533</c:v>
                </c:pt>
                <c:pt idx="28">
                  <c:v>282.07363875870811</c:v>
                </c:pt>
                <c:pt idx="29">
                  <c:v>267.07953154437178</c:v>
                </c:pt>
                <c:pt idx="30">
                  <c:v>235.30326009550814</c:v>
                </c:pt>
                <c:pt idx="31">
                  <c:v>207.42905858673873</c:v>
                </c:pt>
                <c:pt idx="32">
                  <c:v>224.25529033698717</c:v>
                </c:pt>
                <c:pt idx="33">
                  <c:v>216.49305620291304</c:v>
                </c:pt>
                <c:pt idx="34">
                  <c:v>210.34451972028967</c:v>
                </c:pt>
                <c:pt idx="35">
                  <c:v>209.3614109439097</c:v>
                </c:pt>
                <c:pt idx="36">
                  <c:v>206.47943067912698</c:v>
                </c:pt>
                <c:pt idx="37">
                  <c:v>210.34451972028967</c:v>
                </c:pt>
                <c:pt idx="38">
                  <c:v>209.3614109439097</c:v>
                </c:pt>
                <c:pt idx="39">
                  <c:v>213.36397689124237</c:v>
                </c:pt>
                <c:pt idx="40">
                  <c:v>216.49305620291304</c:v>
                </c:pt>
                <c:pt idx="41">
                  <c:v>200.12406951633915</c:v>
                </c:pt>
                <c:pt idx="42">
                  <c:v>212.34559683825961</c:v>
                </c:pt>
                <c:pt idx="43">
                  <c:v>217.5614737299359</c:v>
                </c:pt>
                <c:pt idx="44">
                  <c:v>226.60064886961004</c:v>
                </c:pt>
                <c:pt idx="45">
                  <c:v>207.42905858673873</c:v>
                </c:pt>
                <c:pt idx="46">
                  <c:v>217.5614737299359</c:v>
                </c:pt>
                <c:pt idx="47">
                  <c:v>226.60064886961004</c:v>
                </c:pt>
                <c:pt idx="48">
                  <c:v>250.75210709136277</c:v>
                </c:pt>
                <c:pt idx="49">
                  <c:v>255.39893099177883</c:v>
                </c:pt>
                <c:pt idx="50">
                  <c:v>268.85200866709351</c:v>
                </c:pt>
                <c:pt idx="51">
                  <c:v>282.07363875870811</c:v>
                </c:pt>
                <c:pt idx="52">
                  <c:v>294.67368478271584</c:v>
                </c:pt>
                <c:pt idx="53">
                  <c:v>313.63281115092133</c:v>
                </c:pt>
                <c:pt idx="54">
                  <c:v>311.11270154411727</c:v>
                </c:pt>
                <c:pt idx="55">
                  <c:v>272.48084903797053</c:v>
                </c:pt>
                <c:pt idx="56">
                  <c:v>247.76393293887105</c:v>
                </c:pt>
                <c:pt idx="57">
                  <c:v>231.47583908752856</c:v>
                </c:pt>
                <c:pt idx="58">
                  <c:v>214.39453382046116</c:v>
                </c:pt>
                <c:pt idx="59">
                  <c:v>201.88946599858679</c:v>
                </c:pt>
                <c:pt idx="60">
                  <c:v>268.85200866709351</c:v>
                </c:pt>
                <c:pt idx="61">
                  <c:v>261.922440263628</c:v>
                </c:pt>
                <c:pt idx="62">
                  <c:v>263.61534442457122</c:v>
                </c:pt>
                <c:pt idx="63">
                  <c:v>267.07953154437178</c:v>
                </c:pt>
                <c:pt idx="64">
                  <c:v>274.33851594655533</c:v>
                </c:pt>
                <c:pt idx="65">
                  <c:v>230.23323873873866</c:v>
                </c:pt>
                <c:pt idx="66">
                  <c:v>270.65223375518229</c:v>
                </c:pt>
                <c:pt idx="67">
                  <c:v>296.90078633822719</c:v>
                </c:pt>
                <c:pt idx="68">
                  <c:v>321.47589836857532</c:v>
                </c:pt>
                <c:pt idx="69">
                  <c:v>347.86322067523469</c:v>
                </c:pt>
                <c:pt idx="70">
                  <c:v>354.38611055993402</c:v>
                </c:pt>
                <c:pt idx="71">
                  <c:v>354.38611055993402</c:v>
                </c:pt>
              </c:numCache>
            </c:numRef>
          </c:val>
          <c:smooth val="0"/>
        </c:ser>
        <c:dLbls>
          <c:showLegendKey val="0"/>
          <c:showVal val="0"/>
          <c:showCatName val="0"/>
          <c:showSerName val="0"/>
          <c:showPercent val="0"/>
          <c:showBubbleSize val="0"/>
        </c:dLbls>
        <c:marker val="1"/>
        <c:smooth val="0"/>
        <c:axId val="362015744"/>
        <c:axId val="361693952"/>
      </c:lineChart>
      <c:catAx>
        <c:axId val="362015744"/>
        <c:scaling>
          <c:orientation val="minMax"/>
        </c:scaling>
        <c:delete val="0"/>
        <c:axPos val="b"/>
        <c:majorTickMark val="out"/>
        <c:minorTickMark val="none"/>
        <c:tickLblPos val="nextTo"/>
        <c:crossAx val="361693952"/>
        <c:crossesAt val="-10"/>
        <c:auto val="1"/>
        <c:lblAlgn val="ctr"/>
        <c:lblOffset val="100"/>
        <c:noMultiLvlLbl val="0"/>
      </c:catAx>
      <c:valAx>
        <c:axId val="361693952"/>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36201574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Output_series!$H$13</c:f>
              <c:strCache>
                <c:ptCount val="1"/>
                <c:pt idx="0">
                  <c:v>Distribution inlet temperature from the cooling generation</c:v>
                </c:pt>
              </c:strCache>
            </c:strRef>
          </c:tx>
          <c:marker>
            <c:symbol val="none"/>
          </c:marker>
          <c:val>
            <c:numRef>
              <c:f>Output_series!$H$18:$H$89</c:f>
              <c:numCache>
                <c:formatCode>General</c:formatCode>
                <c:ptCount val="72"/>
                <c:pt idx="0">
                  <c:v>14</c:v>
                </c:pt>
                <c:pt idx="1">
                  <c:v>14</c:v>
                </c:pt>
                <c:pt idx="2">
                  <c:v>14</c:v>
                </c:pt>
                <c:pt idx="3">
                  <c:v>14</c:v>
                </c:pt>
                <c:pt idx="4">
                  <c:v>14</c:v>
                </c:pt>
                <c:pt idx="5">
                  <c:v>14</c:v>
                </c:pt>
                <c:pt idx="6">
                  <c:v>14</c:v>
                </c:pt>
                <c:pt idx="7">
                  <c:v>14</c:v>
                </c:pt>
                <c:pt idx="8">
                  <c:v>14</c:v>
                </c:pt>
                <c:pt idx="9">
                  <c:v>14</c:v>
                </c:pt>
                <c:pt idx="10">
                  <c:v>14</c:v>
                </c:pt>
                <c:pt idx="11">
                  <c:v>14</c:v>
                </c:pt>
                <c:pt idx="12">
                  <c:v>14</c:v>
                </c:pt>
                <c:pt idx="13">
                  <c:v>14</c:v>
                </c:pt>
                <c:pt idx="14">
                  <c:v>14</c:v>
                </c:pt>
                <c:pt idx="15">
                  <c:v>14</c:v>
                </c:pt>
                <c:pt idx="16">
                  <c:v>14</c:v>
                </c:pt>
                <c:pt idx="17">
                  <c:v>14</c:v>
                </c:pt>
                <c:pt idx="18">
                  <c:v>14</c:v>
                </c:pt>
                <c:pt idx="19">
                  <c:v>14</c:v>
                </c:pt>
                <c:pt idx="20">
                  <c:v>14</c:v>
                </c:pt>
                <c:pt idx="21">
                  <c:v>14</c:v>
                </c:pt>
                <c:pt idx="22">
                  <c:v>14</c:v>
                </c:pt>
                <c:pt idx="23">
                  <c:v>14</c:v>
                </c:pt>
                <c:pt idx="24">
                  <c:v>14</c:v>
                </c:pt>
                <c:pt idx="25">
                  <c:v>14</c:v>
                </c:pt>
                <c:pt idx="26">
                  <c:v>14</c:v>
                </c:pt>
                <c:pt idx="27">
                  <c:v>14</c:v>
                </c:pt>
                <c:pt idx="28">
                  <c:v>14</c:v>
                </c:pt>
                <c:pt idx="29">
                  <c:v>14</c:v>
                </c:pt>
                <c:pt idx="30">
                  <c:v>14</c:v>
                </c:pt>
                <c:pt idx="31">
                  <c:v>14</c:v>
                </c:pt>
                <c:pt idx="32">
                  <c:v>14</c:v>
                </c:pt>
                <c:pt idx="33">
                  <c:v>14</c:v>
                </c:pt>
                <c:pt idx="34">
                  <c:v>14</c:v>
                </c:pt>
                <c:pt idx="35">
                  <c:v>14</c:v>
                </c:pt>
                <c:pt idx="36">
                  <c:v>14</c:v>
                </c:pt>
                <c:pt idx="37">
                  <c:v>14</c:v>
                </c:pt>
                <c:pt idx="38">
                  <c:v>14</c:v>
                </c:pt>
                <c:pt idx="39">
                  <c:v>14</c:v>
                </c:pt>
                <c:pt idx="40">
                  <c:v>14</c:v>
                </c:pt>
                <c:pt idx="41">
                  <c:v>14</c:v>
                </c:pt>
                <c:pt idx="42">
                  <c:v>14</c:v>
                </c:pt>
                <c:pt idx="43">
                  <c:v>14</c:v>
                </c:pt>
                <c:pt idx="44">
                  <c:v>14</c:v>
                </c:pt>
                <c:pt idx="45">
                  <c:v>14</c:v>
                </c:pt>
                <c:pt idx="46">
                  <c:v>14</c:v>
                </c:pt>
                <c:pt idx="47">
                  <c:v>14</c:v>
                </c:pt>
                <c:pt idx="48">
                  <c:v>14</c:v>
                </c:pt>
                <c:pt idx="49">
                  <c:v>14</c:v>
                </c:pt>
                <c:pt idx="50">
                  <c:v>14</c:v>
                </c:pt>
                <c:pt idx="51">
                  <c:v>14</c:v>
                </c:pt>
                <c:pt idx="52">
                  <c:v>14</c:v>
                </c:pt>
                <c:pt idx="53">
                  <c:v>14</c:v>
                </c:pt>
                <c:pt idx="54">
                  <c:v>14</c:v>
                </c:pt>
                <c:pt idx="55">
                  <c:v>14</c:v>
                </c:pt>
                <c:pt idx="56">
                  <c:v>14</c:v>
                </c:pt>
                <c:pt idx="57">
                  <c:v>14</c:v>
                </c:pt>
                <c:pt idx="58">
                  <c:v>14</c:v>
                </c:pt>
                <c:pt idx="59">
                  <c:v>14</c:v>
                </c:pt>
                <c:pt idx="60">
                  <c:v>14</c:v>
                </c:pt>
                <c:pt idx="61">
                  <c:v>14</c:v>
                </c:pt>
                <c:pt idx="62">
                  <c:v>14</c:v>
                </c:pt>
                <c:pt idx="63">
                  <c:v>14</c:v>
                </c:pt>
                <c:pt idx="64">
                  <c:v>14</c:v>
                </c:pt>
                <c:pt idx="65">
                  <c:v>14</c:v>
                </c:pt>
                <c:pt idx="66">
                  <c:v>14</c:v>
                </c:pt>
                <c:pt idx="67">
                  <c:v>14</c:v>
                </c:pt>
                <c:pt idx="68">
                  <c:v>14</c:v>
                </c:pt>
                <c:pt idx="69">
                  <c:v>14</c:v>
                </c:pt>
                <c:pt idx="70">
                  <c:v>14</c:v>
                </c:pt>
                <c:pt idx="71">
                  <c:v>14</c:v>
                </c:pt>
              </c:numCache>
            </c:numRef>
          </c:val>
          <c:smooth val="0"/>
        </c:ser>
        <c:dLbls>
          <c:showLegendKey val="0"/>
          <c:showVal val="0"/>
          <c:showCatName val="0"/>
          <c:showSerName val="0"/>
          <c:showPercent val="0"/>
          <c:showBubbleSize val="0"/>
        </c:dLbls>
        <c:marker val="1"/>
        <c:smooth val="0"/>
        <c:axId val="361710720"/>
        <c:axId val="361712256"/>
      </c:lineChart>
      <c:catAx>
        <c:axId val="361710720"/>
        <c:scaling>
          <c:orientation val="minMax"/>
        </c:scaling>
        <c:delete val="0"/>
        <c:axPos val="b"/>
        <c:majorTickMark val="out"/>
        <c:minorTickMark val="none"/>
        <c:tickLblPos val="low"/>
        <c:crossAx val="361712256"/>
        <c:crosses val="autoZero"/>
        <c:auto val="1"/>
        <c:lblAlgn val="ctr"/>
        <c:lblOffset val="100"/>
        <c:noMultiLvlLbl val="0"/>
      </c:catAx>
      <c:valAx>
        <c:axId val="361712256"/>
        <c:scaling>
          <c:orientation val="minMax"/>
        </c:scaling>
        <c:delete val="0"/>
        <c:axPos val="l"/>
        <c:majorGridlines/>
        <c:title>
          <c:tx>
            <c:rich>
              <a:bodyPr rot="-5400000" vert="horz"/>
              <a:lstStyle/>
              <a:p>
                <a:pPr>
                  <a:defRPr/>
                </a:pPr>
                <a:r>
                  <a:rPr lang="de-CH"/>
                  <a:t>kWh</a:t>
                </a:r>
              </a:p>
            </c:rich>
          </c:tx>
          <c:overlay val="0"/>
        </c:title>
        <c:numFmt formatCode="General" sourceLinked="1"/>
        <c:majorTickMark val="out"/>
        <c:minorTickMark val="none"/>
        <c:tickLblPos val="nextTo"/>
        <c:crossAx val="36171072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Output_series!$J$13</c:f>
              <c:strCache>
                <c:ptCount val="1"/>
                <c:pt idx="0">
                  <c:v>required supply temperature of absorption generation heat input</c:v>
                </c:pt>
              </c:strCache>
            </c:strRef>
          </c:tx>
          <c:marker>
            <c:symbol val="none"/>
          </c:marker>
          <c:val>
            <c:numRef>
              <c:f>Output_series!$J$18:$J$89</c:f>
              <c:numCache>
                <c:formatCode>General</c:formatCode>
                <c:ptCount val="72"/>
                <c:pt idx="0">
                  <c:v>90</c:v>
                </c:pt>
                <c:pt idx="1">
                  <c:v>90</c:v>
                </c:pt>
                <c:pt idx="2">
                  <c:v>90</c:v>
                </c:pt>
                <c:pt idx="3">
                  <c:v>90</c:v>
                </c:pt>
                <c:pt idx="4">
                  <c:v>90</c:v>
                </c:pt>
                <c:pt idx="5">
                  <c:v>90</c:v>
                </c:pt>
                <c:pt idx="6">
                  <c:v>90</c:v>
                </c:pt>
                <c:pt idx="7">
                  <c:v>90</c:v>
                </c:pt>
                <c:pt idx="8">
                  <c:v>90</c:v>
                </c:pt>
                <c:pt idx="9">
                  <c:v>90</c:v>
                </c:pt>
                <c:pt idx="10">
                  <c:v>90</c:v>
                </c:pt>
                <c:pt idx="11">
                  <c:v>90</c:v>
                </c:pt>
                <c:pt idx="12">
                  <c:v>90</c:v>
                </c:pt>
                <c:pt idx="13">
                  <c:v>90</c:v>
                </c:pt>
                <c:pt idx="14">
                  <c:v>90</c:v>
                </c:pt>
                <c:pt idx="15">
                  <c:v>90</c:v>
                </c:pt>
                <c:pt idx="16">
                  <c:v>90</c:v>
                </c:pt>
                <c:pt idx="17">
                  <c:v>90</c:v>
                </c:pt>
                <c:pt idx="18">
                  <c:v>90</c:v>
                </c:pt>
                <c:pt idx="19">
                  <c:v>90</c:v>
                </c:pt>
                <c:pt idx="20">
                  <c:v>90</c:v>
                </c:pt>
                <c:pt idx="21">
                  <c:v>90</c:v>
                </c:pt>
                <c:pt idx="22">
                  <c:v>90</c:v>
                </c:pt>
                <c:pt idx="23">
                  <c:v>90</c:v>
                </c:pt>
                <c:pt idx="24">
                  <c:v>90</c:v>
                </c:pt>
                <c:pt idx="25">
                  <c:v>90</c:v>
                </c:pt>
                <c:pt idx="26">
                  <c:v>90</c:v>
                </c:pt>
                <c:pt idx="27">
                  <c:v>90</c:v>
                </c:pt>
                <c:pt idx="28">
                  <c:v>90</c:v>
                </c:pt>
                <c:pt idx="29">
                  <c:v>90</c:v>
                </c:pt>
                <c:pt idx="30">
                  <c:v>90</c:v>
                </c:pt>
                <c:pt idx="31">
                  <c:v>90</c:v>
                </c:pt>
                <c:pt idx="32">
                  <c:v>90</c:v>
                </c:pt>
                <c:pt idx="33">
                  <c:v>90</c:v>
                </c:pt>
                <c:pt idx="34">
                  <c:v>90</c:v>
                </c:pt>
                <c:pt idx="35">
                  <c:v>90</c:v>
                </c:pt>
                <c:pt idx="36">
                  <c:v>90</c:v>
                </c:pt>
                <c:pt idx="37">
                  <c:v>90</c:v>
                </c:pt>
                <c:pt idx="38">
                  <c:v>90</c:v>
                </c:pt>
                <c:pt idx="39">
                  <c:v>90</c:v>
                </c:pt>
                <c:pt idx="40">
                  <c:v>90</c:v>
                </c:pt>
                <c:pt idx="41">
                  <c:v>90</c:v>
                </c:pt>
                <c:pt idx="42">
                  <c:v>90</c:v>
                </c:pt>
                <c:pt idx="43">
                  <c:v>90</c:v>
                </c:pt>
                <c:pt idx="44">
                  <c:v>90</c:v>
                </c:pt>
                <c:pt idx="45">
                  <c:v>90</c:v>
                </c:pt>
                <c:pt idx="46">
                  <c:v>90</c:v>
                </c:pt>
                <c:pt idx="47">
                  <c:v>90</c:v>
                </c:pt>
                <c:pt idx="48">
                  <c:v>90</c:v>
                </c:pt>
                <c:pt idx="49">
                  <c:v>90</c:v>
                </c:pt>
                <c:pt idx="50">
                  <c:v>90</c:v>
                </c:pt>
                <c:pt idx="51">
                  <c:v>90</c:v>
                </c:pt>
                <c:pt idx="52">
                  <c:v>90</c:v>
                </c:pt>
                <c:pt idx="53">
                  <c:v>90</c:v>
                </c:pt>
                <c:pt idx="54">
                  <c:v>90</c:v>
                </c:pt>
                <c:pt idx="55">
                  <c:v>90</c:v>
                </c:pt>
                <c:pt idx="56">
                  <c:v>90</c:v>
                </c:pt>
                <c:pt idx="57">
                  <c:v>90</c:v>
                </c:pt>
                <c:pt idx="58">
                  <c:v>90</c:v>
                </c:pt>
                <c:pt idx="59">
                  <c:v>90</c:v>
                </c:pt>
                <c:pt idx="60">
                  <c:v>90</c:v>
                </c:pt>
                <c:pt idx="61">
                  <c:v>90</c:v>
                </c:pt>
                <c:pt idx="62">
                  <c:v>90</c:v>
                </c:pt>
                <c:pt idx="63">
                  <c:v>90</c:v>
                </c:pt>
                <c:pt idx="64">
                  <c:v>90</c:v>
                </c:pt>
                <c:pt idx="65">
                  <c:v>90</c:v>
                </c:pt>
                <c:pt idx="66">
                  <c:v>90</c:v>
                </c:pt>
                <c:pt idx="67">
                  <c:v>90</c:v>
                </c:pt>
                <c:pt idx="68">
                  <c:v>90</c:v>
                </c:pt>
                <c:pt idx="69">
                  <c:v>90</c:v>
                </c:pt>
                <c:pt idx="70">
                  <c:v>90</c:v>
                </c:pt>
                <c:pt idx="71">
                  <c:v>90</c:v>
                </c:pt>
              </c:numCache>
            </c:numRef>
          </c:val>
          <c:smooth val="0"/>
        </c:ser>
        <c:dLbls>
          <c:showLegendKey val="0"/>
          <c:showVal val="0"/>
          <c:showCatName val="0"/>
          <c:showSerName val="0"/>
          <c:showPercent val="0"/>
          <c:showBubbleSize val="0"/>
        </c:dLbls>
        <c:marker val="1"/>
        <c:smooth val="0"/>
        <c:axId val="361729024"/>
        <c:axId val="361743104"/>
      </c:lineChart>
      <c:catAx>
        <c:axId val="361729024"/>
        <c:scaling>
          <c:orientation val="minMax"/>
        </c:scaling>
        <c:delete val="0"/>
        <c:axPos val="b"/>
        <c:majorTickMark val="out"/>
        <c:minorTickMark val="none"/>
        <c:tickLblPos val="low"/>
        <c:crossAx val="361743104"/>
        <c:crosses val="autoZero"/>
        <c:auto val="1"/>
        <c:lblAlgn val="ctr"/>
        <c:lblOffset val="100"/>
        <c:noMultiLvlLbl val="0"/>
      </c:catAx>
      <c:valAx>
        <c:axId val="361743104"/>
        <c:scaling>
          <c:orientation val="minMax"/>
        </c:scaling>
        <c:delete val="0"/>
        <c:axPos val="l"/>
        <c:majorGridlines/>
        <c:title>
          <c:tx>
            <c:rich>
              <a:bodyPr rot="-5400000" vert="horz"/>
              <a:lstStyle/>
              <a:p>
                <a:pPr>
                  <a:defRPr/>
                </a:pPr>
                <a:r>
                  <a:rPr lang="de-CH"/>
                  <a:t>m3/h</a:t>
                </a:r>
              </a:p>
            </c:rich>
          </c:tx>
          <c:overlay val="0"/>
        </c:title>
        <c:numFmt formatCode="General" sourceLinked="1"/>
        <c:majorTickMark val="out"/>
        <c:minorTickMark val="none"/>
        <c:tickLblPos val="nextTo"/>
        <c:crossAx val="36172902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797542735042735"/>
          <c:y val="3.1298904538341159E-2"/>
        </c:manualLayout>
      </c:layout>
      <c:overlay val="0"/>
    </c:title>
    <c:autoTitleDeleted val="0"/>
    <c:plotArea>
      <c:layout/>
      <c:lineChart>
        <c:grouping val="standard"/>
        <c:varyColors val="0"/>
        <c:ser>
          <c:idx val="0"/>
          <c:order val="0"/>
          <c:tx>
            <c:strRef>
              <c:f>Output_series!$I$13</c:f>
              <c:strCache>
                <c:ptCount val="1"/>
                <c:pt idx="0">
                  <c:v>Required absorption cooling generation heat input</c:v>
                </c:pt>
              </c:strCache>
            </c:strRef>
          </c:tx>
          <c:marker>
            <c:symbol val="none"/>
          </c:marker>
          <c:val>
            <c:numRef>
              <c:f>Output_series!$I$18:$I$89</c:f>
              <c:numCache>
                <c:formatCode>0.000</c:formatCode>
                <c:ptCount val="72"/>
                <c:pt idx="0">
                  <c:v>12.864532158643614</c:v>
                </c:pt>
                <c:pt idx="1">
                  <c:v>0</c:v>
                </c:pt>
                <c:pt idx="2">
                  <c:v>0</c:v>
                </c:pt>
                <c:pt idx="3">
                  <c:v>0</c:v>
                </c:pt>
                <c:pt idx="4">
                  <c:v>0</c:v>
                </c:pt>
                <c:pt idx="5">
                  <c:v>13.02465167972611</c:v>
                </c:pt>
                <c:pt idx="6">
                  <c:v>44.533992201795414</c:v>
                </c:pt>
                <c:pt idx="7">
                  <c:v>15.233012383324832</c:v>
                </c:pt>
                <c:pt idx="8">
                  <c:v>62.058716113371553</c:v>
                </c:pt>
                <c:pt idx="9">
                  <c:v>94.578854163439516</c:v>
                </c:pt>
                <c:pt idx="10">
                  <c:v>99.107080413069951</c:v>
                </c:pt>
                <c:pt idx="11">
                  <c:v>99.107080413069966</c:v>
                </c:pt>
                <c:pt idx="12">
                  <c:v>99.107080413069966</c:v>
                </c:pt>
                <c:pt idx="13">
                  <c:v>99.107080413069951</c:v>
                </c:pt>
                <c:pt idx="14">
                  <c:v>99.107080413069966</c:v>
                </c:pt>
                <c:pt idx="15">
                  <c:v>99.107080413069966</c:v>
                </c:pt>
                <c:pt idx="16">
                  <c:v>99.107080413069966</c:v>
                </c:pt>
                <c:pt idx="17">
                  <c:v>85.740707552924974</c:v>
                </c:pt>
                <c:pt idx="18">
                  <c:v>68.067127190881138</c:v>
                </c:pt>
                <c:pt idx="19">
                  <c:v>15.486534914750589</c:v>
                </c:pt>
                <c:pt idx="20">
                  <c:v>15.322028758368772</c:v>
                </c:pt>
                <c:pt idx="21">
                  <c:v>14.531460402605775</c:v>
                </c:pt>
                <c:pt idx="22">
                  <c:v>13.975924823515356</c:v>
                </c:pt>
                <c:pt idx="23">
                  <c:v>13.652604159673837</c:v>
                </c:pt>
                <c:pt idx="24">
                  <c:v>13.78258043141004</c:v>
                </c:pt>
                <c:pt idx="25">
                  <c:v>13.621811792675652</c:v>
                </c:pt>
                <c:pt idx="26">
                  <c:v>13.507525548684956</c:v>
                </c:pt>
                <c:pt idx="27">
                  <c:v>13.40028382133092</c:v>
                </c:pt>
                <c:pt idx="28">
                  <c:v>13.295481840827124</c:v>
                </c:pt>
                <c:pt idx="29">
                  <c:v>13.517657447706645</c:v>
                </c:pt>
                <c:pt idx="30">
                  <c:v>30.904986367208704</c:v>
                </c:pt>
                <c:pt idx="31">
                  <c:v>16.922587391338315</c:v>
                </c:pt>
                <c:pt idx="32">
                  <c:v>56.784857658232582</c:v>
                </c:pt>
                <c:pt idx="33">
                  <c:v>96.952831798409377</c:v>
                </c:pt>
                <c:pt idx="34">
                  <c:v>99.107080413069966</c:v>
                </c:pt>
                <c:pt idx="35">
                  <c:v>99.107080413069966</c:v>
                </c:pt>
                <c:pt idx="36">
                  <c:v>99.10708041306998</c:v>
                </c:pt>
                <c:pt idx="37">
                  <c:v>99.107080413069966</c:v>
                </c:pt>
                <c:pt idx="38">
                  <c:v>99.107080413069966</c:v>
                </c:pt>
                <c:pt idx="39">
                  <c:v>99.107080413069966</c:v>
                </c:pt>
                <c:pt idx="40">
                  <c:v>99.107080413069966</c:v>
                </c:pt>
                <c:pt idx="41">
                  <c:v>88.827235639624618</c:v>
                </c:pt>
                <c:pt idx="42">
                  <c:v>58.639785140946323</c:v>
                </c:pt>
                <c:pt idx="43">
                  <c:v>15.651717936769794</c:v>
                </c:pt>
                <c:pt idx="44">
                  <c:v>14.901762461899528</c:v>
                </c:pt>
                <c:pt idx="45">
                  <c:v>14.773003999115499</c:v>
                </c:pt>
                <c:pt idx="46">
                  <c:v>14.341742276918279</c:v>
                </c:pt>
                <c:pt idx="47">
                  <c:v>14.161030125684247</c:v>
                </c:pt>
                <c:pt idx="48">
                  <c:v>13.655611933382788</c:v>
                </c:pt>
                <c:pt idx="49">
                  <c:v>13.576973644451058</c:v>
                </c:pt>
                <c:pt idx="50">
                  <c:v>13.372920033423137</c:v>
                </c:pt>
                <c:pt idx="51">
                  <c:v>13.190798304285336</c:v>
                </c:pt>
                <c:pt idx="52">
                  <c:v>13.011649170604837</c:v>
                </c:pt>
                <c:pt idx="53">
                  <c:v>12.78462031759857</c:v>
                </c:pt>
                <c:pt idx="54">
                  <c:v>9.3114349659207729</c:v>
                </c:pt>
                <c:pt idx="55">
                  <c:v>9.7013007846052979</c:v>
                </c:pt>
                <c:pt idx="56">
                  <c:v>10.016083533393093</c:v>
                </c:pt>
                <c:pt idx="57">
                  <c:v>11.082774087134849</c:v>
                </c:pt>
                <c:pt idx="58">
                  <c:v>16.595931704522339</c:v>
                </c:pt>
                <c:pt idx="59">
                  <c:v>34.280204344921586</c:v>
                </c:pt>
                <c:pt idx="60">
                  <c:v>25.536851177655372</c:v>
                </c:pt>
                <c:pt idx="61">
                  <c:v>30.975533025967668</c:v>
                </c:pt>
                <c:pt idx="62">
                  <c:v>47.925344608714909</c:v>
                </c:pt>
                <c:pt idx="63">
                  <c:v>24.062970593397193</c:v>
                </c:pt>
                <c:pt idx="64">
                  <c:v>14.919192999852637</c:v>
                </c:pt>
                <c:pt idx="65">
                  <c:v>11.111034171121657</c:v>
                </c:pt>
                <c:pt idx="66">
                  <c:v>9.773883303904821</c:v>
                </c:pt>
                <c:pt idx="67">
                  <c:v>13.065129648637486</c:v>
                </c:pt>
                <c:pt idx="68">
                  <c:v>12.792425858015797</c:v>
                </c:pt>
                <c:pt idx="69">
                  <c:v>12.552226726004163</c:v>
                </c:pt>
                <c:pt idx="70">
                  <c:v>0</c:v>
                </c:pt>
                <c:pt idx="71">
                  <c:v>0</c:v>
                </c:pt>
              </c:numCache>
            </c:numRef>
          </c:val>
          <c:smooth val="0"/>
        </c:ser>
        <c:dLbls>
          <c:showLegendKey val="0"/>
          <c:showVal val="0"/>
          <c:showCatName val="0"/>
          <c:showSerName val="0"/>
          <c:showPercent val="0"/>
          <c:showBubbleSize val="0"/>
        </c:dLbls>
        <c:marker val="1"/>
        <c:smooth val="0"/>
        <c:axId val="361776256"/>
        <c:axId val="361777792"/>
      </c:lineChart>
      <c:catAx>
        <c:axId val="361776256"/>
        <c:scaling>
          <c:orientation val="minMax"/>
        </c:scaling>
        <c:delete val="0"/>
        <c:axPos val="b"/>
        <c:majorTickMark val="out"/>
        <c:minorTickMark val="none"/>
        <c:tickLblPos val="low"/>
        <c:crossAx val="361777792"/>
        <c:crosses val="autoZero"/>
        <c:auto val="1"/>
        <c:lblAlgn val="ctr"/>
        <c:lblOffset val="100"/>
        <c:noMultiLvlLbl val="0"/>
      </c:catAx>
      <c:valAx>
        <c:axId val="361777792"/>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36177625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1"/>
          <c:order val="0"/>
          <c:tx>
            <c:strRef>
              <c:f>Output_series!$K$13</c:f>
              <c:strCache>
                <c:ptCount val="1"/>
                <c:pt idx="0">
                  <c:v>Recoverable heat of the cooling generation system</c:v>
                </c:pt>
              </c:strCache>
            </c:strRef>
          </c:tx>
          <c:marker>
            <c:symbol val="none"/>
          </c:marker>
          <c:val>
            <c:numRef>
              <c:f>Output_series!$K$18:$K$89</c:f>
              <c:numCache>
                <c:formatCode>0.000</c:formatCode>
                <c:ptCount val="72"/>
                <c:pt idx="0">
                  <c:v>20.542447158643615</c:v>
                </c:pt>
                <c:pt idx="1">
                  <c:v>0</c:v>
                </c:pt>
                <c:pt idx="2">
                  <c:v>0</c:v>
                </c:pt>
                <c:pt idx="3">
                  <c:v>0</c:v>
                </c:pt>
                <c:pt idx="4">
                  <c:v>0</c:v>
                </c:pt>
                <c:pt idx="5">
                  <c:v>20.705229679726109</c:v>
                </c:pt>
                <c:pt idx="6">
                  <c:v>69.47770220179541</c:v>
                </c:pt>
                <c:pt idx="7">
                  <c:v>23.470325383324834</c:v>
                </c:pt>
                <c:pt idx="8">
                  <c:v>94.864186113371545</c:v>
                </c:pt>
                <c:pt idx="9">
                  <c:v>148.8618941634395</c:v>
                </c:pt>
                <c:pt idx="10">
                  <c:v>187.23813798432377</c:v>
                </c:pt>
                <c:pt idx="11">
                  <c:v>230.81148448652414</c:v>
                </c:pt>
                <c:pt idx="12">
                  <c:v>187.96039752863891</c:v>
                </c:pt>
                <c:pt idx="13">
                  <c:v>202.53322198708406</c:v>
                </c:pt>
                <c:pt idx="14">
                  <c:v>235.89371305568099</c:v>
                </c:pt>
                <c:pt idx="15">
                  <c:v>186.78893768385672</c:v>
                </c:pt>
                <c:pt idx="16">
                  <c:v>165.34279944356555</c:v>
                </c:pt>
                <c:pt idx="17">
                  <c:v>133.38187755292498</c:v>
                </c:pt>
                <c:pt idx="18">
                  <c:v>106.00761719088113</c:v>
                </c:pt>
                <c:pt idx="19">
                  <c:v>24.218678914750591</c:v>
                </c:pt>
                <c:pt idx="20">
                  <c:v>23.495352758368771</c:v>
                </c:pt>
                <c:pt idx="21">
                  <c:v>22.475042402605776</c:v>
                </c:pt>
                <c:pt idx="22">
                  <c:v>21.741540823515358</c:v>
                </c:pt>
                <c:pt idx="23">
                  <c:v>21.377105159673839</c:v>
                </c:pt>
                <c:pt idx="24">
                  <c:v>21.489700431410039</c:v>
                </c:pt>
                <c:pt idx="25">
                  <c:v>21.328890792675651</c:v>
                </c:pt>
                <c:pt idx="26">
                  <c:v>21.203905548684958</c:v>
                </c:pt>
                <c:pt idx="27">
                  <c:v>21.091306821330921</c:v>
                </c:pt>
                <c:pt idx="28">
                  <c:v>20.983815840827123</c:v>
                </c:pt>
                <c:pt idx="29">
                  <c:v>21.219810447706646</c:v>
                </c:pt>
                <c:pt idx="30">
                  <c:v>47.9213063672087</c:v>
                </c:pt>
                <c:pt idx="31">
                  <c:v>25.939146391338312</c:v>
                </c:pt>
                <c:pt idx="32">
                  <c:v>87.655177658232589</c:v>
                </c:pt>
                <c:pt idx="33">
                  <c:v>149.17865179840936</c:v>
                </c:pt>
                <c:pt idx="34">
                  <c:v>191.40367411710281</c:v>
                </c:pt>
                <c:pt idx="35">
                  <c:v>239.43325931586236</c:v>
                </c:pt>
                <c:pt idx="36">
                  <c:v>198.29705725802609</c:v>
                </c:pt>
                <c:pt idx="37">
                  <c:v>212.72736202721137</c:v>
                </c:pt>
                <c:pt idx="38">
                  <c:v>239.86297805686672</c:v>
                </c:pt>
                <c:pt idx="39">
                  <c:v>190.40060661035986</c:v>
                </c:pt>
                <c:pt idx="40">
                  <c:v>167.9342010467405</c:v>
                </c:pt>
                <c:pt idx="41">
                  <c:v>135.73202563962462</c:v>
                </c:pt>
                <c:pt idx="42">
                  <c:v>90.070645140946326</c:v>
                </c:pt>
                <c:pt idx="43">
                  <c:v>24.093610936769792</c:v>
                </c:pt>
                <c:pt idx="44">
                  <c:v>23.025091461899528</c:v>
                </c:pt>
                <c:pt idx="45">
                  <c:v>22.644238999115498</c:v>
                </c:pt>
                <c:pt idx="46">
                  <c:v>22.077088276918278</c:v>
                </c:pt>
                <c:pt idx="47">
                  <c:v>21.880567125684248</c:v>
                </c:pt>
                <c:pt idx="48">
                  <c:v>21.304187933382789</c:v>
                </c:pt>
                <c:pt idx="49">
                  <c:v>21.219472644451059</c:v>
                </c:pt>
                <c:pt idx="50">
                  <c:v>21.006306033423137</c:v>
                </c:pt>
                <c:pt idx="51">
                  <c:v>20.818597304285333</c:v>
                </c:pt>
                <c:pt idx="52">
                  <c:v>20.623855170604838</c:v>
                </c:pt>
                <c:pt idx="53">
                  <c:v>20.384341317598569</c:v>
                </c:pt>
                <c:pt idx="54">
                  <c:v>14.835452965920773</c:v>
                </c:pt>
                <c:pt idx="55">
                  <c:v>15.259072784605298</c:v>
                </c:pt>
                <c:pt idx="56">
                  <c:v>15.607968533393095</c:v>
                </c:pt>
                <c:pt idx="57">
                  <c:v>17.158381087134849</c:v>
                </c:pt>
                <c:pt idx="58">
                  <c:v>25.513281704522342</c:v>
                </c:pt>
                <c:pt idx="59">
                  <c:v>52.42130434492158</c:v>
                </c:pt>
                <c:pt idx="60">
                  <c:v>40.113521177655372</c:v>
                </c:pt>
                <c:pt idx="61">
                  <c:v>48.531623025967669</c:v>
                </c:pt>
                <c:pt idx="62">
                  <c:v>75.135744608714901</c:v>
                </c:pt>
                <c:pt idx="63">
                  <c:v>37.773680593397188</c:v>
                </c:pt>
                <c:pt idx="64">
                  <c:v>23.481985999852636</c:v>
                </c:pt>
                <c:pt idx="65">
                  <c:v>17.193444171121655</c:v>
                </c:pt>
                <c:pt idx="66">
                  <c:v>15.363021303904821</c:v>
                </c:pt>
                <c:pt idx="67">
                  <c:v>20.723729648637487</c:v>
                </c:pt>
                <c:pt idx="68">
                  <c:v>20.442548858015797</c:v>
                </c:pt>
                <c:pt idx="69">
                  <c:v>20.188426726004163</c:v>
                </c:pt>
                <c:pt idx="70">
                  <c:v>0</c:v>
                </c:pt>
                <c:pt idx="71">
                  <c:v>0</c:v>
                </c:pt>
              </c:numCache>
            </c:numRef>
          </c:val>
          <c:smooth val="0"/>
        </c:ser>
        <c:dLbls>
          <c:showLegendKey val="0"/>
          <c:showVal val="0"/>
          <c:showCatName val="0"/>
          <c:showSerName val="0"/>
          <c:showPercent val="0"/>
          <c:showBubbleSize val="0"/>
        </c:dLbls>
        <c:marker val="1"/>
        <c:smooth val="0"/>
        <c:axId val="361786368"/>
        <c:axId val="361796352"/>
      </c:lineChart>
      <c:catAx>
        <c:axId val="361786368"/>
        <c:scaling>
          <c:orientation val="minMax"/>
        </c:scaling>
        <c:delete val="0"/>
        <c:axPos val="b"/>
        <c:majorTickMark val="out"/>
        <c:minorTickMark val="none"/>
        <c:tickLblPos val="nextTo"/>
        <c:crossAx val="361796352"/>
        <c:crosses val="autoZero"/>
        <c:auto val="1"/>
        <c:lblAlgn val="ctr"/>
        <c:lblOffset val="100"/>
        <c:noMultiLvlLbl val="0"/>
      </c:catAx>
      <c:valAx>
        <c:axId val="361796352"/>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de-CH" sz="1000" b="1" i="0" baseline="0">
                    <a:effectLst/>
                  </a:rPr>
                  <a:t>factor</a:t>
                </a:r>
                <a:endParaRPr lang="de-CH" sz="1000">
                  <a:effectLst/>
                </a:endParaRPr>
              </a:p>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de-CH" sz="1000"/>
              </a:p>
            </c:rich>
          </c:tx>
          <c:layout>
            <c:manualLayout>
              <c:xMode val="edge"/>
              <c:yMode val="edge"/>
              <c:x val="3.0555555555555555E-2"/>
              <c:y val="0.54008311461067371"/>
            </c:manualLayout>
          </c:layout>
          <c:overlay val="0"/>
        </c:title>
        <c:numFmt formatCode="0.000" sourceLinked="1"/>
        <c:majorTickMark val="out"/>
        <c:minorTickMark val="none"/>
        <c:tickLblPos val="nextTo"/>
        <c:crossAx val="36178636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Output_series!$L$13</c:f>
              <c:strCache>
                <c:ptCount val="1"/>
                <c:pt idx="0">
                  <c:v>Max. temperature level of recoverable heat</c:v>
                </c:pt>
              </c:strCache>
            </c:strRef>
          </c:tx>
          <c:marker>
            <c:symbol val="none"/>
          </c:marker>
          <c:val>
            <c:numRef>
              <c:f>Output_series!$L$18:$L$89</c:f>
              <c:numCache>
                <c:formatCode>General</c:formatCode>
                <c:ptCount val="72"/>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pt idx="16">
                  <c:v>40</c:v>
                </c:pt>
                <c:pt idx="17">
                  <c:v>40</c:v>
                </c:pt>
                <c:pt idx="18">
                  <c:v>40</c:v>
                </c:pt>
                <c:pt idx="19">
                  <c:v>40</c:v>
                </c:pt>
                <c:pt idx="20">
                  <c:v>40</c:v>
                </c:pt>
                <c:pt idx="21">
                  <c:v>40</c:v>
                </c:pt>
                <c:pt idx="22">
                  <c:v>40</c:v>
                </c:pt>
                <c:pt idx="23">
                  <c:v>40</c:v>
                </c:pt>
                <c:pt idx="24">
                  <c:v>40</c:v>
                </c:pt>
                <c:pt idx="25">
                  <c:v>40</c:v>
                </c:pt>
                <c:pt idx="26">
                  <c:v>40</c:v>
                </c:pt>
                <c:pt idx="27">
                  <c:v>40</c:v>
                </c:pt>
                <c:pt idx="28">
                  <c:v>40</c:v>
                </c:pt>
                <c:pt idx="29">
                  <c:v>40</c:v>
                </c:pt>
                <c:pt idx="30">
                  <c:v>40</c:v>
                </c:pt>
                <c:pt idx="31">
                  <c:v>40</c:v>
                </c:pt>
                <c:pt idx="32">
                  <c:v>40</c:v>
                </c:pt>
                <c:pt idx="33">
                  <c:v>40</c:v>
                </c:pt>
                <c:pt idx="34">
                  <c:v>40</c:v>
                </c:pt>
                <c:pt idx="35">
                  <c:v>40</c:v>
                </c:pt>
                <c:pt idx="36">
                  <c:v>40</c:v>
                </c:pt>
                <c:pt idx="37">
                  <c:v>40</c:v>
                </c:pt>
                <c:pt idx="38">
                  <c:v>40</c:v>
                </c:pt>
                <c:pt idx="39">
                  <c:v>40</c:v>
                </c:pt>
                <c:pt idx="40">
                  <c:v>40</c:v>
                </c:pt>
                <c:pt idx="41">
                  <c:v>40</c:v>
                </c:pt>
                <c:pt idx="42">
                  <c:v>40</c:v>
                </c:pt>
                <c:pt idx="43">
                  <c:v>40</c:v>
                </c:pt>
                <c:pt idx="44">
                  <c:v>40</c:v>
                </c:pt>
                <c:pt idx="45">
                  <c:v>40</c:v>
                </c:pt>
                <c:pt idx="46">
                  <c:v>40</c:v>
                </c:pt>
                <c:pt idx="47">
                  <c:v>40</c:v>
                </c:pt>
                <c:pt idx="48">
                  <c:v>40</c:v>
                </c:pt>
                <c:pt idx="49">
                  <c:v>40</c:v>
                </c:pt>
                <c:pt idx="50">
                  <c:v>40</c:v>
                </c:pt>
                <c:pt idx="51">
                  <c:v>40</c:v>
                </c:pt>
                <c:pt idx="52">
                  <c:v>40</c:v>
                </c:pt>
                <c:pt idx="53">
                  <c:v>40</c:v>
                </c:pt>
                <c:pt idx="54">
                  <c:v>40</c:v>
                </c:pt>
                <c:pt idx="55">
                  <c:v>40</c:v>
                </c:pt>
                <c:pt idx="56">
                  <c:v>40</c:v>
                </c:pt>
                <c:pt idx="57">
                  <c:v>40</c:v>
                </c:pt>
                <c:pt idx="58">
                  <c:v>40</c:v>
                </c:pt>
                <c:pt idx="59">
                  <c:v>40</c:v>
                </c:pt>
                <c:pt idx="60">
                  <c:v>40</c:v>
                </c:pt>
                <c:pt idx="61">
                  <c:v>40</c:v>
                </c:pt>
                <c:pt idx="62">
                  <c:v>40</c:v>
                </c:pt>
                <c:pt idx="63">
                  <c:v>40</c:v>
                </c:pt>
                <c:pt idx="64">
                  <c:v>40</c:v>
                </c:pt>
                <c:pt idx="65">
                  <c:v>40</c:v>
                </c:pt>
                <c:pt idx="66">
                  <c:v>40</c:v>
                </c:pt>
                <c:pt idx="67">
                  <c:v>40</c:v>
                </c:pt>
                <c:pt idx="68">
                  <c:v>40</c:v>
                </c:pt>
                <c:pt idx="69">
                  <c:v>40</c:v>
                </c:pt>
                <c:pt idx="70">
                  <c:v>40</c:v>
                </c:pt>
                <c:pt idx="71">
                  <c:v>40</c:v>
                </c:pt>
              </c:numCache>
            </c:numRef>
          </c:val>
          <c:smooth val="0"/>
        </c:ser>
        <c:dLbls>
          <c:showLegendKey val="0"/>
          <c:showVal val="0"/>
          <c:showCatName val="0"/>
          <c:showSerName val="0"/>
          <c:showPercent val="0"/>
          <c:showBubbleSize val="0"/>
        </c:dLbls>
        <c:marker val="1"/>
        <c:smooth val="0"/>
        <c:axId val="362300544"/>
        <c:axId val="362302080"/>
      </c:lineChart>
      <c:catAx>
        <c:axId val="362300544"/>
        <c:scaling>
          <c:orientation val="minMax"/>
        </c:scaling>
        <c:delete val="0"/>
        <c:axPos val="b"/>
        <c:majorTickMark val="out"/>
        <c:minorTickMark val="none"/>
        <c:tickLblPos val="nextTo"/>
        <c:crossAx val="362302080"/>
        <c:crosses val="autoZero"/>
        <c:auto val="1"/>
        <c:lblAlgn val="ctr"/>
        <c:lblOffset val="100"/>
        <c:noMultiLvlLbl val="0"/>
      </c:catAx>
      <c:valAx>
        <c:axId val="362302080"/>
        <c:scaling>
          <c:orientation val="minMax"/>
        </c:scaling>
        <c:delete val="0"/>
        <c:axPos val="l"/>
        <c:majorGridlines/>
        <c:title>
          <c:tx>
            <c:rich>
              <a:bodyPr rot="-5400000" vert="horz"/>
              <a:lstStyle/>
              <a:p>
                <a:pPr>
                  <a:defRPr/>
                </a:pPr>
                <a:r>
                  <a:rPr lang="de-CH"/>
                  <a:t>°C</a:t>
                </a:r>
              </a:p>
            </c:rich>
          </c:tx>
          <c:overlay val="0"/>
        </c:title>
        <c:numFmt formatCode="General" sourceLinked="1"/>
        <c:majorTickMark val="out"/>
        <c:minorTickMark val="none"/>
        <c:tickLblPos val="nextTo"/>
        <c:crossAx val="36230054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Output_series!$M$13</c:f>
              <c:strCache>
                <c:ptCount val="1"/>
                <c:pt idx="0">
                  <c:v>Required energy to be extracted by the generation system</c:v>
                </c:pt>
              </c:strCache>
            </c:strRef>
          </c:tx>
          <c:marker>
            <c:symbol val="none"/>
          </c:marker>
          <c:val>
            <c:numRef>
              <c:f>Output_series!$M$18:$M$89</c:f>
              <c:numCache>
                <c:formatCode>0.000</c:formatCode>
                <c:ptCount val="72"/>
                <c:pt idx="0">
                  <c:v>7.6779149999999996</c:v>
                </c:pt>
                <c:pt idx="1">
                  <c:v>7.6578629999999999</c:v>
                </c:pt>
                <c:pt idx="2">
                  <c:v>7.6583290000000002</c:v>
                </c:pt>
                <c:pt idx="3">
                  <c:v>7.6552290000000003</c:v>
                </c:pt>
                <c:pt idx="4">
                  <c:v>7.6556890000000006</c:v>
                </c:pt>
                <c:pt idx="5">
                  <c:v>7.6805780000000006</c:v>
                </c:pt>
                <c:pt idx="6">
                  <c:v>24.943709999999999</c:v>
                </c:pt>
                <c:pt idx="7">
                  <c:v>8.2373130000000003</c:v>
                </c:pt>
                <c:pt idx="8">
                  <c:v>32.80547</c:v>
                </c:pt>
                <c:pt idx="9">
                  <c:v>54.28304</c:v>
                </c:pt>
                <c:pt idx="10">
                  <c:v>83.536179999999987</c:v>
                </c:pt>
                <c:pt idx="11">
                  <c:v>121.3237</c:v>
                </c:pt>
                <c:pt idx="12">
                  <c:v>83.938570000000013</c:v>
                </c:pt>
                <c:pt idx="13">
                  <c:v>96.63897</c:v>
                </c:pt>
                <c:pt idx="14">
                  <c:v>126.8655</c:v>
                </c:pt>
                <c:pt idx="15">
                  <c:v>83.362300000000005</c:v>
                </c:pt>
                <c:pt idx="16">
                  <c:v>64.910240000000002</c:v>
                </c:pt>
                <c:pt idx="17">
                  <c:v>47.641169999999995</c:v>
                </c:pt>
                <c:pt idx="18">
                  <c:v>37.940489999999997</c:v>
                </c:pt>
                <c:pt idx="19">
                  <c:v>8.7321439999999999</c:v>
                </c:pt>
                <c:pt idx="20">
                  <c:v>8.1733239999999991</c:v>
                </c:pt>
                <c:pt idx="21">
                  <c:v>7.9435820000000001</c:v>
                </c:pt>
                <c:pt idx="22">
                  <c:v>7.7656159999999996</c:v>
                </c:pt>
                <c:pt idx="23">
                  <c:v>7.7245010000000001</c:v>
                </c:pt>
                <c:pt idx="24">
                  <c:v>7.7071199999999997</c:v>
                </c:pt>
                <c:pt idx="25">
                  <c:v>7.7070789999999993</c:v>
                </c:pt>
                <c:pt idx="26">
                  <c:v>7.6963800000000004</c:v>
                </c:pt>
                <c:pt idx="27">
                  <c:v>7.6910230000000004</c:v>
                </c:pt>
                <c:pt idx="28">
                  <c:v>7.6883340000000002</c:v>
                </c:pt>
                <c:pt idx="29">
                  <c:v>7.702153</c:v>
                </c:pt>
                <c:pt idx="30">
                  <c:v>17.01632</c:v>
                </c:pt>
                <c:pt idx="31">
                  <c:v>9.0165589999999991</c:v>
                </c:pt>
                <c:pt idx="32">
                  <c:v>30.87032</c:v>
                </c:pt>
                <c:pt idx="33">
                  <c:v>52.225819999999999</c:v>
                </c:pt>
                <c:pt idx="34">
                  <c:v>84.880560000000003</c:v>
                </c:pt>
                <c:pt idx="35">
                  <c:v>126.2893</c:v>
                </c:pt>
                <c:pt idx="36">
                  <c:v>90.222830000000002</c:v>
                </c:pt>
                <c:pt idx="37">
                  <c:v>103.12130000000001</c:v>
                </c:pt>
                <c:pt idx="38">
                  <c:v>126.6562</c:v>
                </c:pt>
                <c:pt idx="39">
                  <c:v>84.229690000000005</c:v>
                </c:pt>
                <c:pt idx="40">
                  <c:v>66.01652</c:v>
                </c:pt>
                <c:pt idx="41">
                  <c:v>46.904789999999998</c:v>
                </c:pt>
                <c:pt idx="42">
                  <c:v>31.430859999999999</c:v>
                </c:pt>
                <c:pt idx="43">
                  <c:v>8.4418930000000003</c:v>
                </c:pt>
                <c:pt idx="44">
                  <c:v>8.123329</c:v>
                </c:pt>
                <c:pt idx="45">
                  <c:v>7.8712349999999995</c:v>
                </c:pt>
                <c:pt idx="46">
                  <c:v>7.7353459999999998</c:v>
                </c:pt>
                <c:pt idx="47">
                  <c:v>7.7195369999999999</c:v>
                </c:pt>
                <c:pt idx="48">
                  <c:v>7.6485760000000003</c:v>
                </c:pt>
                <c:pt idx="49">
                  <c:v>7.6424989999999999</c:v>
                </c:pt>
                <c:pt idx="50">
                  <c:v>7.6333860000000007</c:v>
                </c:pt>
                <c:pt idx="51">
                  <c:v>7.6277989999999996</c:v>
                </c:pt>
                <c:pt idx="52">
                  <c:v>7.6122060000000005</c:v>
                </c:pt>
                <c:pt idx="53">
                  <c:v>7.5997209999999997</c:v>
                </c:pt>
                <c:pt idx="54">
                  <c:v>5.5240179999999999</c:v>
                </c:pt>
                <c:pt idx="55">
                  <c:v>5.5577719999999999</c:v>
                </c:pt>
                <c:pt idx="56">
                  <c:v>5.5918850000000004</c:v>
                </c:pt>
                <c:pt idx="57">
                  <c:v>6.0756069999999998</c:v>
                </c:pt>
                <c:pt idx="58">
                  <c:v>8.9173500000000008</c:v>
                </c:pt>
                <c:pt idx="59">
                  <c:v>18.141099999999998</c:v>
                </c:pt>
                <c:pt idx="60">
                  <c:v>14.57667</c:v>
                </c:pt>
                <c:pt idx="61">
                  <c:v>17.556090000000001</c:v>
                </c:pt>
                <c:pt idx="62">
                  <c:v>27.2104</c:v>
                </c:pt>
                <c:pt idx="63">
                  <c:v>13.710709999999999</c:v>
                </c:pt>
                <c:pt idx="64">
                  <c:v>8.5627929999999992</c:v>
                </c:pt>
                <c:pt idx="65">
                  <c:v>6.0824099999999994</c:v>
                </c:pt>
                <c:pt idx="66">
                  <c:v>5.5891380000000002</c:v>
                </c:pt>
                <c:pt idx="67">
                  <c:v>7.6586000000000007</c:v>
                </c:pt>
                <c:pt idx="68">
                  <c:v>7.6501229999999998</c:v>
                </c:pt>
                <c:pt idx="69">
                  <c:v>7.6361999999999997</c:v>
                </c:pt>
                <c:pt idx="70">
                  <c:v>7.627135</c:v>
                </c:pt>
                <c:pt idx="71">
                  <c:v>7.6207719999999997</c:v>
                </c:pt>
              </c:numCache>
            </c:numRef>
          </c:val>
          <c:smooth val="0"/>
        </c:ser>
        <c:dLbls>
          <c:showLegendKey val="0"/>
          <c:showVal val="0"/>
          <c:showCatName val="0"/>
          <c:showSerName val="0"/>
          <c:showPercent val="0"/>
          <c:showBubbleSize val="0"/>
        </c:dLbls>
        <c:marker val="1"/>
        <c:smooth val="0"/>
        <c:axId val="362314752"/>
        <c:axId val="362337024"/>
      </c:lineChart>
      <c:catAx>
        <c:axId val="362314752"/>
        <c:scaling>
          <c:orientation val="minMax"/>
        </c:scaling>
        <c:delete val="0"/>
        <c:axPos val="b"/>
        <c:majorTickMark val="out"/>
        <c:minorTickMark val="none"/>
        <c:tickLblPos val="nextTo"/>
        <c:crossAx val="362337024"/>
        <c:crosses val="autoZero"/>
        <c:auto val="1"/>
        <c:lblAlgn val="ctr"/>
        <c:lblOffset val="100"/>
        <c:noMultiLvlLbl val="0"/>
      </c:catAx>
      <c:valAx>
        <c:axId val="362337024"/>
        <c:scaling>
          <c:orientation val="minMax"/>
        </c:scaling>
        <c:delete val="0"/>
        <c:axPos val="l"/>
        <c:majorGridlines/>
        <c:title>
          <c:tx>
            <c:rich>
              <a:bodyPr rot="-5400000" vert="horz"/>
              <a:lstStyle/>
              <a:p>
                <a:pPr>
                  <a:defRPr/>
                </a:pPr>
                <a:r>
                  <a:rPr lang="de-CH"/>
                  <a:t>kg/kg dry air</a:t>
                </a:r>
              </a:p>
            </c:rich>
          </c:tx>
          <c:overlay val="0"/>
        </c:title>
        <c:numFmt formatCode="0.000" sourceLinked="1"/>
        <c:majorTickMark val="out"/>
        <c:minorTickMark val="none"/>
        <c:tickLblPos val="nextTo"/>
        <c:crossAx val="36231475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Output_series!$N$13</c:f>
              <c:strCache>
                <c:ptCount val="1"/>
                <c:pt idx="0">
                  <c:v>Number of generators</c:v>
                </c:pt>
              </c:strCache>
            </c:strRef>
          </c:tx>
          <c:marker>
            <c:symbol val="none"/>
          </c:marker>
          <c:val>
            <c:numRef>
              <c:f>Output_series!$N$18:$N$89</c:f>
              <c:numCache>
                <c:formatCode>General</c:formatCode>
                <c:ptCount val="72"/>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numCache>
            </c:numRef>
          </c:val>
          <c:smooth val="0"/>
        </c:ser>
        <c:dLbls>
          <c:showLegendKey val="0"/>
          <c:showVal val="0"/>
          <c:showCatName val="0"/>
          <c:showSerName val="0"/>
          <c:showPercent val="0"/>
          <c:showBubbleSize val="0"/>
        </c:dLbls>
        <c:marker val="1"/>
        <c:smooth val="0"/>
        <c:axId val="362091648"/>
        <c:axId val="362093184"/>
      </c:lineChart>
      <c:catAx>
        <c:axId val="362091648"/>
        <c:scaling>
          <c:orientation val="minMax"/>
        </c:scaling>
        <c:delete val="0"/>
        <c:axPos val="b"/>
        <c:majorTickMark val="out"/>
        <c:minorTickMark val="none"/>
        <c:tickLblPos val="low"/>
        <c:crossAx val="362093184"/>
        <c:crosses val="autoZero"/>
        <c:auto val="1"/>
        <c:lblAlgn val="ctr"/>
        <c:lblOffset val="100"/>
        <c:noMultiLvlLbl val="0"/>
      </c:catAx>
      <c:valAx>
        <c:axId val="362093184"/>
        <c:scaling>
          <c:orientation val="minMax"/>
        </c:scaling>
        <c:delete val="0"/>
        <c:axPos val="l"/>
        <c:majorGridlines/>
        <c:title>
          <c:tx>
            <c:rich>
              <a:bodyPr rot="-5400000" vert="horz"/>
              <a:lstStyle/>
              <a:p>
                <a:pPr>
                  <a:defRPr/>
                </a:pPr>
                <a:r>
                  <a:rPr lang="de-CH"/>
                  <a:t>kWh</a:t>
                </a:r>
              </a:p>
            </c:rich>
          </c:tx>
          <c:overlay val="0"/>
        </c:title>
        <c:numFmt formatCode="General" sourceLinked="1"/>
        <c:majorTickMark val="out"/>
        <c:minorTickMark val="none"/>
        <c:tickLblPos val="nextTo"/>
        <c:crossAx val="36209164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Output_series!$O$13</c:f>
              <c:strCache>
                <c:ptCount val="1"/>
                <c:pt idx="0">
                  <c:v>Maximum heat extraction of generator j=1 at the current time step</c:v>
                </c:pt>
              </c:strCache>
            </c:strRef>
          </c:tx>
          <c:marker>
            <c:symbol val="none"/>
          </c:marker>
          <c:val>
            <c:numRef>
              <c:f>Output_series!$O$18:$O$89</c:f>
              <c:numCache>
                <c:formatCode>0.000</c:formatCode>
                <c:ptCount val="72"/>
                <c:pt idx="0">
                  <c:v>259.66327562615271</c:v>
                </c:pt>
                <c:pt idx="1">
                  <c:v>284.51315914654731</c:v>
                </c:pt>
                <c:pt idx="2">
                  <c:v>293.88823459120437</c:v>
                </c:pt>
                <c:pt idx="3">
                  <c:v>293.88823459120437</c:v>
                </c:pt>
                <c:pt idx="4">
                  <c:v>293.88823459120437</c:v>
                </c:pt>
                <c:pt idx="5">
                  <c:v>245.37558342662751</c:v>
                </c:pt>
                <c:pt idx="6">
                  <c:v>195.24173960468968</c:v>
                </c:pt>
                <c:pt idx="7">
                  <c:v>166.14523845409875</c:v>
                </c:pt>
                <c:pt idx="8">
                  <c:v>148.61192060709536</c:v>
                </c:pt>
                <c:pt idx="9">
                  <c:v>217.45652411094767</c:v>
                </c:pt>
                <c:pt idx="10">
                  <c:v>204.18114241339811</c:v>
                </c:pt>
                <c:pt idx="11">
                  <c:v>193.82738999495493</c:v>
                </c:pt>
                <c:pt idx="12">
                  <c:v>198.13327856857114</c:v>
                </c:pt>
                <c:pt idx="13">
                  <c:v>204.18114241339811</c:v>
                </c:pt>
                <c:pt idx="14">
                  <c:v>212.28077379578536</c:v>
                </c:pt>
                <c:pt idx="15">
                  <c:v>210.60984368034968</c:v>
                </c:pt>
                <c:pt idx="16">
                  <c:v>212.28077379578536</c:v>
                </c:pt>
                <c:pt idx="17">
                  <c:v>188.36913475175447</c:v>
                </c:pt>
                <c:pt idx="18">
                  <c:v>191.05928694007511</c:v>
                </c:pt>
                <c:pt idx="19">
                  <c:v>201.11175269084376</c:v>
                </c:pt>
                <c:pt idx="20">
                  <c:v>155.52235613696783</c:v>
                </c:pt>
                <c:pt idx="21">
                  <c:v>174.83010319147212</c:v>
                </c:pt>
                <c:pt idx="22">
                  <c:v>188.36913475175447</c:v>
                </c:pt>
                <c:pt idx="23">
                  <c:v>204.18114241339811</c:v>
                </c:pt>
                <c:pt idx="24">
                  <c:v>193.82738999495493</c:v>
                </c:pt>
                <c:pt idx="25">
                  <c:v>204.18114241339811</c:v>
                </c:pt>
                <c:pt idx="26">
                  <c:v>210.60984368034968</c:v>
                </c:pt>
                <c:pt idx="27">
                  <c:v>217.45652411094767</c:v>
                </c:pt>
                <c:pt idx="28">
                  <c:v>224.7633174704097</c:v>
                </c:pt>
                <c:pt idx="29">
                  <c:v>210.60984368034968</c:v>
                </c:pt>
                <c:pt idx="30">
                  <c:v>180.73479096445874</c:v>
                </c:pt>
                <c:pt idx="31">
                  <c:v>154.62360885275928</c:v>
                </c:pt>
                <c:pt idx="32">
                  <c:v>170.37706623310683</c:v>
                </c:pt>
                <c:pt idx="33">
                  <c:v>163.10680181128592</c:v>
                </c:pt>
                <c:pt idx="34">
                  <c:v>157.35156308718533</c:v>
                </c:pt>
                <c:pt idx="35">
                  <c:v>156.43161241331515</c:v>
                </c:pt>
                <c:pt idx="36">
                  <c:v>153.73518941643314</c:v>
                </c:pt>
                <c:pt idx="37">
                  <c:v>157.35156308718533</c:v>
                </c:pt>
                <c:pt idx="38">
                  <c:v>156.43161241331515</c:v>
                </c:pt>
                <c:pt idx="39">
                  <c:v>160.17750214314987</c:v>
                </c:pt>
                <c:pt idx="40">
                  <c:v>163.10680181128592</c:v>
                </c:pt>
                <c:pt idx="41">
                  <c:v>147.79105745292551</c:v>
                </c:pt>
                <c:pt idx="42">
                  <c:v>159.22431131538985</c:v>
                </c:pt>
                <c:pt idx="43">
                  <c:v>164.10719019572849</c:v>
                </c:pt>
                <c:pt idx="44">
                  <c:v>172.57486349803193</c:v>
                </c:pt>
                <c:pt idx="45">
                  <c:v>154.62360885275928</c:v>
                </c:pt>
                <c:pt idx="46">
                  <c:v>164.10719019572849</c:v>
                </c:pt>
                <c:pt idx="47">
                  <c:v>172.57486349803193</c:v>
                </c:pt>
                <c:pt idx="48">
                  <c:v>195.24173960468968</c:v>
                </c:pt>
                <c:pt idx="49">
                  <c:v>199.61140552513197</c:v>
                </c:pt>
                <c:pt idx="50">
                  <c:v>212.28077379578536</c:v>
                </c:pt>
                <c:pt idx="51">
                  <c:v>224.7633174704097</c:v>
                </c:pt>
                <c:pt idx="52">
                  <c:v>236.69306278230076</c:v>
                </c:pt>
                <c:pt idx="53">
                  <c:v>254.71935564320447</c:v>
                </c:pt>
                <c:pt idx="54">
                  <c:v>252.31732809921357</c:v>
                </c:pt>
                <c:pt idx="55">
                  <c:v>215.70345714475354</c:v>
                </c:pt>
                <c:pt idx="56">
                  <c:v>192.43338437585422</c:v>
                </c:pt>
                <c:pt idx="57">
                  <c:v>177.14506713701263</c:v>
                </c:pt>
                <c:pt idx="58">
                  <c:v>161.14217419062103</c:v>
                </c:pt>
                <c:pt idx="59">
                  <c:v>149.44195318940794</c:v>
                </c:pt>
                <c:pt idx="60">
                  <c:v>212.28077379578536</c:v>
                </c:pt>
                <c:pt idx="61">
                  <c:v>205.75124146906785</c:v>
                </c:pt>
                <c:pt idx="62">
                  <c:v>207.34567494406397</c:v>
                </c:pt>
                <c:pt idx="63">
                  <c:v>210.60984368034968</c:v>
                </c:pt>
                <c:pt idx="64">
                  <c:v>217.45652411094767</c:v>
                </c:pt>
                <c:pt idx="65">
                  <c:v>175.97997232884811</c:v>
                </c:pt>
                <c:pt idx="66">
                  <c:v>213.97842949721209</c:v>
                </c:pt>
                <c:pt idx="67">
                  <c:v>238.80557362591452</c:v>
                </c:pt>
                <c:pt idx="68">
                  <c:v>262.2079093455398</c:v>
                </c:pt>
                <c:pt idx="69">
                  <c:v>287.57101085700089</c:v>
                </c:pt>
                <c:pt idx="70">
                  <c:v>293.88823459120437</c:v>
                </c:pt>
                <c:pt idx="71">
                  <c:v>293.88823459120437</c:v>
                </c:pt>
              </c:numCache>
            </c:numRef>
          </c:val>
          <c:smooth val="0"/>
        </c:ser>
        <c:dLbls>
          <c:showLegendKey val="0"/>
          <c:showVal val="0"/>
          <c:showCatName val="0"/>
          <c:showSerName val="0"/>
          <c:showPercent val="0"/>
          <c:showBubbleSize val="0"/>
        </c:dLbls>
        <c:marker val="1"/>
        <c:smooth val="0"/>
        <c:axId val="362130432"/>
        <c:axId val="362140416"/>
      </c:lineChart>
      <c:catAx>
        <c:axId val="362130432"/>
        <c:scaling>
          <c:orientation val="minMax"/>
        </c:scaling>
        <c:delete val="0"/>
        <c:axPos val="b"/>
        <c:majorTickMark val="out"/>
        <c:minorTickMark val="none"/>
        <c:tickLblPos val="low"/>
        <c:crossAx val="362140416"/>
        <c:crosses val="autoZero"/>
        <c:auto val="1"/>
        <c:lblAlgn val="ctr"/>
        <c:lblOffset val="100"/>
        <c:noMultiLvlLbl val="0"/>
      </c:catAx>
      <c:valAx>
        <c:axId val="362140416"/>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36213043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Output_series!$P$13</c:f>
              <c:strCache>
                <c:ptCount val="1"/>
                <c:pt idx="0">
                  <c:v>Maximum heat extraction of generator j=2 at the current time step</c:v>
                </c:pt>
              </c:strCache>
            </c:strRef>
          </c:tx>
          <c:marker>
            <c:symbol val="none"/>
          </c:marker>
          <c:val>
            <c:numRef>
              <c:f>Output_series!$P$18:$P$89</c:f>
              <c:numCache>
                <c:formatCode>0.000</c:formatCode>
                <c:ptCount val="72"/>
                <c:pt idx="0">
                  <c:v>59.149896002898721</c:v>
                </c:pt>
                <c:pt idx="1">
                  <c:v>60.184955302326287</c:v>
                </c:pt>
                <c:pt idx="2">
                  <c:v>60.497875968729652</c:v>
                </c:pt>
                <c:pt idx="3">
                  <c:v>60.497875968729652</c:v>
                </c:pt>
                <c:pt idx="4">
                  <c:v>60.497875968729652</c:v>
                </c:pt>
                <c:pt idx="5">
                  <c:v>58.442995650296197</c:v>
                </c:pt>
                <c:pt idx="6">
                  <c:v>55.51036748667309</c:v>
                </c:pt>
                <c:pt idx="7">
                  <c:v>53.592554206303376</c:v>
                </c:pt>
                <c:pt idx="8">
                  <c:v>52.389971254626367</c:v>
                </c:pt>
                <c:pt idx="9">
                  <c:v>56.88199183560765</c:v>
                </c:pt>
                <c:pt idx="10">
                  <c:v>56.073752143131678</c:v>
                </c:pt>
                <c:pt idx="11">
                  <c:v>55.419967646438423</c:v>
                </c:pt>
                <c:pt idx="12">
                  <c:v>55.694139527186607</c:v>
                </c:pt>
                <c:pt idx="13">
                  <c:v>56.073752143131678</c:v>
                </c:pt>
                <c:pt idx="14">
                  <c:v>56.571234871308164</c:v>
                </c:pt>
                <c:pt idx="15">
                  <c:v>56.469687864022113</c:v>
                </c:pt>
                <c:pt idx="16">
                  <c:v>56.571234871308164</c:v>
                </c:pt>
                <c:pt idx="17">
                  <c:v>55.068093102080574</c:v>
                </c:pt>
                <c:pt idx="18">
                  <c:v>55.242102150081948</c:v>
                </c:pt>
                <c:pt idx="19">
                  <c:v>55.881919509458193</c:v>
                </c:pt>
                <c:pt idx="20">
                  <c:v>52.867299212425785</c:v>
                </c:pt>
                <c:pt idx="21">
                  <c:v>54.176607046366996</c:v>
                </c:pt>
                <c:pt idx="22">
                  <c:v>55.068093102080574</c:v>
                </c:pt>
                <c:pt idx="23">
                  <c:v>56.073752143131678</c:v>
                </c:pt>
                <c:pt idx="24">
                  <c:v>55.419967646438423</c:v>
                </c:pt>
                <c:pt idx="25">
                  <c:v>56.073752143131678</c:v>
                </c:pt>
                <c:pt idx="26">
                  <c:v>56.469687864022113</c:v>
                </c:pt>
                <c:pt idx="27">
                  <c:v>56.88199183560765</c:v>
                </c:pt>
                <c:pt idx="28">
                  <c:v>57.310321288298425</c:v>
                </c:pt>
                <c:pt idx="29">
                  <c:v>56.469687864022113</c:v>
                </c:pt>
                <c:pt idx="30">
                  <c:v>54.568469131049405</c:v>
                </c:pt>
                <c:pt idx="31">
                  <c:v>52.805449733979444</c:v>
                </c:pt>
                <c:pt idx="32">
                  <c:v>53.878224103880356</c:v>
                </c:pt>
                <c:pt idx="33">
                  <c:v>53.386254391627112</c:v>
                </c:pt>
                <c:pt idx="34">
                  <c:v>52.992956633104349</c:v>
                </c:pt>
                <c:pt idx="35">
                  <c:v>52.929798530594546</c:v>
                </c:pt>
                <c:pt idx="36">
                  <c:v>52.744241262693841</c:v>
                </c:pt>
                <c:pt idx="37">
                  <c:v>52.992956633104349</c:v>
                </c:pt>
                <c:pt idx="38">
                  <c:v>52.929798530594546</c:v>
                </c:pt>
                <c:pt idx="39">
                  <c:v>53.186474748092522</c:v>
                </c:pt>
                <c:pt idx="40">
                  <c:v>53.386254391627112</c:v>
                </c:pt>
                <c:pt idx="41">
                  <c:v>52.333012063413619</c:v>
                </c:pt>
                <c:pt idx="42">
                  <c:v>53.121285522869741</c:v>
                </c:pt>
                <c:pt idx="43">
                  <c:v>53.454283534207413</c:v>
                </c:pt>
                <c:pt idx="44">
                  <c:v>54.025785371578102</c:v>
                </c:pt>
                <c:pt idx="45">
                  <c:v>52.805449733979444</c:v>
                </c:pt>
                <c:pt idx="46">
                  <c:v>53.454283534207413</c:v>
                </c:pt>
                <c:pt idx="47">
                  <c:v>54.025785371578102</c:v>
                </c:pt>
                <c:pt idx="48">
                  <c:v>55.51036748667309</c:v>
                </c:pt>
                <c:pt idx="49">
                  <c:v>55.787525466646862</c:v>
                </c:pt>
                <c:pt idx="50">
                  <c:v>56.571234871308164</c:v>
                </c:pt>
                <c:pt idx="51">
                  <c:v>57.310321288298425</c:v>
                </c:pt>
                <c:pt idx="52">
                  <c:v>57.980622000415103</c:v>
                </c:pt>
                <c:pt idx="53">
                  <c:v>58.913455507716868</c:v>
                </c:pt>
                <c:pt idx="54">
                  <c:v>58.795373444903696</c:v>
                </c:pt>
                <c:pt idx="55">
                  <c:v>56.777391893217008</c:v>
                </c:pt>
                <c:pt idx="56">
                  <c:v>55.330548563016833</c:v>
                </c:pt>
                <c:pt idx="57">
                  <c:v>54.330771950515917</c:v>
                </c:pt>
                <c:pt idx="58">
                  <c:v>53.252359629840143</c:v>
                </c:pt>
                <c:pt idx="59">
                  <c:v>52.447512809178853</c:v>
                </c:pt>
                <c:pt idx="60">
                  <c:v>56.571234871308164</c:v>
                </c:pt>
                <c:pt idx="61">
                  <c:v>56.171198794560162</c:v>
                </c:pt>
                <c:pt idx="62">
                  <c:v>56.269669480507261</c:v>
                </c:pt>
                <c:pt idx="63">
                  <c:v>56.469687864022113</c:v>
                </c:pt>
                <c:pt idx="64">
                  <c:v>56.88199183560765</c:v>
                </c:pt>
                <c:pt idx="65">
                  <c:v>54.253266409890557</c:v>
                </c:pt>
                <c:pt idx="66">
                  <c:v>56.673804257970218</c:v>
                </c:pt>
                <c:pt idx="67">
                  <c:v>58.095212712312673</c:v>
                </c:pt>
                <c:pt idx="68">
                  <c:v>59.267989023035518</c:v>
                </c:pt>
                <c:pt idx="69">
                  <c:v>60.292209818233793</c:v>
                </c:pt>
                <c:pt idx="70">
                  <c:v>60.497875968729652</c:v>
                </c:pt>
                <c:pt idx="71">
                  <c:v>60.497875968729652</c:v>
                </c:pt>
              </c:numCache>
            </c:numRef>
          </c:val>
          <c:smooth val="0"/>
        </c:ser>
        <c:dLbls>
          <c:showLegendKey val="0"/>
          <c:showVal val="0"/>
          <c:showCatName val="0"/>
          <c:showSerName val="0"/>
          <c:showPercent val="0"/>
          <c:showBubbleSize val="0"/>
        </c:dLbls>
        <c:marker val="1"/>
        <c:smooth val="0"/>
        <c:axId val="362169472"/>
        <c:axId val="362171008"/>
      </c:lineChart>
      <c:catAx>
        <c:axId val="362169472"/>
        <c:scaling>
          <c:orientation val="minMax"/>
        </c:scaling>
        <c:delete val="0"/>
        <c:axPos val="b"/>
        <c:majorTickMark val="out"/>
        <c:minorTickMark val="none"/>
        <c:tickLblPos val="low"/>
        <c:crossAx val="362171008"/>
        <c:crossesAt val="-0.5"/>
        <c:auto val="1"/>
        <c:lblAlgn val="ctr"/>
        <c:lblOffset val="100"/>
        <c:noMultiLvlLbl val="0"/>
      </c:catAx>
      <c:valAx>
        <c:axId val="362171008"/>
        <c:scaling>
          <c:orientation val="minMax"/>
        </c:scaling>
        <c:delete val="0"/>
        <c:axPos val="l"/>
        <c:majorGridlines/>
        <c:title>
          <c:tx>
            <c:rich>
              <a:bodyPr rot="-5400000" vert="horz"/>
              <a:lstStyle/>
              <a:p>
                <a:pPr>
                  <a:defRPr/>
                </a:pPr>
                <a:r>
                  <a:rPr lang="de-CH"/>
                  <a:t>kWh</a:t>
                </a:r>
              </a:p>
            </c:rich>
          </c:tx>
          <c:overlay val="0"/>
        </c:title>
        <c:numFmt formatCode="0.000" sourceLinked="1"/>
        <c:majorTickMark val="out"/>
        <c:minorTickMark val="none"/>
        <c:tickLblPos val="nextTo"/>
        <c:crossAx val="36216947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Drop" dropStyle="combo" dx="15" fmlaLink="$A$25" fmlaRange="$A$27:$A$31" noThreeD="1" sel="4" val="0"/>
</file>

<file path=xl/ctrlProps/ctrlProp2.xml><?xml version="1.0" encoding="utf-8"?>
<formControlPr xmlns="http://schemas.microsoft.com/office/spreadsheetml/2009/9/main" objectType="Drop" dropStyle="combo" dx="15" fmlaLink="$A$17" fmlaRange="$A$19:$A$21" noThreeD="1" val="0"/>
</file>

<file path=xl/ctrlProps/ctrlProp3.xml><?xml version="1.0" encoding="utf-8"?>
<formControlPr xmlns="http://schemas.microsoft.com/office/spreadsheetml/2009/9/main" objectType="Drop" dropStyle="combo" dx="15" fmlaLink="$A$9" fmlaRange="$A$11:$A$13" noThreeD="1" val="0"/>
</file>

<file path=xl/ctrlProps/ctrlProp4.xml><?xml version="1.0" encoding="utf-8"?>
<formControlPr xmlns="http://schemas.microsoft.com/office/spreadsheetml/2009/9/main" objectType="Drop" dropStyle="combo" dx="15" fmlaLink="$A$4" fmlaRange="$A$6:$A$7" noThreeD="1" val="0"/>
</file>

<file path=xl/ctrlProps/ctrlProp5.xml><?xml version="1.0" encoding="utf-8"?>
<formControlPr xmlns="http://schemas.microsoft.com/office/spreadsheetml/2009/9/main" objectType="Drop" dropStyle="combo" dx="15" fmlaLink="$A$16" fmlaRange="$A$18:$A$19" noThreeD="1" val="0"/>
</file>

<file path=xl/ctrlProps/ctrlProp6.xml><?xml version="1.0" encoding="utf-8"?>
<formControlPr xmlns="http://schemas.microsoft.com/office/spreadsheetml/2009/9/main" objectType="Drop" dropStyle="combo" dx="15" fmlaLink="$A$9" fmlaRange="$A$11:$A$12" noThreeD="1" val="0"/>
</file>

<file path=xl/ctrlProps/ctrlProp7.xml><?xml version="1.0" encoding="utf-8"?>
<formControlPr xmlns="http://schemas.microsoft.com/office/spreadsheetml/2009/9/main" objectType="Drop" dropStyle="combo" dx="15" fmlaLink="$C$36" fmlaRange="$A$38:$A$49" noThreeD="1" sel="2" val="0"/>
</file>

<file path=xl/ctrlProps/ctrlProp8.xml><?xml version="1.0" encoding="utf-8"?>
<formControlPr xmlns="http://schemas.microsoft.com/office/spreadsheetml/2009/9/main" objectType="Drop" dropStyle="combo" dx="15" fmlaLink="$C$55" fmlaRange="$A$57:$A$60" noThreeD="1" val="0"/>
</file>

<file path=xl/ctrlProps/ctrlProp9.xml><?xml version="1.0" encoding="utf-8"?>
<formControlPr xmlns="http://schemas.microsoft.com/office/spreadsheetml/2009/9/main" objectType="Drop" dropStyle="combo" dx="15" fmlaLink="$C$55" fmlaRange="$A$66:$A$69" noThreeD="1" val="0"/>
</file>

<file path=xl/ctrlProps/ctrlProp10.xml><?xml version="1.0" encoding="utf-8"?>
<formControlPr xmlns="http://schemas.microsoft.com/office/spreadsheetml/2009/9/main" objectType="Drop" dropStyle="combo" dx="15" fmlaLink="$A$23" fmlaRange="$A$25:$A$26" noThreeD="1" sel="2" val="0"/>
</file>

<file path=xl/ctrlProps/ctrlProp11.xml><?xml version="1.0" encoding="utf-8"?>
<formControlPr xmlns="http://schemas.microsoft.com/office/spreadsheetml/2009/9/main" objectType="Drop" dropStyle="combo" dx="15" fmlaLink="$A$15" fmlaRange="$A$17:$A$19" noThreeD="1" val="0"/>
</file>

<file path=xl/ctrlProps/ctrlProp12.xml><?xml version="1.0" encoding="utf-8"?>
<formControlPr xmlns="http://schemas.microsoft.com/office/spreadsheetml/2009/9/main" objectType="Drop" dropStyle="combo" dx="15" fmlaLink="$A$7" fmlaRange="$A$9:$A$11" noThreeD="1" val="0"/>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wmf"/><Relationship Id="rId1" Type="http://schemas.openxmlformats.org/officeDocument/2006/relationships/image" Target="../media/image4.w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8.wmf"/><Relationship Id="rId2" Type="http://schemas.openxmlformats.org/officeDocument/2006/relationships/image" Target="../media/image7.wmf"/><Relationship Id="rId1" Type="http://schemas.openxmlformats.org/officeDocument/2006/relationships/image" Target="../media/image6.wmf"/><Relationship Id="rId4" Type="http://schemas.openxmlformats.org/officeDocument/2006/relationships/image" Target="../media/image9.w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22.wmf"/><Relationship Id="rId18" Type="http://schemas.openxmlformats.org/officeDocument/2006/relationships/image" Target="../media/image27.wmf"/><Relationship Id="rId26" Type="http://schemas.openxmlformats.org/officeDocument/2006/relationships/image" Target="../media/image35.wmf"/><Relationship Id="rId3" Type="http://schemas.openxmlformats.org/officeDocument/2006/relationships/image" Target="../media/image12.wmf"/><Relationship Id="rId21" Type="http://schemas.openxmlformats.org/officeDocument/2006/relationships/image" Target="../media/image30.wmf"/><Relationship Id="rId34" Type="http://schemas.openxmlformats.org/officeDocument/2006/relationships/image" Target="../media/image43.wmf"/><Relationship Id="rId7" Type="http://schemas.openxmlformats.org/officeDocument/2006/relationships/image" Target="../media/image16.emf"/><Relationship Id="rId12" Type="http://schemas.openxmlformats.org/officeDocument/2006/relationships/image" Target="../media/image21.emf"/><Relationship Id="rId17" Type="http://schemas.openxmlformats.org/officeDocument/2006/relationships/image" Target="../media/image26.wmf"/><Relationship Id="rId25" Type="http://schemas.openxmlformats.org/officeDocument/2006/relationships/image" Target="../media/image34.wmf"/><Relationship Id="rId33" Type="http://schemas.openxmlformats.org/officeDocument/2006/relationships/image" Target="../media/image42.wmf"/><Relationship Id="rId2" Type="http://schemas.openxmlformats.org/officeDocument/2006/relationships/image" Target="../media/image11.wmf"/><Relationship Id="rId16" Type="http://schemas.openxmlformats.org/officeDocument/2006/relationships/image" Target="../media/image25.wmf"/><Relationship Id="rId20" Type="http://schemas.openxmlformats.org/officeDocument/2006/relationships/image" Target="../media/image29.wmf"/><Relationship Id="rId29" Type="http://schemas.openxmlformats.org/officeDocument/2006/relationships/image" Target="../media/image38.wmf"/><Relationship Id="rId1" Type="http://schemas.openxmlformats.org/officeDocument/2006/relationships/image" Target="../media/image10.wmf"/><Relationship Id="rId6" Type="http://schemas.openxmlformats.org/officeDocument/2006/relationships/image" Target="../media/image15.wmf"/><Relationship Id="rId11" Type="http://schemas.openxmlformats.org/officeDocument/2006/relationships/image" Target="../media/image20.emf"/><Relationship Id="rId24" Type="http://schemas.openxmlformats.org/officeDocument/2006/relationships/image" Target="../media/image33.wmf"/><Relationship Id="rId32" Type="http://schemas.openxmlformats.org/officeDocument/2006/relationships/image" Target="../media/image41.wmf"/><Relationship Id="rId5" Type="http://schemas.openxmlformats.org/officeDocument/2006/relationships/image" Target="../media/image14.emf"/><Relationship Id="rId15" Type="http://schemas.openxmlformats.org/officeDocument/2006/relationships/image" Target="../media/image24.wmf"/><Relationship Id="rId23" Type="http://schemas.openxmlformats.org/officeDocument/2006/relationships/image" Target="../media/image32.wmf"/><Relationship Id="rId28" Type="http://schemas.openxmlformats.org/officeDocument/2006/relationships/image" Target="../media/image37.wmf"/><Relationship Id="rId36" Type="http://schemas.openxmlformats.org/officeDocument/2006/relationships/image" Target="../media/image45.wmf"/><Relationship Id="rId10" Type="http://schemas.openxmlformats.org/officeDocument/2006/relationships/image" Target="../media/image19.emf"/><Relationship Id="rId19" Type="http://schemas.openxmlformats.org/officeDocument/2006/relationships/image" Target="../media/image28.wmf"/><Relationship Id="rId31" Type="http://schemas.openxmlformats.org/officeDocument/2006/relationships/image" Target="../media/image40.wmf"/><Relationship Id="rId4" Type="http://schemas.openxmlformats.org/officeDocument/2006/relationships/image" Target="../media/image13.wmf"/><Relationship Id="rId9" Type="http://schemas.openxmlformats.org/officeDocument/2006/relationships/image" Target="../media/image18.wmf"/><Relationship Id="rId14" Type="http://schemas.openxmlformats.org/officeDocument/2006/relationships/image" Target="../media/image23.wmf"/><Relationship Id="rId22" Type="http://schemas.openxmlformats.org/officeDocument/2006/relationships/image" Target="../media/image31.wmf"/><Relationship Id="rId27" Type="http://schemas.openxmlformats.org/officeDocument/2006/relationships/image" Target="../media/image36.wmf"/><Relationship Id="rId30" Type="http://schemas.openxmlformats.org/officeDocument/2006/relationships/image" Target="../media/image39.wmf"/><Relationship Id="rId35" Type="http://schemas.openxmlformats.org/officeDocument/2006/relationships/image" Target="../media/image44.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99060</xdr:colOff>
          <xdr:row>14</xdr:row>
          <xdr:rowOff>76200</xdr:rowOff>
        </xdr:from>
        <xdr:to>
          <xdr:col>6</xdr:col>
          <xdr:colOff>1684020</xdr:colOff>
          <xdr:row>14</xdr:row>
          <xdr:rowOff>312420</xdr:rowOff>
        </xdr:to>
        <xdr:sp macro="" textlink="">
          <xdr:nvSpPr>
            <xdr:cNvPr id="8194" name="Object 2" hidden="1">
              <a:extLst>
                <a:ext uri="{63B3BB69-23CF-44E3-9099-C40C66FF867C}">
                  <a14:compatExt spid="_x0000_s8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60960</xdr:colOff>
          <xdr:row>15</xdr:row>
          <xdr:rowOff>106680</xdr:rowOff>
        </xdr:from>
        <xdr:to>
          <xdr:col>6</xdr:col>
          <xdr:colOff>1684020</xdr:colOff>
          <xdr:row>15</xdr:row>
          <xdr:rowOff>312420</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99060</xdr:colOff>
          <xdr:row>16</xdr:row>
          <xdr:rowOff>83820</xdr:rowOff>
        </xdr:from>
        <xdr:to>
          <xdr:col>6</xdr:col>
          <xdr:colOff>1684020</xdr:colOff>
          <xdr:row>16</xdr:row>
          <xdr:rowOff>297180</xdr:rowOff>
        </xdr:to>
        <xdr:sp macro="" textlink="">
          <xdr:nvSpPr>
            <xdr:cNvPr id="8196" name="Object 4" hidden="1">
              <a:extLst>
                <a:ext uri="{63B3BB69-23CF-44E3-9099-C40C66FF867C}">
                  <a14:compatExt spid="_x0000_s8196"/>
                </a:ext>
              </a:extLst>
            </xdr:cNvPr>
            <xdr:cNvSpPr/>
          </xdr:nvSpPr>
          <xdr:spPr>
            <a:xfrm>
              <a:off x="0" y="0"/>
              <a:ext cx="0" cy="0"/>
            </a:xfrm>
            <a:prstGeom prst="rect">
              <a:avLst/>
            </a:prstGeom>
          </xdr:spPr>
        </xdr:sp>
        <xdr:clientData/>
      </xdr:twoCellAnchor>
    </mc:Choice>
    <mc:Fallback/>
  </mc:AlternateContent>
  <xdr:oneCellAnchor>
    <xdr:from>
      <xdr:col>2</xdr:col>
      <xdr:colOff>106468</xdr:colOff>
      <xdr:row>8</xdr:row>
      <xdr:rowOff>21030</xdr:rowOff>
    </xdr:from>
    <xdr:ext cx="3032300" cy="937629"/>
    <xdr:sp macro="" textlink="">
      <xdr:nvSpPr>
        <xdr:cNvPr id="6" name="Rechteck 5"/>
        <xdr:cNvSpPr/>
      </xdr:nvSpPr>
      <xdr:spPr>
        <a:xfrm rot="19993232">
          <a:off x="3954568" y="2131770"/>
          <a:ext cx="3032300" cy="937629"/>
        </a:xfrm>
        <a:prstGeom prst="rect">
          <a:avLst/>
        </a:prstGeom>
        <a:noFill/>
      </xdr:spPr>
      <xdr:txBody>
        <a:bodyPr wrap="squar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99060</xdr:colOff>
          <xdr:row>24</xdr:row>
          <xdr:rowOff>68580</xdr:rowOff>
        </xdr:from>
        <xdr:to>
          <xdr:col>0</xdr:col>
          <xdr:colOff>2575560</xdr:colOff>
          <xdr:row>24</xdr:row>
          <xdr:rowOff>266700</xdr:rowOff>
        </xdr:to>
        <xdr:sp macro="" textlink="">
          <xdr:nvSpPr>
            <xdr:cNvPr id="11272" name="Drop Down 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16</xdr:row>
          <xdr:rowOff>60960</xdr:rowOff>
        </xdr:from>
        <xdr:to>
          <xdr:col>0</xdr:col>
          <xdr:colOff>2514600</xdr:colOff>
          <xdr:row>16</xdr:row>
          <xdr:rowOff>259080</xdr:rowOff>
        </xdr:to>
        <xdr:sp macro="" textlink="">
          <xdr:nvSpPr>
            <xdr:cNvPr id="11273" name="Drop Down 9"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8</xdr:row>
          <xdr:rowOff>68580</xdr:rowOff>
        </xdr:from>
        <xdr:to>
          <xdr:col>0</xdr:col>
          <xdr:colOff>2575560</xdr:colOff>
          <xdr:row>8</xdr:row>
          <xdr:rowOff>266700</xdr:rowOff>
        </xdr:to>
        <xdr:sp macro="" textlink="">
          <xdr:nvSpPr>
            <xdr:cNvPr id="11275" name="Drop Down 11" hidden="1">
              <a:extLst>
                <a:ext uri="{63B3BB69-23CF-44E3-9099-C40C66FF867C}">
                  <a14:compatExt spid="_x0000_s11275"/>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22860</xdr:colOff>
          <xdr:row>31</xdr:row>
          <xdr:rowOff>22860</xdr:rowOff>
        </xdr:from>
        <xdr:to>
          <xdr:col>11</xdr:col>
          <xdr:colOff>632460</xdr:colOff>
          <xdr:row>35</xdr:row>
          <xdr:rowOff>487680</xdr:rowOff>
        </xdr:to>
        <xdr:sp macro="" textlink="">
          <xdr:nvSpPr>
            <xdr:cNvPr id="9257" name="Object 41" hidden="1">
              <a:extLst>
                <a:ext uri="{63B3BB69-23CF-44E3-9099-C40C66FF867C}">
                  <a14:compatExt spid="_x0000_s92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27</xdr:row>
          <xdr:rowOff>358140</xdr:rowOff>
        </xdr:from>
        <xdr:to>
          <xdr:col>7</xdr:col>
          <xdr:colOff>777240</xdr:colOff>
          <xdr:row>28</xdr:row>
          <xdr:rowOff>327660</xdr:rowOff>
        </xdr:to>
        <xdr:sp macro="" textlink="">
          <xdr:nvSpPr>
            <xdr:cNvPr id="9259" name="Object 43" hidden="1">
              <a:extLst>
                <a:ext uri="{63B3BB69-23CF-44E3-9099-C40C66FF867C}">
                  <a14:compatExt spid="_x0000_s9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3</xdr:row>
          <xdr:rowOff>22860</xdr:rowOff>
        </xdr:from>
        <xdr:to>
          <xdr:col>0</xdr:col>
          <xdr:colOff>2598420</xdr:colOff>
          <xdr:row>3</xdr:row>
          <xdr:rowOff>160020</xdr:rowOff>
        </xdr:to>
        <xdr:sp macro="" textlink="">
          <xdr:nvSpPr>
            <xdr:cNvPr id="9260" name="Drop Down 44" hidden="1">
              <a:extLst>
                <a:ext uri="{63B3BB69-23CF-44E3-9099-C40C66FF867C}">
                  <a14:compatExt spid="_x0000_s9260"/>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15</xdr:row>
          <xdr:rowOff>60960</xdr:rowOff>
        </xdr:from>
        <xdr:to>
          <xdr:col>0</xdr:col>
          <xdr:colOff>2514600</xdr:colOff>
          <xdr:row>15</xdr:row>
          <xdr:rowOff>259080</xdr:rowOff>
        </xdr:to>
        <xdr:sp macro="" textlink="">
          <xdr:nvSpPr>
            <xdr:cNvPr id="20482" name="Drop Down 2" hidden="1">
              <a:extLst>
                <a:ext uri="{63B3BB69-23CF-44E3-9099-C40C66FF867C}">
                  <a14:compatExt spid="_x0000_s204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8</xdr:row>
          <xdr:rowOff>68580</xdr:rowOff>
        </xdr:from>
        <xdr:to>
          <xdr:col>0</xdr:col>
          <xdr:colOff>2575560</xdr:colOff>
          <xdr:row>8</xdr:row>
          <xdr:rowOff>266700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144780</xdr:colOff>
          <xdr:row>34</xdr:row>
          <xdr:rowOff>121920</xdr:rowOff>
        </xdr:from>
        <xdr:to>
          <xdr:col>0</xdr:col>
          <xdr:colOff>2621280</xdr:colOff>
          <xdr:row>35</xdr:row>
          <xdr:rowOff>182880</xdr:rowOff>
        </xdr:to>
        <xdr:sp macro="" textlink="">
          <xdr:nvSpPr>
            <xdr:cNvPr id="6148" name="Drop Down 4"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54</xdr:row>
          <xdr:rowOff>30480</xdr:rowOff>
        </xdr:from>
        <xdr:to>
          <xdr:col>0</xdr:col>
          <xdr:colOff>2583180</xdr:colOff>
          <xdr:row>54</xdr:row>
          <xdr:rowOff>228600</xdr:rowOff>
        </xdr:to>
        <xdr:sp macro="" textlink="">
          <xdr:nvSpPr>
            <xdr:cNvPr id="6149" name="Drop Down 5"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64</xdr:row>
          <xdr:rowOff>30480</xdr:rowOff>
        </xdr:from>
        <xdr:to>
          <xdr:col>0</xdr:col>
          <xdr:colOff>2583180</xdr:colOff>
          <xdr:row>64</xdr:row>
          <xdr:rowOff>228600</xdr:rowOff>
        </xdr:to>
        <xdr:sp macro="" textlink="">
          <xdr:nvSpPr>
            <xdr:cNvPr id="6150" name="Drop Down 6"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22</xdr:row>
          <xdr:rowOff>60960</xdr:rowOff>
        </xdr:from>
        <xdr:to>
          <xdr:col>0</xdr:col>
          <xdr:colOff>2514600</xdr:colOff>
          <xdr:row>22</xdr:row>
          <xdr:rowOff>259080</xdr:rowOff>
        </xdr:to>
        <xdr:sp macro="" textlink="">
          <xdr:nvSpPr>
            <xdr:cNvPr id="6154" name="Drop Down 10" hidden="1">
              <a:extLst>
                <a:ext uri="{63B3BB69-23CF-44E3-9099-C40C66FF867C}">
                  <a14:compatExt spid="_x0000_s6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14</xdr:row>
          <xdr:rowOff>60960</xdr:rowOff>
        </xdr:from>
        <xdr:to>
          <xdr:col>0</xdr:col>
          <xdr:colOff>2514600</xdr:colOff>
          <xdr:row>14</xdr:row>
          <xdr:rowOff>259080</xdr:rowOff>
        </xdr:to>
        <xdr:sp macro="" textlink="">
          <xdr:nvSpPr>
            <xdr:cNvPr id="6155" name="Drop Down 11" hidden="1">
              <a:extLst>
                <a:ext uri="{63B3BB69-23CF-44E3-9099-C40C66FF867C}">
                  <a14:compatExt spid="_x0000_s6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60960</xdr:rowOff>
        </xdr:from>
        <xdr:to>
          <xdr:col>0</xdr:col>
          <xdr:colOff>2514600</xdr:colOff>
          <xdr:row>6</xdr:row>
          <xdr:rowOff>259080</xdr:rowOff>
        </xdr:to>
        <xdr:sp macro="" textlink="">
          <xdr:nvSpPr>
            <xdr:cNvPr id="6156" name="Drop Down 12" hidden="1">
              <a:extLst>
                <a:ext uri="{63B3BB69-23CF-44E3-9099-C40C66FF867C}">
                  <a14:compatExt spid="_x0000_s6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xdr:colOff>
          <xdr:row>79</xdr:row>
          <xdr:rowOff>99060</xdr:rowOff>
        </xdr:from>
        <xdr:to>
          <xdr:col>3</xdr:col>
          <xdr:colOff>1569720</xdr:colOff>
          <xdr:row>79</xdr:row>
          <xdr:rowOff>495300</xdr:rowOff>
        </xdr:to>
        <xdr:sp macro="" textlink="">
          <xdr:nvSpPr>
            <xdr:cNvPr id="6157" name="Object 13" hidden="1">
              <a:extLst>
                <a:ext uri="{63B3BB69-23CF-44E3-9099-C40C66FF867C}">
                  <a14:compatExt spid="_x0000_s61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106680</xdr:colOff>
          <xdr:row>83</xdr:row>
          <xdr:rowOff>60960</xdr:rowOff>
        </xdr:from>
        <xdr:to>
          <xdr:col>3</xdr:col>
          <xdr:colOff>1554480</xdr:colOff>
          <xdr:row>83</xdr:row>
          <xdr:rowOff>411480</xdr:rowOff>
        </xdr:to>
        <xdr:sp macro="" textlink="">
          <xdr:nvSpPr>
            <xdr:cNvPr id="6158" name="Object 14" hidden="1">
              <a:extLst>
                <a:ext uri="{63B3BB69-23CF-44E3-9099-C40C66FF867C}">
                  <a14:compatExt spid="_x0000_s61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xdr:colOff>
          <xdr:row>86</xdr:row>
          <xdr:rowOff>60960</xdr:rowOff>
        </xdr:from>
        <xdr:to>
          <xdr:col>3</xdr:col>
          <xdr:colOff>1516380</xdr:colOff>
          <xdr:row>86</xdr:row>
          <xdr:rowOff>441960</xdr:rowOff>
        </xdr:to>
        <xdr:sp macro="" textlink="">
          <xdr:nvSpPr>
            <xdr:cNvPr id="6160" name="Object 16" hidden="1">
              <a:extLst>
                <a:ext uri="{63B3BB69-23CF-44E3-9099-C40C66FF867C}">
                  <a14:compatExt spid="_x0000_s61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90</xdr:row>
          <xdr:rowOff>38100</xdr:rowOff>
        </xdr:from>
        <xdr:to>
          <xdr:col>3</xdr:col>
          <xdr:colOff>1531620</xdr:colOff>
          <xdr:row>90</xdr:row>
          <xdr:rowOff>480060</xdr:rowOff>
        </xdr:to>
        <xdr:sp macro="" textlink="">
          <xdr:nvSpPr>
            <xdr:cNvPr id="6161" name="Object 17" hidden="1">
              <a:extLst>
                <a:ext uri="{63B3BB69-23CF-44E3-9099-C40C66FF867C}">
                  <a14:compatExt spid="_x0000_s61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94</xdr:row>
          <xdr:rowOff>38100</xdr:rowOff>
        </xdr:from>
        <xdr:to>
          <xdr:col>3</xdr:col>
          <xdr:colOff>1531620</xdr:colOff>
          <xdr:row>94</xdr:row>
          <xdr:rowOff>480060</xdr:rowOff>
        </xdr:to>
        <xdr:sp macro="" textlink="">
          <xdr:nvSpPr>
            <xdr:cNvPr id="6162" name="Object 18" hidden="1">
              <a:extLst>
                <a:ext uri="{63B3BB69-23CF-44E3-9099-C40C66FF867C}">
                  <a14:compatExt spid="_x0000_s61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98</xdr:row>
          <xdr:rowOff>38100</xdr:rowOff>
        </xdr:from>
        <xdr:to>
          <xdr:col>3</xdr:col>
          <xdr:colOff>1531620</xdr:colOff>
          <xdr:row>98</xdr:row>
          <xdr:rowOff>480060</xdr:rowOff>
        </xdr:to>
        <xdr:sp macro="" textlink="">
          <xdr:nvSpPr>
            <xdr:cNvPr id="6163" name="Object 19" hidden="1">
              <a:extLst>
                <a:ext uri="{63B3BB69-23CF-44E3-9099-C40C66FF867C}">
                  <a14:compatExt spid="_x0000_s6163"/>
                </a:ext>
              </a:extLst>
            </xdr:cNvPr>
            <xdr:cNvSpPr/>
          </xdr:nvSpPr>
          <xdr:spPr>
            <a:xfrm>
              <a:off x="0" y="0"/>
              <a:ext cx="0" cy="0"/>
            </a:xfrm>
            <a:prstGeom prst="rect">
              <a:avLst/>
            </a:prstGeom>
          </xdr:spPr>
        </xdr:sp>
        <xdr:clientData/>
      </xdr:twoCellAnchor>
    </mc:Choice>
    <mc:Fallback/>
  </mc:AlternateContent>
  <xdr:twoCellAnchor>
    <xdr:from>
      <xdr:col>9</xdr:col>
      <xdr:colOff>304800</xdr:colOff>
      <xdr:row>41</xdr:row>
      <xdr:rowOff>161922</xdr:rowOff>
    </xdr:from>
    <xdr:to>
      <xdr:col>17</xdr:col>
      <xdr:colOff>114300</xdr:colOff>
      <xdr:row>65</xdr:row>
      <xdr:rowOff>76198</xdr:rowOff>
    </xdr:to>
    <xdr:sp macro="" textlink="">
      <xdr:nvSpPr>
        <xdr:cNvPr id="2" name="Freccia curva 1"/>
        <xdr:cNvSpPr/>
      </xdr:nvSpPr>
      <xdr:spPr bwMode="auto">
        <a:xfrm flipH="1" flipV="1">
          <a:off x="9020175" y="9448797"/>
          <a:ext cx="5448300" cy="4457701"/>
        </a:xfrm>
        <a:prstGeom prst="bentArrow">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rot lat="0" lon="0" rev="5400000"/>
          </a:camera>
          <a:lightRig rig="threePt" dir="t"/>
        </a:scene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it-IT"/>
        </a:p>
      </xdr:txBody>
    </xdr:sp>
    <xdr:clientData/>
  </xdr:twoCellAnchor>
  <xdr:twoCellAnchor>
    <xdr:from>
      <xdr:col>4</xdr:col>
      <xdr:colOff>171450</xdr:colOff>
      <xdr:row>11</xdr:row>
      <xdr:rowOff>76200</xdr:rowOff>
    </xdr:from>
    <xdr:to>
      <xdr:col>8</xdr:col>
      <xdr:colOff>571500</xdr:colOff>
      <xdr:row>21</xdr:row>
      <xdr:rowOff>0</xdr:rowOff>
    </xdr:to>
    <xdr:sp macro="" textlink="">
      <xdr:nvSpPr>
        <xdr:cNvPr id="3" name="Freccia a sinistra 2"/>
        <xdr:cNvSpPr/>
      </xdr:nvSpPr>
      <xdr:spPr bwMode="auto">
        <a:xfrm>
          <a:off x="5362575" y="3333750"/>
          <a:ext cx="3248025" cy="1800225"/>
        </a:xfrm>
        <a:prstGeom prst="leftArrow">
          <a:avLst>
            <a:gd name="adj1" fmla="val 53175"/>
            <a:gd name="adj2" fmla="val 50000"/>
          </a:avLst>
        </a:prstGeom>
        <a:solidFill>
          <a:schemeClr val="accent3">
            <a:lumMod val="20000"/>
            <a:lumOff val="8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800" b="1"/>
            <a:t>Step 1: select the desired properties</a:t>
          </a:r>
          <a:r>
            <a:rPr lang="it-IT" sz="1800" b="1" baseline="0"/>
            <a:t> of your boiler</a:t>
          </a:r>
          <a:endParaRPr lang="it-IT" sz="1800" b="1"/>
        </a:p>
      </xdr:txBody>
    </xdr:sp>
    <xdr:clientData/>
  </xdr:twoCellAnchor>
  <xdr:twoCellAnchor>
    <xdr:from>
      <xdr:col>4</xdr:col>
      <xdr:colOff>342901</xdr:colOff>
      <xdr:row>31</xdr:row>
      <xdr:rowOff>142874</xdr:rowOff>
    </xdr:from>
    <xdr:to>
      <xdr:col>9</xdr:col>
      <xdr:colOff>0</xdr:colOff>
      <xdr:row>38</xdr:row>
      <xdr:rowOff>38100</xdr:rowOff>
    </xdr:to>
    <xdr:sp macro="" textlink="">
      <xdr:nvSpPr>
        <xdr:cNvPr id="16" name="Freccia a sinistra 15"/>
        <xdr:cNvSpPr/>
      </xdr:nvSpPr>
      <xdr:spPr bwMode="auto">
        <a:xfrm>
          <a:off x="5534026" y="7324724"/>
          <a:ext cx="3181349" cy="1371601"/>
        </a:xfrm>
        <a:prstGeom prst="leftArrow">
          <a:avLst>
            <a:gd name="adj1" fmla="val 54564"/>
            <a:gd name="adj2" fmla="val 50000"/>
          </a:avLst>
        </a:prstGeom>
        <a:solidFill>
          <a:schemeClr val="accent2">
            <a:lumMod val="20000"/>
            <a:lumOff val="8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400" b="1"/>
            <a:t>Step 2: select the boiler in the list,</a:t>
          </a:r>
          <a:r>
            <a:rPr lang="it-IT" sz="1400" b="1" baseline="0"/>
            <a:t> discarding "not compatible" ones</a:t>
          </a:r>
          <a:endParaRPr lang="it-IT" sz="1400" b="1"/>
        </a:p>
      </xdr:txBody>
    </xdr:sp>
    <xdr:clientData/>
  </xdr:twoCellAnchor>
  <xdr:oneCellAnchor>
    <xdr:from>
      <xdr:col>4</xdr:col>
      <xdr:colOff>0</xdr:colOff>
      <xdr:row>41</xdr:row>
      <xdr:rowOff>0</xdr:rowOff>
    </xdr:from>
    <xdr:ext cx="2296078" cy="937629"/>
    <xdr:sp macro="" textlink="">
      <xdr:nvSpPr>
        <xdr:cNvPr id="17" name="Rechteck 16"/>
        <xdr:cNvSpPr/>
      </xdr:nvSpPr>
      <xdr:spPr>
        <a:xfrm>
          <a:off x="5334000" y="9136380"/>
          <a:ext cx="2296078" cy="937629"/>
        </a:xfrm>
        <a:prstGeom prst="rect">
          <a:avLst/>
        </a:prstGeom>
        <a:noFill/>
      </xdr:spPr>
      <xdr:txBody>
        <a:bodyPr wrap="non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a:t>
          </a:r>
        </a:p>
      </xdr:txBody>
    </xdr:sp>
    <xdr:clientData/>
  </xdr:oneCellAnchor>
  <xdr:oneCellAnchor>
    <xdr:from>
      <xdr:col>3</xdr:col>
      <xdr:colOff>500111</xdr:colOff>
      <xdr:row>3</xdr:row>
      <xdr:rowOff>167457</xdr:rowOff>
    </xdr:from>
    <xdr:ext cx="3444850" cy="937629"/>
    <xdr:sp macro="" textlink="">
      <xdr:nvSpPr>
        <xdr:cNvPr id="18" name="Rechteck 17"/>
        <xdr:cNvSpPr/>
      </xdr:nvSpPr>
      <xdr:spPr>
        <a:xfrm rot="19875056">
          <a:off x="4150091" y="1775277"/>
          <a:ext cx="3444850" cy="937629"/>
        </a:xfrm>
        <a:prstGeom prst="rect">
          <a:avLst/>
        </a:prstGeom>
        <a:noFill/>
      </xdr:spPr>
      <xdr:txBody>
        <a:bodyPr wrap="square" lIns="91440" tIns="45720" rIns="91440" bIns="45720">
          <a:spAutoFit/>
        </a:bodyPr>
        <a:lstStyle/>
        <a:p>
          <a:pPr algn="ctr"/>
          <a:r>
            <a:rPr lang="de-DE" sz="54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unused</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12</xdr:row>
          <xdr:rowOff>15240</xdr:rowOff>
        </xdr:from>
        <xdr:to>
          <xdr:col>5</xdr:col>
          <xdr:colOff>1981200</xdr:colOff>
          <xdr:row>13</xdr:row>
          <xdr:rowOff>0</xdr:rowOff>
        </xdr:to>
        <xdr:sp macro="" textlink="">
          <xdr:nvSpPr>
            <xdr:cNvPr id="5147" name="Object 27" hidden="1">
              <a:extLst>
                <a:ext uri="{63B3BB69-23CF-44E3-9099-C40C66FF867C}">
                  <a14:compatExt spid="_x0000_s5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xdr:colOff>
          <xdr:row>25</xdr:row>
          <xdr:rowOff>91440</xdr:rowOff>
        </xdr:from>
        <xdr:to>
          <xdr:col>5</xdr:col>
          <xdr:colOff>2758440</xdr:colOff>
          <xdr:row>25</xdr:row>
          <xdr:rowOff>335280</xdr:rowOff>
        </xdr:to>
        <xdr:sp macro="" textlink="">
          <xdr:nvSpPr>
            <xdr:cNvPr id="5155" name="Object 35" hidden="1">
              <a:extLst>
                <a:ext uri="{63B3BB69-23CF-44E3-9099-C40C66FF867C}">
                  <a14:compatExt spid="_x0000_s5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647700</xdr:colOff>
          <xdr:row>37</xdr:row>
          <xdr:rowOff>350520</xdr:rowOff>
        </xdr:from>
        <xdr:to>
          <xdr:col>0</xdr:col>
          <xdr:colOff>1981200</xdr:colOff>
          <xdr:row>38</xdr:row>
          <xdr:rowOff>0</xdr:rowOff>
        </xdr:to>
        <xdr:sp macro="" textlink="">
          <xdr:nvSpPr>
            <xdr:cNvPr id="5163" name="Object 43" hidden="1">
              <a:extLst>
                <a:ext uri="{63B3BB69-23CF-44E3-9099-C40C66FF867C}">
                  <a14:compatExt spid="_x0000_s51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xdr:colOff>
          <xdr:row>37</xdr:row>
          <xdr:rowOff>152400</xdr:rowOff>
        </xdr:from>
        <xdr:to>
          <xdr:col>5</xdr:col>
          <xdr:colOff>2301240</xdr:colOff>
          <xdr:row>37</xdr:row>
          <xdr:rowOff>609600</xdr:rowOff>
        </xdr:to>
        <xdr:sp macro="" textlink="">
          <xdr:nvSpPr>
            <xdr:cNvPr id="5164" name="Object 44" hidden="1">
              <a:extLst>
                <a:ext uri="{63B3BB69-23CF-44E3-9099-C40C66FF867C}">
                  <a14:compatExt spid="_x0000_s51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xdr:colOff>
          <xdr:row>38</xdr:row>
          <xdr:rowOff>236220</xdr:rowOff>
        </xdr:from>
        <xdr:to>
          <xdr:col>5</xdr:col>
          <xdr:colOff>2682240</xdr:colOff>
          <xdr:row>38</xdr:row>
          <xdr:rowOff>548640</xdr:rowOff>
        </xdr:to>
        <xdr:sp macro="" textlink="">
          <xdr:nvSpPr>
            <xdr:cNvPr id="5166" name="Object 46" hidden="1">
              <a:extLst>
                <a:ext uri="{63B3BB69-23CF-44E3-9099-C40C66FF867C}">
                  <a14:compatExt spid="_x0000_s5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647700</xdr:colOff>
          <xdr:row>38</xdr:row>
          <xdr:rowOff>350520</xdr:rowOff>
        </xdr:from>
        <xdr:to>
          <xdr:col>0</xdr:col>
          <xdr:colOff>1981200</xdr:colOff>
          <xdr:row>39</xdr:row>
          <xdr:rowOff>0</xdr:rowOff>
        </xdr:to>
        <xdr:sp macro="" textlink="">
          <xdr:nvSpPr>
            <xdr:cNvPr id="5167" name="Object 47" hidden="1">
              <a:extLst>
                <a:ext uri="{63B3BB69-23CF-44E3-9099-C40C66FF867C}">
                  <a14:compatExt spid="_x0000_s51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91440</xdr:colOff>
          <xdr:row>39</xdr:row>
          <xdr:rowOff>83820</xdr:rowOff>
        </xdr:from>
        <xdr:to>
          <xdr:col>5</xdr:col>
          <xdr:colOff>868680</xdr:colOff>
          <xdr:row>39</xdr:row>
          <xdr:rowOff>320040</xdr:rowOff>
        </xdr:to>
        <xdr:sp macro="" textlink="">
          <xdr:nvSpPr>
            <xdr:cNvPr id="5169" name="Object 49" hidden="1">
              <a:extLst>
                <a:ext uri="{63B3BB69-23CF-44E3-9099-C40C66FF867C}">
                  <a14:compatExt spid="_x0000_s5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60960</xdr:colOff>
          <xdr:row>37</xdr:row>
          <xdr:rowOff>205740</xdr:rowOff>
        </xdr:from>
        <xdr:to>
          <xdr:col>1</xdr:col>
          <xdr:colOff>739140</xdr:colOff>
          <xdr:row>37</xdr:row>
          <xdr:rowOff>518160</xdr:rowOff>
        </xdr:to>
        <xdr:sp macro="" textlink="">
          <xdr:nvSpPr>
            <xdr:cNvPr id="5171" name="Object 51" hidden="1">
              <a:extLst>
                <a:ext uri="{63B3BB69-23CF-44E3-9099-C40C66FF867C}">
                  <a14:compatExt spid="_x0000_s5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91440</xdr:colOff>
          <xdr:row>39</xdr:row>
          <xdr:rowOff>99060</xdr:rowOff>
        </xdr:from>
        <xdr:to>
          <xdr:col>1</xdr:col>
          <xdr:colOff>769620</xdr:colOff>
          <xdr:row>39</xdr:row>
          <xdr:rowOff>411480</xdr:rowOff>
        </xdr:to>
        <xdr:sp macro="" textlink="">
          <xdr:nvSpPr>
            <xdr:cNvPr id="5172" name="Object 52" hidden="1">
              <a:extLst>
                <a:ext uri="{63B3BB69-23CF-44E3-9099-C40C66FF867C}">
                  <a14:compatExt spid="_x0000_s51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40</xdr:row>
          <xdr:rowOff>0</xdr:rowOff>
        </xdr:from>
        <xdr:to>
          <xdr:col>5</xdr:col>
          <xdr:colOff>2964180</xdr:colOff>
          <xdr:row>40</xdr:row>
          <xdr:rowOff>472440</xdr:rowOff>
        </xdr:to>
        <xdr:sp macro="" textlink="">
          <xdr:nvSpPr>
            <xdr:cNvPr id="5173" name="Object 53" hidden="1">
              <a:extLst>
                <a:ext uri="{63B3BB69-23CF-44E3-9099-C40C66FF867C}">
                  <a14:compatExt spid="_x0000_s5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182880</xdr:colOff>
          <xdr:row>41</xdr:row>
          <xdr:rowOff>91440</xdr:rowOff>
        </xdr:from>
        <xdr:to>
          <xdr:col>1</xdr:col>
          <xdr:colOff>579120</xdr:colOff>
          <xdr:row>41</xdr:row>
          <xdr:rowOff>335280</xdr:rowOff>
        </xdr:to>
        <xdr:sp macro="" textlink="">
          <xdr:nvSpPr>
            <xdr:cNvPr id="5179" name="Object 59" hidden="1">
              <a:extLst>
                <a:ext uri="{63B3BB69-23CF-44E3-9099-C40C66FF867C}">
                  <a14:compatExt spid="_x0000_s51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160020</xdr:colOff>
          <xdr:row>42</xdr:row>
          <xdr:rowOff>45720</xdr:rowOff>
        </xdr:from>
        <xdr:to>
          <xdr:col>1</xdr:col>
          <xdr:colOff>617220</xdr:colOff>
          <xdr:row>42</xdr:row>
          <xdr:rowOff>327660</xdr:rowOff>
        </xdr:to>
        <xdr:sp macro="" textlink="">
          <xdr:nvSpPr>
            <xdr:cNvPr id="5180" name="Object 60" hidden="1">
              <a:extLst>
                <a:ext uri="{63B3BB69-23CF-44E3-9099-C40C66FF867C}">
                  <a14:compatExt spid="_x0000_s51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38</xdr:row>
          <xdr:rowOff>182880</xdr:rowOff>
        </xdr:from>
        <xdr:to>
          <xdr:col>1</xdr:col>
          <xdr:colOff>830580</xdr:colOff>
          <xdr:row>38</xdr:row>
          <xdr:rowOff>441960</xdr:rowOff>
        </xdr:to>
        <xdr:sp macro="" textlink="">
          <xdr:nvSpPr>
            <xdr:cNvPr id="5181" name="Object 61" hidden="1">
              <a:extLst>
                <a:ext uri="{63B3BB69-23CF-44E3-9099-C40C66FF867C}">
                  <a14:compatExt spid="_x0000_s51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40</xdr:row>
          <xdr:rowOff>83820</xdr:rowOff>
        </xdr:from>
        <xdr:to>
          <xdr:col>1</xdr:col>
          <xdr:colOff>830580</xdr:colOff>
          <xdr:row>40</xdr:row>
          <xdr:rowOff>342900</xdr:rowOff>
        </xdr:to>
        <xdr:sp macro="" textlink="">
          <xdr:nvSpPr>
            <xdr:cNvPr id="5182" name="Object 62" hidden="1">
              <a:extLst>
                <a:ext uri="{63B3BB69-23CF-44E3-9099-C40C66FF867C}">
                  <a14:compatExt spid="_x0000_s51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792480</xdr:colOff>
          <xdr:row>53</xdr:row>
          <xdr:rowOff>624840</xdr:rowOff>
        </xdr:from>
        <xdr:to>
          <xdr:col>0</xdr:col>
          <xdr:colOff>2034540</xdr:colOff>
          <xdr:row>53</xdr:row>
          <xdr:rowOff>960120</xdr:rowOff>
        </xdr:to>
        <xdr:sp macro="" textlink="">
          <xdr:nvSpPr>
            <xdr:cNvPr id="5194" name="Object 74" hidden="1">
              <a:extLst>
                <a:ext uri="{63B3BB69-23CF-44E3-9099-C40C66FF867C}">
                  <a14:compatExt spid="_x0000_s5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822960</xdr:colOff>
          <xdr:row>54</xdr:row>
          <xdr:rowOff>701040</xdr:rowOff>
        </xdr:from>
        <xdr:to>
          <xdr:col>0</xdr:col>
          <xdr:colOff>2065020</xdr:colOff>
          <xdr:row>54</xdr:row>
          <xdr:rowOff>1036320</xdr:rowOff>
        </xdr:to>
        <xdr:sp macro="" textlink="">
          <xdr:nvSpPr>
            <xdr:cNvPr id="5195" name="Object 75" hidden="1">
              <a:extLst>
                <a:ext uri="{63B3BB69-23CF-44E3-9099-C40C66FF867C}">
                  <a14:compatExt spid="_x0000_s5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62</xdr:row>
          <xdr:rowOff>137160</xdr:rowOff>
        </xdr:from>
        <xdr:to>
          <xdr:col>6</xdr:col>
          <xdr:colOff>609600</xdr:colOff>
          <xdr:row>62</xdr:row>
          <xdr:rowOff>487680</xdr:rowOff>
        </xdr:to>
        <xdr:sp macro="" textlink="">
          <xdr:nvSpPr>
            <xdr:cNvPr id="5210" name="Object 90" hidden="1">
              <a:extLst>
                <a:ext uri="{63B3BB69-23CF-44E3-9099-C40C66FF867C}">
                  <a14:compatExt spid="_x0000_s5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63</xdr:row>
          <xdr:rowOff>0</xdr:rowOff>
        </xdr:from>
        <xdr:to>
          <xdr:col>5</xdr:col>
          <xdr:colOff>2415540</xdr:colOff>
          <xdr:row>63</xdr:row>
          <xdr:rowOff>464820</xdr:rowOff>
        </xdr:to>
        <xdr:sp macro="" textlink="">
          <xdr:nvSpPr>
            <xdr:cNvPr id="5211" name="Object 91" hidden="1">
              <a:extLst>
                <a:ext uri="{63B3BB69-23CF-44E3-9099-C40C66FF867C}">
                  <a14:compatExt spid="_x0000_s5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72</xdr:row>
          <xdr:rowOff>0</xdr:rowOff>
        </xdr:from>
        <xdr:to>
          <xdr:col>5</xdr:col>
          <xdr:colOff>1866900</xdr:colOff>
          <xdr:row>72</xdr:row>
          <xdr:rowOff>449580</xdr:rowOff>
        </xdr:to>
        <xdr:sp macro="" textlink="">
          <xdr:nvSpPr>
            <xdr:cNvPr id="5216" name="Object 96" hidden="1">
              <a:extLst>
                <a:ext uri="{63B3BB69-23CF-44E3-9099-C40C66FF867C}">
                  <a14:compatExt spid="_x0000_s52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73</xdr:row>
          <xdr:rowOff>76200</xdr:rowOff>
        </xdr:from>
        <xdr:to>
          <xdr:col>5</xdr:col>
          <xdr:colOff>1866900</xdr:colOff>
          <xdr:row>73</xdr:row>
          <xdr:rowOff>327660</xdr:rowOff>
        </xdr:to>
        <xdr:sp macro="" textlink="">
          <xdr:nvSpPr>
            <xdr:cNvPr id="5220" name="Object 100" hidden="1">
              <a:extLst>
                <a:ext uri="{63B3BB69-23CF-44E3-9099-C40C66FF867C}">
                  <a14:compatExt spid="_x0000_s5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74</xdr:row>
          <xdr:rowOff>76200</xdr:rowOff>
        </xdr:from>
        <xdr:to>
          <xdr:col>5</xdr:col>
          <xdr:colOff>1866900</xdr:colOff>
          <xdr:row>74</xdr:row>
          <xdr:rowOff>327660</xdr:rowOff>
        </xdr:to>
        <xdr:sp macro="" textlink="">
          <xdr:nvSpPr>
            <xdr:cNvPr id="5221" name="Object 101" hidden="1">
              <a:extLst>
                <a:ext uri="{63B3BB69-23CF-44E3-9099-C40C66FF867C}">
                  <a14:compatExt spid="_x0000_s52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76</xdr:row>
          <xdr:rowOff>0</xdr:rowOff>
        </xdr:from>
        <xdr:to>
          <xdr:col>5</xdr:col>
          <xdr:colOff>3108960</xdr:colOff>
          <xdr:row>76</xdr:row>
          <xdr:rowOff>441960</xdr:rowOff>
        </xdr:to>
        <xdr:sp macro="" textlink="">
          <xdr:nvSpPr>
            <xdr:cNvPr id="5224" name="Object 104" hidden="1">
              <a:extLst>
                <a:ext uri="{63B3BB69-23CF-44E3-9099-C40C66FF867C}">
                  <a14:compatExt spid="_x0000_s5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91440</xdr:colOff>
          <xdr:row>77</xdr:row>
          <xdr:rowOff>83820</xdr:rowOff>
        </xdr:from>
        <xdr:to>
          <xdr:col>5</xdr:col>
          <xdr:colOff>1844040</xdr:colOff>
          <xdr:row>77</xdr:row>
          <xdr:rowOff>320040</xdr:rowOff>
        </xdr:to>
        <xdr:sp macro="" textlink="">
          <xdr:nvSpPr>
            <xdr:cNvPr id="5225" name="Object 105" hidden="1">
              <a:extLst>
                <a:ext uri="{63B3BB69-23CF-44E3-9099-C40C66FF867C}">
                  <a14:compatExt spid="_x0000_s5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80</xdr:row>
          <xdr:rowOff>76200</xdr:rowOff>
        </xdr:from>
        <xdr:to>
          <xdr:col>5</xdr:col>
          <xdr:colOff>2263140</xdr:colOff>
          <xdr:row>80</xdr:row>
          <xdr:rowOff>312420</xdr:rowOff>
        </xdr:to>
        <xdr:sp macro="" textlink="">
          <xdr:nvSpPr>
            <xdr:cNvPr id="5227" name="Object 107" hidden="1">
              <a:extLst>
                <a:ext uri="{63B3BB69-23CF-44E3-9099-C40C66FF867C}">
                  <a14:compatExt spid="_x0000_s5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81</xdr:row>
          <xdr:rowOff>45720</xdr:rowOff>
        </xdr:from>
        <xdr:to>
          <xdr:col>5</xdr:col>
          <xdr:colOff>1874520</xdr:colOff>
          <xdr:row>81</xdr:row>
          <xdr:rowOff>388620</xdr:rowOff>
        </xdr:to>
        <xdr:sp macro="" textlink="">
          <xdr:nvSpPr>
            <xdr:cNvPr id="5228" name="Object 108" hidden="1">
              <a:extLst>
                <a:ext uri="{63B3BB69-23CF-44E3-9099-C40C66FF867C}">
                  <a14:compatExt spid="_x0000_s5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0</xdr:rowOff>
        </xdr:from>
        <xdr:to>
          <xdr:col>6</xdr:col>
          <xdr:colOff>76200</xdr:colOff>
          <xdr:row>24</xdr:row>
          <xdr:rowOff>15240</xdr:rowOff>
        </xdr:to>
        <xdr:sp macro="" textlink="">
          <xdr:nvSpPr>
            <xdr:cNvPr id="5234" name="Object 114" hidden="1">
              <a:extLst>
                <a:ext uri="{63B3BB69-23CF-44E3-9099-C40C66FF867C}">
                  <a14:compatExt spid="_x0000_s52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6</xdr:col>
          <xdr:colOff>99060</xdr:colOff>
          <xdr:row>24</xdr:row>
          <xdr:rowOff>495300</xdr:rowOff>
        </xdr:to>
        <xdr:sp macro="" textlink="">
          <xdr:nvSpPr>
            <xdr:cNvPr id="5235" name="Object 115" hidden="1">
              <a:extLst>
                <a:ext uri="{63B3BB69-23CF-44E3-9099-C40C66FF867C}">
                  <a14:compatExt spid="_x0000_s5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22</xdr:row>
          <xdr:rowOff>0</xdr:rowOff>
        </xdr:from>
        <xdr:to>
          <xdr:col>5</xdr:col>
          <xdr:colOff>3032760</xdr:colOff>
          <xdr:row>22</xdr:row>
          <xdr:rowOff>495300</xdr:rowOff>
        </xdr:to>
        <xdr:sp macro="" textlink="">
          <xdr:nvSpPr>
            <xdr:cNvPr id="5240" name="Object 120" hidden="1">
              <a:extLst>
                <a:ext uri="{63B3BB69-23CF-44E3-9099-C40C66FF867C}">
                  <a14:compatExt spid="_x0000_s5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xdr:colOff>
          <xdr:row>32</xdr:row>
          <xdr:rowOff>91440</xdr:rowOff>
        </xdr:from>
        <xdr:to>
          <xdr:col>5</xdr:col>
          <xdr:colOff>2758440</xdr:colOff>
          <xdr:row>32</xdr:row>
          <xdr:rowOff>335280</xdr:rowOff>
        </xdr:to>
        <xdr:sp macro="" textlink="">
          <xdr:nvSpPr>
            <xdr:cNvPr id="5249" name="Object 129" hidden="1">
              <a:extLst>
                <a:ext uri="{63B3BB69-23CF-44E3-9099-C40C66FF867C}">
                  <a14:compatExt spid="_x0000_s5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30</xdr:row>
          <xdr:rowOff>0</xdr:rowOff>
        </xdr:from>
        <xdr:to>
          <xdr:col>6</xdr:col>
          <xdr:colOff>76200</xdr:colOff>
          <xdr:row>31</xdr:row>
          <xdr:rowOff>15240</xdr:rowOff>
        </xdr:to>
        <xdr:sp macro="" textlink="">
          <xdr:nvSpPr>
            <xdr:cNvPr id="5252" name="Object 132" hidden="1">
              <a:extLst>
                <a:ext uri="{63B3BB69-23CF-44E3-9099-C40C66FF867C}">
                  <a14:compatExt spid="_x0000_s5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31</xdr:row>
          <xdr:rowOff>0</xdr:rowOff>
        </xdr:from>
        <xdr:to>
          <xdr:col>6</xdr:col>
          <xdr:colOff>99060</xdr:colOff>
          <xdr:row>31</xdr:row>
          <xdr:rowOff>495300</xdr:rowOff>
        </xdr:to>
        <xdr:sp macro="" textlink="">
          <xdr:nvSpPr>
            <xdr:cNvPr id="5253" name="Object 133" hidden="1">
              <a:extLst>
                <a:ext uri="{63B3BB69-23CF-44E3-9099-C40C66FF867C}">
                  <a14:compatExt spid="_x0000_s5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29</xdr:row>
          <xdr:rowOff>0</xdr:rowOff>
        </xdr:from>
        <xdr:to>
          <xdr:col>5</xdr:col>
          <xdr:colOff>3032760</xdr:colOff>
          <xdr:row>29</xdr:row>
          <xdr:rowOff>495300</xdr:rowOff>
        </xdr:to>
        <xdr:sp macro="" textlink="">
          <xdr:nvSpPr>
            <xdr:cNvPr id="5254" name="Object 134" hidden="1">
              <a:extLst>
                <a:ext uri="{63B3BB69-23CF-44E3-9099-C40C66FF867C}">
                  <a14:compatExt spid="_x0000_s52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30480</xdr:colOff>
          <xdr:row>78</xdr:row>
          <xdr:rowOff>91440</xdr:rowOff>
        </xdr:from>
        <xdr:to>
          <xdr:col>5</xdr:col>
          <xdr:colOff>1897380</xdr:colOff>
          <xdr:row>78</xdr:row>
          <xdr:rowOff>327660</xdr:rowOff>
        </xdr:to>
        <xdr:sp macro="" textlink="">
          <xdr:nvSpPr>
            <xdr:cNvPr id="5268" name="Object 148" hidden="1">
              <a:extLst>
                <a:ext uri="{63B3BB69-23CF-44E3-9099-C40C66FF867C}">
                  <a14:compatExt spid="_x0000_s5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xdr:colOff>
          <xdr:row>79</xdr:row>
          <xdr:rowOff>76200</xdr:rowOff>
        </xdr:from>
        <xdr:to>
          <xdr:col>5</xdr:col>
          <xdr:colOff>3040380</xdr:colOff>
          <xdr:row>79</xdr:row>
          <xdr:rowOff>312420</xdr:rowOff>
        </xdr:to>
        <xdr:sp macro="" textlink="">
          <xdr:nvSpPr>
            <xdr:cNvPr id="5269" name="Object 149" hidden="1">
              <a:extLst>
                <a:ext uri="{63B3BB69-23CF-44E3-9099-C40C66FF867C}">
                  <a14:compatExt spid="_x0000_s5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20</xdr:row>
          <xdr:rowOff>0</xdr:rowOff>
        </xdr:from>
        <xdr:to>
          <xdr:col>6</xdr:col>
          <xdr:colOff>289560</xdr:colOff>
          <xdr:row>21</xdr:row>
          <xdr:rowOff>7620</xdr:rowOff>
        </xdr:to>
        <xdr:sp macro="" textlink="">
          <xdr:nvSpPr>
            <xdr:cNvPr id="5271" name="Object 151" hidden="1">
              <a:extLst>
                <a:ext uri="{63B3BB69-23CF-44E3-9099-C40C66FF867C}">
                  <a14:compatExt spid="_x0000_s5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21</xdr:row>
          <xdr:rowOff>0</xdr:rowOff>
        </xdr:from>
        <xdr:to>
          <xdr:col>6</xdr:col>
          <xdr:colOff>289560</xdr:colOff>
          <xdr:row>22</xdr:row>
          <xdr:rowOff>7620</xdr:rowOff>
        </xdr:to>
        <xdr:sp macro="" textlink="">
          <xdr:nvSpPr>
            <xdr:cNvPr id="5272" name="Object 152" hidden="1">
              <a:extLst>
                <a:ext uri="{63B3BB69-23CF-44E3-9099-C40C66FF867C}">
                  <a14:compatExt spid="_x0000_s5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27</xdr:row>
          <xdr:rowOff>0</xdr:rowOff>
        </xdr:from>
        <xdr:to>
          <xdr:col>6</xdr:col>
          <xdr:colOff>289560</xdr:colOff>
          <xdr:row>28</xdr:row>
          <xdr:rowOff>7620</xdr:rowOff>
        </xdr:to>
        <xdr:sp macro="" textlink="">
          <xdr:nvSpPr>
            <xdr:cNvPr id="5275" name="Object 155" hidden="1">
              <a:extLst>
                <a:ext uri="{63B3BB69-23CF-44E3-9099-C40C66FF867C}">
                  <a14:compatExt spid="_x0000_s5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28</xdr:row>
          <xdr:rowOff>0</xdr:rowOff>
        </xdr:from>
        <xdr:to>
          <xdr:col>6</xdr:col>
          <xdr:colOff>289560</xdr:colOff>
          <xdr:row>29</xdr:row>
          <xdr:rowOff>7620</xdr:rowOff>
        </xdr:to>
        <xdr:sp macro="" textlink="">
          <xdr:nvSpPr>
            <xdr:cNvPr id="5276" name="Object 156" hidden="1">
              <a:extLst>
                <a:ext uri="{63B3BB69-23CF-44E3-9099-C40C66FF867C}">
                  <a14:compatExt spid="_x0000_s52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33</xdr:row>
          <xdr:rowOff>0</xdr:rowOff>
        </xdr:from>
        <xdr:to>
          <xdr:col>5</xdr:col>
          <xdr:colOff>2560320</xdr:colOff>
          <xdr:row>33</xdr:row>
          <xdr:rowOff>457200</xdr:rowOff>
        </xdr:to>
        <xdr:sp macro="" textlink="">
          <xdr:nvSpPr>
            <xdr:cNvPr id="5277" name="Object 157" hidden="1">
              <a:extLst>
                <a:ext uri="{63B3BB69-23CF-44E3-9099-C40C66FF867C}">
                  <a14:compatExt spid="_x0000_s5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34</xdr:row>
          <xdr:rowOff>0</xdr:rowOff>
        </xdr:from>
        <xdr:to>
          <xdr:col>5</xdr:col>
          <xdr:colOff>2560320</xdr:colOff>
          <xdr:row>34</xdr:row>
          <xdr:rowOff>457200</xdr:rowOff>
        </xdr:to>
        <xdr:sp macro="" textlink="">
          <xdr:nvSpPr>
            <xdr:cNvPr id="5278" name="Object 158" hidden="1">
              <a:extLst>
                <a:ext uri="{63B3BB69-23CF-44E3-9099-C40C66FF867C}">
                  <a14:compatExt spid="_x0000_s5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0</xdr:rowOff>
        </xdr:from>
        <xdr:to>
          <xdr:col>5</xdr:col>
          <xdr:colOff>2560320</xdr:colOff>
          <xdr:row>35</xdr:row>
          <xdr:rowOff>457200</xdr:rowOff>
        </xdr:to>
        <xdr:sp macro="" textlink="">
          <xdr:nvSpPr>
            <xdr:cNvPr id="5279" name="Object 159" hidden="1">
              <a:extLst>
                <a:ext uri="{63B3BB69-23CF-44E3-9099-C40C66FF867C}">
                  <a14:compatExt spid="_x0000_s52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36</xdr:row>
          <xdr:rowOff>0</xdr:rowOff>
        </xdr:from>
        <xdr:to>
          <xdr:col>5</xdr:col>
          <xdr:colOff>2560320</xdr:colOff>
          <xdr:row>36</xdr:row>
          <xdr:rowOff>457200</xdr:rowOff>
        </xdr:to>
        <xdr:sp macro="" textlink="">
          <xdr:nvSpPr>
            <xdr:cNvPr id="5280" name="Object 160" hidden="1">
              <a:extLst>
                <a:ext uri="{63B3BB69-23CF-44E3-9099-C40C66FF867C}">
                  <a14:compatExt spid="_x0000_s5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30480</xdr:colOff>
          <xdr:row>60</xdr:row>
          <xdr:rowOff>38100</xdr:rowOff>
        </xdr:from>
        <xdr:to>
          <xdr:col>7</xdr:col>
          <xdr:colOff>228600</xdr:colOff>
          <xdr:row>60</xdr:row>
          <xdr:rowOff>487680</xdr:rowOff>
        </xdr:to>
        <xdr:sp macro="" textlink="">
          <xdr:nvSpPr>
            <xdr:cNvPr id="5281" name="Object 161" hidden="1">
              <a:extLst>
                <a:ext uri="{63B3BB69-23CF-44E3-9099-C40C66FF867C}">
                  <a14:compatExt spid="_x0000_s5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61</xdr:row>
          <xdr:rowOff>0</xdr:rowOff>
        </xdr:from>
        <xdr:to>
          <xdr:col>6</xdr:col>
          <xdr:colOff>1569720</xdr:colOff>
          <xdr:row>62</xdr:row>
          <xdr:rowOff>22860</xdr:rowOff>
        </xdr:to>
        <xdr:sp macro="" textlink="">
          <xdr:nvSpPr>
            <xdr:cNvPr id="5282" name="Object 162" hidden="1">
              <a:extLst>
                <a:ext uri="{63B3BB69-23CF-44E3-9099-C40C66FF867C}">
                  <a14:compatExt spid="_x0000_s52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30480</xdr:rowOff>
        </xdr:from>
        <xdr:to>
          <xdr:col>6</xdr:col>
          <xdr:colOff>1127760</xdr:colOff>
          <xdr:row>66</xdr:row>
          <xdr:rowOff>548640</xdr:rowOff>
        </xdr:to>
        <xdr:sp macro="" textlink="">
          <xdr:nvSpPr>
            <xdr:cNvPr id="5295" name="Object 175" hidden="1">
              <a:extLst>
                <a:ext uri="{63B3BB69-23CF-44E3-9099-C40C66FF867C}">
                  <a14:compatExt spid="_x0000_s52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30480</xdr:rowOff>
        </xdr:from>
        <xdr:to>
          <xdr:col>6</xdr:col>
          <xdr:colOff>1150620</xdr:colOff>
          <xdr:row>68</xdr:row>
          <xdr:rowOff>495300</xdr:rowOff>
        </xdr:to>
        <xdr:sp macro="" textlink="">
          <xdr:nvSpPr>
            <xdr:cNvPr id="5296" name="Object 176" hidden="1">
              <a:extLst>
                <a:ext uri="{63B3BB69-23CF-44E3-9099-C40C66FF867C}">
                  <a14:compatExt spid="_x0000_s52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114300</xdr:colOff>
          <xdr:row>70</xdr:row>
          <xdr:rowOff>68580</xdr:rowOff>
        </xdr:from>
        <xdr:to>
          <xdr:col>5</xdr:col>
          <xdr:colOff>1821180</xdr:colOff>
          <xdr:row>70</xdr:row>
          <xdr:rowOff>982980</xdr:rowOff>
        </xdr:to>
        <xdr:sp macro="" textlink="">
          <xdr:nvSpPr>
            <xdr:cNvPr id="5298" name="Object 178" hidden="1">
              <a:extLst>
                <a:ext uri="{63B3BB69-23CF-44E3-9099-C40C66FF867C}">
                  <a14:compatExt spid="_x0000_s52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67</xdr:row>
          <xdr:rowOff>30480</xdr:rowOff>
        </xdr:from>
        <xdr:to>
          <xdr:col>6</xdr:col>
          <xdr:colOff>1127760</xdr:colOff>
          <xdr:row>67</xdr:row>
          <xdr:rowOff>548640</xdr:rowOff>
        </xdr:to>
        <xdr:sp macro="" textlink="">
          <xdr:nvSpPr>
            <xdr:cNvPr id="5300" name="Object 180" hidden="1">
              <a:extLst>
                <a:ext uri="{63B3BB69-23CF-44E3-9099-C40C66FF867C}">
                  <a14:compatExt spid="_x0000_s53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30480</xdr:rowOff>
        </xdr:from>
        <xdr:to>
          <xdr:col>6</xdr:col>
          <xdr:colOff>1150620</xdr:colOff>
          <xdr:row>69</xdr:row>
          <xdr:rowOff>495300</xdr:rowOff>
        </xdr:to>
        <xdr:sp macro="" textlink="">
          <xdr:nvSpPr>
            <xdr:cNvPr id="5301" name="Object 181" hidden="1">
              <a:extLst>
                <a:ext uri="{63B3BB69-23CF-44E3-9099-C40C66FF867C}">
                  <a14:compatExt spid="_x0000_s53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114300</xdr:colOff>
          <xdr:row>71</xdr:row>
          <xdr:rowOff>68580</xdr:rowOff>
        </xdr:from>
        <xdr:to>
          <xdr:col>5</xdr:col>
          <xdr:colOff>1821180</xdr:colOff>
          <xdr:row>71</xdr:row>
          <xdr:rowOff>982980</xdr:rowOff>
        </xdr:to>
        <xdr:sp macro="" textlink="">
          <xdr:nvSpPr>
            <xdr:cNvPr id="5302" name="Object 182" hidden="1">
              <a:extLst>
                <a:ext uri="{63B3BB69-23CF-44E3-9099-C40C66FF867C}">
                  <a14:compatExt spid="_x0000_s53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45720</xdr:colOff>
          <xdr:row>75</xdr:row>
          <xdr:rowOff>53340</xdr:rowOff>
        </xdr:from>
        <xdr:to>
          <xdr:col>5</xdr:col>
          <xdr:colOff>2606040</xdr:colOff>
          <xdr:row>75</xdr:row>
          <xdr:rowOff>510540</xdr:rowOff>
        </xdr:to>
        <xdr:sp macro="" textlink="">
          <xdr:nvSpPr>
            <xdr:cNvPr id="5303" name="Object 183" hidden="1">
              <a:extLst>
                <a:ext uri="{63B3BB69-23CF-44E3-9099-C40C66FF867C}">
                  <a14:compatExt spid="_x0000_s5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41</xdr:row>
          <xdr:rowOff>0</xdr:rowOff>
        </xdr:from>
        <xdr:to>
          <xdr:col>5</xdr:col>
          <xdr:colOff>1714500</xdr:colOff>
          <xdr:row>42</xdr:row>
          <xdr:rowOff>38100</xdr:rowOff>
        </xdr:to>
        <xdr:sp macro="" textlink="">
          <xdr:nvSpPr>
            <xdr:cNvPr id="5304" name="Object 184" hidden="1">
              <a:extLst>
                <a:ext uri="{63B3BB69-23CF-44E3-9099-C40C66FF867C}">
                  <a14:compatExt spid="_x0000_s5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42</xdr:row>
          <xdr:rowOff>0</xdr:rowOff>
        </xdr:from>
        <xdr:to>
          <xdr:col>5</xdr:col>
          <xdr:colOff>1714500</xdr:colOff>
          <xdr:row>43</xdr:row>
          <xdr:rowOff>38100</xdr:rowOff>
        </xdr:to>
        <xdr:sp macro="" textlink="">
          <xdr:nvSpPr>
            <xdr:cNvPr id="5305" name="Object 185" hidden="1">
              <a:extLst>
                <a:ext uri="{63B3BB69-23CF-44E3-9099-C40C66FF867C}">
                  <a14:compatExt spid="_x0000_s53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0</xdr:rowOff>
        </xdr:from>
        <xdr:to>
          <xdr:col>6</xdr:col>
          <xdr:colOff>746760</xdr:colOff>
          <xdr:row>27</xdr:row>
          <xdr:rowOff>30480</xdr:rowOff>
        </xdr:to>
        <xdr:sp macro="" textlink="">
          <xdr:nvSpPr>
            <xdr:cNvPr id="5306" name="Object 186" hidden="1">
              <a:extLst>
                <a:ext uri="{63B3BB69-23CF-44E3-9099-C40C66FF867C}">
                  <a14:compatExt spid="_x0000_s53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0</xdr:rowOff>
        </xdr:from>
        <xdr:to>
          <xdr:col>6</xdr:col>
          <xdr:colOff>746760</xdr:colOff>
          <xdr:row>20</xdr:row>
          <xdr:rowOff>30480</xdr:rowOff>
        </xdr:to>
        <xdr:sp macro="" textlink="">
          <xdr:nvSpPr>
            <xdr:cNvPr id="5307" name="Object 187" hidden="1">
              <a:extLst>
                <a:ext uri="{63B3BB69-23CF-44E3-9099-C40C66FF867C}">
                  <a14:compatExt spid="_x0000_s5307"/>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601980</xdr:colOff>
          <xdr:row>10</xdr:row>
          <xdr:rowOff>45720</xdr:rowOff>
        </xdr:from>
        <xdr:to>
          <xdr:col>2</xdr:col>
          <xdr:colOff>502920</xdr:colOff>
          <xdr:row>10</xdr:row>
          <xdr:rowOff>297180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10</xdr:row>
          <xdr:rowOff>45720</xdr:rowOff>
        </xdr:from>
        <xdr:to>
          <xdr:col>6</xdr:col>
          <xdr:colOff>304800</xdr:colOff>
          <xdr:row>10</xdr:row>
          <xdr:rowOff>297180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179070</xdr:colOff>
      <xdr:row>3</xdr:row>
      <xdr:rowOff>25717</xdr:rowOff>
    </xdr:from>
    <xdr:to>
      <xdr:col>6</xdr:col>
      <xdr:colOff>179070</xdr:colOff>
      <xdr:row>20</xdr:row>
      <xdr:rowOff>16192</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302895</xdr:colOff>
      <xdr:row>3</xdr:row>
      <xdr:rowOff>59055</xdr:rowOff>
    </xdr:from>
    <xdr:to>
      <xdr:col>12</xdr:col>
      <xdr:colOff>302895</xdr:colOff>
      <xdr:row>20</xdr:row>
      <xdr:rowOff>49530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464820</xdr:colOff>
      <xdr:row>3</xdr:row>
      <xdr:rowOff>78105</xdr:rowOff>
    </xdr:from>
    <xdr:to>
      <xdr:col>18</xdr:col>
      <xdr:colOff>464820</xdr:colOff>
      <xdr:row>20</xdr:row>
      <xdr:rowOff>68580</xdr:rowOff>
    </xdr:to>
    <xdr:graphicFrame macro="">
      <xdr:nvGraphicFramePr>
        <xdr:cNvPr id="5" name="Diagramm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112395</xdr:colOff>
      <xdr:row>22</xdr:row>
      <xdr:rowOff>157480</xdr:rowOff>
    </xdr:from>
    <xdr:to>
      <xdr:col>6</xdr:col>
      <xdr:colOff>112395</xdr:colOff>
      <xdr:row>39</xdr:row>
      <xdr:rowOff>147955</xdr:rowOff>
    </xdr:to>
    <xdr:graphicFrame macro="">
      <xdr:nvGraphicFramePr>
        <xdr:cNvPr id="7" name="Diagramm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248920</xdr:colOff>
      <xdr:row>23</xdr:row>
      <xdr:rowOff>4445</xdr:rowOff>
    </xdr:from>
    <xdr:to>
      <xdr:col>12</xdr:col>
      <xdr:colOff>248920</xdr:colOff>
      <xdr:row>39</xdr:row>
      <xdr:rowOff>160020</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423545</xdr:colOff>
      <xdr:row>23</xdr:row>
      <xdr:rowOff>36195</xdr:rowOff>
    </xdr:from>
    <xdr:to>
      <xdr:col>18</xdr:col>
      <xdr:colOff>423545</xdr:colOff>
      <xdr:row>40</xdr:row>
      <xdr:rowOff>26670</xdr:rowOff>
    </xdr:to>
    <xdr:graphicFrame macro="">
      <xdr:nvGraphicFramePr>
        <xdr:cNvPr id="11" name="Diagramm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83820</xdr:colOff>
      <xdr:row>40</xdr:row>
      <xdr:rowOff>45720</xdr:rowOff>
    </xdr:from>
    <xdr:to>
      <xdr:col>6</xdr:col>
      <xdr:colOff>83820</xdr:colOff>
      <xdr:row>57</xdr:row>
      <xdr:rowOff>30480</xdr:rowOff>
    </xdr:to>
    <xdr:graphicFrame macro="">
      <xdr:nvGraphicFramePr>
        <xdr:cNvPr id="12" name="Diagramm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568325</xdr:colOff>
      <xdr:row>22</xdr:row>
      <xdr:rowOff>124460</xdr:rowOff>
    </xdr:from>
    <xdr:to>
      <xdr:col>24</xdr:col>
      <xdr:colOff>568325</xdr:colOff>
      <xdr:row>39</xdr:row>
      <xdr:rowOff>114935</xdr:rowOff>
    </xdr:to>
    <xdr:graphicFrame macro="">
      <xdr:nvGraphicFramePr>
        <xdr:cNvPr id="13" name="Diagramm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259080</xdr:colOff>
      <xdr:row>40</xdr:row>
      <xdr:rowOff>46673</xdr:rowOff>
    </xdr:from>
    <xdr:to>
      <xdr:col>12</xdr:col>
      <xdr:colOff>259080</xdr:colOff>
      <xdr:row>57</xdr:row>
      <xdr:rowOff>37148</xdr:rowOff>
    </xdr:to>
    <xdr:graphicFrame macro="">
      <xdr:nvGraphicFramePr>
        <xdr:cNvPr id="15" name="Diagramm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411480</xdr:colOff>
      <xdr:row>40</xdr:row>
      <xdr:rowOff>80963</xdr:rowOff>
    </xdr:from>
    <xdr:to>
      <xdr:col>18</xdr:col>
      <xdr:colOff>411480</xdr:colOff>
      <xdr:row>57</xdr:row>
      <xdr:rowOff>65723</xdr:rowOff>
    </xdr:to>
    <xdr:graphicFrame macro="">
      <xdr:nvGraphicFramePr>
        <xdr:cNvPr id="17" name="Diagramm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573405</xdr:colOff>
      <xdr:row>40</xdr:row>
      <xdr:rowOff>100013</xdr:rowOff>
    </xdr:from>
    <xdr:to>
      <xdr:col>24</xdr:col>
      <xdr:colOff>573405</xdr:colOff>
      <xdr:row>57</xdr:row>
      <xdr:rowOff>90488</xdr:rowOff>
    </xdr:to>
    <xdr:graphicFrame macro="">
      <xdr:nvGraphicFramePr>
        <xdr:cNvPr id="19" name="Diagramm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30480</xdr:colOff>
      <xdr:row>58</xdr:row>
      <xdr:rowOff>98108</xdr:rowOff>
    </xdr:from>
    <xdr:to>
      <xdr:col>6</xdr:col>
      <xdr:colOff>30480</xdr:colOff>
      <xdr:row>75</xdr:row>
      <xdr:rowOff>88583</xdr:rowOff>
    </xdr:to>
    <xdr:graphicFrame macro="">
      <xdr:nvGraphicFramePr>
        <xdr:cNvPr id="21" name="Diagramm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198120</xdr:colOff>
      <xdr:row>58</xdr:row>
      <xdr:rowOff>121920</xdr:rowOff>
    </xdr:from>
    <xdr:to>
      <xdr:col>12</xdr:col>
      <xdr:colOff>198120</xdr:colOff>
      <xdr:row>75</xdr:row>
      <xdr:rowOff>112395</xdr:rowOff>
    </xdr:to>
    <xdr:graphicFrame macro="">
      <xdr:nvGraphicFramePr>
        <xdr:cNvPr id="23" name="Diagramm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xdr:col>
      <xdr:colOff>381000</xdr:colOff>
      <xdr:row>58</xdr:row>
      <xdr:rowOff>137160</xdr:rowOff>
    </xdr:from>
    <xdr:to>
      <xdr:col>18</xdr:col>
      <xdr:colOff>381000</xdr:colOff>
      <xdr:row>75</xdr:row>
      <xdr:rowOff>127635</xdr:rowOff>
    </xdr:to>
    <xdr:graphicFrame macro="">
      <xdr:nvGraphicFramePr>
        <xdr:cNvPr id="24" name="Diagramm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en/Kommissionen/CEN_TC_156/WG_21/140815/prEN_16798-5-1/SPREADSHEET_M5-6_8_prEN_16798-5-1_2014-10-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PS_FprEN16798-9_160121_det_mast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PS%2015316-3_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System_configuration"/>
      <sheetName val="Input_series"/>
      <sheetName val="Method_input"/>
      <sheetName val="Method_calculation"/>
      <sheetName val="Method_output"/>
      <sheetName val="Output_series"/>
      <sheetName val="Graphs"/>
      <sheetName val="Greek_to_soft"/>
      <sheetName val="Symbols"/>
      <sheetName val="Subs_building"/>
      <sheetName val="Subs_system"/>
      <sheetName val="Subs_del_EP"/>
      <sheetName val="Subs_other"/>
      <sheetName val="History"/>
    </sheetNames>
    <sheetDataSet>
      <sheetData sheetId="0"/>
      <sheetData sheetId="1"/>
      <sheetData sheetId="2"/>
      <sheetData sheetId="3"/>
      <sheetData sheetId="4"/>
      <sheetData sheetId="5"/>
      <sheetData sheetId="6"/>
      <sheetData sheetId="7">
        <row r="6">
          <cell r="E6">
            <v>1</v>
          </cell>
        </row>
        <row r="7">
          <cell r="E7">
            <v>21.8</v>
          </cell>
        </row>
        <row r="8">
          <cell r="E8">
            <v>1.15E-2</v>
          </cell>
        </row>
        <row r="9">
          <cell r="E9">
            <v>26</v>
          </cell>
        </row>
        <row r="10">
          <cell r="E10">
            <v>28</v>
          </cell>
        </row>
        <row r="11">
          <cell r="E11">
            <v>1.15E-2</v>
          </cell>
        </row>
        <row r="12">
          <cell r="E12">
            <v>0.79846847027928836</v>
          </cell>
        </row>
        <row r="13">
          <cell r="E13">
            <v>1.3743489064884051</v>
          </cell>
        </row>
        <row r="14">
          <cell r="E14">
            <v>14.433173244798617</v>
          </cell>
        </row>
        <row r="15">
          <cell r="E15">
            <v>1</v>
          </cell>
        </row>
        <row r="16">
          <cell r="E16">
            <v>500</v>
          </cell>
        </row>
        <row r="17">
          <cell r="E17">
            <v>500</v>
          </cell>
        </row>
        <row r="18">
          <cell r="E18">
            <v>250</v>
          </cell>
        </row>
        <row r="19">
          <cell r="E19">
            <v>25</v>
          </cell>
        </row>
        <row r="20">
          <cell r="E20">
            <v>7.0000000000000001E-3</v>
          </cell>
        </row>
        <row r="21">
          <cell r="E21">
            <v>1.0999999999999999E-2</v>
          </cell>
        </row>
        <row r="22">
          <cell r="E22">
            <v>26</v>
          </cell>
        </row>
        <row r="23">
          <cell r="E23">
            <v>1.3000000000098273E-2</v>
          </cell>
        </row>
        <row r="24">
          <cell r="E24">
            <v>0.9</v>
          </cell>
        </row>
        <row r="25">
          <cell r="E25">
            <v>0.9</v>
          </cell>
        </row>
        <row r="26">
          <cell r="E26">
            <v>1</v>
          </cell>
        </row>
      </sheetData>
      <sheetData sheetId="8"/>
      <sheetData sheetId="9">
        <row r="6">
          <cell r="E6">
            <v>1.0093970763060194E-2</v>
          </cell>
        </row>
        <row r="7">
          <cell r="E7">
            <v>0</v>
          </cell>
        </row>
        <row r="8">
          <cell r="E8">
            <v>0.10043597910942585</v>
          </cell>
        </row>
        <row r="9">
          <cell r="E9">
            <v>0</v>
          </cell>
        </row>
        <row r="10">
          <cell r="E10">
            <v>-1.8841383106322239E-2</v>
          </cell>
        </row>
        <row r="11">
          <cell r="E11">
            <v>0</v>
          </cell>
        </row>
        <row r="12">
          <cell r="E12">
            <v>0.79846847028049339</v>
          </cell>
        </row>
        <row r="13">
          <cell r="E13">
            <v>1.3743489065107652</v>
          </cell>
        </row>
        <row r="14">
          <cell r="E14">
            <v>0</v>
          </cell>
        </row>
        <row r="15">
          <cell r="E15">
            <v>0</v>
          </cell>
        </row>
        <row r="16">
          <cell r="E16">
            <v>4.2058211512750803E-3</v>
          </cell>
        </row>
        <row r="17">
          <cell r="E17"/>
        </row>
        <row r="19">
          <cell r="E19">
            <v>21.350170609421149</v>
          </cell>
        </row>
        <row r="20">
          <cell r="E20">
            <v>14.433173244790401</v>
          </cell>
        </row>
        <row r="21">
          <cell r="E21">
            <v>500</v>
          </cell>
        </row>
        <row r="22">
          <cell r="E22">
            <v>500</v>
          </cell>
        </row>
        <row r="23">
          <cell r="E23">
            <v>10.000000000000009</v>
          </cell>
        </row>
        <row r="24">
          <cell r="E24">
            <v>10.000000000000009</v>
          </cell>
        </row>
        <row r="25">
          <cell r="E25">
            <v>0.90900000000000003</v>
          </cell>
        </row>
        <row r="26">
          <cell r="E26">
            <v>20.28011910997186</v>
          </cell>
        </row>
        <row r="27">
          <cell r="E27">
            <v>1.1000000000004725E-2</v>
          </cell>
        </row>
      </sheetData>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Data_catalogue_example"/>
      <sheetName val="Input_series"/>
      <sheetName val="Method_input"/>
      <sheetName val="Method_calculation"/>
      <sheetName val="Method_output"/>
      <sheetName val="Output_series"/>
      <sheetName val="Graphs"/>
      <sheetName val="History"/>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5">
          <cell r="D15">
            <v>7.0000000000000007E-2</v>
          </cell>
        </row>
      </sheetData>
      <sheetData sheetId="8" refreshError="1"/>
      <sheetData sheetId="9">
        <row r="15">
          <cell r="D15">
            <v>1.2885430900414385</v>
          </cell>
        </row>
        <row r="25">
          <cell r="D25">
            <v>19.062529781112353</v>
          </cell>
        </row>
        <row r="27">
          <cell r="D27">
            <v>11.399999999999999</v>
          </cell>
        </row>
      </sheetData>
      <sheetData sheetId="10" refreshError="1"/>
      <sheetData sheetId="11" refreshError="1"/>
      <sheetData sheetId="1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Data_catalogue_example"/>
      <sheetName val="Input_series"/>
      <sheetName val="Method_input"/>
      <sheetName val="Method_calculation"/>
      <sheetName val="Method_output"/>
      <sheetName val="Output_series"/>
      <sheetName val="History"/>
    </sheetNames>
    <sheetDataSet>
      <sheetData sheetId="0"/>
      <sheetData sheetId="1"/>
      <sheetData sheetId="2"/>
      <sheetData sheetId="3"/>
      <sheetData sheetId="4"/>
      <sheetData sheetId="5"/>
      <sheetData sheetId="6"/>
      <sheetData sheetId="7"/>
      <sheetData sheetId="8"/>
      <sheetData sheetId="9">
        <row r="12">
          <cell r="D12">
            <v>-0.42484655172413799</v>
          </cell>
        </row>
        <row r="25">
          <cell r="D25">
            <v>5.0168912102575552E-3</v>
          </cell>
        </row>
      </sheetData>
      <sheetData sheetId="10"/>
      <sheetData sheetId="1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image" Target="../media/image5.w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oleObject" Target="../embeddings/oleObject5.bin"/><Relationship Id="rId5" Type="http://schemas.openxmlformats.org/officeDocument/2006/relationships/image" Target="../media/image4.wmf"/><Relationship Id="rId4" Type="http://schemas.openxmlformats.org/officeDocument/2006/relationships/oleObject" Target="../embeddings/oleObject4.bin"/><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8.bin"/><Relationship Id="rId13" Type="http://schemas.openxmlformats.org/officeDocument/2006/relationships/oleObject" Target="../embeddings/oleObject11.bin"/><Relationship Id="rId18" Type="http://schemas.openxmlformats.org/officeDocument/2006/relationships/ctrlProp" Target="../ctrlProps/ctrlProp11.xml"/><Relationship Id="rId3" Type="http://schemas.openxmlformats.org/officeDocument/2006/relationships/vmlDrawing" Target="../drawings/vmlDrawing5.vml"/><Relationship Id="rId7" Type="http://schemas.openxmlformats.org/officeDocument/2006/relationships/image" Target="../media/image7.wmf"/><Relationship Id="rId12" Type="http://schemas.openxmlformats.org/officeDocument/2006/relationships/oleObject" Target="../embeddings/oleObject10.bin"/><Relationship Id="rId17" Type="http://schemas.openxmlformats.org/officeDocument/2006/relationships/ctrlProp" Target="../ctrlProps/ctrlProp10.xml"/><Relationship Id="rId2" Type="http://schemas.openxmlformats.org/officeDocument/2006/relationships/drawing" Target="../drawings/drawing5.xml"/><Relationship Id="rId16" Type="http://schemas.openxmlformats.org/officeDocument/2006/relationships/ctrlProp" Target="../ctrlProps/ctrlProp9.xml"/><Relationship Id="rId20" Type="http://schemas.openxmlformats.org/officeDocument/2006/relationships/comments" Target="../comments4.xml"/><Relationship Id="rId1" Type="http://schemas.openxmlformats.org/officeDocument/2006/relationships/printerSettings" Target="../printerSettings/printerSettings5.bin"/><Relationship Id="rId6" Type="http://schemas.openxmlformats.org/officeDocument/2006/relationships/oleObject" Target="../embeddings/oleObject7.bin"/><Relationship Id="rId11" Type="http://schemas.openxmlformats.org/officeDocument/2006/relationships/image" Target="../media/image9.wmf"/><Relationship Id="rId5" Type="http://schemas.openxmlformats.org/officeDocument/2006/relationships/image" Target="../media/image6.wmf"/><Relationship Id="rId15" Type="http://schemas.openxmlformats.org/officeDocument/2006/relationships/ctrlProp" Target="../ctrlProps/ctrlProp8.xml"/><Relationship Id="rId10" Type="http://schemas.openxmlformats.org/officeDocument/2006/relationships/oleObject" Target="../embeddings/oleObject9.bin"/><Relationship Id="rId19" Type="http://schemas.openxmlformats.org/officeDocument/2006/relationships/ctrlProp" Target="../ctrlProps/ctrlProp12.xml"/><Relationship Id="rId4" Type="http://schemas.openxmlformats.org/officeDocument/2006/relationships/oleObject" Target="../embeddings/oleObject6.bin"/><Relationship Id="rId9" Type="http://schemas.openxmlformats.org/officeDocument/2006/relationships/image" Target="../media/image8.wmf"/><Relationship Id="rId1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3" Type="http://schemas.openxmlformats.org/officeDocument/2006/relationships/image" Target="../media/image14.emf"/><Relationship Id="rId18" Type="http://schemas.openxmlformats.org/officeDocument/2006/relationships/image" Target="../media/image16.emf"/><Relationship Id="rId26" Type="http://schemas.openxmlformats.org/officeDocument/2006/relationships/image" Target="../media/image20.emf"/><Relationship Id="rId39" Type="http://schemas.openxmlformats.org/officeDocument/2006/relationships/oleObject" Target="../embeddings/oleObject31.bin"/><Relationship Id="rId21" Type="http://schemas.openxmlformats.org/officeDocument/2006/relationships/oleObject" Target="../embeddings/oleObject21.bin"/><Relationship Id="rId34" Type="http://schemas.openxmlformats.org/officeDocument/2006/relationships/image" Target="../media/image23.wmf"/><Relationship Id="rId42" Type="http://schemas.openxmlformats.org/officeDocument/2006/relationships/oleObject" Target="../embeddings/oleObject33.bin"/><Relationship Id="rId47" Type="http://schemas.openxmlformats.org/officeDocument/2006/relationships/image" Target="../media/image29.wmf"/><Relationship Id="rId50" Type="http://schemas.openxmlformats.org/officeDocument/2006/relationships/oleObject" Target="../embeddings/oleObject37.bin"/><Relationship Id="rId55" Type="http://schemas.openxmlformats.org/officeDocument/2006/relationships/image" Target="../media/image33.wmf"/><Relationship Id="rId63" Type="http://schemas.openxmlformats.org/officeDocument/2006/relationships/image" Target="../media/image35.wmf"/><Relationship Id="rId68" Type="http://schemas.openxmlformats.org/officeDocument/2006/relationships/oleObject" Target="../embeddings/oleObject48.bin"/><Relationship Id="rId76" Type="http://schemas.openxmlformats.org/officeDocument/2006/relationships/image" Target="../media/image39.wmf"/><Relationship Id="rId84" Type="http://schemas.openxmlformats.org/officeDocument/2006/relationships/image" Target="../media/image43.wmf"/><Relationship Id="rId89" Type="http://schemas.openxmlformats.org/officeDocument/2006/relationships/oleObject" Target="../embeddings/oleObject63.bin"/><Relationship Id="rId7" Type="http://schemas.openxmlformats.org/officeDocument/2006/relationships/image" Target="../media/image11.wmf"/><Relationship Id="rId71" Type="http://schemas.openxmlformats.org/officeDocument/2006/relationships/image" Target="../media/image38.wmf"/><Relationship Id="rId92" Type="http://schemas.openxmlformats.org/officeDocument/2006/relationships/oleObject" Target="../embeddings/oleObject65.bin"/><Relationship Id="rId2" Type="http://schemas.openxmlformats.org/officeDocument/2006/relationships/drawing" Target="../drawings/drawing6.xml"/><Relationship Id="rId16" Type="http://schemas.openxmlformats.org/officeDocument/2006/relationships/image" Target="../media/image15.wmf"/><Relationship Id="rId29" Type="http://schemas.openxmlformats.org/officeDocument/2006/relationships/oleObject" Target="../embeddings/oleObject25.bin"/><Relationship Id="rId11" Type="http://schemas.openxmlformats.org/officeDocument/2006/relationships/image" Target="../media/image13.wmf"/><Relationship Id="rId24" Type="http://schemas.openxmlformats.org/officeDocument/2006/relationships/image" Target="../media/image19.emf"/><Relationship Id="rId32" Type="http://schemas.openxmlformats.org/officeDocument/2006/relationships/oleObject" Target="../embeddings/oleObject27.bin"/><Relationship Id="rId37" Type="http://schemas.openxmlformats.org/officeDocument/2006/relationships/oleObject" Target="../embeddings/oleObject30.bin"/><Relationship Id="rId40" Type="http://schemas.openxmlformats.org/officeDocument/2006/relationships/image" Target="../media/image26.wmf"/><Relationship Id="rId45" Type="http://schemas.openxmlformats.org/officeDocument/2006/relationships/image" Target="../media/image28.wmf"/><Relationship Id="rId53" Type="http://schemas.openxmlformats.org/officeDocument/2006/relationships/image" Target="../media/image32.wmf"/><Relationship Id="rId58" Type="http://schemas.openxmlformats.org/officeDocument/2006/relationships/oleObject" Target="../embeddings/oleObject42.bin"/><Relationship Id="rId66" Type="http://schemas.openxmlformats.org/officeDocument/2006/relationships/oleObject" Target="../embeddings/oleObject47.bin"/><Relationship Id="rId74" Type="http://schemas.openxmlformats.org/officeDocument/2006/relationships/oleObject" Target="../embeddings/oleObject53.bin"/><Relationship Id="rId79" Type="http://schemas.openxmlformats.org/officeDocument/2006/relationships/oleObject" Target="../embeddings/oleObject56.bin"/><Relationship Id="rId87" Type="http://schemas.openxmlformats.org/officeDocument/2006/relationships/oleObject" Target="../embeddings/oleObject61.bin"/><Relationship Id="rId5" Type="http://schemas.openxmlformats.org/officeDocument/2006/relationships/image" Target="../media/image10.wmf"/><Relationship Id="rId61" Type="http://schemas.openxmlformats.org/officeDocument/2006/relationships/image" Target="../media/image34.wmf"/><Relationship Id="rId82" Type="http://schemas.openxmlformats.org/officeDocument/2006/relationships/image" Target="../media/image42.wmf"/><Relationship Id="rId90" Type="http://schemas.openxmlformats.org/officeDocument/2006/relationships/image" Target="../media/image44.wmf"/><Relationship Id="rId19" Type="http://schemas.openxmlformats.org/officeDocument/2006/relationships/oleObject" Target="../embeddings/oleObject20.bin"/><Relationship Id="rId14" Type="http://schemas.openxmlformats.org/officeDocument/2006/relationships/oleObject" Target="../embeddings/oleObject17.bin"/><Relationship Id="rId22" Type="http://schemas.openxmlformats.org/officeDocument/2006/relationships/image" Target="../media/image18.wmf"/><Relationship Id="rId27" Type="http://schemas.openxmlformats.org/officeDocument/2006/relationships/oleObject" Target="../embeddings/oleObject24.bin"/><Relationship Id="rId30" Type="http://schemas.openxmlformats.org/officeDocument/2006/relationships/oleObject" Target="../embeddings/oleObject26.bin"/><Relationship Id="rId35" Type="http://schemas.openxmlformats.org/officeDocument/2006/relationships/oleObject" Target="../embeddings/oleObject29.bin"/><Relationship Id="rId43" Type="http://schemas.openxmlformats.org/officeDocument/2006/relationships/image" Target="../media/image27.wmf"/><Relationship Id="rId48" Type="http://schemas.openxmlformats.org/officeDocument/2006/relationships/oleObject" Target="../embeddings/oleObject36.bin"/><Relationship Id="rId56" Type="http://schemas.openxmlformats.org/officeDocument/2006/relationships/oleObject" Target="../embeddings/oleObject40.bin"/><Relationship Id="rId64" Type="http://schemas.openxmlformats.org/officeDocument/2006/relationships/oleObject" Target="../embeddings/oleObject46.bin"/><Relationship Id="rId69" Type="http://schemas.openxmlformats.org/officeDocument/2006/relationships/oleObject" Target="../embeddings/oleObject49.bin"/><Relationship Id="rId77" Type="http://schemas.openxmlformats.org/officeDocument/2006/relationships/oleObject" Target="../embeddings/oleObject55.bin"/><Relationship Id="rId8" Type="http://schemas.openxmlformats.org/officeDocument/2006/relationships/oleObject" Target="../embeddings/oleObject14.bin"/><Relationship Id="rId51" Type="http://schemas.openxmlformats.org/officeDocument/2006/relationships/image" Target="../media/image31.wmf"/><Relationship Id="rId72" Type="http://schemas.openxmlformats.org/officeDocument/2006/relationships/oleObject" Target="../embeddings/oleObject51.bin"/><Relationship Id="rId80" Type="http://schemas.openxmlformats.org/officeDocument/2006/relationships/image" Target="../media/image41.wmf"/><Relationship Id="rId85" Type="http://schemas.openxmlformats.org/officeDocument/2006/relationships/oleObject" Target="../embeddings/oleObject59.bin"/><Relationship Id="rId93" Type="http://schemas.openxmlformats.org/officeDocument/2006/relationships/image" Target="../media/image45.wmf"/><Relationship Id="rId3" Type="http://schemas.openxmlformats.org/officeDocument/2006/relationships/vmlDrawing" Target="../drawings/vmlDrawing8.vml"/><Relationship Id="rId12" Type="http://schemas.openxmlformats.org/officeDocument/2006/relationships/oleObject" Target="../embeddings/oleObject16.bin"/><Relationship Id="rId17" Type="http://schemas.openxmlformats.org/officeDocument/2006/relationships/oleObject" Target="../embeddings/oleObject19.bin"/><Relationship Id="rId25" Type="http://schemas.openxmlformats.org/officeDocument/2006/relationships/oleObject" Target="../embeddings/oleObject23.bin"/><Relationship Id="rId33" Type="http://schemas.openxmlformats.org/officeDocument/2006/relationships/oleObject" Target="../embeddings/oleObject28.bin"/><Relationship Id="rId38" Type="http://schemas.openxmlformats.org/officeDocument/2006/relationships/image" Target="../media/image25.wmf"/><Relationship Id="rId46" Type="http://schemas.openxmlformats.org/officeDocument/2006/relationships/oleObject" Target="../embeddings/oleObject35.bin"/><Relationship Id="rId59" Type="http://schemas.openxmlformats.org/officeDocument/2006/relationships/oleObject" Target="../embeddings/oleObject43.bin"/><Relationship Id="rId67" Type="http://schemas.openxmlformats.org/officeDocument/2006/relationships/image" Target="../media/image37.wmf"/><Relationship Id="rId20" Type="http://schemas.openxmlformats.org/officeDocument/2006/relationships/image" Target="../media/image17.emf"/><Relationship Id="rId41" Type="http://schemas.openxmlformats.org/officeDocument/2006/relationships/oleObject" Target="../embeddings/oleObject32.bin"/><Relationship Id="rId54" Type="http://schemas.openxmlformats.org/officeDocument/2006/relationships/oleObject" Target="../embeddings/oleObject39.bin"/><Relationship Id="rId62" Type="http://schemas.openxmlformats.org/officeDocument/2006/relationships/oleObject" Target="../embeddings/oleObject45.bin"/><Relationship Id="rId70" Type="http://schemas.openxmlformats.org/officeDocument/2006/relationships/oleObject" Target="../embeddings/oleObject50.bin"/><Relationship Id="rId75" Type="http://schemas.openxmlformats.org/officeDocument/2006/relationships/oleObject" Target="../embeddings/oleObject54.bin"/><Relationship Id="rId83" Type="http://schemas.openxmlformats.org/officeDocument/2006/relationships/oleObject" Target="../embeddings/oleObject58.bin"/><Relationship Id="rId88" Type="http://schemas.openxmlformats.org/officeDocument/2006/relationships/oleObject" Target="../embeddings/oleObject62.bin"/><Relationship Id="rId91" Type="http://schemas.openxmlformats.org/officeDocument/2006/relationships/oleObject" Target="../embeddings/oleObject64.bin"/><Relationship Id="rId1" Type="http://schemas.openxmlformats.org/officeDocument/2006/relationships/printerSettings" Target="../printerSettings/printerSettings8.bin"/><Relationship Id="rId6" Type="http://schemas.openxmlformats.org/officeDocument/2006/relationships/oleObject" Target="../embeddings/oleObject13.bin"/><Relationship Id="rId15" Type="http://schemas.openxmlformats.org/officeDocument/2006/relationships/oleObject" Target="../embeddings/oleObject18.bin"/><Relationship Id="rId23" Type="http://schemas.openxmlformats.org/officeDocument/2006/relationships/oleObject" Target="../embeddings/oleObject22.bin"/><Relationship Id="rId28" Type="http://schemas.openxmlformats.org/officeDocument/2006/relationships/image" Target="../media/image21.emf"/><Relationship Id="rId36" Type="http://schemas.openxmlformats.org/officeDocument/2006/relationships/image" Target="../media/image24.wmf"/><Relationship Id="rId49" Type="http://schemas.openxmlformats.org/officeDocument/2006/relationships/image" Target="../media/image30.wmf"/><Relationship Id="rId57" Type="http://schemas.openxmlformats.org/officeDocument/2006/relationships/oleObject" Target="../embeddings/oleObject41.bin"/><Relationship Id="rId10" Type="http://schemas.openxmlformats.org/officeDocument/2006/relationships/oleObject" Target="../embeddings/oleObject15.bin"/><Relationship Id="rId31" Type="http://schemas.openxmlformats.org/officeDocument/2006/relationships/image" Target="../media/image22.wmf"/><Relationship Id="rId44" Type="http://schemas.openxmlformats.org/officeDocument/2006/relationships/oleObject" Target="../embeddings/oleObject34.bin"/><Relationship Id="rId52" Type="http://schemas.openxmlformats.org/officeDocument/2006/relationships/oleObject" Target="../embeddings/oleObject38.bin"/><Relationship Id="rId60" Type="http://schemas.openxmlformats.org/officeDocument/2006/relationships/oleObject" Target="../embeddings/oleObject44.bin"/><Relationship Id="rId65" Type="http://schemas.openxmlformats.org/officeDocument/2006/relationships/image" Target="../media/image36.wmf"/><Relationship Id="rId73" Type="http://schemas.openxmlformats.org/officeDocument/2006/relationships/oleObject" Target="../embeddings/oleObject52.bin"/><Relationship Id="rId78" Type="http://schemas.openxmlformats.org/officeDocument/2006/relationships/image" Target="../media/image40.wmf"/><Relationship Id="rId81" Type="http://schemas.openxmlformats.org/officeDocument/2006/relationships/oleObject" Target="../embeddings/oleObject57.bin"/><Relationship Id="rId86" Type="http://schemas.openxmlformats.org/officeDocument/2006/relationships/oleObject" Target="../embeddings/oleObject60.bin"/><Relationship Id="rId94" Type="http://schemas.openxmlformats.org/officeDocument/2006/relationships/oleObject" Target="../embeddings/oleObject66.bin"/><Relationship Id="rId4" Type="http://schemas.openxmlformats.org/officeDocument/2006/relationships/oleObject" Target="../embeddings/oleObject12.bin"/><Relationship Id="rId9" Type="http://schemas.openxmlformats.org/officeDocument/2006/relationships/image" Target="../media/image12.wmf"/></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8"/>
  <sheetViews>
    <sheetView workbookViewId="0"/>
  </sheetViews>
  <sheetFormatPr baseColWidth="10" defaultColWidth="8.88671875" defaultRowHeight="13.2" x14ac:dyDescent="0.25"/>
  <cols>
    <col min="1" max="1" width="92.5546875" style="238" customWidth="1"/>
  </cols>
  <sheetData>
    <row r="1" spans="1:1" ht="224.4" x14ac:dyDescent="0.25">
      <c r="A1" s="237" t="s">
        <v>530</v>
      </c>
    </row>
    <row r="2" spans="1:1" ht="39.6" x14ac:dyDescent="0.25">
      <c r="A2" s="237" t="s">
        <v>531</v>
      </c>
    </row>
    <row r="3" spans="1:1" ht="132" x14ac:dyDescent="0.25">
      <c r="A3" s="237" t="s">
        <v>532</v>
      </c>
    </row>
    <row r="4" spans="1:1" ht="66" x14ac:dyDescent="0.25">
      <c r="A4" s="237" t="s">
        <v>533</v>
      </c>
    </row>
    <row r="5" spans="1:1" ht="159" x14ac:dyDescent="0.25">
      <c r="A5" s="237" t="s">
        <v>199</v>
      </c>
    </row>
    <row r="6" spans="1:1" ht="79.2" x14ac:dyDescent="0.25">
      <c r="A6" s="237" t="s">
        <v>200</v>
      </c>
    </row>
    <row r="7" spans="1:1" ht="105.6" x14ac:dyDescent="0.25">
      <c r="A7" s="237" t="s">
        <v>227</v>
      </c>
    </row>
    <row r="8" spans="1:1" x14ac:dyDescent="0.25">
      <c r="A8" s="239" t="s">
        <v>228</v>
      </c>
    </row>
    <row r="9" spans="1:1" ht="52.8" x14ac:dyDescent="0.25">
      <c r="A9" s="237" t="s">
        <v>209</v>
      </c>
    </row>
    <row r="10" spans="1:1" ht="66" x14ac:dyDescent="0.25">
      <c r="A10" s="237" t="s">
        <v>208</v>
      </c>
    </row>
    <row r="11" spans="1:1" ht="66" x14ac:dyDescent="0.25">
      <c r="A11" s="237" t="s">
        <v>206</v>
      </c>
    </row>
    <row r="12" spans="1:1" ht="66" x14ac:dyDescent="0.25">
      <c r="A12" s="237" t="s">
        <v>207</v>
      </c>
    </row>
    <row r="13" spans="1:1" ht="39.6" x14ac:dyDescent="0.25">
      <c r="A13" s="237" t="s">
        <v>210</v>
      </c>
    </row>
    <row r="14" spans="1:1" ht="26.4" x14ac:dyDescent="0.25">
      <c r="A14" s="237" t="s">
        <v>211</v>
      </c>
    </row>
    <row r="15" spans="1:1" ht="39.6" x14ac:dyDescent="0.25">
      <c r="A15" s="257" t="s">
        <v>229</v>
      </c>
    </row>
    <row r="16" spans="1:1" ht="52.8" x14ac:dyDescent="0.25">
      <c r="A16" s="257" t="s">
        <v>230</v>
      </c>
    </row>
    <row r="17" spans="1:1" ht="39.6" x14ac:dyDescent="0.25">
      <c r="A17" s="257" t="s">
        <v>231</v>
      </c>
    </row>
    <row r="18" spans="1:1" ht="39.6" x14ac:dyDescent="0.25">
      <c r="A18" s="237" t="s">
        <v>212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dimension ref="A1:I47"/>
  <sheetViews>
    <sheetView workbookViewId="0">
      <selection activeCell="E16" sqref="E16"/>
    </sheetView>
  </sheetViews>
  <sheetFormatPr baseColWidth="10" defaultColWidth="9.109375" defaultRowHeight="13.2" x14ac:dyDescent="0.25"/>
  <cols>
    <col min="1" max="1" width="43.44140625" style="8" customWidth="1"/>
    <col min="2" max="2" width="12.6640625" style="2" customWidth="1"/>
    <col min="3" max="3" width="9.109375" style="2"/>
    <col min="4" max="4" width="11.44140625" style="2" customWidth="1"/>
    <col min="5" max="6" width="12.33203125" style="2" customWidth="1"/>
    <col min="7" max="7" width="26.109375" style="2" customWidth="1"/>
    <col min="8" max="8" width="39.33203125" style="2" customWidth="1"/>
    <col min="9" max="16384" width="9.109375" style="2"/>
  </cols>
  <sheetData>
    <row r="1" spans="1:9" ht="66" customHeight="1" thickBot="1" x14ac:dyDescent="0.3">
      <c r="A1" s="475" t="s">
        <v>226</v>
      </c>
      <c r="B1" s="476"/>
      <c r="C1" s="476"/>
      <c r="D1" s="476"/>
      <c r="E1" s="476"/>
      <c r="F1" s="476"/>
      <c r="G1" s="476"/>
      <c r="H1" s="477"/>
    </row>
    <row r="2" spans="1:9" x14ac:dyDescent="0.25">
      <c r="A2" s="2"/>
    </row>
    <row r="4" spans="1:9" x14ac:dyDescent="0.25">
      <c r="A4" s="3" t="s">
        <v>5</v>
      </c>
      <c r="B4" s="3" t="s">
        <v>9</v>
      </c>
      <c r="C4" s="3" t="s">
        <v>1</v>
      </c>
      <c r="D4" s="3" t="s">
        <v>6</v>
      </c>
      <c r="E4" s="3" t="s">
        <v>54</v>
      </c>
      <c r="F4" s="25" t="s">
        <v>147</v>
      </c>
      <c r="G4" s="25" t="s">
        <v>104</v>
      </c>
      <c r="H4" s="3" t="s">
        <v>8</v>
      </c>
    </row>
    <row r="5" spans="1:9" ht="13.8" x14ac:dyDescent="0.25">
      <c r="A5" s="57" t="s">
        <v>140</v>
      </c>
      <c r="B5" s="3"/>
      <c r="C5" s="3"/>
      <c r="D5" s="3"/>
      <c r="E5" s="3"/>
      <c r="F5" s="3"/>
      <c r="G5" s="3"/>
      <c r="H5" s="3"/>
    </row>
    <row r="6" spans="1:9" ht="15.6" x14ac:dyDescent="0.25">
      <c r="A6" s="58" t="s">
        <v>141</v>
      </c>
      <c r="B6" s="30" t="s">
        <v>213</v>
      </c>
      <c r="C6" s="25" t="s">
        <v>146</v>
      </c>
      <c r="D6" s="3">
        <v>30</v>
      </c>
      <c r="E6" s="205" t="s">
        <v>218</v>
      </c>
      <c r="F6" s="25"/>
      <c r="G6" s="25"/>
      <c r="H6" s="3"/>
      <c r="I6" s="13"/>
    </row>
    <row r="7" spans="1:9" ht="15.6" x14ac:dyDescent="0.25">
      <c r="A7" s="58" t="s">
        <v>142</v>
      </c>
      <c r="B7" s="30" t="s">
        <v>214</v>
      </c>
      <c r="C7" s="25" t="s">
        <v>146</v>
      </c>
      <c r="D7" s="3">
        <v>20</v>
      </c>
      <c r="E7" s="205" t="s">
        <v>219</v>
      </c>
      <c r="F7" s="25"/>
      <c r="G7" s="25"/>
      <c r="H7" s="3"/>
      <c r="I7" s="20"/>
    </row>
    <row r="8" spans="1:9" ht="15.6" x14ac:dyDescent="0.25">
      <c r="A8" s="58" t="s">
        <v>143</v>
      </c>
      <c r="B8" s="30" t="s">
        <v>216</v>
      </c>
      <c r="C8" s="56" t="s">
        <v>11</v>
      </c>
      <c r="D8" s="3">
        <v>3</v>
      </c>
      <c r="E8" s="205" t="s">
        <v>217</v>
      </c>
      <c r="F8" s="25"/>
      <c r="G8" s="25"/>
      <c r="H8" s="3"/>
      <c r="I8" s="20"/>
    </row>
    <row r="9" spans="1:9" ht="15.6" x14ac:dyDescent="0.25">
      <c r="A9" s="58" t="s">
        <v>144</v>
      </c>
      <c r="B9" s="30" t="s">
        <v>215</v>
      </c>
      <c r="C9" s="25" t="s">
        <v>146</v>
      </c>
      <c r="D9" s="3">
        <v>3.1</v>
      </c>
      <c r="E9" s="25" t="s">
        <v>145</v>
      </c>
      <c r="F9" s="25"/>
      <c r="G9" s="25"/>
      <c r="H9" s="3"/>
      <c r="I9" s="20"/>
    </row>
    <row r="10" spans="1:9" x14ac:dyDescent="0.25">
      <c r="A10" s="58"/>
      <c r="B10" s="31"/>
      <c r="C10" s="25"/>
      <c r="D10" s="3"/>
      <c r="E10" s="25"/>
      <c r="F10" s="25"/>
      <c r="G10" s="25"/>
      <c r="H10" s="3"/>
      <c r="I10" s="20"/>
    </row>
    <row r="11" spans="1:9" x14ac:dyDescent="0.25">
      <c r="A11" s="58"/>
      <c r="B11" s="30"/>
      <c r="C11" s="25"/>
      <c r="D11" s="3"/>
      <c r="E11" s="56"/>
      <c r="F11" s="56"/>
      <c r="G11" s="56"/>
      <c r="H11" s="3"/>
    </row>
    <row r="12" spans="1:9" ht="13.8" x14ac:dyDescent="0.25">
      <c r="A12" s="57" t="s">
        <v>148</v>
      </c>
      <c r="B12" s="30"/>
      <c r="C12" s="25"/>
      <c r="D12" s="3"/>
      <c r="E12" s="56"/>
      <c r="F12" s="56"/>
      <c r="G12" s="56"/>
      <c r="H12" s="3"/>
    </row>
    <row r="13" spans="1:9" x14ac:dyDescent="0.25">
      <c r="A13" s="58"/>
      <c r="B13" s="30"/>
      <c r="C13" s="25"/>
      <c r="D13" s="3"/>
      <c r="E13" s="56"/>
      <c r="F13" s="56"/>
      <c r="G13" s="56"/>
      <c r="H13" s="3"/>
    </row>
    <row r="14" spans="1:9" x14ac:dyDescent="0.25">
      <c r="A14" s="58" t="s">
        <v>159</v>
      </c>
      <c r="B14" s="30"/>
      <c r="C14" s="25"/>
      <c r="D14" s="3"/>
      <c r="E14" s="56"/>
      <c r="F14" s="56"/>
      <c r="G14" s="56"/>
      <c r="H14" s="3"/>
    </row>
    <row r="15" spans="1:9" ht="30.75" customHeight="1" x14ac:dyDescent="0.25">
      <c r="A15" s="255" t="s">
        <v>220</v>
      </c>
      <c r="B15" s="30" t="s">
        <v>224</v>
      </c>
      <c r="C15" s="235" t="s">
        <v>146</v>
      </c>
      <c r="D15" s="3">
        <f>0.55*Method_in*D7*D8</f>
        <v>990</v>
      </c>
      <c r="E15" s="56"/>
      <c r="F15" s="56"/>
      <c r="G15" s="99"/>
      <c r="H15" s="3"/>
    </row>
    <row r="16" spans="1:9" ht="30.75" customHeight="1" x14ac:dyDescent="0.25">
      <c r="A16" s="255" t="s">
        <v>221</v>
      </c>
      <c r="B16" s="30" t="s">
        <v>154</v>
      </c>
      <c r="C16" s="235" t="s">
        <v>146</v>
      </c>
      <c r="D16" s="3">
        <f>0.025*Method_in*D7*D8*D9</f>
        <v>139.5</v>
      </c>
      <c r="E16" s="56"/>
      <c r="F16" s="56"/>
      <c r="G16" s="99"/>
      <c r="H16" s="3"/>
    </row>
    <row r="17" spans="1:8" ht="30.75" customHeight="1" x14ac:dyDescent="0.25">
      <c r="A17" s="255" t="s">
        <v>222</v>
      </c>
      <c r="B17" s="30" t="s">
        <v>225</v>
      </c>
      <c r="C17" s="235" t="s">
        <v>146</v>
      </c>
      <c r="D17" s="3">
        <f>2*Method_in+0.01625*Method_in*D7*D7</f>
        <v>255</v>
      </c>
      <c r="E17" s="56"/>
      <c r="F17" s="56"/>
      <c r="G17" s="99"/>
      <c r="H17" s="3"/>
    </row>
    <row r="18" spans="1:8" x14ac:dyDescent="0.25">
      <c r="A18" s="255" t="s">
        <v>223</v>
      </c>
      <c r="B18" s="30"/>
      <c r="C18" s="25"/>
      <c r="D18" s="3"/>
      <c r="E18" s="56"/>
      <c r="F18" s="56"/>
      <c r="G18" s="56"/>
      <c r="H18" s="3"/>
    </row>
    <row r="19" spans="1:8" x14ac:dyDescent="0.25">
      <c r="A19" s="7"/>
      <c r="B19" s="3"/>
      <c r="C19" s="3"/>
      <c r="D19" s="3"/>
      <c r="E19" s="3"/>
      <c r="F19" s="3"/>
      <c r="G19" s="236"/>
      <c r="H19" s="3"/>
    </row>
    <row r="20" spans="1:8" ht="17.399999999999999" x14ac:dyDescent="0.25">
      <c r="A20" s="97" t="s">
        <v>149</v>
      </c>
      <c r="B20" s="3"/>
      <c r="C20" s="3"/>
      <c r="D20" s="3"/>
      <c r="E20" s="3"/>
      <c r="F20" s="3"/>
      <c r="G20" s="3"/>
      <c r="H20" s="3"/>
    </row>
    <row r="21" spans="1:8" ht="15.6" x14ac:dyDescent="0.25">
      <c r="A21" s="58" t="s">
        <v>150</v>
      </c>
      <c r="B21" s="30" t="s">
        <v>154</v>
      </c>
      <c r="C21" s="25" t="s">
        <v>146</v>
      </c>
      <c r="D21" s="3"/>
      <c r="E21" s="25" t="s">
        <v>55</v>
      </c>
      <c r="F21" s="25"/>
      <c r="G21" s="25"/>
      <c r="H21" s="3"/>
    </row>
    <row r="22" spans="1:8" ht="15.6" x14ac:dyDescent="0.25">
      <c r="A22" s="58" t="s">
        <v>152</v>
      </c>
      <c r="B22" s="30" t="s">
        <v>156</v>
      </c>
      <c r="C22" s="25" t="s">
        <v>146</v>
      </c>
      <c r="D22" s="3"/>
      <c r="E22" s="25" t="s">
        <v>158</v>
      </c>
      <c r="F22" s="25"/>
      <c r="G22" s="25"/>
      <c r="H22" s="3"/>
    </row>
    <row r="23" spans="1:8" ht="15.6" x14ac:dyDescent="0.25">
      <c r="A23" s="58" t="s">
        <v>151</v>
      </c>
      <c r="B23" s="30" t="s">
        <v>155</v>
      </c>
      <c r="C23" s="56" t="s">
        <v>146</v>
      </c>
      <c r="D23" s="54"/>
      <c r="E23" s="25" t="s">
        <v>55</v>
      </c>
      <c r="F23" s="25"/>
      <c r="G23" s="25"/>
      <c r="H23" s="3"/>
    </row>
    <row r="24" spans="1:8" ht="15.6" x14ac:dyDescent="0.25">
      <c r="A24" s="58" t="s">
        <v>153</v>
      </c>
      <c r="B24" s="30" t="s">
        <v>157</v>
      </c>
      <c r="C24" s="25" t="s">
        <v>146</v>
      </c>
      <c r="D24" s="3"/>
      <c r="E24" s="25" t="s">
        <v>158</v>
      </c>
      <c r="F24" s="25"/>
      <c r="G24" s="25"/>
      <c r="H24" s="3"/>
    </row>
    <row r="25" spans="1:8" x14ac:dyDescent="0.25">
      <c r="A25" s="58"/>
      <c r="B25" s="30"/>
      <c r="C25" s="56"/>
      <c r="D25" s="54"/>
      <c r="E25" s="25"/>
      <c r="F25" s="25"/>
      <c r="G25" s="25"/>
      <c r="H25" s="3"/>
    </row>
    <row r="26" spans="1:8" x14ac:dyDescent="0.25">
      <c r="A26" s="58"/>
      <c r="B26" s="30"/>
      <c r="C26" s="25"/>
      <c r="D26" s="55"/>
      <c r="E26" s="25"/>
      <c r="F26" s="25"/>
      <c r="G26" s="25"/>
      <c r="H26" s="3"/>
    </row>
    <row r="27" spans="1:8" x14ac:dyDescent="0.25">
      <c r="A27" s="58"/>
      <c r="B27" s="30"/>
      <c r="C27" s="25"/>
      <c r="D27" s="55"/>
      <c r="E27" s="25"/>
      <c r="F27" s="25"/>
      <c r="G27" s="25"/>
      <c r="H27" s="3"/>
    </row>
    <row r="28" spans="1:8" x14ac:dyDescent="0.25">
      <c r="A28" s="58"/>
      <c r="B28" s="30"/>
      <c r="C28" s="25"/>
      <c r="D28" s="55"/>
      <c r="E28" s="25"/>
      <c r="F28" s="25"/>
      <c r="G28" s="25"/>
      <c r="H28" s="3"/>
    </row>
    <row r="29" spans="1:8" x14ac:dyDescent="0.25">
      <c r="A29" s="58"/>
      <c r="B29" s="30"/>
      <c r="C29" s="25"/>
      <c r="D29" s="3"/>
      <c r="E29" s="25"/>
      <c r="F29" s="25"/>
      <c r="G29" s="25"/>
      <c r="H29" s="3"/>
    </row>
    <row r="30" spans="1:8" x14ac:dyDescent="0.25">
      <c r="A30" s="58"/>
      <c r="B30" s="59"/>
      <c r="C30" s="25"/>
      <c r="D30" s="3"/>
      <c r="E30" s="25"/>
      <c r="F30" s="25"/>
      <c r="G30" s="25"/>
      <c r="H30" s="3"/>
    </row>
    <row r="31" spans="1:8" x14ac:dyDescent="0.25">
      <c r="A31" s="58"/>
      <c r="B31" s="30"/>
      <c r="C31" s="25"/>
      <c r="D31" s="3"/>
      <c r="E31" s="25"/>
      <c r="F31" s="25"/>
      <c r="G31" s="25"/>
      <c r="H31" s="3"/>
    </row>
    <row r="32" spans="1:8" x14ac:dyDescent="0.25">
      <c r="A32" s="52"/>
      <c r="B32" s="59"/>
      <c r="C32" s="56"/>
      <c r="D32" s="3"/>
      <c r="E32" s="25"/>
      <c r="F32" s="25"/>
      <c r="G32" s="25"/>
      <c r="H32" s="3"/>
    </row>
    <row r="33" spans="1:8" x14ac:dyDescent="0.25">
      <c r="A33" s="58"/>
      <c r="B33" s="30"/>
      <c r="C33" s="56"/>
      <c r="D33" s="3"/>
      <c r="E33" s="3"/>
      <c r="F33" s="3"/>
      <c r="G33" s="3"/>
      <c r="H33" s="3"/>
    </row>
    <row r="34" spans="1:8" x14ac:dyDescent="0.25">
      <c r="A34" s="58"/>
      <c r="B34" s="30"/>
      <c r="C34" s="56"/>
      <c r="D34" s="3"/>
      <c r="E34" s="25"/>
      <c r="F34" s="25"/>
      <c r="G34" s="25"/>
      <c r="H34" s="3"/>
    </row>
    <row r="35" spans="1:8" x14ac:dyDescent="0.25">
      <c r="A35" s="58"/>
      <c r="B35" s="30"/>
      <c r="C35" s="56"/>
      <c r="D35" s="3"/>
      <c r="E35" s="25"/>
      <c r="F35" s="25"/>
      <c r="G35" s="25"/>
      <c r="H35" s="3"/>
    </row>
    <row r="36" spans="1:8" x14ac:dyDescent="0.25">
      <c r="A36" s="58"/>
      <c r="B36" s="30"/>
      <c r="C36" s="56"/>
      <c r="D36" s="3"/>
      <c r="E36" s="3"/>
      <c r="F36" s="3"/>
      <c r="G36" s="3"/>
      <c r="H36" s="3"/>
    </row>
    <row r="37" spans="1:8" x14ac:dyDescent="0.25">
      <c r="A37" s="58"/>
      <c r="B37" s="30"/>
      <c r="C37" s="25"/>
      <c r="D37" s="3"/>
      <c r="E37" s="25"/>
      <c r="F37" s="25"/>
      <c r="G37" s="25"/>
      <c r="H37" s="3"/>
    </row>
    <row r="38" spans="1:8" x14ac:dyDescent="0.25">
      <c r="A38" s="58"/>
      <c r="B38" s="30"/>
      <c r="C38" s="25"/>
      <c r="D38" s="3"/>
      <c r="E38" s="25"/>
      <c r="F38" s="25"/>
      <c r="G38" s="25"/>
      <c r="H38" s="3"/>
    </row>
    <row r="39" spans="1:8" x14ac:dyDescent="0.25">
      <c r="A39" s="58"/>
      <c r="B39" s="60"/>
      <c r="C39" s="25"/>
      <c r="D39" s="3"/>
      <c r="E39" s="25"/>
      <c r="F39" s="25"/>
      <c r="G39" s="25"/>
      <c r="H39" s="3"/>
    </row>
    <row r="40" spans="1:8" x14ac:dyDescent="0.25">
      <c r="A40" s="58"/>
      <c r="B40" s="30"/>
      <c r="C40" s="56"/>
      <c r="D40" s="3"/>
      <c r="E40" s="3"/>
      <c r="F40" s="3"/>
      <c r="G40" s="3"/>
      <c r="H40" s="3"/>
    </row>
    <row r="41" spans="1:8" x14ac:dyDescent="0.25">
      <c r="A41" s="53"/>
      <c r="B41" s="59"/>
      <c r="C41" s="56"/>
      <c r="D41" s="3"/>
      <c r="E41" s="25"/>
      <c r="F41" s="25"/>
      <c r="G41" s="25"/>
      <c r="H41" s="3"/>
    </row>
    <row r="42" spans="1:8" x14ac:dyDescent="0.25">
      <c r="A42" s="26"/>
      <c r="B42" s="59"/>
      <c r="C42" s="56"/>
      <c r="D42" s="3"/>
      <c r="E42" s="25"/>
      <c r="F42" s="25"/>
      <c r="G42" s="25"/>
      <c r="H42" s="3"/>
    </row>
    <row r="43" spans="1:8" x14ac:dyDescent="0.25">
      <c r="A43" s="58"/>
      <c r="B43" s="30"/>
      <c r="C43" s="56"/>
      <c r="D43" s="3"/>
      <c r="E43" s="3"/>
      <c r="F43" s="3"/>
      <c r="G43" s="3"/>
      <c r="H43" s="3"/>
    </row>
    <row r="44" spans="1:8" ht="17.399999999999999" x14ac:dyDescent="0.25">
      <c r="A44" s="97"/>
      <c r="B44" s="3"/>
      <c r="C44" s="3"/>
      <c r="D44" s="3"/>
      <c r="E44" s="3"/>
      <c r="F44" s="3"/>
      <c r="G44" s="3"/>
      <c r="H44" s="3"/>
    </row>
    <row r="45" spans="1:8" x14ac:dyDescent="0.25">
      <c r="A45" s="58"/>
      <c r="B45" s="30"/>
      <c r="C45" s="25"/>
      <c r="D45" s="3"/>
      <c r="E45" s="3"/>
      <c r="F45" s="3"/>
      <c r="G45" s="3"/>
      <c r="H45" s="3"/>
    </row>
    <row r="46" spans="1:8" x14ac:dyDescent="0.25">
      <c r="A46" s="58"/>
      <c r="B46" s="31"/>
      <c r="C46" s="25"/>
      <c r="D46" s="3"/>
      <c r="E46" s="56"/>
      <c r="F46" s="56"/>
      <c r="G46" s="56"/>
      <c r="H46" s="3"/>
    </row>
    <row r="47" spans="1:8" x14ac:dyDescent="0.25">
      <c r="A47" s="53"/>
      <c r="B47" s="59"/>
      <c r="C47" s="56"/>
      <c r="D47" s="3"/>
      <c r="E47" s="25"/>
      <c r="F47" s="25"/>
      <c r="G47" s="25"/>
      <c r="H47" s="3"/>
    </row>
  </sheetData>
  <mergeCells count="1">
    <mergeCell ref="A1:H1"/>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8194" r:id="rId4">
          <objectPr defaultSize="0" autoPict="0" r:id="rId5">
            <anchor moveWithCells="1" sizeWithCells="1">
              <from>
                <xdr:col>6</xdr:col>
                <xdr:colOff>99060</xdr:colOff>
                <xdr:row>14</xdr:row>
                <xdr:rowOff>76200</xdr:rowOff>
              </from>
              <to>
                <xdr:col>6</xdr:col>
                <xdr:colOff>1684020</xdr:colOff>
                <xdr:row>14</xdr:row>
                <xdr:rowOff>312420</xdr:rowOff>
              </to>
            </anchor>
          </objectPr>
        </oleObject>
      </mc:Choice>
      <mc:Fallback>
        <oleObject progId="Equation.3" shapeId="8194" r:id="rId4"/>
      </mc:Fallback>
    </mc:AlternateContent>
    <mc:AlternateContent xmlns:mc="http://schemas.openxmlformats.org/markup-compatibility/2006">
      <mc:Choice Requires="x14">
        <oleObject progId="Equation.3" shapeId="8195" r:id="rId6">
          <objectPr defaultSize="0" autoPict="0" r:id="rId7">
            <anchor moveWithCells="1" sizeWithCells="1">
              <from>
                <xdr:col>6</xdr:col>
                <xdr:colOff>60960</xdr:colOff>
                <xdr:row>15</xdr:row>
                <xdr:rowOff>106680</xdr:rowOff>
              </from>
              <to>
                <xdr:col>6</xdr:col>
                <xdr:colOff>1684020</xdr:colOff>
                <xdr:row>15</xdr:row>
                <xdr:rowOff>312420</xdr:rowOff>
              </to>
            </anchor>
          </objectPr>
        </oleObject>
      </mc:Choice>
      <mc:Fallback>
        <oleObject progId="Equation.3" shapeId="8195" r:id="rId6"/>
      </mc:Fallback>
    </mc:AlternateContent>
    <mc:AlternateContent xmlns:mc="http://schemas.openxmlformats.org/markup-compatibility/2006">
      <mc:Choice Requires="x14">
        <oleObject progId="Equation.3" shapeId="8196" r:id="rId8">
          <objectPr defaultSize="0" autoPict="0" r:id="rId9">
            <anchor moveWithCells="1" sizeWithCells="1">
              <from>
                <xdr:col>6</xdr:col>
                <xdr:colOff>99060</xdr:colOff>
                <xdr:row>16</xdr:row>
                <xdr:rowOff>83820</xdr:rowOff>
              </from>
              <to>
                <xdr:col>6</xdr:col>
                <xdr:colOff>1684020</xdr:colOff>
                <xdr:row>16</xdr:row>
                <xdr:rowOff>297180</xdr:rowOff>
              </to>
            </anchor>
          </objectPr>
        </oleObject>
      </mc:Choice>
      <mc:Fallback>
        <oleObject progId="Equation.3" shapeId="8196" r:id="rId8"/>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dimension ref="A1:D32"/>
  <sheetViews>
    <sheetView workbookViewId="0">
      <pane ySplit="2" topLeftCell="A3" activePane="bottomLeft" state="frozen"/>
      <selection pane="bottomLeft" activeCell="E21" sqref="E21"/>
    </sheetView>
  </sheetViews>
  <sheetFormatPr baseColWidth="10" defaultColWidth="9.109375" defaultRowHeight="13.2" x14ac:dyDescent="0.25"/>
  <cols>
    <col min="1" max="1" width="40.5546875" style="8" customWidth="1"/>
    <col min="2" max="2" width="16.6640625" style="2" customWidth="1"/>
    <col min="3" max="3" width="24.5546875" style="2" customWidth="1"/>
    <col min="4" max="4" width="10.109375" style="2" customWidth="1"/>
    <col min="5" max="16384" width="9.109375" style="2"/>
  </cols>
  <sheetData>
    <row r="1" spans="1:4" ht="60" customHeight="1" thickBot="1" x14ac:dyDescent="0.3">
      <c r="A1" s="475" t="s">
        <v>205</v>
      </c>
      <c r="B1" s="476"/>
      <c r="C1" s="477"/>
    </row>
    <row r="6" spans="1:4" ht="13.8" x14ac:dyDescent="0.25">
      <c r="A6" s="42" t="s">
        <v>89</v>
      </c>
      <c r="D6" s="13"/>
    </row>
    <row r="7" spans="1:4" s="221" customFormat="1" ht="14.4" thickBot="1" x14ac:dyDescent="0.3">
      <c r="A7" s="42"/>
      <c r="D7" s="13"/>
    </row>
    <row r="8" spans="1:4" x14ac:dyDescent="0.25">
      <c r="A8" s="93" t="s">
        <v>408</v>
      </c>
      <c r="B8" s="82"/>
      <c r="C8" s="83"/>
      <c r="D8" s="13"/>
    </row>
    <row r="9" spans="1:4" ht="24" customHeight="1" x14ac:dyDescent="0.25">
      <c r="A9" s="84">
        <v>1</v>
      </c>
      <c r="B9" s="205" t="s">
        <v>400</v>
      </c>
      <c r="C9" s="240" t="str">
        <f>INDEX(C11:C13,A9)</f>
        <v>COMP</v>
      </c>
      <c r="D9" s="13"/>
    </row>
    <row r="10" spans="1:4" ht="13.8" thickBot="1" x14ac:dyDescent="0.3">
      <c r="A10" s="85"/>
      <c r="B10" s="13"/>
      <c r="C10" s="86"/>
      <c r="D10" s="13"/>
    </row>
    <row r="11" spans="1:4" x14ac:dyDescent="0.25">
      <c r="A11" s="299" t="s">
        <v>410</v>
      </c>
      <c r="B11" s="166"/>
      <c r="C11" s="244" t="s">
        <v>405</v>
      </c>
      <c r="D11" s="13"/>
    </row>
    <row r="12" spans="1:4" s="221" customFormat="1" x14ac:dyDescent="0.25">
      <c r="A12" s="242" t="s">
        <v>411</v>
      </c>
      <c r="B12" s="80"/>
      <c r="C12" s="245" t="s">
        <v>406</v>
      </c>
      <c r="D12" s="13"/>
    </row>
    <row r="13" spans="1:4" ht="13.8" thickBot="1" x14ac:dyDescent="0.3">
      <c r="A13" s="243" t="s">
        <v>412</v>
      </c>
      <c r="B13" s="174"/>
      <c r="C13" s="246" t="s">
        <v>407</v>
      </c>
      <c r="D13" s="13"/>
    </row>
    <row r="15" spans="1:4" ht="13.8" thickBot="1" x14ac:dyDescent="0.3">
      <c r="C15" s="234"/>
      <c r="D15" s="13"/>
    </row>
    <row r="16" spans="1:4" x14ac:dyDescent="0.25">
      <c r="A16" s="93" t="s">
        <v>409</v>
      </c>
      <c r="B16" s="82"/>
      <c r="C16" s="83"/>
      <c r="D16" s="13"/>
    </row>
    <row r="17" spans="1:4" ht="24" customHeight="1" thickBot="1" x14ac:dyDescent="0.3">
      <c r="A17" s="163">
        <v>1</v>
      </c>
      <c r="B17" s="205" t="s">
        <v>400</v>
      </c>
      <c r="C17" s="241" t="str">
        <f>INDEX(C19:C21,A17)</f>
        <v>COMP</v>
      </c>
      <c r="D17" s="13"/>
    </row>
    <row r="18" spans="1:4" ht="13.8" thickBot="1" x14ac:dyDescent="0.3">
      <c r="A18" s="87"/>
      <c r="B18" s="13"/>
      <c r="C18" s="86"/>
      <c r="D18" s="13"/>
    </row>
    <row r="19" spans="1:4" x14ac:dyDescent="0.25">
      <c r="A19" s="299" t="s">
        <v>410</v>
      </c>
      <c r="B19" s="166"/>
      <c r="C19" s="244" t="s">
        <v>405</v>
      </c>
      <c r="D19" s="13"/>
    </row>
    <row r="20" spans="1:4" x14ac:dyDescent="0.25">
      <c r="A20" s="242" t="s">
        <v>411</v>
      </c>
      <c r="B20" s="170"/>
      <c r="C20" s="245" t="s">
        <v>406</v>
      </c>
      <c r="D20" s="13"/>
    </row>
    <row r="21" spans="1:4" s="223" customFormat="1" ht="13.8" thickBot="1" x14ac:dyDescent="0.3">
      <c r="A21" s="243" t="s">
        <v>412</v>
      </c>
      <c r="B21" s="332"/>
      <c r="C21" s="246" t="s">
        <v>407</v>
      </c>
      <c r="D21" s="13"/>
    </row>
    <row r="22" spans="1:4" x14ac:dyDescent="0.25">
      <c r="D22" s="13"/>
    </row>
    <row r="23" spans="1:4" ht="13.8" thickBot="1" x14ac:dyDescent="0.3">
      <c r="D23" s="13"/>
    </row>
    <row r="24" spans="1:4" x14ac:dyDescent="0.25">
      <c r="A24" s="93" t="s">
        <v>402</v>
      </c>
      <c r="B24" s="82"/>
      <c r="C24" s="83"/>
      <c r="D24" s="13"/>
    </row>
    <row r="25" spans="1:4" ht="24" customHeight="1" x14ac:dyDescent="0.25">
      <c r="A25" s="84">
        <v>4</v>
      </c>
      <c r="B25" s="293" t="s">
        <v>403</v>
      </c>
      <c r="C25" s="240" t="str">
        <f>INDEX(C27:C31,A25)</f>
        <v>HYBRID</v>
      </c>
      <c r="D25" s="13"/>
    </row>
    <row r="26" spans="1:4" ht="13.8" thickBot="1" x14ac:dyDescent="0.3">
      <c r="A26" s="85"/>
      <c r="B26" s="13"/>
      <c r="C26" s="86"/>
      <c r="D26" s="13"/>
    </row>
    <row r="27" spans="1:4" x14ac:dyDescent="0.25">
      <c r="A27" s="250" t="s">
        <v>413</v>
      </c>
      <c r="B27" s="166"/>
      <c r="C27" s="247" t="s">
        <v>418</v>
      </c>
      <c r="D27" s="13"/>
    </row>
    <row r="28" spans="1:4" s="223" customFormat="1" x14ac:dyDescent="0.25">
      <c r="A28" s="253" t="s">
        <v>414</v>
      </c>
      <c r="B28" s="232"/>
      <c r="C28" s="248" t="s">
        <v>419</v>
      </c>
      <c r="D28" s="13"/>
    </row>
    <row r="29" spans="1:4" ht="26.4" x14ac:dyDescent="0.25">
      <c r="A29" s="251" t="s">
        <v>415</v>
      </c>
      <c r="B29" s="170"/>
      <c r="C29" s="254" t="s">
        <v>420</v>
      </c>
      <c r="D29" s="13"/>
    </row>
    <row r="30" spans="1:4" s="292" customFormat="1" ht="26.4" x14ac:dyDescent="0.25">
      <c r="A30" s="300" t="s">
        <v>416</v>
      </c>
      <c r="B30" s="231"/>
      <c r="C30" s="301" t="s">
        <v>421</v>
      </c>
      <c r="D30" s="13"/>
    </row>
    <row r="31" spans="1:4" ht="27" thickBot="1" x14ac:dyDescent="0.3">
      <c r="A31" s="252" t="s">
        <v>417</v>
      </c>
      <c r="B31" s="174"/>
      <c r="C31" s="249" t="s">
        <v>407</v>
      </c>
      <c r="D31" s="13"/>
    </row>
    <row r="32" spans="1:4" x14ac:dyDescent="0.25">
      <c r="D32" s="13"/>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0</xdr:col>
                    <xdr:colOff>99060</xdr:colOff>
                    <xdr:row>24</xdr:row>
                    <xdr:rowOff>68580</xdr:rowOff>
                  </from>
                  <to>
                    <xdr:col>0</xdr:col>
                    <xdr:colOff>2575560</xdr:colOff>
                    <xdr:row>24</xdr:row>
                    <xdr:rowOff>266700</xdr:rowOff>
                  </to>
                </anchor>
              </controlPr>
            </control>
          </mc:Choice>
        </mc:AlternateContent>
        <mc:AlternateContent xmlns:mc="http://schemas.openxmlformats.org/markup-compatibility/2006">
          <mc:Choice Requires="x14">
            <control shapeId="11273" r:id="rId5" name="Drop Down 9">
              <controlPr defaultSize="0" autoLine="0" autoPict="0">
                <anchor moveWithCells="1">
                  <from>
                    <xdr:col>0</xdr:col>
                    <xdr:colOff>38100</xdr:colOff>
                    <xdr:row>16</xdr:row>
                    <xdr:rowOff>60960</xdr:rowOff>
                  </from>
                  <to>
                    <xdr:col>0</xdr:col>
                    <xdr:colOff>2514600</xdr:colOff>
                    <xdr:row>16</xdr:row>
                    <xdr:rowOff>259080</xdr:rowOff>
                  </to>
                </anchor>
              </controlPr>
            </control>
          </mc:Choice>
        </mc:AlternateContent>
        <mc:AlternateContent xmlns:mc="http://schemas.openxmlformats.org/markup-compatibility/2006">
          <mc:Choice Requires="x14">
            <control shapeId="11275" r:id="rId6" name="Drop Down 11">
              <controlPr defaultSize="0" autoLine="0" autoPict="0">
                <anchor moveWithCells="1">
                  <from>
                    <xdr:col>0</xdr:col>
                    <xdr:colOff>99060</xdr:colOff>
                    <xdr:row>8</xdr:row>
                    <xdr:rowOff>68580</xdr:rowOff>
                  </from>
                  <to>
                    <xdr:col>0</xdr:col>
                    <xdr:colOff>2575560</xdr:colOff>
                    <xdr:row>8</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dimension ref="A1:Q37"/>
  <sheetViews>
    <sheetView zoomScale="80" zoomScaleNormal="80" workbookViewId="0">
      <selection activeCell="D28" sqref="D28"/>
    </sheetView>
  </sheetViews>
  <sheetFormatPr baseColWidth="10" defaultColWidth="9.109375" defaultRowHeight="13.2" x14ac:dyDescent="0.25"/>
  <cols>
    <col min="1" max="1" width="48.88671875" style="8" customWidth="1"/>
    <col min="2" max="12" width="12.44140625" style="2" customWidth="1"/>
    <col min="13" max="13" width="12.21875" style="2" bestFit="1" customWidth="1"/>
    <col min="14" max="14" width="12.33203125" style="2" bestFit="1" customWidth="1"/>
    <col min="15" max="15" width="9.109375" style="2"/>
    <col min="16" max="16" width="12.21875" style="2" bestFit="1" customWidth="1"/>
    <col min="17" max="17" width="11.5546875" style="2" bestFit="1" customWidth="1"/>
    <col min="18" max="16384" width="9.109375" style="2"/>
  </cols>
  <sheetData>
    <row r="1" spans="1:17" ht="82.5" customHeight="1" thickBot="1" x14ac:dyDescent="0.3">
      <c r="A1" s="475" t="s">
        <v>186</v>
      </c>
      <c r="B1" s="476"/>
      <c r="C1" s="476"/>
      <c r="D1" s="477"/>
    </row>
    <row r="2" spans="1:17" ht="13.8" thickBot="1" x14ac:dyDescent="0.3">
      <c r="A2" s="39"/>
      <c r="B2" s="40"/>
      <c r="C2" s="40"/>
      <c r="D2" s="21"/>
    </row>
    <row r="3" spans="1:17" x14ac:dyDescent="0.25">
      <c r="A3" s="93" t="s">
        <v>623</v>
      </c>
      <c r="B3" s="82"/>
      <c r="C3" s="83"/>
    </row>
    <row r="4" spans="1:17" s="403" customFormat="1" x14ac:dyDescent="0.25">
      <c r="A4" s="84">
        <v>1</v>
      </c>
      <c r="B4" s="205"/>
      <c r="C4" s="240">
        <f>INDEX(C6:C7,A4)</f>
        <v>14825</v>
      </c>
    </row>
    <row r="5" spans="1:17" s="403" customFormat="1" ht="13.8" thickBot="1" x14ac:dyDescent="0.3">
      <c r="A5" s="85"/>
      <c r="B5" s="13"/>
      <c r="C5" s="86"/>
    </row>
    <row r="6" spans="1:17" s="403" customFormat="1" x14ac:dyDescent="0.25">
      <c r="A6" s="448" t="s">
        <v>305</v>
      </c>
      <c r="B6" s="449"/>
      <c r="C6" s="450">
        <v>14825</v>
      </c>
    </row>
    <row r="7" spans="1:17" s="403" customFormat="1" ht="13.8" thickBot="1" x14ac:dyDescent="0.3">
      <c r="A7" s="451" t="s">
        <v>624</v>
      </c>
      <c r="B7" s="452"/>
      <c r="C7" s="453">
        <v>14511</v>
      </c>
    </row>
    <row r="8" spans="1:17" s="403" customFormat="1" x14ac:dyDescent="0.25"/>
    <row r="9" spans="1:17" s="223" customFormat="1" x14ac:dyDescent="0.25">
      <c r="A9" s="239" t="s">
        <v>456</v>
      </c>
      <c r="D9" s="311" t="s">
        <v>457</v>
      </c>
      <c r="E9" s="311" t="s">
        <v>458</v>
      </c>
    </row>
    <row r="10" spans="1:17" s="223" customFormat="1" ht="15.6" x14ac:dyDescent="0.25">
      <c r="A10" s="418" t="s">
        <v>543</v>
      </c>
      <c r="B10" s="419" t="s">
        <v>561</v>
      </c>
      <c r="C10" s="276" t="s">
        <v>11</v>
      </c>
      <c r="D10" s="404">
        <f>Method_input!D33</f>
        <v>2.83</v>
      </c>
      <c r="E10" s="404">
        <f>Method_input!E33</f>
        <v>4</v>
      </c>
      <c r="F10" s="258" t="s">
        <v>305</v>
      </c>
      <c r="G10" s="258" t="s">
        <v>304</v>
      </c>
      <c r="H10" s="313"/>
      <c r="J10" s="326" t="s">
        <v>454</v>
      </c>
    </row>
    <row r="11" spans="1:17" s="223" customFormat="1" ht="15.6" x14ac:dyDescent="0.25">
      <c r="A11" s="418" t="s">
        <v>544</v>
      </c>
      <c r="B11" s="419" t="s">
        <v>562</v>
      </c>
      <c r="C11" s="276" t="s">
        <v>44</v>
      </c>
      <c r="D11" s="404">
        <f>Method_input!D34</f>
        <v>100</v>
      </c>
      <c r="E11" s="404">
        <f>Method_input!E34</f>
        <v>100</v>
      </c>
      <c r="F11" s="258" t="s">
        <v>305</v>
      </c>
      <c r="G11" s="258" t="s">
        <v>304</v>
      </c>
      <c r="H11" s="313"/>
      <c r="J11" s="329">
        <f>(D11/100)^3</f>
        <v>1</v>
      </c>
      <c r="K11" s="329">
        <f>(D11/100)^2</f>
        <v>1</v>
      </c>
      <c r="L11" s="400">
        <f>(D11/100)</f>
        <v>1</v>
      </c>
      <c r="M11" s="400">
        <v>1</v>
      </c>
      <c r="N11" s="400">
        <f>-(D10/Method_input!$D$30*D11/100)/(Method_input!$D$78+D12)</f>
        <v>-3.5695163305372126E-3</v>
      </c>
      <c r="P11" s="223">
        <f>D10/Method_input!$D$30*((D13-D12)/(Method_input!$D$78+D12))</f>
        <v>8.2098875602355889E-2</v>
      </c>
      <c r="Q11" s="401">
        <f>E10/Method_input!$D$30*((E13-E12)/(Method_input!$D$78+E12))</f>
        <v>0.11604081357223447</v>
      </c>
    </row>
    <row r="12" spans="1:17" ht="26.4" x14ac:dyDescent="0.25">
      <c r="A12" s="418" t="s">
        <v>545</v>
      </c>
      <c r="B12" s="419" t="s">
        <v>563</v>
      </c>
      <c r="C12" s="276" t="s">
        <v>40</v>
      </c>
      <c r="D12" s="404">
        <f>Method_input!D35</f>
        <v>7</v>
      </c>
      <c r="E12" s="404">
        <f>Method_input!E35</f>
        <v>7</v>
      </c>
      <c r="F12" s="258" t="s">
        <v>305</v>
      </c>
      <c r="G12" s="258" t="s">
        <v>304</v>
      </c>
      <c r="H12" s="313"/>
      <c r="J12" s="400">
        <f>(D15/100)^3</f>
        <v>0.40522399999999997</v>
      </c>
      <c r="K12" s="400">
        <f>(D15/100)^2</f>
        <v>0.54759999999999998</v>
      </c>
      <c r="L12" s="400">
        <f>(D15/100)</f>
        <v>0.74</v>
      </c>
      <c r="M12" s="400">
        <v>1</v>
      </c>
      <c r="N12" s="400">
        <f>-(D14/Method_input!$D$30*D15/100)/(Method_input!$D$78+D16)</f>
        <v>-3.3508046232173707E-3</v>
      </c>
      <c r="P12" s="401">
        <f>D14/Method_input!$D$30*((D17-D16)/(Method_input!$D$78+D16))</f>
        <v>8.6034172758283831E-2</v>
      </c>
      <c r="Q12" s="401">
        <f>E14/Method_input!$D$30*((E17-E16)/(Method_input!$D$78+E16))</f>
        <v>9.5859802516193693E-2</v>
      </c>
    </row>
    <row r="13" spans="1:17" s="399" customFormat="1" ht="26.4" x14ac:dyDescent="0.25">
      <c r="A13" s="418" t="s">
        <v>546</v>
      </c>
      <c r="B13" s="419" t="s">
        <v>564</v>
      </c>
      <c r="C13" s="276" t="s">
        <v>40</v>
      </c>
      <c r="D13" s="404">
        <f>Method_input!D36</f>
        <v>30</v>
      </c>
      <c r="E13" s="404">
        <f>Method_input!E36</f>
        <v>30</v>
      </c>
      <c r="F13" s="398" t="s">
        <v>305</v>
      </c>
      <c r="G13" s="398" t="s">
        <v>304</v>
      </c>
      <c r="H13" s="400"/>
      <c r="J13" s="400">
        <f>(D19/100)^3</f>
        <v>0.10382299999999998</v>
      </c>
      <c r="K13" s="400">
        <f>(D19/100)^2</f>
        <v>0.22089999999999999</v>
      </c>
      <c r="L13" s="400">
        <f>(D19/100)</f>
        <v>0.47</v>
      </c>
      <c r="M13" s="400">
        <v>1</v>
      </c>
      <c r="N13" s="400">
        <f>-(D18/Method_input!$D$30*D19/100)/(Method_input!$D$78+D20)</f>
        <v>-2.8218098709109013E-3</v>
      </c>
      <c r="P13" s="401">
        <f>D18/Method_input!$D$30*((D21-D20)/(Method_input!$D$78+D20))</f>
        <v>9.0057761837581962E-2</v>
      </c>
      <c r="Q13" s="401">
        <f>E18/Method_input!$D$30*((E21-E20)/(Method_input!$D$78+E20))</f>
        <v>7.5678791460152911E-2</v>
      </c>
    </row>
    <row r="14" spans="1:17" ht="15.6" x14ac:dyDescent="0.25">
      <c r="A14" s="418" t="s">
        <v>547</v>
      </c>
      <c r="B14" s="419" t="s">
        <v>565</v>
      </c>
      <c r="C14" s="276" t="s">
        <v>11</v>
      </c>
      <c r="D14" s="404">
        <f>Method_input!D37</f>
        <v>3.59</v>
      </c>
      <c r="E14" s="404">
        <f>Method_input!E37</f>
        <v>4</v>
      </c>
      <c r="F14" s="258" t="s">
        <v>305</v>
      </c>
      <c r="G14" s="258" t="s">
        <v>304</v>
      </c>
      <c r="H14" s="313"/>
      <c r="J14" s="400">
        <f>(D23/100)^3</f>
        <v>9.2609999999999984E-3</v>
      </c>
      <c r="K14" s="400">
        <f>(D23/100)^2</f>
        <v>4.4099999999999993E-2</v>
      </c>
      <c r="L14" s="400">
        <f>(D23/100)</f>
        <v>0.21</v>
      </c>
      <c r="M14" s="400">
        <v>1</v>
      </c>
      <c r="N14" s="400">
        <f>-(D22/Method_input!$D$30*D23/100)/(Method_input!$D$78+D24)</f>
        <v>-1.2846474850360956E-3</v>
      </c>
      <c r="P14" s="401">
        <f>D22/Method_input!$D$30*((D25-D24)/(Method_input!$D$78+D24))</f>
        <v>6.7291058739985948E-2</v>
      </c>
      <c r="Q14" s="401">
        <f>E22/Method_input!$D$30*((E25-E24)/(Method_input!$D$78+E24))</f>
        <v>5.5497780404112136E-2</v>
      </c>
    </row>
    <row r="15" spans="1:17" ht="15.6" x14ac:dyDescent="0.25">
      <c r="A15" s="418" t="s">
        <v>548</v>
      </c>
      <c r="B15" s="419" t="s">
        <v>566</v>
      </c>
      <c r="C15" s="276" t="s">
        <v>44</v>
      </c>
      <c r="D15" s="404">
        <f>Method_input!D38</f>
        <v>74</v>
      </c>
      <c r="E15" s="404">
        <f>Method_input!E38</f>
        <v>74</v>
      </c>
      <c r="F15" s="258" t="s">
        <v>305</v>
      </c>
      <c r="G15" s="258" t="s">
        <v>304</v>
      </c>
      <c r="H15" s="313"/>
      <c r="J15" s="400">
        <f>(D26/100)^3</f>
        <v>0.10382299999999998</v>
      </c>
      <c r="K15" s="400">
        <f>(D26/100)^2</f>
        <v>0.22089999999999999</v>
      </c>
      <c r="L15" s="400">
        <f>(D26/100)</f>
        <v>0.47</v>
      </c>
      <c r="M15" s="400">
        <v>1</v>
      </c>
      <c r="N15" s="400">
        <f>-D29/Method_input!$D$30*D26/100/(Method_input!$D$78+D27)</f>
        <v>-1.8403107853766749E-3</v>
      </c>
      <c r="P15" s="401">
        <f>D29/Method_input!$D$30*((D28-D27)/(Method_input!$D$78+D27))</f>
        <v>9.0057761837581976E-2</v>
      </c>
      <c r="Q15" s="401">
        <f>E29/Method_input!$D$30*((E28-E27)/(Method_input!$D$78+E27))</f>
        <v>0.11604081357223447</v>
      </c>
    </row>
    <row r="16" spans="1:17" ht="26.4" x14ac:dyDescent="0.25">
      <c r="A16" s="418" t="s">
        <v>549</v>
      </c>
      <c r="B16" s="419" t="s">
        <v>567</v>
      </c>
      <c r="C16" s="276" t="s">
        <v>40</v>
      </c>
      <c r="D16" s="404">
        <f>Method_input!D39</f>
        <v>7</v>
      </c>
      <c r="E16" s="404">
        <f>Method_input!E39</f>
        <v>7</v>
      </c>
      <c r="F16" s="258" t="s">
        <v>305</v>
      </c>
      <c r="G16" s="258" t="s">
        <v>304</v>
      </c>
      <c r="H16" s="313"/>
      <c r="J16" s="325" t="s">
        <v>455</v>
      </c>
      <c r="P16" s="422" t="s">
        <v>585</v>
      </c>
    </row>
    <row r="17" spans="1:17" s="399" customFormat="1" ht="26.4" x14ac:dyDescent="0.25">
      <c r="A17" s="418" t="s">
        <v>550</v>
      </c>
      <c r="B17" s="419" t="s">
        <v>568</v>
      </c>
      <c r="C17" s="276" t="s">
        <v>40</v>
      </c>
      <c r="D17" s="404">
        <f>Method_input!D40</f>
        <v>26</v>
      </c>
      <c r="E17" s="404">
        <f>Method_input!E40</f>
        <v>26</v>
      </c>
      <c r="F17" s="398" t="s">
        <v>305</v>
      </c>
      <c r="G17" s="398" t="s">
        <v>304</v>
      </c>
      <c r="H17" s="400"/>
      <c r="J17" s="400">
        <f t="array" ref="J17:N21">MINVERSE(A)</f>
        <v>9.1859418346163029</v>
      </c>
      <c r="K17" s="400">
        <v>-26.877385367951419</v>
      </c>
      <c r="L17" s="400">
        <v>19.979083984970575</v>
      </c>
      <c r="M17" s="400">
        <v>-9.18594183461631</v>
      </c>
      <c r="N17" s="400">
        <v>6.8983013829808533</v>
      </c>
      <c r="P17" s="399">
        <f t="array" ref="P17:P21">MMULT(A,D32:D36)</f>
        <v>8.2098875602355445E-2</v>
      </c>
    </row>
    <row r="18" spans="1:17" ht="15.6" x14ac:dyDescent="0.25">
      <c r="A18" s="418" t="s">
        <v>551</v>
      </c>
      <c r="B18" s="419" t="s">
        <v>569</v>
      </c>
      <c r="C18" s="276" t="s">
        <v>11</v>
      </c>
      <c r="D18" s="404">
        <f>Method_input!D41</f>
        <v>4.76</v>
      </c>
      <c r="E18" s="404">
        <f>Method_input!E41</f>
        <v>4</v>
      </c>
      <c r="F18" s="258" t="s">
        <v>305</v>
      </c>
      <c r="G18" s="258" t="s">
        <v>304</v>
      </c>
      <c r="H18" s="313"/>
      <c r="J18" s="329">
        <v>-13.044037405155152</v>
      </c>
      <c r="K18" s="329">
        <v>45.154007418158379</v>
      </c>
      <c r="L18" s="329">
        <v>-35.016380637749023</v>
      </c>
      <c r="M18" s="329">
        <v>20.300931454502045</v>
      </c>
      <c r="N18" s="400">
        <v>-17.394520829756257</v>
      </c>
      <c r="P18" s="2">
        <v>8.6034172758283622E-2</v>
      </c>
      <c r="Q18" s="401"/>
    </row>
    <row r="19" spans="1:17" ht="15.6" x14ac:dyDescent="0.25">
      <c r="A19" s="418" t="s">
        <v>552</v>
      </c>
      <c r="B19" s="419" t="s">
        <v>570</v>
      </c>
      <c r="C19" s="276" t="s">
        <v>44</v>
      </c>
      <c r="D19" s="404">
        <f>Method_input!D42</f>
        <v>47</v>
      </c>
      <c r="E19" s="404">
        <f>Method_input!E42</f>
        <v>47</v>
      </c>
      <c r="F19" s="258" t="s">
        <v>305</v>
      </c>
      <c r="G19" s="258" t="s">
        <v>304</v>
      </c>
      <c r="H19" s="313"/>
      <c r="J19" s="329">
        <v>5.5290183902555547</v>
      </c>
      <c r="K19" s="329">
        <v>-20.929419986023767</v>
      </c>
      <c r="L19" s="329">
        <v>14.367294606800927</v>
      </c>
      <c r="M19" s="329">
        <v>-14.309860189965287</v>
      </c>
      <c r="N19" s="400">
        <v>15.342967178932577</v>
      </c>
      <c r="P19" s="2">
        <v>9.0057761837581851E-2</v>
      </c>
      <c r="Q19" s="401"/>
    </row>
    <row r="20" spans="1:17" ht="26.4" x14ac:dyDescent="0.25">
      <c r="A20" s="418" t="s">
        <v>553</v>
      </c>
      <c r="B20" s="419" t="s">
        <v>571</v>
      </c>
      <c r="C20" s="276" t="s">
        <v>40</v>
      </c>
      <c r="D20" s="404">
        <f>Method_input!D43</f>
        <v>7</v>
      </c>
      <c r="E20" s="404">
        <f>Method_input!E43</f>
        <v>7</v>
      </c>
      <c r="F20" s="258" t="s">
        <v>305</v>
      </c>
      <c r="G20" s="258" t="s">
        <v>304</v>
      </c>
      <c r="H20" s="313"/>
      <c r="J20" s="205">
        <v>-0.67092281971670586</v>
      </c>
      <c r="K20" s="329">
        <v>2.652797935816805</v>
      </c>
      <c r="L20" s="329">
        <v>-2.9667984188892769</v>
      </c>
      <c r="M20" s="329">
        <v>3.1948705700795514</v>
      </c>
      <c r="N20" s="400">
        <v>-1.2099472672903742</v>
      </c>
      <c r="P20" s="2">
        <v>6.7291058739985907E-2</v>
      </c>
      <c r="Q20" s="401"/>
    </row>
    <row r="21" spans="1:17" ht="26.4" x14ac:dyDescent="0.25">
      <c r="A21" s="418" t="s">
        <v>554</v>
      </c>
      <c r="B21" s="419" t="s">
        <v>572</v>
      </c>
      <c r="C21" s="276" t="s">
        <v>40</v>
      </c>
      <c r="D21" s="404">
        <f>Method_input!D44</f>
        <v>22</v>
      </c>
      <c r="E21" s="404">
        <f>Method_input!E44</f>
        <v>22</v>
      </c>
      <c r="F21" s="398" t="s">
        <v>305</v>
      </c>
      <c r="G21" s="398" t="s">
        <v>304</v>
      </c>
      <c r="H21" s="400"/>
      <c r="J21" s="329">
        <v>0</v>
      </c>
      <c r="K21" s="329">
        <v>0</v>
      </c>
      <c r="L21" s="329">
        <v>-1018.8496502324338</v>
      </c>
      <c r="M21" s="329">
        <v>0</v>
      </c>
      <c r="N21" s="400">
        <v>1018.8496502324338</v>
      </c>
      <c r="P21" s="2">
        <v>9.0057761837581865E-2</v>
      </c>
      <c r="Q21" s="401"/>
    </row>
    <row r="22" spans="1:17" ht="15.6" x14ac:dyDescent="0.25">
      <c r="A22" s="418" t="s">
        <v>555</v>
      </c>
      <c r="B22" s="419" t="s">
        <v>573</v>
      </c>
      <c r="C22" s="276" t="s">
        <v>11</v>
      </c>
      <c r="D22" s="404">
        <f>Method_input!D45</f>
        <v>4.8499999999999996</v>
      </c>
      <c r="E22" s="404">
        <f>Method_input!E45</f>
        <v>4</v>
      </c>
      <c r="F22" s="258" t="s">
        <v>305</v>
      </c>
      <c r="G22" s="258" t="s">
        <v>304</v>
      </c>
      <c r="H22" s="313"/>
    </row>
    <row r="23" spans="1:17" ht="15.6" x14ac:dyDescent="0.25">
      <c r="A23" s="418" t="s">
        <v>556</v>
      </c>
      <c r="B23" s="419" t="s">
        <v>574</v>
      </c>
      <c r="C23" s="276" t="s">
        <v>44</v>
      </c>
      <c r="D23" s="404">
        <f>Method_input!D46</f>
        <v>21</v>
      </c>
      <c r="E23" s="404">
        <f>Method_input!E46</f>
        <v>21</v>
      </c>
      <c r="F23" s="258" t="s">
        <v>305</v>
      </c>
      <c r="G23" s="258" t="s">
        <v>304</v>
      </c>
      <c r="H23" s="313"/>
    </row>
    <row r="24" spans="1:17" ht="26.4" x14ac:dyDescent="0.25">
      <c r="A24" s="418" t="s">
        <v>557</v>
      </c>
      <c r="B24" s="419" t="s">
        <v>575</v>
      </c>
      <c r="C24" s="276" t="s">
        <v>40</v>
      </c>
      <c r="D24" s="404">
        <f>Method_input!D47</f>
        <v>7</v>
      </c>
      <c r="E24" s="404">
        <f>Method_input!E47</f>
        <v>7</v>
      </c>
      <c r="F24" s="258" t="s">
        <v>305</v>
      </c>
      <c r="G24" s="258" t="s">
        <v>304</v>
      </c>
      <c r="H24" s="313"/>
    </row>
    <row r="25" spans="1:17" s="399" customFormat="1" ht="26.4" x14ac:dyDescent="0.25">
      <c r="A25" s="418" t="s">
        <v>558</v>
      </c>
      <c r="B25" s="419" t="s">
        <v>576</v>
      </c>
      <c r="C25" s="276" t="s">
        <v>40</v>
      </c>
      <c r="D25" s="404">
        <f>Method_input!D48</f>
        <v>18</v>
      </c>
      <c r="E25" s="404">
        <f>Method_input!E48</f>
        <v>18</v>
      </c>
      <c r="F25" s="398" t="s">
        <v>305</v>
      </c>
      <c r="G25" s="398" t="s">
        <v>304</v>
      </c>
      <c r="H25" s="400"/>
    </row>
    <row r="26" spans="1:17" ht="15.6" x14ac:dyDescent="0.25">
      <c r="A26" s="420" t="s">
        <v>577</v>
      </c>
      <c r="B26" s="419" t="s">
        <v>578</v>
      </c>
      <c r="C26" s="276" t="s">
        <v>44</v>
      </c>
      <c r="D26" s="404">
        <f>Method_input!D49</f>
        <v>47</v>
      </c>
      <c r="E26" s="404">
        <f>Method_input!E49</f>
        <v>47</v>
      </c>
      <c r="F26" s="258" t="s">
        <v>286</v>
      </c>
      <c r="G26" s="258" t="s">
        <v>304</v>
      </c>
      <c r="H26" s="313"/>
    </row>
    <row r="27" spans="1:17" ht="28.8" x14ac:dyDescent="0.25">
      <c r="A27" s="418" t="s">
        <v>579</v>
      </c>
      <c r="B27" s="419" t="s">
        <v>580</v>
      </c>
      <c r="C27" s="276" t="s">
        <v>40</v>
      </c>
      <c r="D27" s="404">
        <f>Method_input!D50</f>
        <v>7</v>
      </c>
      <c r="E27" s="404">
        <f>Method_input!E50</f>
        <v>7</v>
      </c>
      <c r="F27" s="258" t="s">
        <v>286</v>
      </c>
      <c r="G27" s="258" t="s">
        <v>304</v>
      </c>
      <c r="H27" s="313"/>
    </row>
    <row r="28" spans="1:17" s="399" customFormat="1" ht="28.8" x14ac:dyDescent="0.25">
      <c r="A28" s="418" t="s">
        <v>581</v>
      </c>
      <c r="B28" s="419" t="s">
        <v>582</v>
      </c>
      <c r="C28" s="276" t="s">
        <v>40</v>
      </c>
      <c r="D28" s="404">
        <f>Method_input!D51</f>
        <v>30</v>
      </c>
      <c r="E28" s="404">
        <f>Method_input!E51</f>
        <v>30</v>
      </c>
      <c r="F28" s="398" t="s">
        <v>286</v>
      </c>
      <c r="G28" s="398" t="s">
        <v>304</v>
      </c>
      <c r="H28" s="400"/>
    </row>
    <row r="29" spans="1:17" ht="26.4" x14ac:dyDescent="0.25">
      <c r="A29" s="418" t="s">
        <v>583</v>
      </c>
      <c r="B29" s="419" t="s">
        <v>584</v>
      </c>
      <c r="C29" s="276" t="s">
        <v>11</v>
      </c>
      <c r="D29" s="405">
        <f>D18*(D21-D20)/(D13-D12)</f>
        <v>3.1043478260869564</v>
      </c>
      <c r="E29" s="404">
        <f>Method_input!E52</f>
        <v>4</v>
      </c>
      <c r="F29" s="421" t="s">
        <v>559</v>
      </c>
      <c r="G29" s="414"/>
      <c r="H29" s="413"/>
    </row>
    <row r="30" spans="1:17" x14ac:dyDescent="0.25">
      <c r="H30" s="13"/>
      <c r="I30" s="406"/>
      <c r="J30" s="407"/>
      <c r="K30" s="407"/>
      <c r="L30" s="407"/>
      <c r="M30" s="13"/>
    </row>
    <row r="31" spans="1:17" s="312" customFormat="1" x14ac:dyDescent="0.25">
      <c r="A31" s="7"/>
      <c r="B31" s="313"/>
      <c r="C31" s="313"/>
      <c r="D31" s="313"/>
      <c r="E31" s="313"/>
      <c r="F31" s="51" t="s">
        <v>111</v>
      </c>
      <c r="G31" s="408" t="s">
        <v>104</v>
      </c>
      <c r="H31" s="409"/>
      <c r="I31" s="410"/>
      <c r="J31" s="411"/>
      <c r="K31" s="411"/>
      <c r="L31" s="412"/>
    </row>
    <row r="32" spans="1:17" s="312" customFormat="1" ht="40.049999999999997" customHeight="1" x14ac:dyDescent="0.25">
      <c r="A32" s="283" t="s">
        <v>439</v>
      </c>
      <c r="B32" s="30" t="s">
        <v>440</v>
      </c>
      <c r="C32" s="258" t="s">
        <v>11</v>
      </c>
      <c r="D32" s="327">
        <f t="array" ref="D32:D36">MMULT(B,P11:P15)</f>
        <v>0.24416729864195785</v>
      </c>
      <c r="E32" s="327">
        <f t="array" ref="E32:E36">MMULT(B,Q11:Q15)</f>
        <v>0.29216136286119776</v>
      </c>
      <c r="F32" s="486" t="s">
        <v>453</v>
      </c>
      <c r="G32" s="478"/>
      <c r="H32" s="479"/>
      <c r="I32" s="479"/>
      <c r="J32" s="479"/>
      <c r="K32" s="479"/>
      <c r="L32" s="480"/>
    </row>
    <row r="33" spans="1:17" s="312" customFormat="1" ht="40.049999999999997" customHeight="1" x14ac:dyDescent="0.25">
      <c r="A33" s="283" t="s">
        <v>439</v>
      </c>
      <c r="B33" s="30" t="s">
        <v>441</v>
      </c>
      <c r="C33" s="258" t="s">
        <v>11</v>
      </c>
      <c r="D33" s="327">
        <v>-0.54005044040788253</v>
      </c>
      <c r="E33" s="327">
        <v>-0.72700155973820713</v>
      </c>
      <c r="F33" s="487"/>
      <c r="G33" s="481"/>
      <c r="H33" s="482"/>
      <c r="I33" s="482"/>
      <c r="J33" s="482"/>
      <c r="K33" s="482"/>
      <c r="L33" s="480"/>
      <c r="N33"/>
      <c r="P33" s="401"/>
      <c r="Q33" s="401"/>
    </row>
    <row r="34" spans="1:17" s="312" customFormat="1" ht="40.049999999999997" customHeight="1" x14ac:dyDescent="0.25">
      <c r="A34" s="283" t="s">
        <v>439</v>
      </c>
      <c r="B34" s="30" t="s">
        <v>442</v>
      </c>
      <c r="C34" s="258" t="s">
        <v>11</v>
      </c>
      <c r="D34" s="327">
        <v>0.36599489564434151</v>
      </c>
      <c r="E34" s="327">
        <v>0.70884613363623949</v>
      </c>
      <c r="F34" s="487"/>
      <c r="G34" s="481"/>
      <c r="H34" s="482"/>
      <c r="I34" s="482"/>
      <c r="J34" s="482"/>
      <c r="K34" s="482"/>
      <c r="L34" s="480"/>
      <c r="P34" s="401"/>
      <c r="Q34" s="401"/>
    </row>
    <row r="35" spans="1:17" s="312" customFormat="1" ht="40.049999999999997" customHeight="1" x14ac:dyDescent="0.25">
      <c r="A35" s="283" t="s">
        <v>439</v>
      </c>
      <c r="B35" s="30" t="s">
        <v>443</v>
      </c>
      <c r="C35" s="323" t="s">
        <v>11</v>
      </c>
      <c r="D35" s="327">
        <v>1.1987121723938662E-2</v>
      </c>
      <c r="E35" s="327">
        <v>-1.117650240681331E-2</v>
      </c>
      <c r="F35" s="487"/>
      <c r="G35" s="481"/>
      <c r="H35" s="482"/>
      <c r="I35" s="482"/>
      <c r="J35" s="482"/>
      <c r="K35" s="482"/>
      <c r="L35" s="480"/>
      <c r="P35" s="401"/>
      <c r="Q35" s="401"/>
    </row>
    <row r="36" spans="1:17" ht="40.049999999999997" customHeight="1" x14ac:dyDescent="0.25">
      <c r="A36" s="324" t="s">
        <v>444</v>
      </c>
      <c r="B36" s="30" t="s">
        <v>445</v>
      </c>
      <c r="C36" s="258" t="s">
        <v>450</v>
      </c>
      <c r="D36" s="328">
        <v>1.4210854715202004E-14</v>
      </c>
      <c r="E36" s="328">
        <v>41.122832111568059</v>
      </c>
      <c r="F36" s="488"/>
      <c r="G36" s="483"/>
      <c r="H36" s="484"/>
      <c r="I36" s="484"/>
      <c r="J36" s="484"/>
      <c r="K36" s="484"/>
      <c r="L36" s="485"/>
      <c r="P36" s="401"/>
      <c r="Q36" s="401"/>
    </row>
    <row r="37" spans="1:17" x14ac:dyDescent="0.25">
      <c r="G37"/>
      <c r="K37"/>
    </row>
  </sheetData>
  <mergeCells count="3">
    <mergeCell ref="A1:D1"/>
    <mergeCell ref="G32:L36"/>
    <mergeCell ref="F32:F36"/>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9257" r:id="rId4">
          <objectPr defaultSize="0" autoPict="0" r:id="rId5">
            <anchor moveWithCells="1" sizeWithCells="1">
              <from>
                <xdr:col>6</xdr:col>
                <xdr:colOff>22860</xdr:colOff>
                <xdr:row>31</xdr:row>
                <xdr:rowOff>22860</xdr:rowOff>
              </from>
              <to>
                <xdr:col>11</xdr:col>
                <xdr:colOff>632460</xdr:colOff>
                <xdr:row>35</xdr:row>
                <xdr:rowOff>487680</xdr:rowOff>
              </to>
            </anchor>
          </objectPr>
        </oleObject>
      </mc:Choice>
      <mc:Fallback>
        <oleObject progId="Equation.3" shapeId="9257" r:id="rId4"/>
      </mc:Fallback>
    </mc:AlternateContent>
    <mc:AlternateContent xmlns:mc="http://schemas.openxmlformats.org/markup-compatibility/2006">
      <mc:Choice Requires="x14">
        <oleObject progId="Equation.3" shapeId="9259" r:id="rId6">
          <objectPr defaultSize="0" autoPict="0" r:id="rId7">
            <anchor moveWithCells="1" sizeWithCells="1">
              <from>
                <xdr:col>6</xdr:col>
                <xdr:colOff>0</xdr:colOff>
                <xdr:row>27</xdr:row>
                <xdr:rowOff>358140</xdr:rowOff>
              </from>
              <to>
                <xdr:col>7</xdr:col>
                <xdr:colOff>777240</xdr:colOff>
                <xdr:row>28</xdr:row>
                <xdr:rowOff>327660</xdr:rowOff>
              </to>
            </anchor>
          </objectPr>
        </oleObject>
      </mc:Choice>
      <mc:Fallback>
        <oleObject progId="Equation.3" shapeId="9259" r:id="rId6"/>
      </mc:Fallback>
    </mc:AlternateContent>
  </oleObjects>
  <mc:AlternateContent xmlns:mc="http://schemas.openxmlformats.org/markup-compatibility/2006">
    <mc:Choice Requires="x14">
      <controls>
        <mc:AlternateContent xmlns:mc="http://schemas.openxmlformats.org/markup-compatibility/2006">
          <mc:Choice Requires="x14">
            <control shapeId="9260" r:id="rId8" name="Drop Down 44">
              <controlPr defaultSize="0" autoLine="0" autoPict="0">
                <anchor moveWithCells="1">
                  <from>
                    <xdr:col>0</xdr:col>
                    <xdr:colOff>99060</xdr:colOff>
                    <xdr:row>3</xdr:row>
                    <xdr:rowOff>22860</xdr:rowOff>
                  </from>
                  <to>
                    <xdr:col>0</xdr:col>
                    <xdr:colOff>2598420</xdr:colOff>
                    <xdr:row>3</xdr:row>
                    <xdr:rowOff>160020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dimension ref="A1:D21"/>
  <sheetViews>
    <sheetView workbookViewId="0">
      <pane ySplit="2" topLeftCell="A9" activePane="bottomLeft" state="frozen"/>
      <selection pane="bottomLeft" activeCell="B23" sqref="B23"/>
    </sheetView>
  </sheetViews>
  <sheetFormatPr baseColWidth="10" defaultColWidth="9.109375" defaultRowHeight="13.2" x14ac:dyDescent="0.25"/>
  <cols>
    <col min="1" max="1" width="40.5546875" style="8" customWidth="1"/>
    <col min="2" max="2" width="16.6640625" style="221" customWidth="1"/>
    <col min="3" max="3" width="24.5546875" style="221" customWidth="1"/>
    <col min="4" max="4" width="10.109375" style="221" customWidth="1"/>
    <col min="5" max="16384" width="9.109375" style="221"/>
  </cols>
  <sheetData>
    <row r="1" spans="1:4" ht="60" customHeight="1" thickBot="1" x14ac:dyDescent="0.3">
      <c r="A1" s="475" t="s">
        <v>192</v>
      </c>
      <c r="B1" s="476"/>
      <c r="C1" s="477"/>
    </row>
    <row r="6" spans="1:4" ht="13.8" x14ac:dyDescent="0.25">
      <c r="A6" s="42" t="s">
        <v>193</v>
      </c>
      <c r="D6" s="13"/>
    </row>
    <row r="7" spans="1:4" ht="14.4" thickBot="1" x14ac:dyDescent="0.3">
      <c r="A7" s="42"/>
      <c r="D7" s="13"/>
    </row>
    <row r="8" spans="1:4" x14ac:dyDescent="0.25">
      <c r="A8" s="93" t="s">
        <v>422</v>
      </c>
      <c r="B8" s="82"/>
      <c r="C8" s="83"/>
      <c r="D8" s="13"/>
    </row>
    <row r="9" spans="1:4" ht="24" customHeight="1" x14ac:dyDescent="0.25">
      <c r="A9" s="84">
        <v>1</v>
      </c>
      <c r="B9" s="205" t="s">
        <v>423</v>
      </c>
      <c r="C9" s="4" t="str">
        <f>INDEX(C11:C12,A9)</f>
        <v>YES</v>
      </c>
      <c r="D9" s="13"/>
    </row>
    <row r="10" spans="1:4" ht="13.8" thickBot="1" x14ac:dyDescent="0.3">
      <c r="A10" s="85"/>
      <c r="B10" s="13"/>
      <c r="C10" s="86"/>
      <c r="D10" s="13"/>
    </row>
    <row r="11" spans="1:4" ht="26.4" x14ac:dyDescent="0.25">
      <c r="A11" s="230" t="s">
        <v>424</v>
      </c>
      <c r="B11" s="166"/>
      <c r="C11" s="224" t="s">
        <v>426</v>
      </c>
      <c r="D11" s="13"/>
    </row>
    <row r="12" spans="1:4" ht="13.8" thickBot="1" x14ac:dyDescent="0.3">
      <c r="A12" s="303" t="s">
        <v>425</v>
      </c>
      <c r="B12" s="91"/>
      <c r="C12" s="304" t="s">
        <v>427</v>
      </c>
      <c r="D12" s="13"/>
    </row>
    <row r="13" spans="1:4" ht="14.25" customHeight="1" x14ac:dyDescent="0.25">
      <c r="D13" s="13"/>
    </row>
    <row r="14" spans="1:4" s="233" customFormat="1" ht="14.25" customHeight="1" thickBot="1" x14ac:dyDescent="0.3">
      <c r="A14" s="8"/>
      <c r="D14" s="13"/>
    </row>
    <row r="15" spans="1:4" x14ac:dyDescent="0.25">
      <c r="A15" s="93" t="s">
        <v>428</v>
      </c>
      <c r="B15" s="82"/>
      <c r="C15" s="83"/>
      <c r="D15" s="13"/>
    </row>
    <row r="16" spans="1:4" ht="24" customHeight="1" thickBot="1" x14ac:dyDescent="0.3">
      <c r="A16" s="163">
        <v>1</v>
      </c>
      <c r="B16" s="226" t="s">
        <v>431</v>
      </c>
      <c r="C16" s="6" t="str">
        <f>INDEX(C18:C19,A16)</f>
        <v>TEMP</v>
      </c>
      <c r="D16" s="13"/>
    </row>
    <row r="17" spans="1:4" ht="13.8" thickBot="1" x14ac:dyDescent="0.3">
      <c r="A17" s="87"/>
      <c r="B17" s="13"/>
      <c r="C17" s="86"/>
      <c r="D17" s="13"/>
    </row>
    <row r="18" spans="1:4" ht="22.8" x14ac:dyDescent="0.25">
      <c r="A18" s="305" t="s">
        <v>429</v>
      </c>
      <c r="B18" s="306"/>
      <c r="C18" s="307" t="s">
        <v>432</v>
      </c>
      <c r="D18" s="13"/>
    </row>
    <row r="19" spans="1:4" ht="23.4" thickBot="1" x14ac:dyDescent="0.3">
      <c r="A19" s="308" t="s">
        <v>430</v>
      </c>
      <c r="B19" s="309"/>
      <c r="C19" s="310" t="s">
        <v>433</v>
      </c>
      <c r="D19" s="13"/>
    </row>
    <row r="20" spans="1:4" x14ac:dyDescent="0.25">
      <c r="D20" s="13"/>
    </row>
    <row r="21" spans="1:4" x14ac:dyDescent="0.25">
      <c r="D21" s="13"/>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2" r:id="rId4" name="Drop Down 2">
              <controlPr defaultSize="0" autoLine="0" autoPict="0">
                <anchor moveWithCells="1">
                  <from>
                    <xdr:col>0</xdr:col>
                    <xdr:colOff>38100</xdr:colOff>
                    <xdr:row>15</xdr:row>
                    <xdr:rowOff>60960</xdr:rowOff>
                  </from>
                  <to>
                    <xdr:col>0</xdr:col>
                    <xdr:colOff>2514600</xdr:colOff>
                    <xdr:row>15</xdr:row>
                    <xdr:rowOff>259080</xdr:rowOff>
                  </to>
                </anchor>
              </controlPr>
            </control>
          </mc:Choice>
        </mc:AlternateContent>
        <mc:AlternateContent xmlns:mc="http://schemas.openxmlformats.org/markup-compatibility/2006">
          <mc:Choice Requires="x14">
            <control shapeId="20483" r:id="rId5" name="Drop Down 3">
              <controlPr defaultSize="0" autoLine="0" autoPict="0">
                <anchor moveWithCells="1">
                  <from>
                    <xdr:col>0</xdr:col>
                    <xdr:colOff>99060</xdr:colOff>
                    <xdr:row>8</xdr:row>
                    <xdr:rowOff>68580</xdr:rowOff>
                  </from>
                  <to>
                    <xdr:col>0</xdr:col>
                    <xdr:colOff>2575560</xdr:colOff>
                    <xdr:row>8</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dimension ref="A1:AF119"/>
  <sheetViews>
    <sheetView workbookViewId="0">
      <pane ySplit="2" topLeftCell="A3" activePane="bottomLeft" state="frozen"/>
      <selection pane="bottomLeft" activeCell="D13" sqref="D13"/>
    </sheetView>
  </sheetViews>
  <sheetFormatPr baseColWidth="10" defaultColWidth="9.109375" defaultRowHeight="13.2" outlineLevelCol="1" x14ac:dyDescent="0.25"/>
  <cols>
    <col min="1" max="1" width="40.5546875" style="8" customWidth="1"/>
    <col min="2" max="2" width="40.5546875" style="8" hidden="1" customWidth="1" outlineLevel="1"/>
    <col min="3" max="3" width="12.6640625" style="2" customWidth="1" collapsed="1"/>
    <col min="4" max="4" width="24.5546875" style="2" customWidth="1"/>
    <col min="5" max="5" width="12.33203125" style="2" customWidth="1"/>
    <col min="6" max="9" width="10.109375" style="2" customWidth="1"/>
    <col min="10" max="21" width="10.5546875" style="2" hidden="1" customWidth="1" outlineLevel="1"/>
    <col min="22" max="22" width="4.5546875" style="2" customWidth="1" collapsed="1"/>
    <col min="23" max="23" width="12" style="2" hidden="1" customWidth="1" outlineLevel="1"/>
    <col min="24" max="25" width="10.6640625" style="2" hidden="1" customWidth="1" outlineLevel="1"/>
    <col min="26" max="26" width="11.44140625" style="2" hidden="1" customWidth="1" outlineLevel="1"/>
    <col min="27" max="31" width="9.109375" style="2" hidden="1" customWidth="1" outlineLevel="1"/>
    <col min="32" max="32" width="9.109375" style="2" collapsed="1"/>
    <col min="33" max="16384" width="9.109375" style="2"/>
  </cols>
  <sheetData>
    <row r="1" spans="1:31" ht="100.5" customHeight="1" thickBot="1" x14ac:dyDescent="0.3">
      <c r="A1" s="475" t="s">
        <v>185</v>
      </c>
      <c r="B1" s="476"/>
      <c r="C1" s="476"/>
      <c r="D1" s="476"/>
      <c r="E1" s="476"/>
      <c r="F1" s="476"/>
      <c r="G1" s="477"/>
      <c r="J1" s="489" t="s">
        <v>160</v>
      </c>
      <c r="K1" s="489"/>
      <c r="L1" s="489"/>
      <c r="M1" s="489"/>
      <c r="N1" s="489"/>
      <c r="O1" s="489"/>
      <c r="P1" s="489"/>
      <c r="Q1" s="489"/>
      <c r="R1" s="489"/>
      <c r="S1" s="489"/>
      <c r="T1" s="489"/>
      <c r="U1" s="489"/>
      <c r="W1" s="490" t="s">
        <v>161</v>
      </c>
      <c r="X1" s="491"/>
      <c r="Y1" s="491"/>
      <c r="Z1" s="491"/>
      <c r="AA1" s="491"/>
      <c r="AB1" s="491"/>
      <c r="AC1" s="491"/>
      <c r="AD1" s="491"/>
      <c r="AE1" s="491"/>
    </row>
    <row r="2" spans="1:31" x14ac:dyDescent="0.25">
      <c r="A2" s="39"/>
      <c r="B2" s="39"/>
      <c r="C2" s="40"/>
      <c r="D2" s="40"/>
      <c r="E2" s="40"/>
      <c r="F2" s="40"/>
      <c r="G2" s="40"/>
      <c r="H2" s="40"/>
      <c r="I2" s="21"/>
    </row>
    <row r="3" spans="1:31" x14ac:dyDescent="0.25">
      <c r="I3" s="13"/>
    </row>
    <row r="4" spans="1:31" ht="13.8" x14ac:dyDescent="0.25">
      <c r="A4" s="42" t="s">
        <v>89</v>
      </c>
      <c r="B4" s="42"/>
      <c r="I4" s="13"/>
    </row>
    <row r="5" spans="1:31" ht="13.8" thickBot="1" x14ac:dyDescent="0.3">
      <c r="I5" s="13"/>
    </row>
    <row r="6" spans="1:31" x14ac:dyDescent="0.25">
      <c r="A6" s="93" t="s">
        <v>114</v>
      </c>
      <c r="B6" s="81"/>
      <c r="C6" s="82"/>
      <c r="D6" s="83"/>
      <c r="I6" s="13"/>
    </row>
    <row r="7" spans="1:31" ht="28.5" customHeight="1" thickBot="1" x14ac:dyDescent="0.3">
      <c r="A7" s="208">
        <v>1</v>
      </c>
      <c r="B7" s="209"/>
      <c r="C7" s="210" t="s">
        <v>115</v>
      </c>
      <c r="D7" s="211" t="str">
        <f>INDEX(D9:D11,A7)</f>
        <v>BLR_USE_H</v>
      </c>
      <c r="I7" s="13"/>
    </row>
    <row r="8" spans="1:31" ht="13.8" thickBot="1" x14ac:dyDescent="0.3">
      <c r="A8" s="87"/>
      <c r="B8" s="73"/>
      <c r="C8" s="13"/>
      <c r="D8" s="86"/>
      <c r="I8" s="13"/>
    </row>
    <row r="9" spans="1:31" x14ac:dyDescent="0.25">
      <c r="A9" s="164" t="s">
        <v>116</v>
      </c>
      <c r="B9" s="165"/>
      <c r="C9" s="166"/>
      <c r="D9" s="167" t="s">
        <v>118</v>
      </c>
      <c r="I9" s="13"/>
    </row>
    <row r="10" spans="1:31" x14ac:dyDescent="0.25">
      <c r="A10" s="168" t="s">
        <v>117</v>
      </c>
      <c r="B10" s="169"/>
      <c r="C10" s="170"/>
      <c r="D10" s="171" t="s">
        <v>119</v>
      </c>
      <c r="I10" s="13"/>
    </row>
    <row r="11" spans="1:31" ht="13.8" thickBot="1" x14ac:dyDescent="0.3">
      <c r="A11" s="172" t="s">
        <v>105</v>
      </c>
      <c r="B11" s="173"/>
      <c r="C11" s="174"/>
      <c r="D11" s="175" t="s">
        <v>120</v>
      </c>
      <c r="I11" s="13"/>
    </row>
    <row r="12" spans="1:31" x14ac:dyDescent="0.25">
      <c r="I12" s="13"/>
    </row>
    <row r="13" spans="1:31" ht="18.75" customHeight="1" thickBot="1" x14ac:dyDescent="0.3">
      <c r="G13" s="13"/>
      <c r="I13" s="13"/>
    </row>
    <row r="14" spans="1:31" x14ac:dyDescent="0.25">
      <c r="A14" s="93" t="s">
        <v>110</v>
      </c>
      <c r="B14" s="81"/>
      <c r="C14" s="82"/>
      <c r="D14" s="83"/>
      <c r="G14" s="13"/>
      <c r="I14" s="13"/>
    </row>
    <row r="15" spans="1:31" ht="25.5" customHeight="1" x14ac:dyDescent="0.25">
      <c r="A15" s="212">
        <v>1</v>
      </c>
      <c r="B15" s="213"/>
      <c r="C15" s="214" t="s">
        <v>113</v>
      </c>
      <c r="D15" s="215" t="str">
        <f>INDEX(D17:D19,A15)</f>
        <v>BLR_FUEL_GAS</v>
      </c>
      <c r="G15" s="13"/>
      <c r="I15" s="13"/>
    </row>
    <row r="16" spans="1:31" x14ac:dyDescent="0.25">
      <c r="A16" s="85" t="s">
        <v>59</v>
      </c>
      <c r="B16" s="73"/>
      <c r="C16" s="13"/>
      <c r="D16" s="86"/>
      <c r="G16" s="13"/>
      <c r="I16" s="13"/>
    </row>
    <row r="17" spans="1:22" x14ac:dyDescent="0.25">
      <c r="A17" s="94" t="s">
        <v>106</v>
      </c>
      <c r="B17" s="73"/>
      <c r="C17" s="79"/>
      <c r="D17" s="95" t="s">
        <v>108</v>
      </c>
      <c r="G17" s="13"/>
      <c r="I17" s="13"/>
    </row>
    <row r="18" spans="1:22" x14ac:dyDescent="0.25">
      <c r="A18" s="94" t="s">
        <v>107</v>
      </c>
      <c r="B18" s="71"/>
      <c r="C18" s="80"/>
      <c r="D18" s="96" t="s">
        <v>109</v>
      </c>
      <c r="G18" s="13"/>
      <c r="I18" s="13"/>
    </row>
    <row r="19" spans="1:22" ht="13.8" thickBot="1" x14ac:dyDescent="0.3">
      <c r="A19" s="89" t="s">
        <v>105</v>
      </c>
      <c r="B19" s="90"/>
      <c r="C19" s="91"/>
      <c r="D19" s="92" t="s">
        <v>121</v>
      </c>
      <c r="G19" s="13"/>
      <c r="I19" s="13"/>
    </row>
    <row r="20" spans="1:22" x14ac:dyDescent="0.25">
      <c r="G20" s="13"/>
      <c r="I20" s="13"/>
    </row>
    <row r="21" spans="1:22" ht="13.8" thickBot="1" x14ac:dyDescent="0.3">
      <c r="I21" s="13"/>
    </row>
    <row r="22" spans="1:22" ht="24.75" customHeight="1" x14ac:dyDescent="0.25">
      <c r="A22" s="93" t="s">
        <v>57</v>
      </c>
      <c r="B22" s="81"/>
      <c r="C22" s="82"/>
      <c r="D22" s="83"/>
      <c r="I22" s="13"/>
    </row>
    <row r="23" spans="1:22" ht="24.75" customHeight="1" x14ac:dyDescent="0.25">
      <c r="A23" s="212">
        <v>2</v>
      </c>
      <c r="B23" s="213"/>
      <c r="C23" s="206" t="s">
        <v>58</v>
      </c>
      <c r="D23" s="215" t="str">
        <f>INDEX(D25:D26,A23)</f>
        <v>BLR_COND_NO</v>
      </c>
      <c r="I23" s="13"/>
    </row>
    <row r="24" spans="1:22" x14ac:dyDescent="0.25">
      <c r="A24" s="85" t="s">
        <v>59</v>
      </c>
      <c r="B24" s="73"/>
      <c r="C24" s="13"/>
      <c r="D24" s="86"/>
      <c r="E24" s="13"/>
      <c r="I24" s="13"/>
    </row>
    <row r="25" spans="1:22" x14ac:dyDescent="0.25">
      <c r="A25" s="87" t="s">
        <v>60</v>
      </c>
      <c r="B25" s="73"/>
      <c r="C25" s="79"/>
      <c r="D25" s="88" t="s">
        <v>62</v>
      </c>
      <c r="E25" s="13"/>
      <c r="G25" s="13"/>
      <c r="I25" s="13"/>
    </row>
    <row r="26" spans="1:22" ht="13.8" thickBot="1" x14ac:dyDescent="0.3">
      <c r="A26" s="176" t="s">
        <v>61</v>
      </c>
      <c r="B26" s="177"/>
      <c r="C26" s="91"/>
      <c r="D26" s="178" t="s">
        <v>63</v>
      </c>
      <c r="E26" s="13"/>
      <c r="G26" s="13"/>
      <c r="I26" s="13"/>
    </row>
    <row r="27" spans="1:22" x14ac:dyDescent="0.25">
      <c r="A27" s="22"/>
      <c r="G27" s="13"/>
      <c r="I27" s="13"/>
    </row>
    <row r="28" spans="1:22" x14ac:dyDescent="0.25">
      <c r="G28" s="13"/>
      <c r="I28" s="13"/>
    </row>
    <row r="29" spans="1:22" ht="13.8" x14ac:dyDescent="0.25">
      <c r="A29" s="41" t="s">
        <v>90</v>
      </c>
      <c r="B29" s="41"/>
      <c r="E29" s="49"/>
      <c r="F29" s="49"/>
      <c r="G29" s="50"/>
      <c r="H29" s="49"/>
      <c r="I29" s="50"/>
      <c r="J29" s="49"/>
      <c r="K29" s="49"/>
      <c r="L29" s="49"/>
      <c r="M29" s="49"/>
      <c r="N29" s="49"/>
      <c r="O29" s="49"/>
      <c r="P29" s="49"/>
      <c r="Q29" s="49"/>
      <c r="R29" s="49"/>
      <c r="S29" s="49"/>
      <c r="T29" s="49"/>
      <c r="U29" s="49"/>
      <c r="V29" s="49"/>
    </row>
    <row r="30" spans="1:22" ht="14.4" thickBot="1" x14ac:dyDescent="0.3">
      <c r="A30" s="41"/>
      <c r="B30" s="41"/>
      <c r="E30" s="49"/>
      <c r="F30" s="49"/>
      <c r="G30" s="50"/>
      <c r="H30" s="49"/>
      <c r="I30" s="50"/>
      <c r="J30" s="49"/>
      <c r="K30" s="49"/>
      <c r="L30" s="49"/>
      <c r="M30" s="49"/>
      <c r="N30" s="49"/>
      <c r="O30" s="49"/>
      <c r="P30" s="49"/>
      <c r="Q30" s="49"/>
      <c r="R30" s="49"/>
      <c r="S30" s="49"/>
      <c r="T30" s="49"/>
      <c r="U30" s="49"/>
      <c r="V30" s="49"/>
    </row>
    <row r="31" spans="1:22" ht="16.2" thickBot="1" x14ac:dyDescent="0.3">
      <c r="A31" s="100" t="s">
        <v>122</v>
      </c>
      <c r="B31" s="101"/>
      <c r="C31" s="10"/>
      <c r="D31" s="10"/>
      <c r="E31" s="102" t="s">
        <v>26</v>
      </c>
      <c r="F31" s="103" t="s">
        <v>39</v>
      </c>
      <c r="G31" s="104">
        <v>60</v>
      </c>
      <c r="H31" s="49"/>
      <c r="I31" s="50"/>
      <c r="J31" s="49"/>
      <c r="K31" s="49"/>
      <c r="L31" s="49"/>
      <c r="M31" s="49"/>
      <c r="N31" s="49"/>
      <c r="O31" s="49"/>
      <c r="P31" s="49"/>
      <c r="Q31" s="49"/>
      <c r="R31" s="49"/>
      <c r="S31" s="49"/>
      <c r="T31" s="49"/>
      <c r="U31" s="49"/>
      <c r="V31" s="49"/>
    </row>
    <row r="32" spans="1:22" ht="13.8" x14ac:dyDescent="0.25">
      <c r="A32" s="41"/>
      <c r="B32" s="41"/>
      <c r="E32" s="49"/>
      <c r="F32" s="49"/>
      <c r="G32" s="50"/>
      <c r="H32" s="49"/>
      <c r="I32" s="50"/>
      <c r="J32" s="49"/>
      <c r="K32" s="49"/>
      <c r="L32" s="49"/>
      <c r="M32" s="49"/>
      <c r="N32" s="49"/>
      <c r="O32" s="49"/>
      <c r="P32" s="49"/>
      <c r="Q32" s="49"/>
      <c r="R32" s="49"/>
      <c r="S32" s="49"/>
      <c r="T32" s="49"/>
      <c r="U32" s="49"/>
      <c r="V32" s="49"/>
    </row>
    <row r="33" spans="1:31" x14ac:dyDescent="0.25">
      <c r="E33" s="28"/>
      <c r="F33" s="28"/>
      <c r="G33" s="48"/>
      <c r="H33" s="28"/>
      <c r="I33" s="48"/>
      <c r="J33" s="28"/>
      <c r="K33" s="28"/>
      <c r="L33" s="28"/>
      <c r="M33" s="28"/>
      <c r="N33" s="28"/>
      <c r="O33" s="28"/>
      <c r="P33" s="28"/>
      <c r="Q33" s="29"/>
      <c r="R33" s="28"/>
      <c r="S33" s="29"/>
      <c r="T33" s="28"/>
      <c r="U33" s="28"/>
      <c r="V33" s="28"/>
    </row>
    <row r="34" spans="1:31" x14ac:dyDescent="0.25">
      <c r="A34" s="17" t="s">
        <v>64</v>
      </c>
      <c r="B34" s="17"/>
      <c r="C34" s="17" t="s">
        <v>68</v>
      </c>
      <c r="D34" s="2" t="str">
        <f>INDEX(D38:D49,C36)</f>
        <v>BLR_DATA_GAS_LT</v>
      </c>
      <c r="E34" s="17"/>
      <c r="F34" s="18"/>
      <c r="G34" s="17"/>
      <c r="H34" s="18"/>
      <c r="I34" s="23"/>
      <c r="J34" s="17"/>
      <c r="K34" s="17"/>
      <c r="L34" s="17"/>
      <c r="M34" s="17"/>
      <c r="N34" s="17"/>
      <c r="O34" s="17"/>
      <c r="P34" s="17"/>
      <c r="Q34" s="17"/>
      <c r="R34" s="17"/>
      <c r="S34" s="18"/>
      <c r="T34" s="18"/>
      <c r="U34" s="18"/>
      <c r="V34" s="18"/>
    </row>
    <row r="35" spans="1:31" ht="20.25" customHeight="1" x14ac:dyDescent="0.25">
      <c r="A35" s="216"/>
      <c r="I35" s="13"/>
    </row>
    <row r="36" spans="1:31" ht="26.25" customHeight="1" x14ac:dyDescent="0.25">
      <c r="A36" s="216"/>
      <c r="C36" s="2">
        <v>2</v>
      </c>
      <c r="I36" s="13"/>
    </row>
    <row r="37" spans="1:31" x14ac:dyDescent="0.25">
      <c r="A37" s="43" t="s">
        <v>59</v>
      </c>
      <c r="B37" s="75"/>
      <c r="C37" s="34"/>
      <c r="D37" s="11"/>
      <c r="E37" s="13"/>
      <c r="I37" s="13"/>
      <c r="W37" s="25" t="s">
        <v>164</v>
      </c>
      <c r="X37" s="492" t="s">
        <v>162</v>
      </c>
      <c r="Y37" s="493"/>
      <c r="Z37" s="492" t="s">
        <v>163</v>
      </c>
      <c r="AA37" s="493"/>
      <c r="AB37" s="494" t="s">
        <v>165</v>
      </c>
      <c r="AC37" s="495"/>
      <c r="AD37" s="494" t="s">
        <v>166</v>
      </c>
      <c r="AE37" s="495"/>
    </row>
    <row r="38" spans="1:31" ht="15.6" x14ac:dyDescent="0.25">
      <c r="A38" s="110" t="str">
        <f>IF(W38,B38,"NOT COMPATIBLE")</f>
        <v>Gas, standard, minimum value</v>
      </c>
      <c r="B38" s="19" t="s">
        <v>126</v>
      </c>
      <c r="C38" s="13"/>
      <c r="D38" s="37" t="s">
        <v>132</v>
      </c>
      <c r="W38" s="3" t="b">
        <f>AND(X38,Z38,AB38,AD38)</f>
        <v>1</v>
      </c>
      <c r="X38" s="78" t="b">
        <f>$D$23=Y38</f>
        <v>1</v>
      </c>
      <c r="Y38" s="67" t="s">
        <v>63</v>
      </c>
      <c r="Z38" s="78" t="b">
        <f t="shared" ref="Z38:Z49" si="0">OR($D$15=$D$19,$D$15=AA38)</f>
        <v>1</v>
      </c>
      <c r="AA38" s="67" t="s">
        <v>108</v>
      </c>
      <c r="AB38" s="78" t="b">
        <v>1</v>
      </c>
      <c r="AC38" s="3"/>
      <c r="AD38" s="78" t="b">
        <v>1</v>
      </c>
      <c r="AE38" s="3"/>
    </row>
    <row r="39" spans="1:31" ht="15.6" x14ac:dyDescent="0.25">
      <c r="A39" s="110" t="str">
        <f t="shared" ref="A39:A49" si="1">IF(W39,B39,"NOT COMPATIBLE")</f>
        <v>Gas, low temperature, minimum value</v>
      </c>
      <c r="B39" s="19" t="s">
        <v>127</v>
      </c>
      <c r="C39" s="13"/>
      <c r="D39" s="37" t="s">
        <v>133</v>
      </c>
      <c r="W39" s="3" t="b">
        <f t="shared" ref="W39:W49" si="2">AND(X39,Z39,AB39,AD39)</f>
        <v>1</v>
      </c>
      <c r="X39" s="78" t="b">
        <f t="shared" ref="X39:X49" si="3">$D$23=Y39</f>
        <v>1</v>
      </c>
      <c r="Y39" s="67" t="s">
        <v>63</v>
      </c>
      <c r="Z39" s="78" t="b">
        <f t="shared" si="0"/>
        <v>1</v>
      </c>
      <c r="AA39" s="67" t="s">
        <v>108</v>
      </c>
      <c r="AB39" s="78" t="b">
        <v>1</v>
      </c>
      <c r="AC39" s="3"/>
      <c r="AD39" s="78" t="b">
        <v>1</v>
      </c>
      <c r="AE39" s="3"/>
    </row>
    <row r="40" spans="1:31" ht="15.6" x14ac:dyDescent="0.25">
      <c r="A40" s="110" t="str">
        <f t="shared" si="1"/>
        <v>NOT COMPATIBLE</v>
      </c>
      <c r="B40" s="19" t="s">
        <v>128</v>
      </c>
      <c r="C40" s="13"/>
      <c r="D40" s="37" t="s">
        <v>134</v>
      </c>
      <c r="W40" s="3" t="b">
        <f t="shared" si="2"/>
        <v>0</v>
      </c>
      <c r="X40" s="78" t="b">
        <f t="shared" si="3"/>
        <v>0</v>
      </c>
      <c r="Y40" s="67" t="s">
        <v>62</v>
      </c>
      <c r="Z40" s="78" t="b">
        <f t="shared" si="0"/>
        <v>1</v>
      </c>
      <c r="AA40" s="67" t="s">
        <v>108</v>
      </c>
      <c r="AB40" s="78" t="b">
        <v>1</v>
      </c>
      <c r="AC40" s="3"/>
      <c r="AD40" s="78" t="b">
        <v>1</v>
      </c>
      <c r="AE40" s="3"/>
    </row>
    <row r="41" spans="1:31" x14ac:dyDescent="0.25">
      <c r="A41" s="110" t="str">
        <f t="shared" si="1"/>
        <v>NOT COMPATIBLE</v>
      </c>
      <c r="B41" s="19" t="s">
        <v>123</v>
      </c>
      <c r="C41" s="13"/>
      <c r="D41" s="37" t="s">
        <v>129</v>
      </c>
      <c r="W41" s="3" t="b">
        <f t="shared" si="2"/>
        <v>0</v>
      </c>
      <c r="X41" s="78" t="b">
        <f t="shared" si="3"/>
        <v>1</v>
      </c>
      <c r="Y41" s="67" t="s">
        <v>63</v>
      </c>
      <c r="Z41" s="78" t="b">
        <f t="shared" si="0"/>
        <v>0</v>
      </c>
      <c r="AA41" s="67" t="s">
        <v>109</v>
      </c>
      <c r="AB41" s="78" t="b">
        <v>1</v>
      </c>
      <c r="AC41" s="3"/>
      <c r="AD41" s="78" t="b">
        <v>1</v>
      </c>
      <c r="AE41" s="3"/>
    </row>
    <row r="42" spans="1:31" x14ac:dyDescent="0.25">
      <c r="A42" s="110" t="str">
        <f t="shared" si="1"/>
        <v>NOT COMPATIBLE</v>
      </c>
      <c r="B42" s="19" t="s">
        <v>124</v>
      </c>
      <c r="C42" s="13"/>
      <c r="D42" s="37" t="s">
        <v>130</v>
      </c>
      <c r="W42" s="3" t="b">
        <f t="shared" si="2"/>
        <v>0</v>
      </c>
      <c r="X42" s="78" t="b">
        <f t="shared" si="3"/>
        <v>1</v>
      </c>
      <c r="Y42" s="67" t="s">
        <v>63</v>
      </c>
      <c r="Z42" s="78" t="b">
        <f t="shared" si="0"/>
        <v>0</v>
      </c>
      <c r="AA42" s="67" t="s">
        <v>109</v>
      </c>
      <c r="AB42" s="78" t="b">
        <v>1</v>
      </c>
      <c r="AC42" s="3"/>
      <c r="AD42" s="78" t="b">
        <v>1</v>
      </c>
      <c r="AE42" s="3"/>
    </row>
    <row r="43" spans="1:31" x14ac:dyDescent="0.25">
      <c r="A43" s="110" t="str">
        <f t="shared" si="1"/>
        <v>NOT COMPATIBLE</v>
      </c>
      <c r="B43" s="19" t="s">
        <v>125</v>
      </c>
      <c r="C43" s="13"/>
      <c r="D43" s="37" t="s">
        <v>131</v>
      </c>
      <c r="W43" s="3" t="b">
        <f t="shared" si="2"/>
        <v>0</v>
      </c>
      <c r="X43" s="78" t="b">
        <f t="shared" si="3"/>
        <v>0</v>
      </c>
      <c r="Y43" s="67" t="s">
        <v>62</v>
      </c>
      <c r="Z43" s="78" t="b">
        <f t="shared" si="0"/>
        <v>0</v>
      </c>
      <c r="AA43" s="67" t="s">
        <v>109</v>
      </c>
      <c r="AB43" s="78" t="b">
        <v>1</v>
      </c>
      <c r="AC43" s="3"/>
      <c r="AD43" s="78" t="b">
        <v>1</v>
      </c>
      <c r="AE43" s="3"/>
    </row>
    <row r="44" spans="1:31" x14ac:dyDescent="0.25">
      <c r="A44" s="110" t="str">
        <f t="shared" si="1"/>
        <v>NOT COMPATIBLE</v>
      </c>
      <c r="B44" s="19" t="s">
        <v>77</v>
      </c>
      <c r="C44" s="13"/>
      <c r="D44" s="37" t="s">
        <v>80</v>
      </c>
      <c r="W44" s="3" t="b">
        <f t="shared" si="2"/>
        <v>0</v>
      </c>
      <c r="X44" s="78" t="b">
        <f t="shared" si="3"/>
        <v>1</v>
      </c>
      <c r="Y44" s="67" t="s">
        <v>63</v>
      </c>
      <c r="Z44" s="78" t="b">
        <f t="shared" si="0"/>
        <v>0</v>
      </c>
      <c r="AA44" s="67" t="s">
        <v>109</v>
      </c>
      <c r="AB44" s="78" t="b">
        <v>1</v>
      </c>
      <c r="AC44" s="3"/>
      <c r="AD44" s="78" t="b">
        <v>1</v>
      </c>
      <c r="AE44" s="3"/>
    </row>
    <row r="45" spans="1:31" ht="15.6" x14ac:dyDescent="0.25">
      <c r="A45" s="110" t="str">
        <f t="shared" si="1"/>
        <v>Default national: 2 - old gas boiler</v>
      </c>
      <c r="B45" s="19" t="s">
        <v>78</v>
      </c>
      <c r="C45" s="13"/>
      <c r="D45" s="37" t="s">
        <v>81</v>
      </c>
      <c r="W45" s="3" t="b">
        <f t="shared" si="2"/>
        <v>1</v>
      </c>
      <c r="X45" s="78" t="b">
        <f t="shared" si="3"/>
        <v>1</v>
      </c>
      <c r="Y45" s="67" t="s">
        <v>63</v>
      </c>
      <c r="Z45" s="78" t="b">
        <f t="shared" si="0"/>
        <v>1</v>
      </c>
      <c r="AA45" s="67" t="s">
        <v>108</v>
      </c>
      <c r="AB45" s="78" t="b">
        <v>1</v>
      </c>
      <c r="AC45" s="3"/>
      <c r="AD45" s="78" t="b">
        <v>1</v>
      </c>
      <c r="AE45" s="3"/>
    </row>
    <row r="46" spans="1:31" ht="15.6" x14ac:dyDescent="0.25">
      <c r="A46" s="110" t="str">
        <f t="shared" si="1"/>
        <v>Default national: 3 - new boiler</v>
      </c>
      <c r="B46" s="19" t="s">
        <v>79</v>
      </c>
      <c r="C46" s="13"/>
      <c r="D46" s="37" t="s">
        <v>82</v>
      </c>
      <c r="W46" s="3" t="b">
        <f t="shared" si="2"/>
        <v>1</v>
      </c>
      <c r="X46" s="78" t="b">
        <f t="shared" si="3"/>
        <v>1</v>
      </c>
      <c r="Y46" s="67" t="s">
        <v>63</v>
      </c>
      <c r="Z46" s="78" t="b">
        <f t="shared" si="0"/>
        <v>1</v>
      </c>
      <c r="AA46" s="67" t="s">
        <v>108</v>
      </c>
      <c r="AB46" s="78" t="b">
        <v>1</v>
      </c>
      <c r="AC46" s="3"/>
      <c r="AD46" s="78" t="b">
        <v>1</v>
      </c>
      <c r="AE46" s="3"/>
    </row>
    <row r="47" spans="1:31" ht="15.6" x14ac:dyDescent="0.25">
      <c r="A47" s="110" t="str">
        <f t="shared" si="1"/>
        <v>Make 1 boiler 1 gas (catalogue)</v>
      </c>
      <c r="B47" s="22" t="s">
        <v>136</v>
      </c>
      <c r="D47" s="37" t="s">
        <v>83</v>
      </c>
      <c r="W47" s="3" t="b">
        <f t="shared" si="2"/>
        <v>1</v>
      </c>
      <c r="X47" s="78" t="b">
        <f t="shared" si="3"/>
        <v>1</v>
      </c>
      <c r="Y47" s="67" t="s">
        <v>63</v>
      </c>
      <c r="Z47" s="78" t="b">
        <f t="shared" si="0"/>
        <v>1</v>
      </c>
      <c r="AA47" s="67" t="s">
        <v>108</v>
      </c>
      <c r="AB47" s="78" t="b">
        <v>1</v>
      </c>
      <c r="AC47" s="3"/>
      <c r="AD47" s="78" t="b">
        <v>1</v>
      </c>
      <c r="AE47" s="3"/>
    </row>
    <row r="48" spans="1:31" x14ac:dyDescent="0.25">
      <c r="A48" s="110" t="str">
        <f t="shared" si="1"/>
        <v>NOT COMPATIBLE</v>
      </c>
      <c r="B48" s="22" t="s">
        <v>135</v>
      </c>
      <c r="D48" s="37" t="s">
        <v>84</v>
      </c>
      <c r="W48" s="3" t="b">
        <f t="shared" si="2"/>
        <v>0</v>
      </c>
      <c r="X48" s="78" t="b">
        <f t="shared" si="3"/>
        <v>1</v>
      </c>
      <c r="Y48" s="67" t="s">
        <v>63</v>
      </c>
      <c r="Z48" s="78" t="b">
        <f t="shared" si="0"/>
        <v>0</v>
      </c>
      <c r="AA48" s="67" t="s">
        <v>109</v>
      </c>
      <c r="AB48" s="78" t="b">
        <v>1</v>
      </c>
      <c r="AC48" s="3"/>
      <c r="AD48" s="78" t="b">
        <v>1</v>
      </c>
      <c r="AE48" s="3"/>
    </row>
    <row r="49" spans="1:31" ht="15.6" x14ac:dyDescent="0.25">
      <c r="A49" s="110" t="str">
        <f t="shared" si="1"/>
        <v>Custom values</v>
      </c>
      <c r="B49" s="74" t="s">
        <v>65</v>
      </c>
      <c r="C49" s="27"/>
      <c r="D49" s="38" t="s">
        <v>69</v>
      </c>
      <c r="W49" s="3" t="b">
        <f t="shared" si="2"/>
        <v>1</v>
      </c>
      <c r="X49" s="78" t="b">
        <f t="shared" si="3"/>
        <v>1</v>
      </c>
      <c r="Y49" s="67" t="s">
        <v>63</v>
      </c>
      <c r="Z49" s="78" t="b">
        <f t="shared" si="0"/>
        <v>1</v>
      </c>
      <c r="AA49" s="67" t="s">
        <v>108</v>
      </c>
      <c r="AB49" s="78" t="b">
        <v>1</v>
      </c>
      <c r="AC49" s="3"/>
      <c r="AD49" s="78" t="b">
        <v>1</v>
      </c>
      <c r="AE49" s="3"/>
    </row>
    <row r="50" spans="1:31" x14ac:dyDescent="0.25">
      <c r="I50" s="13"/>
    </row>
    <row r="51" spans="1:31" x14ac:dyDescent="0.25">
      <c r="I51" s="13"/>
    </row>
    <row r="52" spans="1:31" ht="13.8" x14ac:dyDescent="0.25">
      <c r="A52" s="41" t="s">
        <v>70</v>
      </c>
      <c r="B52" s="41"/>
      <c r="I52" s="13"/>
    </row>
    <row r="53" spans="1:31" x14ac:dyDescent="0.25">
      <c r="I53" s="13"/>
    </row>
    <row r="54" spans="1:31" x14ac:dyDescent="0.25">
      <c r="A54" s="105" t="s">
        <v>72</v>
      </c>
      <c r="B54" s="106"/>
      <c r="C54" s="45" t="s">
        <v>179</v>
      </c>
      <c r="D54" s="107" t="str">
        <f>INDEX(D57:D60,C55)</f>
        <v>LOC_INT</v>
      </c>
      <c r="I54" s="13"/>
    </row>
    <row r="55" spans="1:31" ht="21" customHeight="1" x14ac:dyDescent="0.25">
      <c r="A55" s="108"/>
      <c r="B55" s="73"/>
      <c r="C55" s="13">
        <v>1</v>
      </c>
      <c r="D55" s="109"/>
      <c r="I55" s="13"/>
    </row>
    <row r="56" spans="1:31" x14ac:dyDescent="0.25">
      <c r="A56" s="44" t="s">
        <v>59</v>
      </c>
      <c r="B56" s="76"/>
      <c r="C56" s="45"/>
      <c r="D56" s="46"/>
      <c r="I56" s="13"/>
    </row>
    <row r="57" spans="1:31" x14ac:dyDescent="0.25">
      <c r="A57" s="47" t="s">
        <v>73</v>
      </c>
      <c r="B57" s="77"/>
      <c r="C57" s="13"/>
      <c r="D57" s="37" t="s">
        <v>180</v>
      </c>
      <c r="I57" s="13"/>
    </row>
    <row r="58" spans="1:31" x14ac:dyDescent="0.25">
      <c r="A58" s="47" t="s">
        <v>74</v>
      </c>
      <c r="B58" s="77"/>
      <c r="C58" s="13"/>
      <c r="D58" s="37" t="s">
        <v>181</v>
      </c>
      <c r="I58" s="13"/>
    </row>
    <row r="59" spans="1:31" x14ac:dyDescent="0.25">
      <c r="A59" s="35" t="s">
        <v>75</v>
      </c>
      <c r="B59" s="19"/>
      <c r="C59" s="13"/>
      <c r="D59" s="37" t="s">
        <v>182</v>
      </c>
      <c r="I59" s="13"/>
    </row>
    <row r="60" spans="1:31" x14ac:dyDescent="0.25">
      <c r="A60" s="36" t="s">
        <v>76</v>
      </c>
      <c r="B60" s="74"/>
      <c r="C60" s="27"/>
      <c r="D60" s="38" t="s">
        <v>183</v>
      </c>
      <c r="I60" s="13"/>
    </row>
    <row r="61" spans="1:31" x14ac:dyDescent="0.25">
      <c r="A61" s="22"/>
      <c r="B61" s="22"/>
      <c r="I61" s="13"/>
    </row>
    <row r="62" spans="1:31" x14ac:dyDescent="0.25">
      <c r="A62" s="22"/>
      <c r="B62" s="22"/>
      <c r="I62" s="13"/>
    </row>
    <row r="63" spans="1:31" ht="13.8" x14ac:dyDescent="0.25">
      <c r="A63" s="41" t="s">
        <v>71</v>
      </c>
      <c r="B63" s="41"/>
      <c r="I63" s="13"/>
    </row>
    <row r="64" spans="1:31" x14ac:dyDescent="0.25">
      <c r="A64" s="22"/>
      <c r="B64" s="22"/>
      <c r="I64" s="13"/>
    </row>
    <row r="65" spans="1:21" ht="21.75" customHeight="1" x14ac:dyDescent="0.25">
      <c r="A65" s="22"/>
      <c r="B65" s="22"/>
      <c r="I65" s="13"/>
    </row>
    <row r="66" spans="1:21" x14ac:dyDescent="0.25">
      <c r="A66" s="22" t="s">
        <v>85</v>
      </c>
      <c r="B66" s="22"/>
      <c r="I66" s="13"/>
    </row>
    <row r="67" spans="1:21" x14ac:dyDescent="0.25">
      <c r="A67" s="22" t="s">
        <v>86</v>
      </c>
      <c r="B67" s="22"/>
      <c r="I67" s="13"/>
    </row>
    <row r="68" spans="1:21" x14ac:dyDescent="0.25">
      <c r="A68" s="22" t="s">
        <v>87</v>
      </c>
      <c r="B68" s="22"/>
      <c r="I68" s="13"/>
    </row>
    <row r="69" spans="1:21" x14ac:dyDescent="0.25">
      <c r="A69" s="22" t="s">
        <v>88</v>
      </c>
      <c r="B69" s="22"/>
      <c r="I69" s="13"/>
    </row>
    <row r="70" spans="1:21" x14ac:dyDescent="0.25">
      <c r="I70" s="13"/>
    </row>
    <row r="71" spans="1:21" ht="13.8" thickBot="1" x14ac:dyDescent="0.3">
      <c r="I71" s="13"/>
    </row>
    <row r="72" spans="1:21" ht="98.25" customHeight="1" thickBot="1" x14ac:dyDescent="0.3">
      <c r="A72" s="217" t="s">
        <v>7</v>
      </c>
      <c r="B72" s="218"/>
      <c r="C72" s="219" t="s">
        <v>67</v>
      </c>
      <c r="D72" s="219" t="s">
        <v>66</v>
      </c>
      <c r="E72" s="219" t="s">
        <v>9</v>
      </c>
      <c r="F72" s="219" t="s">
        <v>1</v>
      </c>
      <c r="G72" s="219" t="s">
        <v>6</v>
      </c>
      <c r="H72" s="220" t="s">
        <v>54</v>
      </c>
      <c r="I72" s="13"/>
      <c r="J72" s="61" t="str">
        <f>+D38</f>
        <v>BLR_DATA_GAS_STD</v>
      </c>
      <c r="K72" s="61" t="str">
        <f>+D39</f>
        <v>BLR_DATA_GAS_LT</v>
      </c>
      <c r="L72" s="61" t="str">
        <f>+D40</f>
        <v>BLR_DATA_GAS_CND</v>
      </c>
      <c r="M72" s="61" t="str">
        <f>+D41</f>
        <v>BLR_DATA_OIL_STD</v>
      </c>
      <c r="N72" s="61" t="str">
        <f>+D42</f>
        <v>BLR_DATA_OIL_LT</v>
      </c>
      <c r="O72" s="61" t="str">
        <f>+D43</f>
        <v>BLR_DATA_OIL_CND</v>
      </c>
      <c r="P72" s="61" t="str">
        <f>+D44</f>
        <v>BLR_DATA_NAT_1</v>
      </c>
      <c r="Q72" s="61" t="str">
        <f>+D45</f>
        <v>BLR_DATA_NAT_2</v>
      </c>
      <c r="R72" s="61" t="str">
        <f>+D46</f>
        <v>BLR_DATA_NAT_3</v>
      </c>
      <c r="S72" s="61" t="str">
        <f>+D47</f>
        <v>BLR_DATA_CAT_01</v>
      </c>
      <c r="T72" s="61" t="str">
        <f>+D48</f>
        <v>BLR_DATA_CAT_02</v>
      </c>
      <c r="U72" s="61" t="str">
        <f>+D49</f>
        <v>BLR_DATA_USR</v>
      </c>
    </row>
    <row r="73" spans="1:21" ht="15.6" x14ac:dyDescent="0.25">
      <c r="A73" s="68" t="s">
        <v>12</v>
      </c>
      <c r="B73" s="68"/>
      <c r="C73" s="9"/>
      <c r="D73" s="9"/>
      <c r="E73" s="69" t="s">
        <v>26</v>
      </c>
      <c r="F73" s="70" t="s">
        <v>39</v>
      </c>
      <c r="G73" s="9">
        <f>INDEX(J73:U73,1,$C$36)</f>
        <v>60</v>
      </c>
      <c r="H73" s="9"/>
      <c r="I73" s="72"/>
      <c r="J73" s="62">
        <f t="shared" ref="J73:R73" si="4">+$G$31</f>
        <v>60</v>
      </c>
      <c r="K73" s="62">
        <f t="shared" si="4"/>
        <v>60</v>
      </c>
      <c r="L73" s="62">
        <f t="shared" si="4"/>
        <v>60</v>
      </c>
      <c r="M73" s="62">
        <f t="shared" si="4"/>
        <v>60</v>
      </c>
      <c r="N73" s="62">
        <f t="shared" si="4"/>
        <v>60</v>
      </c>
      <c r="O73" s="62">
        <f t="shared" si="4"/>
        <v>60</v>
      </c>
      <c r="P73" s="62">
        <f t="shared" si="4"/>
        <v>60</v>
      </c>
      <c r="Q73" s="62">
        <f t="shared" si="4"/>
        <v>60</v>
      </c>
      <c r="R73" s="62">
        <f t="shared" si="4"/>
        <v>60</v>
      </c>
      <c r="S73" s="63">
        <v>45</v>
      </c>
      <c r="T73" s="63">
        <v>30</v>
      </c>
      <c r="U73" s="62">
        <f>+$G$31</f>
        <v>60</v>
      </c>
    </row>
    <row r="74" spans="1:21" ht="26.4" x14ac:dyDescent="0.25">
      <c r="A74" s="58" t="s">
        <v>103</v>
      </c>
      <c r="B74" s="58"/>
      <c r="C74" s="3"/>
      <c r="D74" s="3"/>
      <c r="E74" s="30"/>
      <c r="F74" s="56"/>
      <c r="G74" s="3" t="str">
        <f>INDEX(J74:U74,1,$C$36)</f>
        <v>BLR_COND_NO</v>
      </c>
      <c r="H74" s="3"/>
      <c r="I74" s="72"/>
      <c r="J74" s="111" t="s">
        <v>63</v>
      </c>
      <c r="K74" s="111" t="s">
        <v>63</v>
      </c>
      <c r="L74" s="111" t="s">
        <v>62</v>
      </c>
      <c r="M74" s="111" t="s">
        <v>63</v>
      </c>
      <c r="N74" s="111" t="s">
        <v>63</v>
      </c>
      <c r="O74" s="111" t="s">
        <v>62</v>
      </c>
      <c r="P74" s="111" t="s">
        <v>63</v>
      </c>
      <c r="Q74" s="111" t="s">
        <v>63</v>
      </c>
      <c r="R74" s="111" t="s">
        <v>63</v>
      </c>
      <c r="S74" s="111" t="s">
        <v>63</v>
      </c>
      <c r="T74" s="111" t="s">
        <v>63</v>
      </c>
      <c r="U74" s="111" t="s">
        <v>62</v>
      </c>
    </row>
    <row r="75" spans="1:21" ht="24.75" customHeight="1" x14ac:dyDescent="0.25">
      <c r="A75" s="68" t="s">
        <v>137</v>
      </c>
      <c r="B75" s="68"/>
      <c r="C75" s="9"/>
      <c r="D75" s="9"/>
      <c r="E75" s="69"/>
      <c r="F75" s="70"/>
      <c r="G75" s="222" t="str">
        <f>INDEX(J75:U75,1,$C$36)</f>
        <v>BLR_FUEL_GAS</v>
      </c>
      <c r="H75" s="3"/>
      <c r="I75" s="72"/>
      <c r="J75" s="112" t="s">
        <v>108</v>
      </c>
      <c r="K75" s="112" t="s">
        <v>108</v>
      </c>
      <c r="L75" s="112" t="s">
        <v>108</v>
      </c>
      <c r="M75" s="112" t="s">
        <v>109</v>
      </c>
      <c r="N75" s="112" t="s">
        <v>109</v>
      </c>
      <c r="O75" s="112" t="s">
        <v>109</v>
      </c>
      <c r="P75" s="112" t="s">
        <v>109</v>
      </c>
      <c r="Q75" s="112" t="s">
        <v>108</v>
      </c>
      <c r="R75" s="112" t="s">
        <v>108</v>
      </c>
      <c r="S75" s="112" t="s">
        <v>108</v>
      </c>
      <c r="T75" s="112" t="s">
        <v>109</v>
      </c>
      <c r="U75" s="112" t="s">
        <v>108</v>
      </c>
    </row>
    <row r="76" spans="1:21" s="221" customFormat="1" ht="24.75" customHeight="1" x14ac:dyDescent="0.25">
      <c r="A76" s="225" t="s">
        <v>189</v>
      </c>
      <c r="B76" s="68"/>
      <c r="C76" s="9"/>
      <c r="D76" s="9"/>
      <c r="E76" s="69"/>
      <c r="F76" s="70"/>
      <c r="G76" s="222" t="str">
        <f>INDEX(J76:U76,1,$C$36)</f>
        <v>BLR_CE_YES</v>
      </c>
      <c r="H76" s="222"/>
      <c r="I76" s="72"/>
      <c r="J76" s="112" t="s">
        <v>187</v>
      </c>
      <c r="K76" s="112" t="s">
        <v>187</v>
      </c>
      <c r="L76" s="112" t="s">
        <v>187</v>
      </c>
      <c r="M76" s="112" t="s">
        <v>187</v>
      </c>
      <c r="N76" s="112" t="s">
        <v>187</v>
      </c>
      <c r="O76" s="112" t="s">
        <v>187</v>
      </c>
      <c r="P76" s="112" t="s">
        <v>187</v>
      </c>
      <c r="Q76" s="112" t="s">
        <v>187</v>
      </c>
      <c r="R76" s="112" t="s">
        <v>187</v>
      </c>
      <c r="S76" s="112" t="s">
        <v>187</v>
      </c>
      <c r="T76" s="112" t="s">
        <v>188</v>
      </c>
      <c r="U76" s="112" t="s">
        <v>187</v>
      </c>
    </row>
    <row r="77" spans="1:21" ht="18" customHeight="1" thickBot="1" x14ac:dyDescent="0.3">
      <c r="A77" s="138" t="s">
        <v>138</v>
      </c>
      <c r="B77" s="138"/>
      <c r="C77" s="72"/>
      <c r="D77" s="72"/>
      <c r="E77" s="48" t="s">
        <v>139</v>
      </c>
      <c r="F77" s="139" t="s">
        <v>39</v>
      </c>
      <c r="G77" s="72"/>
      <c r="H77" s="113"/>
      <c r="I77" s="72"/>
      <c r="J77" s="140">
        <f>IF(J73&gt;400,400,J73)</f>
        <v>60</v>
      </c>
      <c r="K77" s="140">
        <f t="shared" ref="K77:U77" si="5">IF(K73&gt;400,400,K73)</f>
        <v>60</v>
      </c>
      <c r="L77" s="140">
        <f t="shared" si="5"/>
        <v>60</v>
      </c>
      <c r="M77" s="140">
        <f t="shared" si="5"/>
        <v>60</v>
      </c>
      <c r="N77" s="140">
        <f t="shared" si="5"/>
        <v>60</v>
      </c>
      <c r="O77" s="140">
        <f t="shared" si="5"/>
        <v>60</v>
      </c>
      <c r="P77" s="140">
        <f t="shared" si="5"/>
        <v>60</v>
      </c>
      <c r="Q77" s="140">
        <f t="shared" si="5"/>
        <v>60</v>
      </c>
      <c r="R77" s="140">
        <f t="shared" si="5"/>
        <v>60</v>
      </c>
      <c r="S77" s="140">
        <f t="shared" si="5"/>
        <v>45</v>
      </c>
      <c r="T77" s="140">
        <f t="shared" si="5"/>
        <v>30</v>
      </c>
      <c r="U77" s="140">
        <f t="shared" si="5"/>
        <v>60</v>
      </c>
    </row>
    <row r="78" spans="1:21" s="82" customFormat="1" x14ac:dyDescent="0.25">
      <c r="A78" s="114"/>
      <c r="B78" s="115"/>
      <c r="C78" s="32"/>
      <c r="D78" s="32"/>
      <c r="E78" s="33" t="s">
        <v>93</v>
      </c>
      <c r="F78" s="33" t="s">
        <v>44</v>
      </c>
      <c r="G78" s="32"/>
      <c r="H78" s="32"/>
      <c r="I78" s="116"/>
      <c r="J78" s="117">
        <v>85</v>
      </c>
      <c r="K78" s="117">
        <v>88</v>
      </c>
      <c r="L78" s="117">
        <v>94</v>
      </c>
      <c r="M78" s="117">
        <v>85</v>
      </c>
      <c r="N78" s="117">
        <v>88</v>
      </c>
      <c r="O78" s="117">
        <v>94</v>
      </c>
      <c r="P78" s="117">
        <v>92</v>
      </c>
      <c r="Q78" s="117">
        <v>91</v>
      </c>
      <c r="R78" s="117">
        <v>93</v>
      </c>
      <c r="S78" s="118"/>
      <c r="T78" s="118"/>
      <c r="U78" s="118"/>
    </row>
    <row r="79" spans="1:21" s="13" customFormat="1" x14ac:dyDescent="0.25">
      <c r="A79" s="119"/>
      <c r="B79" s="58"/>
      <c r="C79" s="3"/>
      <c r="D79" s="3"/>
      <c r="E79" s="25" t="s">
        <v>94</v>
      </c>
      <c r="F79" s="25" t="s">
        <v>44</v>
      </c>
      <c r="G79" s="3"/>
      <c r="H79" s="3"/>
      <c r="I79" s="72"/>
      <c r="J79" s="63">
        <v>2</v>
      </c>
      <c r="K79" s="63">
        <v>1.5</v>
      </c>
      <c r="L79" s="63">
        <v>1</v>
      </c>
      <c r="M79" s="63">
        <v>2</v>
      </c>
      <c r="N79" s="63">
        <v>1.5</v>
      </c>
      <c r="O79" s="63">
        <v>1</v>
      </c>
      <c r="P79" s="63">
        <v>0</v>
      </c>
      <c r="Q79" s="63">
        <v>0</v>
      </c>
      <c r="R79" s="63">
        <v>0</v>
      </c>
      <c r="S79" s="64"/>
      <c r="T79" s="64"/>
      <c r="U79" s="64"/>
    </row>
    <row r="80" spans="1:21" s="128" customFormat="1" ht="43.5" customHeight="1" thickBot="1" x14ac:dyDescent="0.3">
      <c r="A80" s="120" t="s">
        <v>13</v>
      </c>
      <c r="B80" s="121"/>
      <c r="C80" s="5"/>
      <c r="D80" s="122"/>
      <c r="E80" s="123" t="s">
        <v>27</v>
      </c>
      <c r="F80" s="124" t="s">
        <v>44</v>
      </c>
      <c r="G80" s="125">
        <f>INDEX(J80:U80,1,$C$36)</f>
        <v>90.667226875575466</v>
      </c>
      <c r="H80" s="5"/>
      <c r="I80" s="126"/>
      <c r="J80" s="125">
        <f>J78+J79*LOG10(J77)</f>
        <v>88.556302500767288</v>
      </c>
      <c r="K80" s="125">
        <f t="shared" ref="K80:R80" si="6">K78+K79*LOG10(K77)</f>
        <v>90.667226875575466</v>
      </c>
      <c r="L80" s="125">
        <f t="shared" si="6"/>
        <v>95.778151250383644</v>
      </c>
      <c r="M80" s="125">
        <f t="shared" si="6"/>
        <v>88.556302500767288</v>
      </c>
      <c r="N80" s="125">
        <f t="shared" si="6"/>
        <v>90.667226875575466</v>
      </c>
      <c r="O80" s="125">
        <f t="shared" si="6"/>
        <v>95.778151250383644</v>
      </c>
      <c r="P80" s="125">
        <f t="shared" si="6"/>
        <v>92</v>
      </c>
      <c r="Q80" s="125">
        <f t="shared" si="6"/>
        <v>91</v>
      </c>
      <c r="R80" s="125">
        <f t="shared" si="6"/>
        <v>93</v>
      </c>
      <c r="S80" s="127">
        <v>94</v>
      </c>
      <c r="T80" s="127">
        <v>92</v>
      </c>
      <c r="U80" s="127">
        <v>93</v>
      </c>
    </row>
    <row r="81" spans="1:21" ht="16.2" thickBot="1" x14ac:dyDescent="0.3">
      <c r="A81" s="138" t="s">
        <v>16</v>
      </c>
      <c r="B81" s="138"/>
      <c r="C81" s="72"/>
      <c r="D81" s="72"/>
      <c r="E81" s="141" t="s">
        <v>30</v>
      </c>
      <c r="F81" s="139" t="s">
        <v>39</v>
      </c>
      <c r="G81" s="72">
        <f>INDEX(J81:U81,1,$C$36)</f>
        <v>18</v>
      </c>
      <c r="H81" s="72"/>
      <c r="I81" s="72"/>
      <c r="J81" s="142">
        <f>+J73*0.3</f>
        <v>18</v>
      </c>
      <c r="K81" s="142">
        <f t="shared" ref="K81:U81" si="7">+K73*0.3</f>
        <v>18</v>
      </c>
      <c r="L81" s="142">
        <f t="shared" si="7"/>
        <v>18</v>
      </c>
      <c r="M81" s="142">
        <f>+M73*0.3</f>
        <v>18</v>
      </c>
      <c r="N81" s="142">
        <f>+N73*0.3</f>
        <v>18</v>
      </c>
      <c r="O81" s="142">
        <f>+O73*0.3</f>
        <v>18</v>
      </c>
      <c r="P81" s="142">
        <f t="shared" si="7"/>
        <v>18</v>
      </c>
      <c r="Q81" s="142">
        <f t="shared" si="7"/>
        <v>18</v>
      </c>
      <c r="R81" s="142">
        <f t="shared" si="7"/>
        <v>18</v>
      </c>
      <c r="S81" s="142">
        <f t="shared" si="7"/>
        <v>13.5</v>
      </c>
      <c r="T81" s="142">
        <f t="shared" si="7"/>
        <v>9</v>
      </c>
      <c r="U81" s="142">
        <f t="shared" si="7"/>
        <v>18</v>
      </c>
    </row>
    <row r="82" spans="1:21" s="82" customFormat="1" x14ac:dyDescent="0.25">
      <c r="A82" s="114"/>
      <c r="B82" s="115"/>
      <c r="C82" s="32"/>
      <c r="D82" s="32"/>
      <c r="E82" s="33" t="s">
        <v>95</v>
      </c>
      <c r="F82" s="33" t="s">
        <v>44</v>
      </c>
      <c r="G82" s="32"/>
      <c r="H82" s="32"/>
      <c r="I82" s="116"/>
      <c r="J82" s="117">
        <v>81.5</v>
      </c>
      <c r="K82" s="117">
        <v>89</v>
      </c>
      <c r="L82" s="117">
        <v>98</v>
      </c>
      <c r="M82" s="117">
        <v>81.5</v>
      </c>
      <c r="N82" s="117">
        <v>89</v>
      </c>
      <c r="O82" s="117">
        <f>98/1.05</f>
        <v>93.333333333333329</v>
      </c>
      <c r="P82" s="117">
        <v>90</v>
      </c>
      <c r="Q82" s="117">
        <v>89</v>
      </c>
      <c r="R82" s="117">
        <v>91</v>
      </c>
      <c r="S82" s="118"/>
      <c r="T82" s="118"/>
      <c r="U82" s="118"/>
    </row>
    <row r="83" spans="1:21" s="13" customFormat="1" x14ac:dyDescent="0.25">
      <c r="A83" s="119"/>
      <c r="B83" s="58"/>
      <c r="C83" s="3"/>
      <c r="D83" s="3"/>
      <c r="E83" s="25" t="s">
        <v>96</v>
      </c>
      <c r="F83" s="25" t="s">
        <v>44</v>
      </c>
      <c r="G83" s="3"/>
      <c r="H83" s="3"/>
      <c r="I83" s="72"/>
      <c r="J83" s="63">
        <v>3</v>
      </c>
      <c r="K83" s="63">
        <v>1.5</v>
      </c>
      <c r="L83" s="63">
        <v>1</v>
      </c>
      <c r="M83" s="63">
        <v>3</v>
      </c>
      <c r="N83" s="63">
        <v>1.5</v>
      </c>
      <c r="O83" s="63">
        <f>1/1.05</f>
        <v>0.95238095238095233</v>
      </c>
      <c r="P83" s="63">
        <v>0</v>
      </c>
      <c r="Q83" s="63">
        <v>0</v>
      </c>
      <c r="R83" s="63">
        <v>0</v>
      </c>
      <c r="S83" s="64"/>
      <c r="T83" s="64"/>
      <c r="U83" s="64"/>
    </row>
    <row r="84" spans="1:21" s="128" customFormat="1" ht="39.75" customHeight="1" thickBot="1" x14ac:dyDescent="0.3">
      <c r="A84" s="120" t="s">
        <v>17</v>
      </c>
      <c r="B84" s="121"/>
      <c r="C84" s="5"/>
      <c r="D84" s="122"/>
      <c r="E84" s="123" t="s">
        <v>31</v>
      </c>
      <c r="F84" s="124" t="s">
        <v>44</v>
      </c>
      <c r="G84" s="125">
        <f>INDEX(J84:U84,1,$C$36)</f>
        <v>91.667226875575466</v>
      </c>
      <c r="H84" s="5"/>
      <c r="I84" s="126"/>
      <c r="J84" s="125">
        <f>J82+J83*LOG10(J77)</f>
        <v>86.834453751150932</v>
      </c>
      <c r="K84" s="125">
        <f t="shared" ref="K84:R84" si="8">K82+K83*LOG10(K77)</f>
        <v>91.667226875575466</v>
      </c>
      <c r="L84" s="125">
        <f t="shared" si="8"/>
        <v>99.778151250383644</v>
      </c>
      <c r="M84" s="125">
        <f t="shared" si="8"/>
        <v>86.834453751150932</v>
      </c>
      <c r="N84" s="125">
        <f t="shared" si="8"/>
        <v>91.667226875575466</v>
      </c>
      <c r="O84" s="125">
        <f t="shared" si="8"/>
        <v>95.026810714651077</v>
      </c>
      <c r="P84" s="125">
        <f t="shared" si="8"/>
        <v>90</v>
      </c>
      <c r="Q84" s="125">
        <f t="shared" si="8"/>
        <v>89</v>
      </c>
      <c r="R84" s="125">
        <f t="shared" si="8"/>
        <v>91</v>
      </c>
      <c r="S84" s="127">
        <v>94</v>
      </c>
      <c r="T84" s="127">
        <v>92</v>
      </c>
      <c r="U84" s="127">
        <v>93</v>
      </c>
    </row>
    <row r="85" spans="1:21" s="82" customFormat="1" x14ac:dyDescent="0.25">
      <c r="A85" s="114"/>
      <c r="B85" s="115"/>
      <c r="C85" s="32"/>
      <c r="D85" s="32"/>
      <c r="E85" s="129" t="s">
        <v>97</v>
      </c>
      <c r="F85" s="33" t="s">
        <v>44</v>
      </c>
      <c r="G85" s="32"/>
      <c r="H85" s="32"/>
      <c r="I85" s="116"/>
      <c r="J85" s="117">
        <v>8.5</v>
      </c>
      <c r="K85" s="117">
        <v>5</v>
      </c>
      <c r="L85" s="117">
        <v>4.8</v>
      </c>
      <c r="M85" s="117">
        <v>8.5</v>
      </c>
      <c r="N85" s="117">
        <v>5</v>
      </c>
      <c r="O85" s="117">
        <v>4.8</v>
      </c>
      <c r="P85" s="117">
        <v>5</v>
      </c>
      <c r="Q85" s="117">
        <v>5</v>
      </c>
      <c r="R85" s="117">
        <v>5</v>
      </c>
      <c r="S85" s="118"/>
      <c r="T85" s="118"/>
      <c r="U85" s="118"/>
    </row>
    <row r="86" spans="1:21" s="13" customFormat="1" x14ac:dyDescent="0.25">
      <c r="A86" s="119"/>
      <c r="B86" s="58"/>
      <c r="C86" s="3"/>
      <c r="D86" s="3"/>
      <c r="E86" s="56" t="s">
        <v>98</v>
      </c>
      <c r="F86" s="25" t="s">
        <v>44</v>
      </c>
      <c r="G86" s="3"/>
      <c r="H86" s="3"/>
      <c r="I86" s="72"/>
      <c r="J86" s="63">
        <v>-0.4</v>
      </c>
      <c r="K86" s="63">
        <v>-0.35</v>
      </c>
      <c r="L86" s="63">
        <v>-0.35</v>
      </c>
      <c r="M86" s="63">
        <v>-0.4</v>
      </c>
      <c r="N86" s="63">
        <v>-0.35</v>
      </c>
      <c r="O86" s="63">
        <v>-0.35</v>
      </c>
      <c r="P86" s="63">
        <v>-0.35</v>
      </c>
      <c r="Q86" s="63">
        <v>-0.35</v>
      </c>
      <c r="R86" s="63">
        <v>-0.35</v>
      </c>
      <c r="S86" s="64"/>
      <c r="T86" s="64"/>
      <c r="U86" s="64"/>
    </row>
    <row r="87" spans="1:21" s="128" customFormat="1" ht="39.75" customHeight="1" thickBot="1" x14ac:dyDescent="0.3">
      <c r="A87" s="120" t="s">
        <v>20</v>
      </c>
      <c r="B87" s="121"/>
      <c r="C87" s="5"/>
      <c r="D87" s="122"/>
      <c r="E87" s="123" t="s">
        <v>34</v>
      </c>
      <c r="F87" s="130" t="s">
        <v>39</v>
      </c>
      <c r="G87" s="131">
        <f>INDEX(J87:U87,1,$C$36)</f>
        <v>0.71576147134151091</v>
      </c>
      <c r="H87" s="5"/>
      <c r="I87" s="126"/>
      <c r="J87" s="125">
        <f t="shared" ref="J87:R87" si="9">+J73*(J85/100)*(J73^J86)</f>
        <v>0.99153871472970456</v>
      </c>
      <c r="K87" s="125">
        <f t="shared" si="9"/>
        <v>0.71576147134151091</v>
      </c>
      <c r="L87" s="125">
        <f t="shared" si="9"/>
        <v>0.68713101248785047</v>
      </c>
      <c r="M87" s="125">
        <f>+M73*(M85/100)*(M73^M86)</f>
        <v>0.99153871472970456</v>
      </c>
      <c r="N87" s="125">
        <f>+N73*(N85/100)*(N73^N86)</f>
        <v>0.71576147134151091</v>
      </c>
      <c r="O87" s="125">
        <f>+O73*(O85/100)*(O73^O86)</f>
        <v>0.68713101248785047</v>
      </c>
      <c r="P87" s="125">
        <f t="shared" si="9"/>
        <v>0.71576147134151091</v>
      </c>
      <c r="Q87" s="125">
        <f t="shared" si="9"/>
        <v>0.71576147134151091</v>
      </c>
      <c r="R87" s="125">
        <f t="shared" si="9"/>
        <v>0.71576147134151091</v>
      </c>
      <c r="S87" s="127">
        <v>0.5</v>
      </c>
      <c r="T87" s="127">
        <v>0.6</v>
      </c>
      <c r="U87" s="127">
        <v>0.4</v>
      </c>
    </row>
    <row r="88" spans="1:21" s="82" customFormat="1" x14ac:dyDescent="0.25">
      <c r="A88" s="114"/>
      <c r="B88" s="115"/>
      <c r="C88" s="32"/>
      <c r="D88" s="32"/>
      <c r="E88" s="33" t="s">
        <v>99</v>
      </c>
      <c r="F88" s="33" t="s">
        <v>102</v>
      </c>
      <c r="G88" s="32"/>
      <c r="H88" s="32"/>
      <c r="I88" s="116"/>
      <c r="J88" s="117">
        <v>0</v>
      </c>
      <c r="K88" s="117">
        <v>0</v>
      </c>
      <c r="L88" s="117">
        <v>0</v>
      </c>
      <c r="M88" s="117">
        <v>0</v>
      </c>
      <c r="N88" s="117">
        <v>0</v>
      </c>
      <c r="O88" s="117">
        <v>0</v>
      </c>
      <c r="P88" s="117">
        <v>0</v>
      </c>
      <c r="Q88" s="117">
        <v>0</v>
      </c>
      <c r="R88" s="117">
        <v>0</v>
      </c>
      <c r="S88" s="118"/>
      <c r="T88" s="118"/>
      <c r="U88" s="118"/>
    </row>
    <row r="89" spans="1:21" s="13" customFormat="1" x14ac:dyDescent="0.25">
      <c r="A89" s="119"/>
      <c r="B89" s="58"/>
      <c r="C89" s="3"/>
      <c r="D89" s="3"/>
      <c r="E89" s="30" t="s">
        <v>100</v>
      </c>
      <c r="F89" s="25" t="s">
        <v>102</v>
      </c>
      <c r="G89" s="3"/>
      <c r="H89" s="3"/>
      <c r="I89" s="72"/>
      <c r="J89" s="63">
        <v>45</v>
      </c>
      <c r="K89" s="63">
        <v>45</v>
      </c>
      <c r="L89" s="63">
        <v>45</v>
      </c>
      <c r="M89" s="63">
        <v>45</v>
      </c>
      <c r="N89" s="63">
        <v>45</v>
      </c>
      <c r="O89" s="63">
        <v>45</v>
      </c>
      <c r="P89" s="63">
        <v>45</v>
      </c>
      <c r="Q89" s="63">
        <v>45</v>
      </c>
      <c r="R89" s="63">
        <v>45</v>
      </c>
      <c r="S89" s="64"/>
      <c r="T89" s="64"/>
      <c r="U89" s="64"/>
    </row>
    <row r="90" spans="1:21" s="13" customFormat="1" x14ac:dyDescent="0.25">
      <c r="A90" s="119"/>
      <c r="B90" s="58"/>
      <c r="C90" s="3"/>
      <c r="D90" s="3"/>
      <c r="E90" s="30" t="s">
        <v>101</v>
      </c>
      <c r="F90" s="56" t="s">
        <v>11</v>
      </c>
      <c r="G90" s="3"/>
      <c r="H90" s="3"/>
      <c r="I90" s="72"/>
      <c r="J90" s="65">
        <v>0.48</v>
      </c>
      <c r="K90" s="65">
        <v>0.48</v>
      </c>
      <c r="L90" s="65">
        <v>0.48</v>
      </c>
      <c r="M90" s="65">
        <v>0.48</v>
      </c>
      <c r="N90" s="65">
        <v>0.48</v>
      </c>
      <c r="O90" s="65">
        <v>0.48</v>
      </c>
      <c r="P90" s="65">
        <v>0.48</v>
      </c>
      <c r="Q90" s="65">
        <v>0.48</v>
      </c>
      <c r="R90" s="65">
        <v>0.48</v>
      </c>
      <c r="S90" s="64"/>
      <c r="T90" s="64"/>
      <c r="U90" s="64"/>
    </row>
    <row r="91" spans="1:21" s="128" customFormat="1" ht="42" customHeight="1" thickBot="1" x14ac:dyDescent="0.3">
      <c r="A91" s="120" t="s">
        <v>22</v>
      </c>
      <c r="B91" s="121"/>
      <c r="C91" s="5"/>
      <c r="D91" s="122"/>
      <c r="E91" s="123" t="s">
        <v>35</v>
      </c>
      <c r="F91" s="130" t="s">
        <v>39</v>
      </c>
      <c r="G91" s="131">
        <f>INDEX(J91:U91,1,$C$36)</f>
        <v>0.32116271006242814</v>
      </c>
      <c r="H91" s="5"/>
      <c r="I91" s="126"/>
      <c r="J91" s="131">
        <f t="shared" ref="J91:R91" si="10">(+J88+J89*J73^J90)/1000</f>
        <v>0.32116271006242814</v>
      </c>
      <c r="K91" s="131">
        <f t="shared" si="10"/>
        <v>0.32116271006242814</v>
      </c>
      <c r="L91" s="131">
        <f t="shared" si="10"/>
        <v>0.32116271006242814</v>
      </c>
      <c r="M91" s="131">
        <f>(+M88+M89*M73^M90)/1000</f>
        <v>0.32116271006242814</v>
      </c>
      <c r="N91" s="131">
        <f>(+N88+N89*N73^N90)/1000</f>
        <v>0.32116271006242814</v>
      </c>
      <c r="O91" s="131">
        <f>(+O88+O89*O73^O90)/1000</f>
        <v>0.32116271006242814</v>
      </c>
      <c r="P91" s="131">
        <f t="shared" si="10"/>
        <v>0.32116271006242814</v>
      </c>
      <c r="Q91" s="131">
        <f t="shared" si="10"/>
        <v>0.32116271006242814</v>
      </c>
      <c r="R91" s="131">
        <f t="shared" si="10"/>
        <v>0.32116271006242814</v>
      </c>
      <c r="S91" s="133">
        <v>0.3</v>
      </c>
      <c r="T91" s="133">
        <v>0.4</v>
      </c>
      <c r="U91" s="133">
        <v>0.6</v>
      </c>
    </row>
    <row r="92" spans="1:21" s="82" customFormat="1" x14ac:dyDescent="0.25">
      <c r="A92" s="114"/>
      <c r="B92" s="115"/>
      <c r="C92" s="32"/>
      <c r="D92" s="32"/>
      <c r="E92" s="33" t="s">
        <v>99</v>
      </c>
      <c r="F92" s="33" t="s">
        <v>102</v>
      </c>
      <c r="G92" s="32"/>
      <c r="H92" s="32"/>
      <c r="I92" s="116"/>
      <c r="J92" s="134">
        <v>0</v>
      </c>
      <c r="K92" s="134">
        <v>0</v>
      </c>
      <c r="L92" s="134">
        <v>0</v>
      </c>
      <c r="M92" s="134">
        <v>0</v>
      </c>
      <c r="N92" s="134">
        <v>0</v>
      </c>
      <c r="O92" s="134">
        <v>0</v>
      </c>
      <c r="P92" s="134">
        <v>0</v>
      </c>
      <c r="Q92" s="134">
        <v>0</v>
      </c>
      <c r="R92" s="134">
        <v>0</v>
      </c>
      <c r="S92" s="135"/>
      <c r="T92" s="135"/>
      <c r="U92" s="135"/>
    </row>
    <row r="93" spans="1:21" s="13" customFormat="1" x14ac:dyDescent="0.25">
      <c r="A93" s="119"/>
      <c r="B93" s="58"/>
      <c r="C93" s="3"/>
      <c r="D93" s="3"/>
      <c r="E93" s="30" t="s">
        <v>100</v>
      </c>
      <c r="F93" s="25" t="s">
        <v>102</v>
      </c>
      <c r="G93" s="3"/>
      <c r="H93" s="3"/>
      <c r="I93" s="72"/>
      <c r="J93" s="65">
        <v>15</v>
      </c>
      <c r="K93" s="65">
        <v>15</v>
      </c>
      <c r="L93" s="65">
        <v>15</v>
      </c>
      <c r="M93" s="65">
        <v>15</v>
      </c>
      <c r="N93" s="65">
        <v>15</v>
      </c>
      <c r="O93" s="65">
        <v>15</v>
      </c>
      <c r="P93" s="65">
        <v>15</v>
      </c>
      <c r="Q93" s="65">
        <v>15</v>
      </c>
      <c r="R93" s="65">
        <v>15</v>
      </c>
      <c r="S93" s="55"/>
      <c r="T93" s="55"/>
      <c r="U93" s="55"/>
    </row>
    <row r="94" spans="1:21" s="13" customFormat="1" x14ac:dyDescent="0.25">
      <c r="A94" s="119"/>
      <c r="B94" s="58"/>
      <c r="C94" s="3"/>
      <c r="D94" s="3"/>
      <c r="E94" s="30" t="s">
        <v>101</v>
      </c>
      <c r="F94" s="56" t="s">
        <v>11</v>
      </c>
      <c r="G94" s="3"/>
      <c r="H94" s="3"/>
      <c r="I94" s="72"/>
      <c r="J94" s="65">
        <v>0.48</v>
      </c>
      <c r="K94" s="65">
        <v>0.48</v>
      </c>
      <c r="L94" s="65">
        <v>0.48</v>
      </c>
      <c r="M94" s="65">
        <v>0.48</v>
      </c>
      <c r="N94" s="65">
        <v>0.48</v>
      </c>
      <c r="O94" s="65">
        <v>0.48</v>
      </c>
      <c r="P94" s="65">
        <v>0.48</v>
      </c>
      <c r="Q94" s="65">
        <v>0.48</v>
      </c>
      <c r="R94" s="65">
        <v>0.48</v>
      </c>
      <c r="S94" s="55"/>
      <c r="T94" s="55"/>
      <c r="U94" s="55"/>
    </row>
    <row r="95" spans="1:21" s="128" customFormat="1" ht="44.25" customHeight="1" thickBot="1" x14ac:dyDescent="0.3">
      <c r="A95" s="120" t="s">
        <v>23</v>
      </c>
      <c r="B95" s="121"/>
      <c r="C95" s="5"/>
      <c r="D95" s="5"/>
      <c r="E95" s="123" t="s">
        <v>36</v>
      </c>
      <c r="F95" s="130" t="s">
        <v>39</v>
      </c>
      <c r="G95" s="131">
        <f>INDEX(J95:U95,1,$C$36)</f>
        <v>6.0065080230017151E-2</v>
      </c>
      <c r="H95" s="5"/>
      <c r="I95" s="126"/>
      <c r="J95" s="131">
        <f t="shared" ref="J95:R95" si="11">(+J92+J93*J81^J94)/1000</f>
        <v>6.0065080230017151E-2</v>
      </c>
      <c r="K95" s="131">
        <f t="shared" si="11"/>
        <v>6.0065080230017151E-2</v>
      </c>
      <c r="L95" s="131">
        <f t="shared" si="11"/>
        <v>6.0065080230017151E-2</v>
      </c>
      <c r="M95" s="131">
        <f>(+M92+M93*M81^M94)/1000</f>
        <v>6.0065080230017151E-2</v>
      </c>
      <c r="N95" s="131">
        <f>(+N92+N93*N81^N94)/1000</f>
        <v>6.0065080230017151E-2</v>
      </c>
      <c r="O95" s="131">
        <f>(+O92+O93*O81^O94)/1000</f>
        <v>6.0065080230017151E-2</v>
      </c>
      <c r="P95" s="131">
        <f t="shared" si="11"/>
        <v>6.0065080230017151E-2</v>
      </c>
      <c r="Q95" s="131">
        <f t="shared" si="11"/>
        <v>6.0065080230017151E-2</v>
      </c>
      <c r="R95" s="131">
        <f t="shared" si="11"/>
        <v>6.0065080230017151E-2</v>
      </c>
      <c r="S95" s="136">
        <v>0.1</v>
      </c>
      <c r="T95" s="136">
        <v>7.0000000000000007E-2</v>
      </c>
      <c r="U95" s="136">
        <v>0.05</v>
      </c>
    </row>
    <row r="96" spans="1:21" s="82" customFormat="1" x14ac:dyDescent="0.25">
      <c r="A96" s="114"/>
      <c r="B96" s="115"/>
      <c r="C96" s="32"/>
      <c r="D96" s="32"/>
      <c r="E96" s="33" t="s">
        <v>99</v>
      </c>
      <c r="F96" s="33" t="s">
        <v>102</v>
      </c>
      <c r="G96" s="135"/>
      <c r="H96" s="32"/>
      <c r="I96" s="116"/>
      <c r="J96" s="144">
        <v>15</v>
      </c>
      <c r="K96" s="144">
        <v>15</v>
      </c>
      <c r="L96" s="144">
        <v>15</v>
      </c>
      <c r="M96" s="144">
        <v>15</v>
      </c>
      <c r="N96" s="144">
        <v>15</v>
      </c>
      <c r="O96" s="144">
        <v>15</v>
      </c>
      <c r="P96" s="144">
        <v>15</v>
      </c>
      <c r="Q96" s="144">
        <v>15</v>
      </c>
      <c r="R96" s="144">
        <v>15</v>
      </c>
      <c r="S96" s="135"/>
      <c r="T96" s="135"/>
      <c r="U96" s="135"/>
    </row>
    <row r="97" spans="1:21" s="13" customFormat="1" x14ac:dyDescent="0.25">
      <c r="A97" s="119"/>
      <c r="B97" s="58"/>
      <c r="C97" s="3"/>
      <c r="D97" s="3"/>
      <c r="E97" s="30" t="s">
        <v>100</v>
      </c>
      <c r="F97" s="25" t="s">
        <v>102</v>
      </c>
      <c r="G97" s="55"/>
      <c r="H97" s="3"/>
      <c r="I97" s="72"/>
      <c r="J97" s="145">
        <v>0</v>
      </c>
      <c r="K97" s="145">
        <v>0</v>
      </c>
      <c r="L97" s="145">
        <v>0</v>
      </c>
      <c r="M97" s="145">
        <v>0</v>
      </c>
      <c r="N97" s="145">
        <v>0</v>
      </c>
      <c r="O97" s="145">
        <v>0</v>
      </c>
      <c r="P97" s="145">
        <v>0</v>
      </c>
      <c r="Q97" s="145">
        <v>0</v>
      </c>
      <c r="R97" s="145">
        <v>0</v>
      </c>
      <c r="S97" s="55"/>
      <c r="T97" s="55"/>
      <c r="U97" s="55"/>
    </row>
    <row r="98" spans="1:21" s="13" customFormat="1" x14ac:dyDescent="0.25">
      <c r="A98" s="119"/>
      <c r="B98" s="58"/>
      <c r="C98" s="3"/>
      <c r="D98" s="3"/>
      <c r="E98" s="30" t="s">
        <v>101</v>
      </c>
      <c r="F98" s="56" t="s">
        <v>11</v>
      </c>
      <c r="G98" s="55"/>
      <c r="H98" s="3"/>
      <c r="I98" s="72"/>
      <c r="J98" s="145">
        <v>0</v>
      </c>
      <c r="K98" s="145">
        <v>0</v>
      </c>
      <c r="L98" s="145">
        <v>0</v>
      </c>
      <c r="M98" s="145">
        <v>0</v>
      </c>
      <c r="N98" s="145">
        <v>0</v>
      </c>
      <c r="O98" s="145">
        <v>0</v>
      </c>
      <c r="P98" s="145">
        <v>0</v>
      </c>
      <c r="Q98" s="145">
        <v>0</v>
      </c>
      <c r="R98" s="145">
        <v>0</v>
      </c>
      <c r="S98" s="55"/>
      <c r="T98" s="55"/>
      <c r="U98" s="55"/>
    </row>
    <row r="99" spans="1:21" s="128" customFormat="1" ht="42.75" customHeight="1" thickBot="1" x14ac:dyDescent="0.3">
      <c r="A99" s="120" t="s">
        <v>24</v>
      </c>
      <c r="B99" s="121"/>
      <c r="C99" s="5"/>
      <c r="D99" s="5"/>
      <c r="E99" s="123" t="s">
        <v>37</v>
      </c>
      <c r="F99" s="130" t="s">
        <v>39</v>
      </c>
      <c r="G99" s="5">
        <f>INDEX(J99:U99,1,$C$36)</f>
        <v>1.4999999999999999E-2</v>
      </c>
      <c r="H99" s="5"/>
      <c r="I99" s="126"/>
      <c r="J99" s="131">
        <f t="shared" ref="J99:R99" si="12">(+J96+J97*J85^J98)/1000</f>
        <v>1.4999999999999999E-2</v>
      </c>
      <c r="K99" s="131">
        <f t="shared" si="12"/>
        <v>1.4999999999999999E-2</v>
      </c>
      <c r="L99" s="131">
        <f t="shared" si="12"/>
        <v>1.4999999999999999E-2</v>
      </c>
      <c r="M99" s="131">
        <f t="shared" si="12"/>
        <v>1.4999999999999999E-2</v>
      </c>
      <c r="N99" s="131">
        <f t="shared" si="12"/>
        <v>1.4999999999999999E-2</v>
      </c>
      <c r="O99" s="131">
        <f t="shared" si="12"/>
        <v>1.4999999999999999E-2</v>
      </c>
      <c r="P99" s="131">
        <f t="shared" si="12"/>
        <v>1.4999999999999999E-2</v>
      </c>
      <c r="Q99" s="131">
        <f t="shared" si="12"/>
        <v>1.4999999999999999E-2</v>
      </c>
      <c r="R99" s="131">
        <f t="shared" si="12"/>
        <v>1.4999999999999999E-2</v>
      </c>
      <c r="S99" s="133">
        <v>0</v>
      </c>
      <c r="T99" s="133">
        <v>0</v>
      </c>
      <c r="U99" s="133">
        <v>0</v>
      </c>
    </row>
    <row r="100" spans="1:21" ht="26.4" x14ac:dyDescent="0.35">
      <c r="A100" s="68" t="s">
        <v>48</v>
      </c>
      <c r="B100" s="68"/>
      <c r="C100" s="9"/>
      <c r="D100" s="9"/>
      <c r="E100" s="137" t="s">
        <v>49</v>
      </c>
      <c r="F100" s="70" t="s">
        <v>39</v>
      </c>
      <c r="G100" s="9">
        <f>INDEX(J100:U100,1,$C$36)</f>
        <v>0</v>
      </c>
      <c r="H100" s="9"/>
      <c r="I100" s="72"/>
      <c r="J100" s="132">
        <v>0</v>
      </c>
      <c r="K100" s="132">
        <v>0</v>
      </c>
      <c r="L100" s="132">
        <v>0</v>
      </c>
      <c r="M100" s="132">
        <v>0</v>
      </c>
      <c r="N100" s="132">
        <v>0</v>
      </c>
      <c r="O100" s="132">
        <v>0</v>
      </c>
      <c r="P100" s="132">
        <v>0</v>
      </c>
      <c r="Q100" s="132">
        <v>0</v>
      </c>
      <c r="R100" s="132">
        <v>0</v>
      </c>
      <c r="S100" s="132">
        <v>0</v>
      </c>
      <c r="T100" s="132">
        <v>0</v>
      </c>
      <c r="U100" s="132">
        <v>0</v>
      </c>
    </row>
    <row r="101" spans="1:21" ht="15.6" x14ac:dyDescent="0.25">
      <c r="A101" s="58" t="s">
        <v>25</v>
      </c>
      <c r="B101" s="58"/>
      <c r="C101" s="3"/>
      <c r="D101" s="3"/>
      <c r="E101" s="30" t="s">
        <v>38</v>
      </c>
      <c r="F101" s="25" t="s">
        <v>40</v>
      </c>
      <c r="G101" s="3">
        <f>INDEX(J101:U101,1,$C$36)</f>
        <v>30</v>
      </c>
      <c r="H101" s="3"/>
      <c r="I101" s="72"/>
      <c r="J101" s="66">
        <v>50</v>
      </c>
      <c r="K101" s="66">
        <v>30</v>
      </c>
      <c r="L101" s="66">
        <v>0</v>
      </c>
      <c r="M101" s="66">
        <v>50</v>
      </c>
      <c r="N101" s="66">
        <v>30</v>
      </c>
      <c r="O101" s="66">
        <v>0</v>
      </c>
      <c r="P101" s="66">
        <v>50</v>
      </c>
      <c r="Q101" s="66">
        <v>50</v>
      </c>
      <c r="R101" s="66">
        <v>50</v>
      </c>
      <c r="S101" s="66">
        <v>50</v>
      </c>
      <c r="T101" s="66">
        <v>50</v>
      </c>
      <c r="U101" s="66">
        <v>50</v>
      </c>
    </row>
    <row r="102" spans="1:21" ht="15.6" x14ac:dyDescent="0.35">
      <c r="A102" s="52" t="s">
        <v>53</v>
      </c>
      <c r="B102" s="52"/>
      <c r="C102" s="3"/>
      <c r="D102" s="3"/>
      <c r="E102" s="59" t="s">
        <v>52</v>
      </c>
      <c r="F102" s="56" t="s">
        <v>11</v>
      </c>
      <c r="G102" s="3">
        <f>INDEX(J102:U102,1,$C$36)</f>
        <v>0.5</v>
      </c>
      <c r="H102" s="3"/>
      <c r="I102" s="72"/>
      <c r="J102" s="66">
        <v>0.5</v>
      </c>
      <c r="K102" s="66">
        <v>0.5</v>
      </c>
      <c r="L102" s="66">
        <v>0.5</v>
      </c>
      <c r="M102" s="66">
        <v>0.5</v>
      </c>
      <c r="N102" s="66">
        <v>0.5</v>
      </c>
      <c r="O102" s="66">
        <v>0.5</v>
      </c>
      <c r="P102" s="66">
        <v>0.5</v>
      </c>
      <c r="Q102" s="66">
        <v>0.5</v>
      </c>
      <c r="R102" s="66">
        <v>0.5</v>
      </c>
      <c r="S102" s="66">
        <v>0.5</v>
      </c>
      <c r="T102" s="66">
        <v>0.5</v>
      </c>
      <c r="U102" s="66">
        <v>0.5</v>
      </c>
    </row>
    <row r="103" spans="1:21" x14ac:dyDescent="0.25">
      <c r="A103" s="58"/>
      <c r="B103" s="58"/>
      <c r="C103" s="3"/>
      <c r="D103" s="3"/>
      <c r="E103" s="30"/>
      <c r="F103" s="56"/>
      <c r="G103" s="3"/>
      <c r="H103" s="3"/>
      <c r="I103" s="72"/>
      <c r="J103" s="3"/>
      <c r="K103" s="3"/>
      <c r="L103" s="3"/>
      <c r="M103" s="3"/>
      <c r="N103" s="3"/>
      <c r="O103" s="3"/>
      <c r="P103" s="3"/>
      <c r="Q103" s="3"/>
      <c r="R103" s="3"/>
      <c r="S103" s="3"/>
      <c r="T103" s="3"/>
      <c r="U103" s="3"/>
    </row>
    <row r="104" spans="1:21" ht="15.6" x14ac:dyDescent="0.25">
      <c r="A104" s="58" t="s">
        <v>15</v>
      </c>
      <c r="B104" s="58"/>
      <c r="C104" s="3"/>
      <c r="D104" s="3"/>
      <c r="E104" s="30" t="s">
        <v>29</v>
      </c>
      <c r="F104" s="56" t="s">
        <v>11</v>
      </c>
      <c r="G104" s="3">
        <f>INDEX(J104:U104,1,$C$36)</f>
        <v>0.04</v>
      </c>
      <c r="H104" s="3"/>
      <c r="I104" s="72"/>
      <c r="J104" s="143">
        <v>0.04</v>
      </c>
      <c r="K104" s="143">
        <v>0.04</v>
      </c>
      <c r="L104" s="143">
        <v>0.2</v>
      </c>
      <c r="M104" s="143">
        <v>0.04</v>
      </c>
      <c r="N104" s="143">
        <v>0.04</v>
      </c>
      <c r="O104" s="143">
        <v>0.2</v>
      </c>
      <c r="P104" s="143">
        <v>0.04</v>
      </c>
      <c r="Q104" s="143">
        <v>0.04</v>
      </c>
      <c r="R104" s="143">
        <v>0.1</v>
      </c>
      <c r="S104" s="143">
        <v>0.04</v>
      </c>
      <c r="T104" s="143">
        <v>0.04</v>
      </c>
      <c r="U104" s="143">
        <v>0.04</v>
      </c>
    </row>
    <row r="105" spans="1:21" ht="15.6" x14ac:dyDescent="0.25">
      <c r="A105" s="58" t="s">
        <v>19</v>
      </c>
      <c r="B105" s="58"/>
      <c r="C105" s="3"/>
      <c r="D105" s="3"/>
      <c r="E105" s="30" t="s">
        <v>33</v>
      </c>
      <c r="F105" s="56" t="s">
        <v>11</v>
      </c>
      <c r="G105" s="3">
        <f>INDEX(J105:U105,1,$C$36)</f>
        <v>0.05</v>
      </c>
      <c r="H105" s="3"/>
      <c r="I105" s="72"/>
      <c r="J105" s="143">
        <v>0.05</v>
      </c>
      <c r="K105" s="143">
        <v>0.05</v>
      </c>
      <c r="L105" s="143">
        <v>0.2</v>
      </c>
      <c r="M105" s="143">
        <v>0.05</v>
      </c>
      <c r="N105" s="143">
        <v>0.05</v>
      </c>
      <c r="O105" s="143">
        <v>0.2</v>
      </c>
      <c r="P105" s="143">
        <v>0.05</v>
      </c>
      <c r="Q105" s="143">
        <v>0.05</v>
      </c>
      <c r="R105" s="143">
        <v>0.05</v>
      </c>
      <c r="S105" s="143">
        <v>0.05</v>
      </c>
      <c r="T105" s="143">
        <v>0.05</v>
      </c>
      <c r="U105" s="143">
        <v>0.05</v>
      </c>
    </row>
    <row r="106" spans="1:21" x14ac:dyDescent="0.25">
      <c r="A106" s="58"/>
      <c r="B106" s="58"/>
      <c r="C106" s="3"/>
      <c r="D106" s="3"/>
      <c r="E106" s="30"/>
      <c r="F106" s="56"/>
      <c r="G106" s="3"/>
      <c r="H106" s="3"/>
      <c r="I106" s="72"/>
      <c r="J106" s="3"/>
      <c r="K106" s="3"/>
      <c r="L106" s="3"/>
      <c r="M106" s="3"/>
      <c r="N106" s="3"/>
      <c r="O106" s="3"/>
      <c r="P106" s="3"/>
      <c r="Q106" s="3"/>
      <c r="R106" s="3"/>
      <c r="S106" s="3"/>
      <c r="T106" s="3"/>
      <c r="U106" s="3"/>
    </row>
    <row r="107" spans="1:21" ht="26.4" x14ac:dyDescent="0.25">
      <c r="A107" s="58" t="s">
        <v>14</v>
      </c>
      <c r="B107" s="58"/>
      <c r="C107" s="3"/>
      <c r="D107" s="3"/>
      <c r="E107" s="30" t="s">
        <v>28</v>
      </c>
      <c r="F107" s="25" t="s">
        <v>40</v>
      </c>
      <c r="G107" s="3">
        <f>INDEX(J107:U107,1,$C$36)</f>
        <v>70</v>
      </c>
      <c r="H107" s="3"/>
      <c r="I107" s="72"/>
      <c r="J107" s="66">
        <v>70</v>
      </c>
      <c r="K107" s="66">
        <v>70</v>
      </c>
      <c r="L107" s="66">
        <v>70</v>
      </c>
      <c r="M107" s="66">
        <v>70</v>
      </c>
      <c r="N107" s="66">
        <v>70</v>
      </c>
      <c r="O107" s="66">
        <v>70</v>
      </c>
      <c r="P107" s="66">
        <v>70</v>
      </c>
      <c r="Q107" s="66">
        <v>70</v>
      </c>
      <c r="R107" s="66">
        <v>70</v>
      </c>
      <c r="S107" s="66">
        <v>70</v>
      </c>
      <c r="T107" s="66">
        <v>70</v>
      </c>
      <c r="U107" s="66">
        <v>70</v>
      </c>
    </row>
    <row r="108" spans="1:21" ht="26.4" x14ac:dyDescent="0.25">
      <c r="A108" s="58" t="s">
        <v>18</v>
      </c>
      <c r="B108" s="58"/>
      <c r="C108" s="3"/>
      <c r="D108" s="3"/>
      <c r="E108" s="30" t="s">
        <v>32</v>
      </c>
      <c r="F108" s="25" t="s">
        <v>40</v>
      </c>
      <c r="G108" s="3">
        <f>INDEX(J108:U108,1,$C$36)</f>
        <v>40</v>
      </c>
      <c r="H108" s="3"/>
      <c r="I108" s="72"/>
      <c r="J108" s="66">
        <v>50</v>
      </c>
      <c r="K108" s="66">
        <v>40</v>
      </c>
      <c r="L108" s="66">
        <v>30</v>
      </c>
      <c r="M108" s="66">
        <v>50</v>
      </c>
      <c r="N108" s="66">
        <v>40</v>
      </c>
      <c r="O108" s="66">
        <v>30</v>
      </c>
      <c r="P108" s="66">
        <v>50</v>
      </c>
      <c r="Q108" s="66">
        <v>50</v>
      </c>
      <c r="R108" s="66">
        <v>50</v>
      </c>
      <c r="S108" s="66">
        <v>50</v>
      </c>
      <c r="T108" s="66">
        <v>50</v>
      </c>
      <c r="U108" s="66">
        <v>50</v>
      </c>
    </row>
    <row r="109" spans="1:21" ht="26.4" x14ac:dyDescent="0.35">
      <c r="A109" s="58" t="s">
        <v>21</v>
      </c>
      <c r="B109" s="58"/>
      <c r="C109" s="3"/>
      <c r="D109" s="3"/>
      <c r="E109" s="60" t="s">
        <v>45</v>
      </c>
      <c r="F109" s="25" t="s">
        <v>40</v>
      </c>
      <c r="G109" s="3">
        <f>INDEX(J109:U109,1,$C$36)</f>
        <v>50</v>
      </c>
      <c r="H109" s="3"/>
      <c r="I109" s="72"/>
      <c r="J109" s="66">
        <v>50</v>
      </c>
      <c r="K109" s="66">
        <v>50</v>
      </c>
      <c r="L109" s="66">
        <v>50</v>
      </c>
      <c r="M109" s="66">
        <v>50</v>
      </c>
      <c r="N109" s="66">
        <v>50</v>
      </c>
      <c r="O109" s="66">
        <v>50</v>
      </c>
      <c r="P109" s="66">
        <v>50</v>
      </c>
      <c r="Q109" s="66">
        <v>50</v>
      </c>
      <c r="R109" s="66">
        <v>50</v>
      </c>
      <c r="S109" s="66">
        <v>50</v>
      </c>
      <c r="T109" s="66">
        <v>50</v>
      </c>
      <c r="U109" s="66">
        <v>50</v>
      </c>
    </row>
    <row r="110" spans="1:21" x14ac:dyDescent="0.25">
      <c r="A110" s="58"/>
      <c r="B110" s="58"/>
      <c r="C110" s="3"/>
      <c r="D110" s="3"/>
      <c r="E110" s="30"/>
      <c r="F110" s="56"/>
      <c r="G110" s="3"/>
      <c r="H110" s="3"/>
      <c r="I110" s="72"/>
      <c r="J110" s="3"/>
      <c r="K110" s="3"/>
      <c r="L110" s="3"/>
      <c r="M110" s="3"/>
      <c r="N110" s="3"/>
      <c r="O110" s="3"/>
      <c r="P110" s="3"/>
      <c r="Q110" s="3"/>
      <c r="R110" s="3"/>
      <c r="S110" s="3"/>
      <c r="T110" s="3"/>
      <c r="U110" s="3"/>
    </row>
    <row r="111" spans="1:21" ht="15.6" x14ac:dyDescent="0.35">
      <c r="A111" s="53" t="s">
        <v>46</v>
      </c>
      <c r="B111" s="53"/>
      <c r="C111" s="3"/>
      <c r="D111" s="3"/>
      <c r="E111" s="59" t="s">
        <v>47</v>
      </c>
      <c r="F111" s="56" t="s">
        <v>11</v>
      </c>
      <c r="G111" s="3">
        <f>INDEX(J111:U111,1,$C$36)</f>
        <v>0.75</v>
      </c>
      <c r="H111" s="3"/>
      <c r="I111" s="72"/>
      <c r="J111" s="66">
        <v>0.75</v>
      </c>
      <c r="K111" s="66">
        <v>0.75</v>
      </c>
      <c r="L111" s="66">
        <v>0.75</v>
      </c>
      <c r="M111" s="66">
        <v>0.75</v>
      </c>
      <c r="N111" s="66">
        <v>0.75</v>
      </c>
      <c r="O111" s="66">
        <v>0.75</v>
      </c>
      <c r="P111" s="66">
        <v>0.75</v>
      </c>
      <c r="Q111" s="66">
        <v>0.75</v>
      </c>
      <c r="R111" s="66">
        <v>0.75</v>
      </c>
      <c r="S111" s="66">
        <v>0.75</v>
      </c>
      <c r="T111" s="66">
        <v>0.75</v>
      </c>
      <c r="U111" s="66">
        <v>0.75</v>
      </c>
    </row>
    <row r="112" spans="1:21" ht="27.6" x14ac:dyDescent="0.35">
      <c r="A112" s="26" t="s">
        <v>50</v>
      </c>
      <c r="B112" s="26"/>
      <c r="C112" s="3"/>
      <c r="D112" s="3"/>
      <c r="E112" s="59" t="s">
        <v>51</v>
      </c>
      <c r="F112" s="56" t="s">
        <v>11</v>
      </c>
      <c r="G112" s="3">
        <f>INDEX(J112:U112,1,$C$36)</f>
        <v>0.25</v>
      </c>
      <c r="H112" s="3"/>
      <c r="I112" s="72"/>
      <c r="J112" s="66">
        <v>0.25</v>
      </c>
      <c r="K112" s="66">
        <v>0.25</v>
      </c>
      <c r="L112" s="66">
        <v>0.25</v>
      </c>
      <c r="M112" s="66">
        <v>0.25</v>
      </c>
      <c r="N112" s="66">
        <v>0.25</v>
      </c>
      <c r="O112" s="66">
        <v>0.25</v>
      </c>
      <c r="P112" s="66">
        <v>0.25</v>
      </c>
      <c r="Q112" s="66">
        <v>0.25</v>
      </c>
      <c r="R112" s="66">
        <v>0.25</v>
      </c>
      <c r="S112" s="66">
        <v>0.25</v>
      </c>
      <c r="T112" s="66">
        <v>0.25</v>
      </c>
      <c r="U112" s="66">
        <v>0.25</v>
      </c>
    </row>
    <row r="113" spans="1:21" x14ac:dyDescent="0.25">
      <c r="A113" s="58"/>
      <c r="B113" s="58"/>
      <c r="C113" s="3"/>
      <c r="D113" s="3"/>
      <c r="E113" s="30"/>
      <c r="F113" s="56"/>
      <c r="G113" s="3"/>
      <c r="H113" s="3"/>
      <c r="I113" s="72"/>
      <c r="J113" s="3"/>
      <c r="K113" s="3"/>
      <c r="L113" s="3"/>
      <c r="M113" s="3"/>
      <c r="N113" s="3"/>
      <c r="O113" s="3"/>
      <c r="P113" s="3"/>
      <c r="Q113" s="3"/>
      <c r="R113" s="3"/>
      <c r="S113" s="3"/>
      <c r="T113" s="3"/>
      <c r="U113" s="3"/>
    </row>
    <row r="115" spans="1:21" x14ac:dyDescent="0.25">
      <c r="A115" s="16"/>
      <c r="B115" s="16"/>
      <c r="E115" s="28"/>
      <c r="F115" s="18"/>
      <c r="I115" s="13"/>
    </row>
    <row r="116" spans="1:21" x14ac:dyDescent="0.25">
      <c r="A116" s="16"/>
      <c r="B116" s="16"/>
      <c r="E116" s="28"/>
      <c r="F116" s="18"/>
      <c r="I116" s="13"/>
    </row>
    <row r="117" spans="1:21" ht="13.8" x14ac:dyDescent="0.25">
      <c r="A117" s="57" t="s">
        <v>70</v>
      </c>
      <c r="B117" s="57"/>
      <c r="C117" s="3"/>
      <c r="D117" s="3"/>
      <c r="E117" s="3"/>
      <c r="F117" s="3"/>
      <c r="G117" s="3"/>
      <c r="H117" s="3"/>
      <c r="I117" s="13"/>
    </row>
    <row r="118" spans="1:21" ht="15.6" x14ac:dyDescent="0.25">
      <c r="A118" s="58" t="s">
        <v>91</v>
      </c>
      <c r="B118" s="58"/>
      <c r="C118" s="3"/>
      <c r="D118" s="3"/>
      <c r="E118" s="31" t="s">
        <v>41</v>
      </c>
      <c r="F118" s="25" t="s">
        <v>40</v>
      </c>
      <c r="G118" s="3">
        <v>15</v>
      </c>
      <c r="H118" s="3"/>
      <c r="I118" s="13"/>
    </row>
    <row r="119" spans="1:21" ht="15.6" x14ac:dyDescent="0.35">
      <c r="A119" s="53" t="s">
        <v>92</v>
      </c>
      <c r="B119" s="53"/>
      <c r="C119" s="3"/>
      <c r="D119" s="3"/>
      <c r="E119" s="59" t="s">
        <v>42</v>
      </c>
      <c r="F119" s="56" t="s">
        <v>11</v>
      </c>
      <c r="G119" s="3">
        <v>0.7</v>
      </c>
      <c r="H119" s="3"/>
      <c r="I119" s="13"/>
    </row>
  </sheetData>
  <mergeCells count="7">
    <mergeCell ref="A1:G1"/>
    <mergeCell ref="J1:U1"/>
    <mergeCell ref="W1:AE1"/>
    <mergeCell ref="X37:Y37"/>
    <mergeCell ref="Z37:AA37"/>
    <mergeCell ref="AB37:AC37"/>
    <mergeCell ref="AD37:AE37"/>
  </mergeCells>
  <conditionalFormatting sqref="Z38:Z49 AB38:AB49 AD38:AD49 W38:X49">
    <cfRule type="cellIs" dxfId="1" priority="2" stopIfTrue="1" operator="equal">
      <formula>TRUE</formula>
    </cfRule>
  </conditionalFormatting>
  <conditionalFormatting sqref="Z38:Z49 AB38:AB49 AD38:AD49 W38:X49">
    <cfRule type="cellIs" dxfId="0" priority="1" stopIfTrue="1" operator="equal">
      <formula>FALSE</formula>
    </cfRule>
  </conditionalFormatting>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6157" r:id="rId4">
          <objectPr defaultSize="0" autoPict="0" r:id="rId5">
            <anchor moveWithCells="1">
              <from>
                <xdr:col>3</xdr:col>
                <xdr:colOff>83820</xdr:colOff>
                <xdr:row>79</xdr:row>
                <xdr:rowOff>99060</xdr:rowOff>
              </from>
              <to>
                <xdr:col>3</xdr:col>
                <xdr:colOff>1569720</xdr:colOff>
                <xdr:row>79</xdr:row>
                <xdr:rowOff>495300</xdr:rowOff>
              </to>
            </anchor>
          </objectPr>
        </oleObject>
      </mc:Choice>
      <mc:Fallback>
        <oleObject progId="Equation.3" shapeId="6157" r:id="rId4"/>
      </mc:Fallback>
    </mc:AlternateContent>
    <mc:AlternateContent xmlns:mc="http://schemas.openxmlformats.org/markup-compatibility/2006">
      <mc:Choice Requires="x14">
        <oleObject progId="Equation.3" shapeId="6158" r:id="rId6">
          <objectPr defaultSize="0" autoPict="0" r:id="rId7">
            <anchor moveWithCells="1">
              <from>
                <xdr:col>3</xdr:col>
                <xdr:colOff>106680</xdr:colOff>
                <xdr:row>83</xdr:row>
                <xdr:rowOff>60960</xdr:rowOff>
              </from>
              <to>
                <xdr:col>3</xdr:col>
                <xdr:colOff>1554480</xdr:colOff>
                <xdr:row>83</xdr:row>
                <xdr:rowOff>411480</xdr:rowOff>
              </to>
            </anchor>
          </objectPr>
        </oleObject>
      </mc:Choice>
      <mc:Fallback>
        <oleObject progId="Equation.3" shapeId="6158" r:id="rId6"/>
      </mc:Fallback>
    </mc:AlternateContent>
    <mc:AlternateContent xmlns:mc="http://schemas.openxmlformats.org/markup-compatibility/2006">
      <mc:Choice Requires="x14">
        <oleObject progId="Equation.3" shapeId="6160" r:id="rId8">
          <objectPr defaultSize="0" autoPict="0" r:id="rId9">
            <anchor moveWithCells="1">
              <from>
                <xdr:col>3</xdr:col>
                <xdr:colOff>83820</xdr:colOff>
                <xdr:row>86</xdr:row>
                <xdr:rowOff>60960</xdr:rowOff>
              </from>
              <to>
                <xdr:col>3</xdr:col>
                <xdr:colOff>1516380</xdr:colOff>
                <xdr:row>86</xdr:row>
                <xdr:rowOff>441960</xdr:rowOff>
              </to>
            </anchor>
          </objectPr>
        </oleObject>
      </mc:Choice>
      <mc:Fallback>
        <oleObject progId="Equation.3" shapeId="6160" r:id="rId8"/>
      </mc:Fallback>
    </mc:AlternateContent>
    <mc:AlternateContent xmlns:mc="http://schemas.openxmlformats.org/markup-compatibility/2006">
      <mc:Choice Requires="x14">
        <oleObject progId="Equation.3" shapeId="6161" r:id="rId10">
          <objectPr defaultSize="0" autoPict="0" r:id="rId11">
            <anchor moveWithCells="1">
              <from>
                <xdr:col>3</xdr:col>
                <xdr:colOff>68580</xdr:colOff>
                <xdr:row>90</xdr:row>
                <xdr:rowOff>38100</xdr:rowOff>
              </from>
              <to>
                <xdr:col>3</xdr:col>
                <xdr:colOff>1531620</xdr:colOff>
                <xdr:row>90</xdr:row>
                <xdr:rowOff>480060</xdr:rowOff>
              </to>
            </anchor>
          </objectPr>
        </oleObject>
      </mc:Choice>
      <mc:Fallback>
        <oleObject progId="Equation.3" shapeId="6161" r:id="rId10"/>
      </mc:Fallback>
    </mc:AlternateContent>
    <mc:AlternateContent xmlns:mc="http://schemas.openxmlformats.org/markup-compatibility/2006">
      <mc:Choice Requires="x14">
        <oleObject progId="Equation.3" shapeId="6162" r:id="rId12">
          <objectPr defaultSize="0" autoPict="0" r:id="rId11">
            <anchor moveWithCells="1">
              <from>
                <xdr:col>3</xdr:col>
                <xdr:colOff>68580</xdr:colOff>
                <xdr:row>94</xdr:row>
                <xdr:rowOff>38100</xdr:rowOff>
              </from>
              <to>
                <xdr:col>3</xdr:col>
                <xdr:colOff>1531620</xdr:colOff>
                <xdr:row>94</xdr:row>
                <xdr:rowOff>480060</xdr:rowOff>
              </to>
            </anchor>
          </objectPr>
        </oleObject>
      </mc:Choice>
      <mc:Fallback>
        <oleObject progId="Equation.3" shapeId="6162" r:id="rId12"/>
      </mc:Fallback>
    </mc:AlternateContent>
    <mc:AlternateContent xmlns:mc="http://schemas.openxmlformats.org/markup-compatibility/2006">
      <mc:Choice Requires="x14">
        <oleObject progId="Equation.3" shapeId="6163" r:id="rId13">
          <objectPr defaultSize="0" autoPict="0" r:id="rId11">
            <anchor moveWithCells="1">
              <from>
                <xdr:col>3</xdr:col>
                <xdr:colOff>68580</xdr:colOff>
                <xdr:row>98</xdr:row>
                <xdr:rowOff>38100</xdr:rowOff>
              </from>
              <to>
                <xdr:col>3</xdr:col>
                <xdr:colOff>1531620</xdr:colOff>
                <xdr:row>98</xdr:row>
                <xdr:rowOff>480060</xdr:rowOff>
              </to>
            </anchor>
          </objectPr>
        </oleObject>
      </mc:Choice>
      <mc:Fallback>
        <oleObject progId="Equation.3" shapeId="6163" r:id="rId13"/>
      </mc:Fallback>
    </mc:AlternateContent>
  </oleObjects>
  <mc:AlternateContent xmlns:mc="http://schemas.openxmlformats.org/markup-compatibility/2006">
    <mc:Choice Requires="x14">
      <controls>
        <mc:AlternateContent xmlns:mc="http://schemas.openxmlformats.org/markup-compatibility/2006">
          <mc:Choice Requires="x14">
            <control shapeId="6148" r:id="rId14" name="Drop Down 4">
              <controlPr defaultSize="0" autoLine="0" autoPict="0">
                <anchor moveWithCells="1">
                  <from>
                    <xdr:col>0</xdr:col>
                    <xdr:colOff>144780</xdr:colOff>
                    <xdr:row>34</xdr:row>
                    <xdr:rowOff>121920</xdr:rowOff>
                  </from>
                  <to>
                    <xdr:col>0</xdr:col>
                    <xdr:colOff>2621280</xdr:colOff>
                    <xdr:row>35</xdr:row>
                    <xdr:rowOff>182880</xdr:rowOff>
                  </to>
                </anchor>
              </controlPr>
            </control>
          </mc:Choice>
        </mc:AlternateContent>
        <mc:AlternateContent xmlns:mc="http://schemas.openxmlformats.org/markup-compatibility/2006">
          <mc:Choice Requires="x14">
            <control shapeId="6149" r:id="rId15" name="Drop Down 5">
              <controlPr defaultSize="0" autoLine="0" autoPict="0">
                <anchor moveWithCells="1">
                  <from>
                    <xdr:col>0</xdr:col>
                    <xdr:colOff>106680</xdr:colOff>
                    <xdr:row>54</xdr:row>
                    <xdr:rowOff>30480</xdr:rowOff>
                  </from>
                  <to>
                    <xdr:col>0</xdr:col>
                    <xdr:colOff>2583180</xdr:colOff>
                    <xdr:row>54</xdr:row>
                    <xdr:rowOff>228600</xdr:rowOff>
                  </to>
                </anchor>
              </controlPr>
            </control>
          </mc:Choice>
        </mc:AlternateContent>
        <mc:AlternateContent xmlns:mc="http://schemas.openxmlformats.org/markup-compatibility/2006">
          <mc:Choice Requires="x14">
            <control shapeId="6150" r:id="rId16" name="Drop Down 6">
              <controlPr defaultSize="0" autoLine="0" autoPict="0">
                <anchor moveWithCells="1">
                  <from>
                    <xdr:col>0</xdr:col>
                    <xdr:colOff>106680</xdr:colOff>
                    <xdr:row>64</xdr:row>
                    <xdr:rowOff>30480</xdr:rowOff>
                  </from>
                  <to>
                    <xdr:col>0</xdr:col>
                    <xdr:colOff>2583180</xdr:colOff>
                    <xdr:row>64</xdr:row>
                    <xdr:rowOff>228600</xdr:rowOff>
                  </to>
                </anchor>
              </controlPr>
            </control>
          </mc:Choice>
        </mc:AlternateContent>
        <mc:AlternateContent xmlns:mc="http://schemas.openxmlformats.org/markup-compatibility/2006">
          <mc:Choice Requires="x14">
            <control shapeId="6154" r:id="rId17" name="Drop Down 10">
              <controlPr defaultSize="0" autoLine="0" autoPict="0">
                <anchor moveWithCells="1">
                  <from>
                    <xdr:col>0</xdr:col>
                    <xdr:colOff>38100</xdr:colOff>
                    <xdr:row>22</xdr:row>
                    <xdr:rowOff>60960</xdr:rowOff>
                  </from>
                  <to>
                    <xdr:col>0</xdr:col>
                    <xdr:colOff>2514600</xdr:colOff>
                    <xdr:row>22</xdr:row>
                    <xdr:rowOff>259080</xdr:rowOff>
                  </to>
                </anchor>
              </controlPr>
            </control>
          </mc:Choice>
        </mc:AlternateContent>
        <mc:AlternateContent xmlns:mc="http://schemas.openxmlformats.org/markup-compatibility/2006">
          <mc:Choice Requires="x14">
            <control shapeId="6155" r:id="rId18" name="Drop Down 11">
              <controlPr defaultSize="0" autoLine="0" autoPict="0">
                <anchor moveWithCells="1">
                  <from>
                    <xdr:col>0</xdr:col>
                    <xdr:colOff>38100</xdr:colOff>
                    <xdr:row>14</xdr:row>
                    <xdr:rowOff>60960</xdr:rowOff>
                  </from>
                  <to>
                    <xdr:col>0</xdr:col>
                    <xdr:colOff>2514600</xdr:colOff>
                    <xdr:row>14</xdr:row>
                    <xdr:rowOff>259080</xdr:rowOff>
                  </to>
                </anchor>
              </controlPr>
            </control>
          </mc:Choice>
        </mc:AlternateContent>
        <mc:AlternateContent xmlns:mc="http://schemas.openxmlformats.org/markup-compatibility/2006">
          <mc:Choice Requires="x14">
            <control shapeId="6156" r:id="rId19" name="Drop Down 12">
              <controlPr defaultSize="0" autoLine="0" autoPict="0">
                <anchor moveWithCells="1">
                  <from>
                    <xdr:col>0</xdr:col>
                    <xdr:colOff>38100</xdr:colOff>
                    <xdr:row>6</xdr:row>
                    <xdr:rowOff>60960</xdr:rowOff>
                  </from>
                  <to>
                    <xdr:col>0</xdr:col>
                    <xdr:colOff>2514600</xdr:colOff>
                    <xdr:row>6</xdr:row>
                    <xdr:rowOff>259080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sheetPr>
  <dimension ref="A1:S205"/>
  <sheetViews>
    <sheetView topLeftCell="A51" workbookViewId="0">
      <selection activeCell="B85" sqref="B85:R85"/>
    </sheetView>
  </sheetViews>
  <sheetFormatPr baseColWidth="10" defaultColWidth="9.109375" defaultRowHeight="13.2" x14ac:dyDescent="0.25"/>
  <cols>
    <col min="1" max="1" width="14.6640625" style="1" customWidth="1"/>
    <col min="2" max="6" width="10.88671875" style="1" customWidth="1"/>
    <col min="7" max="7" width="9.109375" style="1"/>
    <col min="8" max="8" width="11.5546875" style="1" bestFit="1" customWidth="1"/>
    <col min="9" max="16384" width="9.109375" style="1"/>
  </cols>
  <sheetData>
    <row r="1" spans="1:19" ht="85.5" customHeight="1" thickBot="1" x14ac:dyDescent="0.3">
      <c r="A1" s="475" t="s">
        <v>196</v>
      </c>
      <c r="B1" s="496"/>
      <c r="C1" s="496"/>
      <c r="D1" s="496"/>
      <c r="E1" s="496"/>
      <c r="F1" s="496"/>
      <c r="G1" s="497"/>
    </row>
    <row r="2" spans="1:19" ht="13.8" thickBot="1" x14ac:dyDescent="0.3"/>
    <row r="3" spans="1:19" x14ac:dyDescent="0.25">
      <c r="A3" s="154" t="s">
        <v>171</v>
      </c>
      <c r="B3" s="146"/>
      <c r="C3" s="147"/>
    </row>
    <row r="4" spans="1:19" x14ac:dyDescent="0.25">
      <c r="A4" s="155" t="s">
        <v>174</v>
      </c>
      <c r="B4" s="148"/>
      <c r="C4" s="149"/>
    </row>
    <row r="5" spans="1:19" x14ac:dyDescent="0.25">
      <c r="A5" s="150" t="s">
        <v>172</v>
      </c>
      <c r="B5" s="151"/>
      <c r="C5" s="156">
        <v>16</v>
      </c>
    </row>
    <row r="6" spans="1:19" ht="13.8" thickBot="1" x14ac:dyDescent="0.3">
      <c r="A6" s="152" t="s">
        <v>173</v>
      </c>
      <c r="B6" s="153"/>
      <c r="C6" s="157">
        <v>72</v>
      </c>
    </row>
    <row r="8" spans="1:19" s="2" customFormat="1" ht="111.6" x14ac:dyDescent="0.25">
      <c r="A8" s="337" t="s">
        <v>7</v>
      </c>
      <c r="B8" s="343" t="s">
        <v>262</v>
      </c>
      <c r="C8" s="343" t="s">
        <v>264</v>
      </c>
      <c r="D8" s="343" t="s">
        <v>266</v>
      </c>
      <c r="E8" s="343" t="s">
        <v>268</v>
      </c>
      <c r="F8" s="343" t="s">
        <v>270</v>
      </c>
      <c r="G8" s="343" t="s">
        <v>272</v>
      </c>
      <c r="H8" s="343" t="s">
        <v>237</v>
      </c>
      <c r="I8" s="343" t="s">
        <v>275</v>
      </c>
      <c r="J8" s="343" t="s">
        <v>448</v>
      </c>
      <c r="K8" s="343" t="s">
        <v>506</v>
      </c>
      <c r="L8" s="343" t="s">
        <v>508</v>
      </c>
      <c r="M8" s="343" t="s">
        <v>366</v>
      </c>
      <c r="N8" s="343" t="s">
        <v>367</v>
      </c>
      <c r="O8" s="343" t="s">
        <v>278</v>
      </c>
      <c r="P8" s="343" t="s">
        <v>280</v>
      </c>
      <c r="Q8" s="343" t="s">
        <v>282</v>
      </c>
    </row>
    <row r="9" spans="1:19" ht="15.6" x14ac:dyDescent="0.25">
      <c r="A9" s="338" t="s">
        <v>9</v>
      </c>
      <c r="B9" s="30" t="s">
        <v>263</v>
      </c>
      <c r="C9" s="30" t="s">
        <v>265</v>
      </c>
      <c r="D9" s="30" t="s">
        <v>267</v>
      </c>
      <c r="E9" s="30" t="s">
        <v>269</v>
      </c>
      <c r="F9" s="30" t="s">
        <v>271</v>
      </c>
      <c r="G9" s="30" t="s">
        <v>273</v>
      </c>
      <c r="H9" s="30" t="s">
        <v>274</v>
      </c>
      <c r="I9" s="30" t="s">
        <v>276</v>
      </c>
      <c r="J9" s="31" t="s">
        <v>449</v>
      </c>
      <c r="K9" s="30" t="s">
        <v>507</v>
      </c>
      <c r="L9" s="30" t="s">
        <v>509</v>
      </c>
      <c r="M9" s="30" t="s">
        <v>277</v>
      </c>
      <c r="N9" s="30" t="s">
        <v>277</v>
      </c>
      <c r="O9" s="30" t="s">
        <v>279</v>
      </c>
      <c r="P9" s="30" t="s">
        <v>281</v>
      </c>
      <c r="Q9" s="30" t="s">
        <v>283</v>
      </c>
    </row>
    <row r="10" spans="1:19" x14ac:dyDescent="0.25">
      <c r="A10" s="338" t="s">
        <v>1</v>
      </c>
      <c r="B10" s="205" t="s">
        <v>43</v>
      </c>
      <c r="C10" s="205" t="s">
        <v>40</v>
      </c>
      <c r="D10" s="205" t="s">
        <v>40</v>
      </c>
      <c r="E10" s="205" t="s">
        <v>10</v>
      </c>
      <c r="F10" s="205" t="s">
        <v>40</v>
      </c>
      <c r="G10" s="205" t="s">
        <v>10</v>
      </c>
      <c r="H10" s="205" t="s">
        <v>10</v>
      </c>
      <c r="I10" s="205" t="s">
        <v>40</v>
      </c>
      <c r="J10" s="205" t="s">
        <v>450</v>
      </c>
      <c r="K10" s="205" t="s">
        <v>10</v>
      </c>
      <c r="L10" s="205" t="s">
        <v>10</v>
      </c>
      <c r="M10" s="205" t="s">
        <v>11</v>
      </c>
      <c r="N10" s="205" t="s">
        <v>11</v>
      </c>
      <c r="O10" s="205" t="s">
        <v>40</v>
      </c>
      <c r="P10" s="205" t="s">
        <v>11</v>
      </c>
      <c r="Q10" s="205" t="s">
        <v>11</v>
      </c>
    </row>
    <row r="11" spans="1:19" ht="26.4" x14ac:dyDescent="0.25">
      <c r="A11" s="338" t="s">
        <v>2</v>
      </c>
      <c r="B11" s="205" t="s">
        <v>284</v>
      </c>
      <c r="C11" s="205" t="s">
        <v>285</v>
      </c>
      <c r="D11" s="205" t="s">
        <v>285</v>
      </c>
      <c r="E11" s="205" t="s">
        <v>287</v>
      </c>
      <c r="F11" s="205" t="s">
        <v>287</v>
      </c>
      <c r="G11" s="270" t="s">
        <v>260</v>
      </c>
      <c r="H11" s="270" t="s">
        <v>260</v>
      </c>
      <c r="I11" s="270" t="s">
        <v>260</v>
      </c>
      <c r="J11" s="205" t="s">
        <v>451</v>
      </c>
      <c r="K11" s="270" t="s">
        <v>451</v>
      </c>
      <c r="L11" s="205" t="s">
        <v>451</v>
      </c>
      <c r="M11" s="271" t="s">
        <v>261</v>
      </c>
      <c r="N11" s="271" t="s">
        <v>261</v>
      </c>
      <c r="O11" s="205" t="s">
        <v>286</v>
      </c>
      <c r="P11" s="270" t="s">
        <v>286</v>
      </c>
      <c r="Q11" s="270" t="s">
        <v>286</v>
      </c>
    </row>
    <row r="12" spans="1:19" ht="13.8" thickBot="1" x14ac:dyDescent="0.3"/>
    <row r="13" spans="1:19" ht="13.8" thickBot="1" x14ac:dyDescent="0.3">
      <c r="A13" s="14" t="s">
        <v>0</v>
      </c>
      <c r="B13" s="15"/>
      <c r="C13" s="15"/>
      <c r="D13" s="15" t="s">
        <v>4</v>
      </c>
      <c r="E13" s="15"/>
      <c r="F13" s="15"/>
      <c r="G13" s="15"/>
      <c r="H13" s="15"/>
      <c r="I13" s="15"/>
      <c r="J13" s="15"/>
      <c r="K13" s="15"/>
      <c r="L13" s="15"/>
      <c r="M13" s="15"/>
      <c r="N13" s="15"/>
      <c r="O13" s="15"/>
      <c r="P13" s="15"/>
      <c r="Q13" s="344"/>
    </row>
    <row r="14" spans="1:19" x14ac:dyDescent="0.25">
      <c r="A14" s="347">
        <v>1</v>
      </c>
      <c r="B14" s="347">
        <v>1</v>
      </c>
      <c r="C14" s="350">
        <v>14.2</v>
      </c>
      <c r="D14" s="347">
        <v>12.3</v>
      </c>
      <c r="E14" s="348">
        <v>7.6779149999999996</v>
      </c>
      <c r="F14" s="348">
        <v>14</v>
      </c>
      <c r="G14" s="349">
        <v>0</v>
      </c>
      <c r="H14" s="374">
        <f>Output_series!I18</f>
        <v>12.864532158643614</v>
      </c>
      <c r="I14" s="349">
        <v>85</v>
      </c>
      <c r="J14" s="349">
        <v>1</v>
      </c>
      <c r="K14" s="349">
        <v>2</v>
      </c>
      <c r="L14" s="349">
        <v>0.5</v>
      </c>
      <c r="M14" s="349">
        <v>2</v>
      </c>
      <c r="N14" s="349">
        <v>1</v>
      </c>
      <c r="O14" s="349">
        <v>15</v>
      </c>
      <c r="P14" s="349">
        <v>1</v>
      </c>
      <c r="Q14" s="349">
        <v>1</v>
      </c>
      <c r="S14"/>
    </row>
    <row r="15" spans="1:19" x14ac:dyDescent="0.25">
      <c r="A15" s="345">
        <v>2</v>
      </c>
      <c r="B15" s="345">
        <v>1</v>
      </c>
      <c r="C15" s="351">
        <v>13.3</v>
      </c>
      <c r="D15" s="345">
        <v>11.7</v>
      </c>
      <c r="E15" s="346">
        <v>7.6578629999999999</v>
      </c>
      <c r="F15" s="346">
        <v>14</v>
      </c>
      <c r="G15" s="345">
        <v>0</v>
      </c>
      <c r="H15" s="374">
        <f>Output_series!I19</f>
        <v>0</v>
      </c>
      <c r="I15" s="349">
        <v>85</v>
      </c>
      <c r="J15" s="349">
        <v>1</v>
      </c>
      <c r="K15" s="349">
        <v>2</v>
      </c>
      <c r="L15" s="349">
        <v>0.5</v>
      </c>
      <c r="M15" s="349">
        <v>2</v>
      </c>
      <c r="N15" s="349">
        <v>1</v>
      </c>
      <c r="O15" s="349">
        <v>15</v>
      </c>
      <c r="P15" s="349">
        <v>1</v>
      </c>
      <c r="Q15" s="349">
        <v>1</v>
      </c>
      <c r="S15"/>
    </row>
    <row r="16" spans="1:19" x14ac:dyDescent="0.25">
      <c r="A16" s="345">
        <v>3</v>
      </c>
      <c r="B16" s="345">
        <v>1</v>
      </c>
      <c r="C16" s="351">
        <v>12.8</v>
      </c>
      <c r="D16" s="345">
        <v>11.2</v>
      </c>
      <c r="E16" s="346">
        <v>7.6583290000000002</v>
      </c>
      <c r="F16" s="346">
        <v>14</v>
      </c>
      <c r="G16" s="345">
        <v>0</v>
      </c>
      <c r="H16" s="374">
        <f>Output_series!I20</f>
        <v>0</v>
      </c>
      <c r="I16" s="349">
        <v>85</v>
      </c>
      <c r="J16" s="349">
        <v>1</v>
      </c>
      <c r="K16" s="349">
        <v>2</v>
      </c>
      <c r="L16" s="349">
        <v>0.5</v>
      </c>
      <c r="M16" s="349">
        <v>2</v>
      </c>
      <c r="N16" s="349">
        <v>1</v>
      </c>
      <c r="O16" s="349">
        <v>15</v>
      </c>
      <c r="P16" s="349">
        <v>1</v>
      </c>
      <c r="Q16" s="349">
        <v>1</v>
      </c>
      <c r="S16"/>
    </row>
    <row r="17" spans="1:19" x14ac:dyDescent="0.25">
      <c r="A17" s="345">
        <v>4</v>
      </c>
      <c r="B17" s="345">
        <v>1</v>
      </c>
      <c r="C17" s="351">
        <v>11.9</v>
      </c>
      <c r="D17" s="345">
        <v>10.9</v>
      </c>
      <c r="E17" s="346">
        <v>7.6552290000000003</v>
      </c>
      <c r="F17" s="346">
        <v>14</v>
      </c>
      <c r="G17" s="345">
        <v>0</v>
      </c>
      <c r="H17" s="374">
        <f>Output_series!I21</f>
        <v>0</v>
      </c>
      <c r="I17" s="349">
        <v>85</v>
      </c>
      <c r="J17" s="349">
        <v>1</v>
      </c>
      <c r="K17" s="349">
        <v>2</v>
      </c>
      <c r="L17" s="349">
        <v>0.5</v>
      </c>
      <c r="M17" s="349">
        <v>2</v>
      </c>
      <c r="N17" s="349">
        <v>1</v>
      </c>
      <c r="O17" s="349">
        <v>15</v>
      </c>
      <c r="P17" s="349">
        <v>1</v>
      </c>
      <c r="Q17" s="349">
        <v>1</v>
      </c>
      <c r="S17"/>
    </row>
    <row r="18" spans="1:19" x14ac:dyDescent="0.25">
      <c r="A18" s="345">
        <v>5</v>
      </c>
      <c r="B18" s="345">
        <v>1</v>
      </c>
      <c r="C18" s="351">
        <v>12.1</v>
      </c>
      <c r="D18" s="345">
        <v>11.2</v>
      </c>
      <c r="E18" s="346">
        <v>7.6556890000000006</v>
      </c>
      <c r="F18" s="346">
        <v>14</v>
      </c>
      <c r="G18" s="345">
        <v>0</v>
      </c>
      <c r="H18" s="374">
        <f>Output_series!I22</f>
        <v>0</v>
      </c>
      <c r="I18" s="349">
        <v>85</v>
      </c>
      <c r="J18" s="349">
        <v>1</v>
      </c>
      <c r="K18" s="349">
        <v>2</v>
      </c>
      <c r="L18" s="349">
        <v>0.5</v>
      </c>
      <c r="M18" s="349">
        <v>2</v>
      </c>
      <c r="N18" s="349">
        <v>1</v>
      </c>
      <c r="O18" s="349">
        <v>15</v>
      </c>
      <c r="P18" s="349">
        <v>1</v>
      </c>
      <c r="Q18" s="349">
        <v>1</v>
      </c>
      <c r="S18"/>
    </row>
    <row r="19" spans="1:19" x14ac:dyDescent="0.25">
      <c r="A19" s="345">
        <v>6</v>
      </c>
      <c r="B19" s="345">
        <v>1</v>
      </c>
      <c r="C19" s="351">
        <v>14.8</v>
      </c>
      <c r="D19" s="345">
        <v>12.5</v>
      </c>
      <c r="E19" s="346">
        <v>7.6805780000000006</v>
      </c>
      <c r="F19" s="346">
        <v>14</v>
      </c>
      <c r="G19" s="345">
        <v>0</v>
      </c>
      <c r="H19" s="374">
        <f>Output_series!I23</f>
        <v>13.02465167972611</v>
      </c>
      <c r="I19" s="349">
        <v>85</v>
      </c>
      <c r="J19" s="349">
        <v>1</v>
      </c>
      <c r="K19" s="349">
        <v>2</v>
      </c>
      <c r="L19" s="349">
        <v>0.5</v>
      </c>
      <c r="M19" s="349">
        <v>2</v>
      </c>
      <c r="N19" s="349">
        <v>1</v>
      </c>
      <c r="O19" s="349">
        <v>15</v>
      </c>
      <c r="P19" s="349">
        <v>1</v>
      </c>
      <c r="Q19" s="349">
        <v>1</v>
      </c>
      <c r="S19"/>
    </row>
    <row r="20" spans="1:19" x14ac:dyDescent="0.25">
      <c r="A20" s="345">
        <v>7</v>
      </c>
      <c r="B20" s="345">
        <v>1</v>
      </c>
      <c r="C20" s="351">
        <v>17.600000000000001</v>
      </c>
      <c r="D20" s="345">
        <v>13.5</v>
      </c>
      <c r="E20" s="346">
        <v>24.943709999999999</v>
      </c>
      <c r="F20" s="346">
        <v>14</v>
      </c>
      <c r="G20" s="345">
        <v>0</v>
      </c>
      <c r="H20" s="374">
        <f>Output_series!I24</f>
        <v>44.533992201795414</v>
      </c>
      <c r="I20" s="349">
        <v>85</v>
      </c>
      <c r="J20" s="349">
        <v>1</v>
      </c>
      <c r="K20" s="349">
        <v>2</v>
      </c>
      <c r="L20" s="349">
        <v>0.5</v>
      </c>
      <c r="M20" s="349">
        <v>2</v>
      </c>
      <c r="N20" s="349">
        <v>1</v>
      </c>
      <c r="O20" s="349">
        <v>15</v>
      </c>
      <c r="P20" s="349">
        <v>1</v>
      </c>
      <c r="Q20" s="349">
        <v>1</v>
      </c>
      <c r="S20"/>
    </row>
    <row r="21" spans="1:19" x14ac:dyDescent="0.25">
      <c r="A21" s="345">
        <v>8</v>
      </c>
      <c r="B21" s="345">
        <v>1</v>
      </c>
      <c r="C21" s="351">
        <v>20</v>
      </c>
      <c r="D21" s="345">
        <v>14.1</v>
      </c>
      <c r="E21" s="346">
        <v>8.2373130000000003</v>
      </c>
      <c r="F21" s="346">
        <v>14</v>
      </c>
      <c r="G21" s="345">
        <v>0</v>
      </c>
      <c r="H21" s="374">
        <f>Output_series!I25</f>
        <v>15.233012383324832</v>
      </c>
      <c r="I21" s="349">
        <v>85</v>
      </c>
      <c r="J21" s="349">
        <v>1</v>
      </c>
      <c r="K21" s="349">
        <v>2</v>
      </c>
      <c r="L21" s="349">
        <v>0.5</v>
      </c>
      <c r="M21" s="349">
        <v>2</v>
      </c>
      <c r="N21" s="349">
        <v>1</v>
      </c>
      <c r="O21" s="349">
        <v>15</v>
      </c>
      <c r="P21" s="349">
        <v>1</v>
      </c>
      <c r="Q21" s="349">
        <v>1</v>
      </c>
      <c r="S21"/>
    </row>
    <row r="22" spans="1:19" x14ac:dyDescent="0.25">
      <c r="A22" s="345">
        <v>9</v>
      </c>
      <c r="B22" s="345">
        <v>1</v>
      </c>
      <c r="C22" s="351">
        <v>21.9</v>
      </c>
      <c r="D22" s="345">
        <v>15</v>
      </c>
      <c r="E22" s="346">
        <v>32.80547</v>
      </c>
      <c r="F22" s="346">
        <v>14</v>
      </c>
      <c r="G22" s="345">
        <v>0</v>
      </c>
      <c r="H22" s="374">
        <f>Output_series!I26</f>
        <v>62.058716113371553</v>
      </c>
      <c r="I22" s="349">
        <v>85</v>
      </c>
      <c r="J22" s="349">
        <v>1</v>
      </c>
      <c r="K22" s="349">
        <v>2</v>
      </c>
      <c r="L22" s="349">
        <v>0.5</v>
      </c>
      <c r="M22" s="349">
        <v>2</v>
      </c>
      <c r="N22" s="349">
        <v>1</v>
      </c>
      <c r="O22" s="349">
        <v>15</v>
      </c>
      <c r="P22" s="349">
        <v>1</v>
      </c>
      <c r="Q22" s="349">
        <v>1</v>
      </c>
      <c r="S22"/>
    </row>
    <row r="23" spans="1:19" x14ac:dyDescent="0.25">
      <c r="A23" s="345">
        <v>10</v>
      </c>
      <c r="B23" s="345">
        <v>1</v>
      </c>
      <c r="C23" s="351">
        <v>24.2</v>
      </c>
      <c r="D23" s="345">
        <v>16.2</v>
      </c>
      <c r="E23" s="346">
        <v>54.28304</v>
      </c>
      <c r="F23" s="346">
        <v>14</v>
      </c>
      <c r="G23" s="345">
        <v>0</v>
      </c>
      <c r="H23" s="374">
        <f>Output_series!I27</f>
        <v>94.578854163439516</v>
      </c>
      <c r="I23" s="349">
        <v>85</v>
      </c>
      <c r="J23" s="349">
        <v>1</v>
      </c>
      <c r="K23" s="349">
        <v>2</v>
      </c>
      <c r="L23" s="349">
        <v>0.5</v>
      </c>
      <c r="M23" s="349">
        <v>2</v>
      </c>
      <c r="N23" s="349">
        <v>1</v>
      </c>
      <c r="O23" s="349">
        <v>15</v>
      </c>
      <c r="P23" s="349">
        <v>1</v>
      </c>
      <c r="Q23" s="349">
        <v>1</v>
      </c>
      <c r="S23"/>
    </row>
    <row r="24" spans="1:19" x14ac:dyDescent="0.25">
      <c r="A24" s="345">
        <v>11</v>
      </c>
      <c r="B24" s="345">
        <v>1</v>
      </c>
      <c r="C24" s="351">
        <v>26</v>
      </c>
      <c r="D24" s="345">
        <v>17</v>
      </c>
      <c r="E24" s="346">
        <v>83.536179999999987</v>
      </c>
      <c r="F24" s="346">
        <v>14</v>
      </c>
      <c r="G24" s="345">
        <v>0</v>
      </c>
      <c r="H24" s="374">
        <f>Output_series!I28</f>
        <v>99.107080413069951</v>
      </c>
      <c r="I24" s="349">
        <v>85</v>
      </c>
      <c r="J24" s="349">
        <v>1</v>
      </c>
      <c r="K24" s="349">
        <v>2</v>
      </c>
      <c r="L24" s="349">
        <v>0.5</v>
      </c>
      <c r="M24" s="349">
        <v>2</v>
      </c>
      <c r="N24" s="349">
        <v>1</v>
      </c>
      <c r="O24" s="349">
        <v>15</v>
      </c>
      <c r="P24" s="349">
        <v>1</v>
      </c>
      <c r="Q24" s="349">
        <v>1</v>
      </c>
      <c r="S24"/>
    </row>
    <row r="25" spans="1:19" x14ac:dyDescent="0.25">
      <c r="A25" s="345">
        <v>12</v>
      </c>
      <c r="B25" s="345">
        <v>1</v>
      </c>
      <c r="C25" s="351">
        <v>28.4</v>
      </c>
      <c r="D25" s="345">
        <v>17.7</v>
      </c>
      <c r="E25" s="346">
        <v>121.3237</v>
      </c>
      <c r="F25" s="346">
        <v>14</v>
      </c>
      <c r="G25" s="345">
        <v>0</v>
      </c>
      <c r="H25" s="374">
        <f>Output_series!I29</f>
        <v>99.107080413069966</v>
      </c>
      <c r="I25" s="349">
        <v>85</v>
      </c>
      <c r="J25" s="349">
        <v>1</v>
      </c>
      <c r="K25" s="349">
        <v>2</v>
      </c>
      <c r="L25" s="349">
        <v>0.5</v>
      </c>
      <c r="M25" s="349">
        <v>2</v>
      </c>
      <c r="N25" s="349">
        <v>1</v>
      </c>
      <c r="O25" s="349">
        <v>15</v>
      </c>
      <c r="P25" s="349">
        <v>1</v>
      </c>
      <c r="Q25" s="349">
        <v>1</v>
      </c>
      <c r="S25"/>
    </row>
    <row r="26" spans="1:19" x14ac:dyDescent="0.25">
      <c r="A26" s="345">
        <v>13</v>
      </c>
      <c r="B26" s="345">
        <v>1</v>
      </c>
      <c r="C26" s="351">
        <v>30</v>
      </c>
      <c r="D26" s="345">
        <v>17.399999999999999</v>
      </c>
      <c r="E26" s="346">
        <v>83.938570000000013</v>
      </c>
      <c r="F26" s="346">
        <v>14</v>
      </c>
      <c r="G26" s="345">
        <v>0</v>
      </c>
      <c r="H26" s="374">
        <f>Output_series!I30</f>
        <v>99.107080413069966</v>
      </c>
      <c r="I26" s="349">
        <v>85</v>
      </c>
      <c r="J26" s="349">
        <v>1</v>
      </c>
      <c r="K26" s="349">
        <v>2</v>
      </c>
      <c r="L26" s="349">
        <v>0.5</v>
      </c>
      <c r="M26" s="349">
        <v>2</v>
      </c>
      <c r="N26" s="349">
        <v>1</v>
      </c>
      <c r="O26" s="349">
        <v>15</v>
      </c>
      <c r="P26" s="349">
        <v>1</v>
      </c>
      <c r="Q26" s="349">
        <v>1</v>
      </c>
      <c r="S26"/>
    </row>
    <row r="27" spans="1:19" x14ac:dyDescent="0.25">
      <c r="A27" s="345">
        <v>14</v>
      </c>
      <c r="B27" s="345">
        <v>1</v>
      </c>
      <c r="C27" s="351">
        <v>31.1</v>
      </c>
      <c r="D27" s="345">
        <v>17</v>
      </c>
      <c r="E27" s="346">
        <v>96.63897</v>
      </c>
      <c r="F27" s="346">
        <v>14</v>
      </c>
      <c r="G27" s="345">
        <v>0</v>
      </c>
      <c r="H27" s="374">
        <f>Output_series!I31</f>
        <v>99.107080413069951</v>
      </c>
      <c r="I27" s="349">
        <v>85</v>
      </c>
      <c r="J27" s="349">
        <v>1</v>
      </c>
      <c r="K27" s="349">
        <v>2</v>
      </c>
      <c r="L27" s="349">
        <v>0.5</v>
      </c>
      <c r="M27" s="349">
        <v>2</v>
      </c>
      <c r="N27" s="349">
        <v>1</v>
      </c>
      <c r="O27" s="349">
        <v>15</v>
      </c>
      <c r="P27" s="349">
        <v>1</v>
      </c>
      <c r="Q27" s="349">
        <v>1</v>
      </c>
      <c r="S27"/>
    </row>
    <row r="28" spans="1:19" x14ac:dyDescent="0.25">
      <c r="A28" s="345">
        <v>15</v>
      </c>
      <c r="B28" s="345">
        <v>1</v>
      </c>
      <c r="C28" s="351">
        <v>32.299999999999997</v>
      </c>
      <c r="D28" s="345">
        <v>16.5</v>
      </c>
      <c r="E28" s="346">
        <v>126.8655</v>
      </c>
      <c r="F28" s="346">
        <v>14</v>
      </c>
      <c r="G28" s="345">
        <v>0</v>
      </c>
      <c r="H28" s="374">
        <f>Output_series!I32</f>
        <v>99.107080413069966</v>
      </c>
      <c r="I28" s="349">
        <v>85</v>
      </c>
      <c r="J28" s="349">
        <v>1</v>
      </c>
      <c r="K28" s="349">
        <v>2</v>
      </c>
      <c r="L28" s="349">
        <v>0.5</v>
      </c>
      <c r="M28" s="349">
        <v>2</v>
      </c>
      <c r="N28" s="349">
        <v>1</v>
      </c>
      <c r="O28" s="349">
        <v>15</v>
      </c>
      <c r="P28" s="349">
        <v>1</v>
      </c>
      <c r="Q28" s="349">
        <v>1</v>
      </c>
      <c r="S28"/>
    </row>
    <row r="29" spans="1:19" x14ac:dyDescent="0.25">
      <c r="A29" s="345">
        <v>16</v>
      </c>
      <c r="B29" s="345">
        <v>1</v>
      </c>
      <c r="C29" s="351">
        <v>32.6</v>
      </c>
      <c r="D29" s="345">
        <v>16.600000000000001</v>
      </c>
      <c r="E29" s="346">
        <v>83.362300000000005</v>
      </c>
      <c r="F29" s="346">
        <v>14</v>
      </c>
      <c r="G29" s="345">
        <v>0</v>
      </c>
      <c r="H29" s="374">
        <f>Output_series!I33</f>
        <v>99.107080413069966</v>
      </c>
      <c r="I29" s="349">
        <v>85</v>
      </c>
      <c r="J29" s="349">
        <v>1</v>
      </c>
      <c r="K29" s="349">
        <v>2</v>
      </c>
      <c r="L29" s="349">
        <v>0.5</v>
      </c>
      <c r="M29" s="349">
        <v>2</v>
      </c>
      <c r="N29" s="349">
        <v>1</v>
      </c>
      <c r="O29" s="349">
        <v>15</v>
      </c>
      <c r="P29" s="349">
        <v>1</v>
      </c>
      <c r="Q29" s="349">
        <v>1</v>
      </c>
      <c r="S29"/>
    </row>
    <row r="30" spans="1:19" x14ac:dyDescent="0.25">
      <c r="A30" s="345">
        <v>17</v>
      </c>
      <c r="B30" s="345">
        <v>1</v>
      </c>
      <c r="C30" s="351">
        <v>32.700000000000003</v>
      </c>
      <c r="D30" s="345">
        <v>16.5</v>
      </c>
      <c r="E30" s="346">
        <v>64.910240000000002</v>
      </c>
      <c r="F30" s="346">
        <v>14</v>
      </c>
      <c r="G30" s="345">
        <v>0</v>
      </c>
      <c r="H30" s="374">
        <f>Output_series!I34</f>
        <v>99.107080413069966</v>
      </c>
      <c r="I30" s="349">
        <v>85</v>
      </c>
      <c r="J30" s="349">
        <v>1</v>
      </c>
      <c r="K30" s="349">
        <v>2</v>
      </c>
      <c r="L30" s="349">
        <v>0.5</v>
      </c>
      <c r="M30" s="349">
        <v>2</v>
      </c>
      <c r="N30" s="349">
        <v>1</v>
      </c>
      <c r="O30" s="349">
        <v>15</v>
      </c>
      <c r="P30" s="349">
        <v>1</v>
      </c>
      <c r="Q30" s="349">
        <v>1</v>
      </c>
      <c r="S30"/>
    </row>
    <row r="31" spans="1:19" x14ac:dyDescent="0.25">
      <c r="A31" s="345">
        <v>18</v>
      </c>
      <c r="B31" s="345">
        <v>1</v>
      </c>
      <c r="C31" s="351">
        <v>31.2</v>
      </c>
      <c r="D31" s="345">
        <v>18.100000000000001</v>
      </c>
      <c r="E31" s="346">
        <v>47.641169999999995</v>
      </c>
      <c r="F31" s="346">
        <v>14</v>
      </c>
      <c r="G31" s="345">
        <v>0</v>
      </c>
      <c r="H31" s="374">
        <f>Output_series!I35</f>
        <v>85.740707552924974</v>
      </c>
      <c r="I31" s="349">
        <v>85</v>
      </c>
      <c r="J31" s="349">
        <v>1</v>
      </c>
      <c r="K31" s="349">
        <v>2</v>
      </c>
      <c r="L31" s="349">
        <v>0.5</v>
      </c>
      <c r="M31" s="349">
        <v>2</v>
      </c>
      <c r="N31" s="349">
        <v>1</v>
      </c>
      <c r="O31" s="349">
        <v>15</v>
      </c>
      <c r="P31" s="349">
        <v>1</v>
      </c>
      <c r="Q31" s="349">
        <v>1</v>
      </c>
      <c r="S31"/>
    </row>
    <row r="32" spans="1:19" x14ac:dyDescent="0.25">
      <c r="A32" s="345">
        <v>19</v>
      </c>
      <c r="B32" s="345">
        <v>1</v>
      </c>
      <c r="C32" s="351">
        <v>27.9</v>
      </c>
      <c r="D32" s="345">
        <v>17.899999999999999</v>
      </c>
      <c r="E32" s="346">
        <v>37.940489999999997</v>
      </c>
      <c r="F32" s="346">
        <v>14</v>
      </c>
      <c r="G32" s="345">
        <v>0</v>
      </c>
      <c r="H32" s="374">
        <f>Output_series!I36</f>
        <v>68.067127190881138</v>
      </c>
      <c r="I32" s="349">
        <v>85</v>
      </c>
      <c r="J32" s="349">
        <v>1</v>
      </c>
      <c r="K32" s="349">
        <v>2</v>
      </c>
      <c r="L32" s="349">
        <v>0.5</v>
      </c>
      <c r="M32" s="349">
        <v>2</v>
      </c>
      <c r="N32" s="349">
        <v>1</v>
      </c>
      <c r="O32" s="349">
        <v>15</v>
      </c>
      <c r="P32" s="349">
        <v>1</v>
      </c>
      <c r="Q32" s="349">
        <v>1</v>
      </c>
      <c r="S32"/>
    </row>
    <row r="33" spans="1:19" x14ac:dyDescent="0.25">
      <c r="A33" s="345">
        <v>20</v>
      </c>
      <c r="B33" s="345">
        <v>1</v>
      </c>
      <c r="C33" s="351">
        <v>24.4</v>
      </c>
      <c r="D33" s="345">
        <v>17.2</v>
      </c>
      <c r="E33" s="346">
        <v>8.7321439999999999</v>
      </c>
      <c r="F33" s="346">
        <v>14</v>
      </c>
      <c r="G33" s="345">
        <v>0</v>
      </c>
      <c r="H33" s="374">
        <f>Output_series!I37</f>
        <v>15.486534914750589</v>
      </c>
      <c r="I33" s="349">
        <v>85</v>
      </c>
      <c r="J33" s="349">
        <v>1</v>
      </c>
      <c r="K33" s="349">
        <v>2</v>
      </c>
      <c r="L33" s="349">
        <v>0.5</v>
      </c>
      <c r="M33" s="349">
        <v>2</v>
      </c>
      <c r="N33" s="349">
        <v>1</v>
      </c>
      <c r="O33" s="349">
        <v>15</v>
      </c>
      <c r="P33" s="349">
        <v>1</v>
      </c>
      <c r="Q33" s="349">
        <v>1</v>
      </c>
      <c r="S33"/>
    </row>
    <row r="34" spans="1:19" x14ac:dyDescent="0.25">
      <c r="A34" s="345">
        <v>21</v>
      </c>
      <c r="B34" s="345">
        <v>1</v>
      </c>
      <c r="C34" s="351">
        <v>21.1</v>
      </c>
      <c r="D34" s="345">
        <v>16.600000000000001</v>
      </c>
      <c r="E34" s="346">
        <v>8.1733239999999991</v>
      </c>
      <c r="F34" s="346">
        <v>14</v>
      </c>
      <c r="G34" s="345">
        <v>0</v>
      </c>
      <c r="H34" s="374">
        <f>Output_series!I38</f>
        <v>15.322028758368772</v>
      </c>
      <c r="I34" s="349">
        <v>85</v>
      </c>
      <c r="J34" s="349">
        <v>1</v>
      </c>
      <c r="K34" s="349">
        <v>2</v>
      </c>
      <c r="L34" s="349">
        <v>0.5</v>
      </c>
      <c r="M34" s="349">
        <v>2</v>
      </c>
      <c r="N34" s="349">
        <v>1</v>
      </c>
      <c r="O34" s="349">
        <v>15</v>
      </c>
      <c r="P34" s="349">
        <v>1</v>
      </c>
      <c r="Q34" s="349">
        <v>1</v>
      </c>
      <c r="S34"/>
    </row>
    <row r="35" spans="1:19" x14ac:dyDescent="0.25">
      <c r="A35" s="345">
        <v>22</v>
      </c>
      <c r="B35" s="345">
        <v>1</v>
      </c>
      <c r="C35" s="351">
        <v>19.2</v>
      </c>
      <c r="D35" s="345">
        <v>15.8</v>
      </c>
      <c r="E35" s="346">
        <v>7.9435820000000001</v>
      </c>
      <c r="F35" s="346">
        <v>14</v>
      </c>
      <c r="G35" s="345">
        <v>0</v>
      </c>
      <c r="H35" s="374">
        <f>Output_series!I39</f>
        <v>14.531460402605775</v>
      </c>
      <c r="I35" s="349">
        <v>85</v>
      </c>
      <c r="J35" s="349">
        <v>1</v>
      </c>
      <c r="K35" s="349">
        <v>2</v>
      </c>
      <c r="L35" s="349">
        <v>0.5</v>
      </c>
      <c r="M35" s="349">
        <v>2</v>
      </c>
      <c r="N35" s="349">
        <v>1</v>
      </c>
      <c r="O35" s="349">
        <v>15</v>
      </c>
      <c r="P35" s="349">
        <v>1</v>
      </c>
      <c r="Q35" s="349">
        <v>1</v>
      </c>
      <c r="S35"/>
    </row>
    <row r="36" spans="1:19" x14ac:dyDescent="0.25">
      <c r="A36" s="345">
        <v>23</v>
      </c>
      <c r="B36" s="345">
        <v>1</v>
      </c>
      <c r="C36" s="351">
        <v>18.100000000000001</v>
      </c>
      <c r="D36" s="345">
        <v>15.6</v>
      </c>
      <c r="E36" s="346">
        <v>7.7656159999999996</v>
      </c>
      <c r="F36" s="346">
        <v>14</v>
      </c>
      <c r="G36" s="345">
        <v>0</v>
      </c>
      <c r="H36" s="374">
        <f>Output_series!I40</f>
        <v>13.975924823515356</v>
      </c>
      <c r="I36" s="349">
        <v>85</v>
      </c>
      <c r="J36" s="349">
        <v>1</v>
      </c>
      <c r="K36" s="349">
        <v>2</v>
      </c>
      <c r="L36" s="349">
        <v>0.5</v>
      </c>
      <c r="M36" s="349">
        <v>2</v>
      </c>
      <c r="N36" s="349">
        <v>1</v>
      </c>
      <c r="O36" s="349">
        <v>15</v>
      </c>
      <c r="P36" s="349">
        <v>1</v>
      </c>
      <c r="Q36" s="349">
        <v>1</v>
      </c>
      <c r="S36"/>
    </row>
    <row r="37" spans="1:19" x14ac:dyDescent="0.25">
      <c r="A37" s="345">
        <v>24</v>
      </c>
      <c r="B37" s="345">
        <v>1</v>
      </c>
      <c r="C37" s="351">
        <v>17</v>
      </c>
      <c r="D37" s="345">
        <v>15.1</v>
      </c>
      <c r="E37" s="346">
        <v>7.7245010000000001</v>
      </c>
      <c r="F37" s="346">
        <v>14</v>
      </c>
      <c r="G37" s="345">
        <v>0</v>
      </c>
      <c r="H37" s="374">
        <f>Output_series!I41</f>
        <v>13.652604159673837</v>
      </c>
      <c r="I37" s="349">
        <v>85</v>
      </c>
      <c r="J37" s="349">
        <v>1</v>
      </c>
      <c r="K37" s="349">
        <v>2</v>
      </c>
      <c r="L37" s="349">
        <v>0.5</v>
      </c>
      <c r="M37" s="349">
        <v>2</v>
      </c>
      <c r="N37" s="349">
        <v>1</v>
      </c>
      <c r="O37" s="349">
        <v>15</v>
      </c>
      <c r="P37" s="349">
        <v>1</v>
      </c>
      <c r="Q37" s="349">
        <v>1</v>
      </c>
      <c r="S37"/>
    </row>
    <row r="38" spans="1:19" x14ac:dyDescent="0.25">
      <c r="A38" s="345">
        <v>25</v>
      </c>
      <c r="B38" s="345">
        <v>1</v>
      </c>
      <c r="C38" s="351">
        <v>17.7</v>
      </c>
      <c r="D38" s="345">
        <v>17</v>
      </c>
      <c r="E38" s="346">
        <v>7.7071199999999997</v>
      </c>
      <c r="F38" s="346">
        <v>14</v>
      </c>
      <c r="G38" s="345">
        <v>0</v>
      </c>
      <c r="H38" s="374">
        <f>Output_series!I42</f>
        <v>13.78258043141004</v>
      </c>
      <c r="I38" s="349">
        <v>85</v>
      </c>
      <c r="J38" s="349">
        <v>1</v>
      </c>
      <c r="K38" s="349">
        <v>2</v>
      </c>
      <c r="L38" s="349">
        <v>0.5</v>
      </c>
      <c r="M38" s="349">
        <v>2</v>
      </c>
      <c r="N38" s="349">
        <v>1</v>
      </c>
      <c r="O38" s="349">
        <v>15</v>
      </c>
      <c r="P38" s="349">
        <v>1</v>
      </c>
      <c r="Q38" s="349">
        <v>1</v>
      </c>
      <c r="S38"/>
    </row>
    <row r="39" spans="1:19" x14ac:dyDescent="0.25">
      <c r="A39" s="345">
        <v>26</v>
      </c>
      <c r="B39" s="345">
        <v>1</v>
      </c>
      <c r="C39" s="351">
        <v>17</v>
      </c>
      <c r="D39" s="345">
        <v>16.399999999999999</v>
      </c>
      <c r="E39" s="346">
        <v>7.7070789999999993</v>
      </c>
      <c r="F39" s="346">
        <v>14</v>
      </c>
      <c r="G39" s="345">
        <v>0</v>
      </c>
      <c r="H39" s="374">
        <f>Output_series!I43</f>
        <v>13.621811792675652</v>
      </c>
      <c r="I39" s="349">
        <v>85</v>
      </c>
      <c r="J39" s="349">
        <v>1</v>
      </c>
      <c r="K39" s="349">
        <v>2</v>
      </c>
      <c r="L39" s="349">
        <v>0.5</v>
      </c>
      <c r="M39" s="349">
        <v>2</v>
      </c>
      <c r="N39" s="349">
        <v>1</v>
      </c>
      <c r="O39" s="349">
        <v>15</v>
      </c>
      <c r="P39" s="349">
        <v>1</v>
      </c>
      <c r="Q39" s="349">
        <v>1</v>
      </c>
      <c r="S39"/>
    </row>
    <row r="40" spans="1:19" x14ac:dyDescent="0.25">
      <c r="A40" s="345">
        <v>27</v>
      </c>
      <c r="B40" s="345">
        <v>1</v>
      </c>
      <c r="C40" s="351">
        <v>16.600000000000001</v>
      </c>
      <c r="D40" s="345">
        <v>16.100000000000001</v>
      </c>
      <c r="E40" s="346">
        <v>7.6963800000000004</v>
      </c>
      <c r="F40" s="346">
        <v>14</v>
      </c>
      <c r="G40" s="345">
        <v>0</v>
      </c>
      <c r="H40" s="374">
        <f>Output_series!I44</f>
        <v>13.507525548684956</v>
      </c>
      <c r="I40" s="349">
        <v>85</v>
      </c>
      <c r="J40" s="349">
        <v>1</v>
      </c>
      <c r="K40" s="349">
        <v>2</v>
      </c>
      <c r="L40" s="349">
        <v>0.5</v>
      </c>
      <c r="M40" s="349">
        <v>2</v>
      </c>
      <c r="N40" s="349">
        <v>1</v>
      </c>
      <c r="O40" s="349">
        <v>15</v>
      </c>
      <c r="P40" s="349">
        <v>1</v>
      </c>
      <c r="Q40" s="349">
        <v>1</v>
      </c>
      <c r="S40"/>
    </row>
    <row r="41" spans="1:19" x14ac:dyDescent="0.25">
      <c r="A41" s="345">
        <v>28</v>
      </c>
      <c r="B41" s="345">
        <v>1</v>
      </c>
      <c r="C41" s="351">
        <v>16.2</v>
      </c>
      <c r="D41" s="345">
        <v>15.6</v>
      </c>
      <c r="E41" s="346">
        <v>7.6910230000000004</v>
      </c>
      <c r="F41" s="346">
        <v>14</v>
      </c>
      <c r="G41" s="345">
        <v>0</v>
      </c>
      <c r="H41" s="374">
        <f>Output_series!I45</f>
        <v>13.40028382133092</v>
      </c>
      <c r="I41" s="349">
        <v>85</v>
      </c>
      <c r="J41" s="349">
        <v>1</v>
      </c>
      <c r="K41" s="349">
        <v>2</v>
      </c>
      <c r="L41" s="349">
        <v>0.5</v>
      </c>
      <c r="M41" s="349">
        <v>2</v>
      </c>
      <c r="N41" s="349">
        <v>1</v>
      </c>
      <c r="O41" s="349">
        <v>15</v>
      </c>
      <c r="P41" s="349">
        <v>1</v>
      </c>
      <c r="Q41" s="349">
        <v>1</v>
      </c>
      <c r="S41"/>
    </row>
    <row r="42" spans="1:19" x14ac:dyDescent="0.25">
      <c r="A42" s="345">
        <v>29</v>
      </c>
      <c r="B42" s="345">
        <v>1</v>
      </c>
      <c r="C42" s="351">
        <v>15.8</v>
      </c>
      <c r="D42" s="345">
        <v>15.2</v>
      </c>
      <c r="E42" s="346">
        <v>7.6883340000000002</v>
      </c>
      <c r="F42" s="346">
        <v>14</v>
      </c>
      <c r="G42" s="345">
        <v>0</v>
      </c>
      <c r="H42" s="374">
        <f>Output_series!I46</f>
        <v>13.295481840827124</v>
      </c>
      <c r="I42" s="349">
        <v>85</v>
      </c>
      <c r="J42" s="349">
        <v>1</v>
      </c>
      <c r="K42" s="349">
        <v>2</v>
      </c>
      <c r="L42" s="349">
        <v>0.5</v>
      </c>
      <c r="M42" s="349">
        <v>2</v>
      </c>
      <c r="N42" s="349">
        <v>1</v>
      </c>
      <c r="O42" s="349">
        <v>15</v>
      </c>
      <c r="P42" s="349">
        <v>1</v>
      </c>
      <c r="Q42" s="349">
        <v>1</v>
      </c>
      <c r="S42"/>
    </row>
    <row r="43" spans="1:19" x14ac:dyDescent="0.25">
      <c r="A43" s="345">
        <v>30</v>
      </c>
      <c r="B43" s="345">
        <v>1</v>
      </c>
      <c r="C43" s="351">
        <v>16.600000000000001</v>
      </c>
      <c r="D43" s="345">
        <v>16</v>
      </c>
      <c r="E43" s="346">
        <v>7.702153</v>
      </c>
      <c r="F43" s="346">
        <v>14</v>
      </c>
      <c r="G43" s="345">
        <v>0</v>
      </c>
      <c r="H43" s="374">
        <f>Output_series!I47</f>
        <v>13.517657447706645</v>
      </c>
      <c r="I43" s="349">
        <v>85</v>
      </c>
      <c r="J43" s="349">
        <v>1</v>
      </c>
      <c r="K43" s="349">
        <v>2</v>
      </c>
      <c r="L43" s="349">
        <v>0.5</v>
      </c>
      <c r="M43" s="349">
        <v>2</v>
      </c>
      <c r="N43" s="349">
        <v>1</v>
      </c>
      <c r="O43" s="349">
        <v>15</v>
      </c>
      <c r="P43" s="349">
        <v>1</v>
      </c>
      <c r="Q43" s="349">
        <v>1</v>
      </c>
      <c r="S43"/>
    </row>
    <row r="44" spans="1:19" x14ac:dyDescent="0.25">
      <c r="A44" s="345">
        <v>31</v>
      </c>
      <c r="B44" s="345">
        <v>1</v>
      </c>
      <c r="C44" s="351">
        <v>18.7</v>
      </c>
      <c r="D44" s="345">
        <v>17.3</v>
      </c>
      <c r="E44" s="346">
        <v>17.01632</v>
      </c>
      <c r="F44" s="346">
        <v>14</v>
      </c>
      <c r="G44" s="345">
        <v>0</v>
      </c>
      <c r="H44" s="374">
        <f>Output_series!I48</f>
        <v>30.904986367208704</v>
      </c>
      <c r="I44" s="349">
        <v>85</v>
      </c>
      <c r="J44" s="349">
        <v>1</v>
      </c>
      <c r="K44" s="349">
        <v>2</v>
      </c>
      <c r="L44" s="349">
        <v>0.5</v>
      </c>
      <c r="M44" s="349">
        <v>2</v>
      </c>
      <c r="N44" s="349">
        <v>1</v>
      </c>
      <c r="O44" s="349">
        <v>15</v>
      </c>
      <c r="P44" s="349">
        <v>1</v>
      </c>
      <c r="Q44" s="349">
        <v>1</v>
      </c>
      <c r="S44"/>
    </row>
    <row r="45" spans="1:19" x14ac:dyDescent="0.25">
      <c r="A45" s="345">
        <v>32</v>
      </c>
      <c r="B45" s="345">
        <v>1</v>
      </c>
      <c r="C45" s="351">
        <v>21.2</v>
      </c>
      <c r="D45" s="345">
        <v>18.399999999999999</v>
      </c>
      <c r="E45" s="346">
        <v>9.0165589999999991</v>
      </c>
      <c r="F45" s="346">
        <v>14</v>
      </c>
      <c r="G45" s="345">
        <v>0</v>
      </c>
      <c r="H45" s="374">
        <f>Output_series!I49</f>
        <v>16.922587391338315</v>
      </c>
      <c r="I45" s="349">
        <v>85</v>
      </c>
      <c r="J45" s="349">
        <v>1</v>
      </c>
      <c r="K45" s="349">
        <v>2</v>
      </c>
      <c r="L45" s="349">
        <v>0.5</v>
      </c>
      <c r="M45" s="349">
        <v>2</v>
      </c>
      <c r="N45" s="349">
        <v>1</v>
      </c>
      <c r="O45" s="349">
        <v>15</v>
      </c>
      <c r="P45" s="349">
        <v>1</v>
      </c>
      <c r="Q45" s="349">
        <v>1</v>
      </c>
      <c r="S45"/>
    </row>
    <row r="46" spans="1:19" x14ac:dyDescent="0.25">
      <c r="A46" s="345">
        <v>33</v>
      </c>
      <c r="B46" s="345">
        <v>1</v>
      </c>
      <c r="C46" s="351">
        <v>23.7</v>
      </c>
      <c r="D46" s="345">
        <v>19.600000000000001</v>
      </c>
      <c r="E46" s="346">
        <v>30.87032</v>
      </c>
      <c r="F46" s="346">
        <v>14</v>
      </c>
      <c r="G46" s="345">
        <v>0</v>
      </c>
      <c r="H46" s="374">
        <f>Output_series!I50</f>
        <v>56.784857658232582</v>
      </c>
      <c r="I46" s="349">
        <v>85</v>
      </c>
      <c r="J46" s="349">
        <v>1</v>
      </c>
      <c r="K46" s="349">
        <v>2</v>
      </c>
      <c r="L46" s="349">
        <v>0.5</v>
      </c>
      <c r="M46" s="349">
        <v>2</v>
      </c>
      <c r="N46" s="349">
        <v>1</v>
      </c>
      <c r="O46" s="349">
        <v>15</v>
      </c>
      <c r="P46" s="349">
        <v>1</v>
      </c>
      <c r="Q46" s="349">
        <v>1</v>
      </c>
      <c r="S46"/>
    </row>
    <row r="47" spans="1:19" x14ac:dyDescent="0.25">
      <c r="A47" s="345">
        <v>34</v>
      </c>
      <c r="B47" s="345">
        <v>1</v>
      </c>
      <c r="C47" s="351">
        <v>25.8</v>
      </c>
      <c r="D47" s="345">
        <v>20.3</v>
      </c>
      <c r="E47" s="346">
        <v>52.225819999999999</v>
      </c>
      <c r="F47" s="346">
        <v>14</v>
      </c>
      <c r="G47" s="345">
        <v>0</v>
      </c>
      <c r="H47" s="374">
        <f>Output_series!I51</f>
        <v>96.952831798409377</v>
      </c>
      <c r="I47" s="349">
        <v>85</v>
      </c>
      <c r="J47" s="349">
        <v>1</v>
      </c>
      <c r="K47" s="349">
        <v>2</v>
      </c>
      <c r="L47" s="349">
        <v>0.5</v>
      </c>
      <c r="M47" s="349">
        <v>2</v>
      </c>
      <c r="N47" s="349">
        <v>1</v>
      </c>
      <c r="O47" s="349">
        <v>15</v>
      </c>
      <c r="P47" s="349">
        <v>1</v>
      </c>
      <c r="Q47" s="349">
        <v>1</v>
      </c>
      <c r="S47"/>
    </row>
    <row r="48" spans="1:19" x14ac:dyDescent="0.25">
      <c r="A48" s="345">
        <v>35</v>
      </c>
      <c r="B48" s="345">
        <v>1</v>
      </c>
      <c r="C48" s="351">
        <v>27.3</v>
      </c>
      <c r="D48" s="345">
        <v>20.9</v>
      </c>
      <c r="E48" s="346">
        <v>84.880560000000003</v>
      </c>
      <c r="F48" s="346">
        <v>14</v>
      </c>
      <c r="G48" s="345">
        <v>0</v>
      </c>
      <c r="H48" s="374">
        <f>Output_series!I52</f>
        <v>99.107080413069966</v>
      </c>
      <c r="I48" s="349">
        <v>85</v>
      </c>
      <c r="J48" s="349">
        <v>1</v>
      </c>
      <c r="K48" s="349">
        <v>2</v>
      </c>
      <c r="L48" s="349">
        <v>0.5</v>
      </c>
      <c r="M48" s="349">
        <v>2</v>
      </c>
      <c r="N48" s="349">
        <v>1</v>
      </c>
      <c r="O48" s="349">
        <v>15</v>
      </c>
      <c r="P48" s="349">
        <v>1</v>
      </c>
      <c r="Q48" s="349">
        <v>1</v>
      </c>
      <c r="S48"/>
    </row>
    <row r="49" spans="1:19" x14ac:dyDescent="0.25">
      <c r="A49" s="345">
        <v>36</v>
      </c>
      <c r="B49" s="345">
        <v>1</v>
      </c>
      <c r="C49" s="351">
        <v>28.8</v>
      </c>
      <c r="D49" s="345">
        <v>21</v>
      </c>
      <c r="E49" s="346">
        <v>126.2893</v>
      </c>
      <c r="F49" s="346">
        <v>14</v>
      </c>
      <c r="G49" s="345">
        <v>0</v>
      </c>
      <c r="H49" s="374">
        <f>Output_series!I53</f>
        <v>99.107080413069966</v>
      </c>
      <c r="I49" s="349">
        <v>85</v>
      </c>
      <c r="J49" s="349">
        <v>1</v>
      </c>
      <c r="K49" s="349">
        <v>2</v>
      </c>
      <c r="L49" s="349">
        <v>0.5</v>
      </c>
      <c r="M49" s="349">
        <v>2</v>
      </c>
      <c r="N49" s="349">
        <v>1</v>
      </c>
      <c r="O49" s="349">
        <v>15</v>
      </c>
      <c r="P49" s="349">
        <v>1</v>
      </c>
      <c r="Q49" s="349">
        <v>1</v>
      </c>
      <c r="S49"/>
    </row>
    <row r="50" spans="1:19" x14ac:dyDescent="0.25">
      <c r="A50" s="345">
        <v>37</v>
      </c>
      <c r="B50" s="345">
        <v>1</v>
      </c>
      <c r="C50" s="351">
        <v>30.3</v>
      </c>
      <c r="D50" s="345">
        <v>21.3</v>
      </c>
      <c r="E50" s="346">
        <v>90.222830000000002</v>
      </c>
      <c r="F50" s="346">
        <v>14</v>
      </c>
      <c r="G50" s="345">
        <v>0</v>
      </c>
      <c r="H50" s="374">
        <f>Output_series!I54</f>
        <v>99.10708041306998</v>
      </c>
      <c r="I50" s="349">
        <v>85</v>
      </c>
      <c r="J50" s="349">
        <v>1</v>
      </c>
      <c r="K50" s="349">
        <v>2</v>
      </c>
      <c r="L50" s="349">
        <v>0.5</v>
      </c>
      <c r="M50" s="349">
        <v>2</v>
      </c>
      <c r="N50" s="349">
        <v>1</v>
      </c>
      <c r="O50" s="349">
        <v>15</v>
      </c>
      <c r="P50" s="349">
        <v>1</v>
      </c>
      <c r="Q50" s="349">
        <v>1</v>
      </c>
      <c r="S50"/>
    </row>
    <row r="51" spans="1:19" x14ac:dyDescent="0.25">
      <c r="A51" s="345">
        <v>38</v>
      </c>
      <c r="B51" s="345">
        <v>1</v>
      </c>
      <c r="C51" s="351">
        <v>31.5</v>
      </c>
      <c r="D51" s="345">
        <v>20.9</v>
      </c>
      <c r="E51" s="346">
        <v>103.12130000000001</v>
      </c>
      <c r="F51" s="346">
        <v>14</v>
      </c>
      <c r="G51" s="345">
        <v>0</v>
      </c>
      <c r="H51" s="374">
        <f>Output_series!I55</f>
        <v>99.107080413069966</v>
      </c>
      <c r="I51" s="349">
        <v>85</v>
      </c>
      <c r="J51" s="349">
        <v>1</v>
      </c>
      <c r="K51" s="349">
        <v>2</v>
      </c>
      <c r="L51" s="349">
        <v>0.5</v>
      </c>
      <c r="M51" s="349">
        <v>2</v>
      </c>
      <c r="N51" s="349">
        <v>1</v>
      </c>
      <c r="O51" s="349">
        <v>15</v>
      </c>
      <c r="P51" s="349">
        <v>1</v>
      </c>
      <c r="Q51" s="349">
        <v>1</v>
      </c>
      <c r="S51"/>
    </row>
    <row r="52" spans="1:19" x14ac:dyDescent="0.25">
      <c r="A52" s="345">
        <v>39</v>
      </c>
      <c r="B52" s="345">
        <v>1</v>
      </c>
      <c r="C52" s="351">
        <v>32.4</v>
      </c>
      <c r="D52" s="345">
        <v>21</v>
      </c>
      <c r="E52" s="346">
        <v>126.6562</v>
      </c>
      <c r="F52" s="346">
        <v>14</v>
      </c>
      <c r="G52" s="345">
        <v>0</v>
      </c>
      <c r="H52" s="374">
        <f>Output_series!I56</f>
        <v>99.107080413069966</v>
      </c>
      <c r="I52" s="349">
        <v>85</v>
      </c>
      <c r="J52" s="349">
        <v>1</v>
      </c>
      <c r="K52" s="349">
        <v>2</v>
      </c>
      <c r="L52" s="349">
        <v>0.5</v>
      </c>
      <c r="M52" s="349">
        <v>2</v>
      </c>
      <c r="N52" s="349">
        <v>1</v>
      </c>
      <c r="O52" s="349">
        <v>15</v>
      </c>
      <c r="P52" s="349">
        <v>1</v>
      </c>
      <c r="Q52" s="349">
        <v>1</v>
      </c>
      <c r="S52"/>
    </row>
    <row r="53" spans="1:19" x14ac:dyDescent="0.25">
      <c r="A53" s="345">
        <v>40</v>
      </c>
      <c r="B53" s="345">
        <v>1</v>
      </c>
      <c r="C53" s="351">
        <v>32.4</v>
      </c>
      <c r="D53" s="345">
        <v>20.6</v>
      </c>
      <c r="E53" s="346">
        <v>84.229690000000005</v>
      </c>
      <c r="F53" s="346">
        <v>14</v>
      </c>
      <c r="G53" s="345">
        <v>0</v>
      </c>
      <c r="H53" s="374">
        <f>Output_series!I57</f>
        <v>99.107080413069966</v>
      </c>
      <c r="I53" s="349">
        <v>85</v>
      </c>
      <c r="J53" s="349">
        <v>1</v>
      </c>
      <c r="K53" s="349">
        <v>2</v>
      </c>
      <c r="L53" s="349">
        <v>0.5</v>
      </c>
      <c r="M53" s="349">
        <v>2</v>
      </c>
      <c r="N53" s="349">
        <v>1</v>
      </c>
      <c r="O53" s="349">
        <v>15</v>
      </c>
      <c r="P53" s="349">
        <v>1</v>
      </c>
      <c r="Q53" s="349">
        <v>1</v>
      </c>
      <c r="S53"/>
    </row>
    <row r="54" spans="1:19" x14ac:dyDescent="0.25">
      <c r="A54" s="345">
        <v>41</v>
      </c>
      <c r="B54" s="345">
        <v>1</v>
      </c>
      <c r="C54" s="351">
        <v>32.6</v>
      </c>
      <c r="D54" s="345">
        <v>20.3</v>
      </c>
      <c r="E54" s="346">
        <v>66.01652</v>
      </c>
      <c r="F54" s="346">
        <v>14</v>
      </c>
      <c r="G54" s="345">
        <v>0</v>
      </c>
      <c r="H54" s="374">
        <f>Output_series!I58</f>
        <v>99.107080413069966</v>
      </c>
      <c r="I54" s="349">
        <v>85</v>
      </c>
      <c r="J54" s="349">
        <v>1</v>
      </c>
      <c r="K54" s="349">
        <v>2</v>
      </c>
      <c r="L54" s="349">
        <v>0.5</v>
      </c>
      <c r="M54" s="349">
        <v>2</v>
      </c>
      <c r="N54" s="349">
        <v>1</v>
      </c>
      <c r="O54" s="349">
        <v>15</v>
      </c>
      <c r="P54" s="349">
        <v>1</v>
      </c>
      <c r="Q54" s="349">
        <v>1</v>
      </c>
      <c r="S54"/>
    </row>
    <row r="55" spans="1:19" x14ac:dyDescent="0.25">
      <c r="A55" s="345">
        <v>42</v>
      </c>
      <c r="B55" s="345">
        <v>1</v>
      </c>
      <c r="C55" s="351">
        <v>29.9</v>
      </c>
      <c r="D55" s="345">
        <v>22</v>
      </c>
      <c r="E55" s="346">
        <v>46.904789999999998</v>
      </c>
      <c r="F55" s="346">
        <v>14</v>
      </c>
      <c r="G55" s="345">
        <v>0</v>
      </c>
      <c r="H55" s="374">
        <f>Output_series!I59</f>
        <v>88.827235639624618</v>
      </c>
      <c r="I55" s="349">
        <v>85</v>
      </c>
      <c r="J55" s="349">
        <v>1</v>
      </c>
      <c r="K55" s="349">
        <v>2</v>
      </c>
      <c r="L55" s="349">
        <v>0.5</v>
      </c>
      <c r="M55" s="349">
        <v>2</v>
      </c>
      <c r="N55" s="349">
        <v>1</v>
      </c>
      <c r="O55" s="349">
        <v>15</v>
      </c>
      <c r="P55" s="349">
        <v>1</v>
      </c>
      <c r="Q55" s="349">
        <v>1</v>
      </c>
      <c r="S55"/>
    </row>
    <row r="56" spans="1:19" x14ac:dyDescent="0.25">
      <c r="A56" s="345">
        <v>43</v>
      </c>
      <c r="B56" s="345">
        <v>1</v>
      </c>
      <c r="C56" s="351">
        <v>27.4</v>
      </c>
      <c r="D56" s="345">
        <v>20.7</v>
      </c>
      <c r="E56" s="346">
        <v>31.430859999999999</v>
      </c>
      <c r="F56" s="346">
        <v>14</v>
      </c>
      <c r="G56" s="345">
        <v>0</v>
      </c>
      <c r="H56" s="374">
        <f>Output_series!I60</f>
        <v>58.639785140946323</v>
      </c>
      <c r="I56" s="349">
        <v>85</v>
      </c>
      <c r="J56" s="349">
        <v>1</v>
      </c>
      <c r="K56" s="349">
        <v>2</v>
      </c>
      <c r="L56" s="349">
        <v>0.5</v>
      </c>
      <c r="M56" s="349">
        <v>2</v>
      </c>
      <c r="N56" s="349">
        <v>1</v>
      </c>
      <c r="O56" s="349">
        <v>15</v>
      </c>
      <c r="P56" s="349">
        <v>1</v>
      </c>
      <c r="Q56" s="349">
        <v>1</v>
      </c>
      <c r="S56"/>
    </row>
    <row r="57" spans="1:19" x14ac:dyDescent="0.25">
      <c r="A57" s="345">
        <v>44</v>
      </c>
      <c r="B57" s="345">
        <v>1</v>
      </c>
      <c r="C57" s="351">
        <v>24.2</v>
      </c>
      <c r="D57" s="345">
        <v>20.2</v>
      </c>
      <c r="E57" s="346">
        <v>8.4418930000000003</v>
      </c>
      <c r="F57" s="346">
        <v>14</v>
      </c>
      <c r="G57" s="345">
        <v>0</v>
      </c>
      <c r="H57" s="374">
        <f>Output_series!I61</f>
        <v>15.651717936769794</v>
      </c>
      <c r="I57" s="349">
        <v>85</v>
      </c>
      <c r="J57" s="349">
        <v>1</v>
      </c>
      <c r="K57" s="349">
        <v>2</v>
      </c>
      <c r="L57" s="349">
        <v>0.5</v>
      </c>
      <c r="M57" s="349">
        <v>2</v>
      </c>
      <c r="N57" s="349">
        <v>1</v>
      </c>
      <c r="O57" s="349">
        <v>15</v>
      </c>
      <c r="P57" s="349">
        <v>1</v>
      </c>
      <c r="Q57" s="349">
        <v>1</v>
      </c>
      <c r="S57"/>
    </row>
    <row r="58" spans="1:19" x14ac:dyDescent="0.25">
      <c r="A58" s="345">
        <v>45</v>
      </c>
      <c r="B58" s="345">
        <v>1</v>
      </c>
      <c r="C58" s="351">
        <v>22.4</v>
      </c>
      <c r="D58" s="345">
        <v>19.399999999999999</v>
      </c>
      <c r="E58" s="346">
        <v>8.123329</v>
      </c>
      <c r="F58" s="346">
        <v>14</v>
      </c>
      <c r="G58" s="345">
        <v>0</v>
      </c>
      <c r="H58" s="374">
        <f>Output_series!I62</f>
        <v>14.901762461899528</v>
      </c>
      <c r="I58" s="349">
        <v>85</v>
      </c>
      <c r="J58" s="349">
        <v>1</v>
      </c>
      <c r="K58" s="349">
        <v>2</v>
      </c>
      <c r="L58" s="349">
        <v>0.5</v>
      </c>
      <c r="M58" s="349">
        <v>2</v>
      </c>
      <c r="N58" s="349">
        <v>1</v>
      </c>
      <c r="O58" s="349">
        <v>15</v>
      </c>
      <c r="P58" s="349">
        <v>1</v>
      </c>
      <c r="Q58" s="349">
        <v>1</v>
      </c>
      <c r="S58"/>
    </row>
    <row r="59" spans="1:19" x14ac:dyDescent="0.25">
      <c r="A59" s="345">
        <v>46</v>
      </c>
      <c r="B59" s="345">
        <v>1</v>
      </c>
      <c r="C59" s="351">
        <v>21.2</v>
      </c>
      <c r="D59" s="345">
        <v>19.3</v>
      </c>
      <c r="E59" s="346">
        <v>7.8712349999999995</v>
      </c>
      <c r="F59" s="346">
        <v>14</v>
      </c>
      <c r="G59" s="345">
        <v>0</v>
      </c>
      <c r="H59" s="374">
        <f>Output_series!I63</f>
        <v>14.773003999115499</v>
      </c>
      <c r="I59" s="349">
        <v>85</v>
      </c>
      <c r="J59" s="349">
        <v>1</v>
      </c>
      <c r="K59" s="349">
        <v>2</v>
      </c>
      <c r="L59" s="349">
        <v>0.5</v>
      </c>
      <c r="M59" s="349">
        <v>2</v>
      </c>
      <c r="N59" s="349">
        <v>1</v>
      </c>
      <c r="O59" s="349">
        <v>15</v>
      </c>
      <c r="P59" s="349">
        <v>1</v>
      </c>
      <c r="Q59" s="349">
        <v>1</v>
      </c>
      <c r="S59"/>
    </row>
    <row r="60" spans="1:19" x14ac:dyDescent="0.25">
      <c r="A60" s="345">
        <v>47</v>
      </c>
      <c r="B60" s="345">
        <v>1</v>
      </c>
      <c r="C60" s="351">
        <v>20.2</v>
      </c>
      <c r="D60" s="345">
        <v>18.7</v>
      </c>
      <c r="E60" s="346">
        <v>7.7353459999999998</v>
      </c>
      <c r="F60" s="346">
        <v>14</v>
      </c>
      <c r="G60" s="345">
        <v>0</v>
      </c>
      <c r="H60" s="374">
        <f>Output_series!I64</f>
        <v>14.341742276918279</v>
      </c>
      <c r="I60" s="349">
        <v>85</v>
      </c>
      <c r="J60" s="349">
        <v>1</v>
      </c>
      <c r="K60" s="349">
        <v>2</v>
      </c>
      <c r="L60" s="349">
        <v>0.5</v>
      </c>
      <c r="M60" s="349">
        <v>2</v>
      </c>
      <c r="N60" s="349">
        <v>1</v>
      </c>
      <c r="O60" s="349">
        <v>15</v>
      </c>
      <c r="P60" s="349">
        <v>1</v>
      </c>
      <c r="Q60" s="349">
        <v>1</v>
      </c>
      <c r="S60"/>
    </row>
    <row r="61" spans="1:19" x14ac:dyDescent="0.25">
      <c r="A61" s="345">
        <v>48</v>
      </c>
      <c r="B61" s="345">
        <v>1</v>
      </c>
      <c r="C61" s="351">
        <v>19.399999999999999</v>
      </c>
      <c r="D61" s="345">
        <v>18.3</v>
      </c>
      <c r="E61" s="346">
        <v>7.7195369999999999</v>
      </c>
      <c r="F61" s="346">
        <v>14</v>
      </c>
      <c r="G61" s="345">
        <v>0</v>
      </c>
      <c r="H61" s="374">
        <f>Output_series!I65</f>
        <v>14.161030125684247</v>
      </c>
      <c r="I61" s="349">
        <v>85</v>
      </c>
      <c r="J61" s="349">
        <v>1</v>
      </c>
      <c r="K61" s="349">
        <v>2</v>
      </c>
      <c r="L61" s="349">
        <v>0.5</v>
      </c>
      <c r="M61" s="349">
        <v>2</v>
      </c>
      <c r="N61" s="349">
        <v>1</v>
      </c>
      <c r="O61" s="349">
        <v>15</v>
      </c>
      <c r="P61" s="349">
        <v>1</v>
      </c>
      <c r="Q61" s="349">
        <v>1</v>
      </c>
      <c r="S61"/>
    </row>
    <row r="62" spans="1:19" x14ac:dyDescent="0.25">
      <c r="A62" s="345">
        <v>49</v>
      </c>
      <c r="B62" s="345">
        <v>1</v>
      </c>
      <c r="C62" s="351">
        <v>17.600000000000001</v>
      </c>
      <c r="D62" s="345">
        <v>15.1</v>
      </c>
      <c r="E62" s="346">
        <v>7.6485760000000003</v>
      </c>
      <c r="F62" s="346">
        <v>14</v>
      </c>
      <c r="G62" s="345">
        <v>0</v>
      </c>
      <c r="H62" s="374">
        <f>Output_series!I66</f>
        <v>13.655611933382788</v>
      </c>
      <c r="I62" s="349">
        <v>85</v>
      </c>
      <c r="J62" s="349">
        <v>1</v>
      </c>
      <c r="K62" s="349">
        <v>2</v>
      </c>
      <c r="L62" s="349">
        <v>0.5</v>
      </c>
      <c r="M62" s="349">
        <v>2</v>
      </c>
      <c r="N62" s="349">
        <v>1</v>
      </c>
      <c r="O62" s="349">
        <v>15</v>
      </c>
      <c r="P62" s="349">
        <v>1</v>
      </c>
      <c r="Q62" s="349">
        <v>1</v>
      </c>
      <c r="S62"/>
    </row>
    <row r="63" spans="1:19" x14ac:dyDescent="0.25">
      <c r="A63" s="345">
        <v>50</v>
      </c>
      <c r="B63" s="345">
        <v>1</v>
      </c>
      <c r="C63" s="351">
        <v>17.3</v>
      </c>
      <c r="D63" s="345">
        <v>15.1</v>
      </c>
      <c r="E63" s="346">
        <v>7.6424989999999999</v>
      </c>
      <c r="F63" s="346">
        <v>14</v>
      </c>
      <c r="G63" s="345">
        <v>0</v>
      </c>
      <c r="H63" s="374">
        <f>Output_series!I67</f>
        <v>13.576973644451058</v>
      </c>
      <c r="I63" s="349">
        <v>85</v>
      </c>
      <c r="J63" s="349">
        <v>1</v>
      </c>
      <c r="K63" s="349">
        <v>2</v>
      </c>
      <c r="L63" s="349">
        <v>0.5</v>
      </c>
      <c r="M63" s="349">
        <v>2</v>
      </c>
      <c r="N63" s="349">
        <v>1</v>
      </c>
      <c r="O63" s="349">
        <v>15</v>
      </c>
      <c r="P63" s="349">
        <v>1</v>
      </c>
      <c r="Q63" s="349">
        <v>1</v>
      </c>
      <c r="S63"/>
    </row>
    <row r="64" spans="1:19" x14ac:dyDescent="0.25">
      <c r="A64" s="345">
        <v>51</v>
      </c>
      <c r="B64" s="345">
        <v>1</v>
      </c>
      <c r="C64" s="351">
        <v>16.5</v>
      </c>
      <c r="D64" s="345">
        <v>14.8</v>
      </c>
      <c r="E64" s="346">
        <v>7.6333860000000007</v>
      </c>
      <c r="F64" s="346">
        <v>14</v>
      </c>
      <c r="G64" s="345">
        <v>0</v>
      </c>
      <c r="H64" s="374">
        <f>Output_series!I68</f>
        <v>13.372920033423137</v>
      </c>
      <c r="I64" s="349">
        <v>85</v>
      </c>
      <c r="J64" s="349">
        <v>1</v>
      </c>
      <c r="K64" s="349">
        <v>2</v>
      </c>
      <c r="L64" s="349">
        <v>0.5</v>
      </c>
      <c r="M64" s="349">
        <v>2</v>
      </c>
      <c r="N64" s="349">
        <v>1</v>
      </c>
      <c r="O64" s="349">
        <v>15</v>
      </c>
      <c r="P64" s="349">
        <v>1</v>
      </c>
      <c r="Q64" s="349">
        <v>1</v>
      </c>
      <c r="S64"/>
    </row>
    <row r="65" spans="1:19" x14ac:dyDescent="0.25">
      <c r="A65" s="345">
        <v>52</v>
      </c>
      <c r="B65" s="345">
        <v>1</v>
      </c>
      <c r="C65" s="351">
        <v>15.8</v>
      </c>
      <c r="D65" s="345">
        <v>14.5</v>
      </c>
      <c r="E65" s="346">
        <v>7.6277989999999996</v>
      </c>
      <c r="F65" s="346">
        <v>14</v>
      </c>
      <c r="G65" s="345">
        <v>0</v>
      </c>
      <c r="H65" s="374">
        <f>Output_series!I69</f>
        <v>13.190798304285336</v>
      </c>
      <c r="I65" s="349">
        <v>85</v>
      </c>
      <c r="J65" s="349">
        <v>1</v>
      </c>
      <c r="K65" s="349">
        <v>2</v>
      </c>
      <c r="L65" s="349">
        <v>0.5</v>
      </c>
      <c r="M65" s="349">
        <v>2</v>
      </c>
      <c r="N65" s="349">
        <v>1</v>
      </c>
      <c r="O65" s="349">
        <v>15</v>
      </c>
      <c r="P65" s="349">
        <v>1</v>
      </c>
      <c r="Q65" s="349">
        <v>1</v>
      </c>
      <c r="S65"/>
    </row>
    <row r="66" spans="1:19" x14ac:dyDescent="0.25">
      <c r="A66" s="345">
        <v>53</v>
      </c>
      <c r="B66" s="345">
        <v>1</v>
      </c>
      <c r="C66" s="351">
        <v>15.2</v>
      </c>
      <c r="D66" s="345">
        <v>14.1</v>
      </c>
      <c r="E66" s="346">
        <v>7.6122060000000005</v>
      </c>
      <c r="F66" s="346">
        <v>14</v>
      </c>
      <c r="G66" s="345">
        <v>0</v>
      </c>
      <c r="H66" s="374">
        <f>Output_series!I70</f>
        <v>13.011649170604837</v>
      </c>
      <c r="I66" s="349">
        <v>85</v>
      </c>
      <c r="J66" s="349">
        <v>1</v>
      </c>
      <c r="K66" s="349">
        <v>2</v>
      </c>
      <c r="L66" s="349">
        <v>0.5</v>
      </c>
      <c r="M66" s="349">
        <v>2</v>
      </c>
      <c r="N66" s="349">
        <v>1</v>
      </c>
      <c r="O66" s="349">
        <v>15</v>
      </c>
      <c r="P66" s="349">
        <v>1</v>
      </c>
      <c r="Q66" s="349">
        <v>1</v>
      </c>
      <c r="S66"/>
    </row>
    <row r="67" spans="1:19" x14ac:dyDescent="0.25">
      <c r="A67" s="345">
        <v>54</v>
      </c>
      <c r="B67" s="345">
        <v>1</v>
      </c>
      <c r="C67" s="351">
        <v>14.4</v>
      </c>
      <c r="D67" s="345">
        <v>13.7</v>
      </c>
      <c r="E67" s="346">
        <v>7.5997209999999997</v>
      </c>
      <c r="F67" s="346">
        <v>14</v>
      </c>
      <c r="G67" s="345">
        <v>0</v>
      </c>
      <c r="H67" s="374">
        <f>Output_series!I71</f>
        <v>12.78462031759857</v>
      </c>
      <c r="I67" s="349">
        <v>85</v>
      </c>
      <c r="J67" s="349">
        <v>1</v>
      </c>
      <c r="K67" s="349">
        <v>2</v>
      </c>
      <c r="L67" s="349">
        <v>0.5</v>
      </c>
      <c r="M67" s="349">
        <v>2</v>
      </c>
      <c r="N67" s="349">
        <v>1</v>
      </c>
      <c r="O67" s="349">
        <v>15</v>
      </c>
      <c r="P67" s="349">
        <v>1</v>
      </c>
      <c r="Q67" s="349">
        <v>1</v>
      </c>
      <c r="S67"/>
    </row>
    <row r="68" spans="1:19" x14ac:dyDescent="0.25">
      <c r="A68" s="345">
        <v>55</v>
      </c>
      <c r="B68" s="345">
        <v>1</v>
      </c>
      <c r="C68" s="351">
        <v>14.5</v>
      </c>
      <c r="D68" s="345">
        <v>13.6</v>
      </c>
      <c r="E68" s="346">
        <v>5.5240179999999999</v>
      </c>
      <c r="F68" s="346">
        <v>14</v>
      </c>
      <c r="G68" s="345">
        <v>0</v>
      </c>
      <c r="H68" s="374">
        <f>Output_series!I72</f>
        <v>9.3114349659207729</v>
      </c>
      <c r="I68" s="349">
        <v>85</v>
      </c>
      <c r="J68" s="349">
        <v>1</v>
      </c>
      <c r="K68" s="349">
        <v>2</v>
      </c>
      <c r="L68" s="349">
        <v>0.5</v>
      </c>
      <c r="M68" s="349">
        <v>2</v>
      </c>
      <c r="N68" s="349">
        <v>1</v>
      </c>
      <c r="O68" s="349">
        <v>15</v>
      </c>
      <c r="P68" s="349">
        <v>1</v>
      </c>
      <c r="Q68" s="349">
        <v>1</v>
      </c>
      <c r="S68"/>
    </row>
    <row r="69" spans="1:19" x14ac:dyDescent="0.25">
      <c r="A69" s="345">
        <v>56</v>
      </c>
      <c r="B69" s="345">
        <v>1</v>
      </c>
      <c r="C69" s="351">
        <v>16.3</v>
      </c>
      <c r="D69" s="345">
        <v>14.6</v>
      </c>
      <c r="E69" s="346">
        <v>5.5577719999999999</v>
      </c>
      <c r="F69" s="346">
        <v>14</v>
      </c>
      <c r="G69" s="345">
        <v>0</v>
      </c>
      <c r="H69" s="374">
        <f>Output_series!I73</f>
        <v>9.7013007846052979</v>
      </c>
      <c r="I69" s="349">
        <v>85</v>
      </c>
      <c r="J69" s="349">
        <v>1</v>
      </c>
      <c r="K69" s="349">
        <v>2</v>
      </c>
      <c r="L69" s="349">
        <v>0.5</v>
      </c>
      <c r="M69" s="349">
        <v>2</v>
      </c>
      <c r="N69" s="349">
        <v>1</v>
      </c>
      <c r="O69" s="349">
        <v>15</v>
      </c>
      <c r="P69" s="349">
        <v>1</v>
      </c>
      <c r="Q69" s="349">
        <v>1</v>
      </c>
      <c r="S69"/>
    </row>
    <row r="70" spans="1:19" x14ac:dyDescent="0.25">
      <c r="A70" s="345">
        <v>57</v>
      </c>
      <c r="B70" s="345">
        <v>1</v>
      </c>
      <c r="C70" s="351">
        <v>17.8</v>
      </c>
      <c r="D70" s="345">
        <v>15.3</v>
      </c>
      <c r="E70" s="346">
        <v>5.5918850000000004</v>
      </c>
      <c r="F70" s="346">
        <v>14</v>
      </c>
      <c r="G70" s="345">
        <v>0</v>
      </c>
      <c r="H70" s="374">
        <f>Output_series!I74</f>
        <v>10.016083533393093</v>
      </c>
      <c r="I70" s="349">
        <v>85</v>
      </c>
      <c r="J70" s="349">
        <v>1</v>
      </c>
      <c r="K70" s="349">
        <v>2</v>
      </c>
      <c r="L70" s="349">
        <v>0.5</v>
      </c>
      <c r="M70" s="349">
        <v>2</v>
      </c>
      <c r="N70" s="349">
        <v>1</v>
      </c>
      <c r="O70" s="349">
        <v>15</v>
      </c>
      <c r="P70" s="349">
        <v>1</v>
      </c>
      <c r="Q70" s="349">
        <v>1</v>
      </c>
      <c r="S70"/>
    </row>
    <row r="71" spans="1:19" x14ac:dyDescent="0.25">
      <c r="A71" s="345">
        <v>58</v>
      </c>
      <c r="B71" s="345">
        <v>1</v>
      </c>
      <c r="C71" s="351">
        <v>19</v>
      </c>
      <c r="D71" s="345">
        <v>15.8</v>
      </c>
      <c r="E71" s="346">
        <v>6.0756069999999998</v>
      </c>
      <c r="F71" s="346">
        <v>14</v>
      </c>
      <c r="G71" s="345">
        <v>0</v>
      </c>
      <c r="H71" s="374">
        <f>Output_series!I75</f>
        <v>11.082774087134849</v>
      </c>
      <c r="I71" s="349">
        <v>85</v>
      </c>
      <c r="J71" s="349">
        <v>1</v>
      </c>
      <c r="K71" s="349">
        <v>2</v>
      </c>
      <c r="L71" s="349">
        <v>0.5</v>
      </c>
      <c r="M71" s="349">
        <v>2</v>
      </c>
      <c r="N71" s="349">
        <v>1</v>
      </c>
      <c r="O71" s="349">
        <v>15</v>
      </c>
      <c r="P71" s="349">
        <v>1</v>
      </c>
      <c r="Q71" s="349">
        <v>1</v>
      </c>
      <c r="S71"/>
    </row>
    <row r="72" spans="1:19" x14ac:dyDescent="0.25">
      <c r="A72" s="345">
        <v>59</v>
      </c>
      <c r="B72" s="345">
        <v>1</v>
      </c>
      <c r="C72" s="351">
        <v>20.5</v>
      </c>
      <c r="D72" s="345">
        <v>16</v>
      </c>
      <c r="E72" s="346">
        <v>8.9173500000000008</v>
      </c>
      <c r="F72" s="346">
        <v>14</v>
      </c>
      <c r="G72" s="345">
        <v>0</v>
      </c>
      <c r="H72" s="374">
        <f>Output_series!I76</f>
        <v>16.595931704522339</v>
      </c>
      <c r="I72" s="349">
        <v>85</v>
      </c>
      <c r="J72" s="349">
        <v>1</v>
      </c>
      <c r="K72" s="349">
        <v>2</v>
      </c>
      <c r="L72" s="349">
        <v>0.5</v>
      </c>
      <c r="M72" s="349">
        <v>2</v>
      </c>
      <c r="N72" s="349">
        <v>1</v>
      </c>
      <c r="O72" s="349">
        <v>15</v>
      </c>
      <c r="P72" s="349">
        <v>1</v>
      </c>
      <c r="Q72" s="349">
        <v>1</v>
      </c>
      <c r="S72"/>
    </row>
    <row r="73" spans="1:19" x14ac:dyDescent="0.25">
      <c r="A73" s="345">
        <v>60</v>
      </c>
      <c r="B73" s="345">
        <v>1</v>
      </c>
      <c r="C73" s="351">
        <v>21.8</v>
      </c>
      <c r="D73" s="345">
        <v>16.2</v>
      </c>
      <c r="E73" s="346">
        <v>18.141099999999998</v>
      </c>
      <c r="F73" s="346">
        <v>14</v>
      </c>
      <c r="G73" s="345">
        <v>0</v>
      </c>
      <c r="H73" s="374">
        <f>Output_series!I77</f>
        <v>34.280204344921586</v>
      </c>
      <c r="I73" s="349">
        <v>85</v>
      </c>
      <c r="J73" s="349">
        <v>1</v>
      </c>
      <c r="K73" s="349">
        <v>2</v>
      </c>
      <c r="L73" s="349">
        <v>0.5</v>
      </c>
      <c r="M73" s="349">
        <v>2</v>
      </c>
      <c r="N73" s="349">
        <v>1</v>
      </c>
      <c r="O73" s="349">
        <v>15</v>
      </c>
      <c r="P73" s="349">
        <v>1</v>
      </c>
      <c r="Q73" s="349">
        <v>1</v>
      </c>
      <c r="S73"/>
    </row>
    <row r="74" spans="1:19" x14ac:dyDescent="0.25">
      <c r="A74" s="345">
        <v>61</v>
      </c>
      <c r="B74" s="345">
        <v>1</v>
      </c>
      <c r="C74" s="351">
        <v>23</v>
      </c>
      <c r="D74" s="345">
        <v>16.5</v>
      </c>
      <c r="E74" s="346">
        <v>14.57667</v>
      </c>
      <c r="F74" s="346">
        <v>14</v>
      </c>
      <c r="G74" s="345">
        <v>0</v>
      </c>
      <c r="H74" s="374">
        <f>Output_series!I78</f>
        <v>25.536851177655372</v>
      </c>
      <c r="I74" s="349">
        <v>85</v>
      </c>
      <c r="J74" s="349">
        <v>1</v>
      </c>
      <c r="K74" s="349">
        <v>2</v>
      </c>
      <c r="L74" s="349">
        <v>0.5</v>
      </c>
      <c r="M74" s="349">
        <v>2</v>
      </c>
      <c r="N74" s="349">
        <v>1</v>
      </c>
      <c r="O74" s="349">
        <v>15</v>
      </c>
      <c r="P74" s="349">
        <v>1</v>
      </c>
      <c r="Q74" s="349">
        <v>1</v>
      </c>
      <c r="S74"/>
    </row>
    <row r="75" spans="1:19" x14ac:dyDescent="0.25">
      <c r="A75" s="345">
        <v>62</v>
      </c>
      <c r="B75" s="345">
        <v>1</v>
      </c>
      <c r="C75" s="351">
        <v>23.8</v>
      </c>
      <c r="D75" s="345">
        <v>16.899999999999999</v>
      </c>
      <c r="E75" s="346">
        <v>17.556090000000001</v>
      </c>
      <c r="F75" s="346">
        <v>14</v>
      </c>
      <c r="G75" s="345">
        <v>0</v>
      </c>
      <c r="H75" s="374">
        <f>Output_series!I79</f>
        <v>30.975533025967668</v>
      </c>
      <c r="I75" s="349">
        <v>85</v>
      </c>
      <c r="J75" s="349">
        <v>1</v>
      </c>
      <c r="K75" s="349">
        <v>2</v>
      </c>
      <c r="L75" s="349">
        <v>0.5</v>
      </c>
      <c r="M75" s="349">
        <v>2</v>
      </c>
      <c r="N75" s="349">
        <v>1</v>
      </c>
      <c r="O75" s="349">
        <v>15</v>
      </c>
      <c r="P75" s="349">
        <v>1</v>
      </c>
      <c r="Q75" s="349">
        <v>1</v>
      </c>
      <c r="S75"/>
    </row>
    <row r="76" spans="1:19" x14ac:dyDescent="0.25">
      <c r="A76" s="345">
        <v>63</v>
      </c>
      <c r="B76" s="345">
        <v>1</v>
      </c>
      <c r="C76" s="351">
        <v>24.3</v>
      </c>
      <c r="D76" s="345">
        <v>16.8</v>
      </c>
      <c r="E76" s="346">
        <v>27.2104</v>
      </c>
      <c r="F76" s="346">
        <v>14</v>
      </c>
      <c r="G76" s="345">
        <v>0</v>
      </c>
      <c r="H76" s="374">
        <f>Output_series!I80</f>
        <v>47.925344608714909</v>
      </c>
      <c r="I76" s="349">
        <v>85</v>
      </c>
      <c r="J76" s="349">
        <v>1</v>
      </c>
      <c r="K76" s="349">
        <v>2</v>
      </c>
      <c r="L76" s="349">
        <v>0.5</v>
      </c>
      <c r="M76" s="349">
        <v>2</v>
      </c>
      <c r="N76" s="349">
        <v>1</v>
      </c>
      <c r="O76" s="349">
        <v>15</v>
      </c>
      <c r="P76" s="349">
        <v>1</v>
      </c>
      <c r="Q76" s="349">
        <v>1</v>
      </c>
      <c r="S76"/>
    </row>
    <row r="77" spans="1:19" x14ac:dyDescent="0.25">
      <c r="A77" s="345">
        <v>64</v>
      </c>
      <c r="B77" s="345">
        <v>1</v>
      </c>
      <c r="C77" s="351">
        <v>24</v>
      </c>
      <c r="D77" s="345">
        <v>16.600000000000001</v>
      </c>
      <c r="E77" s="346">
        <v>13.710709999999999</v>
      </c>
      <c r="F77" s="346">
        <v>14</v>
      </c>
      <c r="G77" s="345">
        <v>0</v>
      </c>
      <c r="H77" s="374">
        <f>Output_series!I81</f>
        <v>24.062970593397193</v>
      </c>
      <c r="I77" s="349">
        <v>85</v>
      </c>
      <c r="J77" s="349">
        <v>1</v>
      </c>
      <c r="K77" s="349">
        <v>2</v>
      </c>
      <c r="L77" s="349">
        <v>0.5</v>
      </c>
      <c r="M77" s="349">
        <v>2</v>
      </c>
      <c r="N77" s="349">
        <v>1</v>
      </c>
      <c r="O77" s="349">
        <v>15</v>
      </c>
      <c r="P77" s="349">
        <v>1</v>
      </c>
      <c r="Q77" s="349">
        <v>1</v>
      </c>
      <c r="S77"/>
    </row>
    <row r="78" spans="1:19" x14ac:dyDescent="0.25">
      <c r="A78" s="345">
        <v>65</v>
      </c>
      <c r="B78" s="345">
        <v>1</v>
      </c>
      <c r="C78" s="351">
        <v>22.1</v>
      </c>
      <c r="D78" s="345">
        <v>16.2</v>
      </c>
      <c r="E78" s="346">
        <v>8.5627929999999992</v>
      </c>
      <c r="F78" s="346">
        <v>14</v>
      </c>
      <c r="G78" s="345">
        <v>0</v>
      </c>
      <c r="H78" s="374">
        <f>Output_series!I82</f>
        <v>14.919192999852637</v>
      </c>
      <c r="I78" s="349">
        <v>85</v>
      </c>
      <c r="J78" s="349">
        <v>1</v>
      </c>
      <c r="K78" s="349">
        <v>2</v>
      </c>
      <c r="L78" s="349">
        <v>0.5</v>
      </c>
      <c r="M78" s="349">
        <v>2</v>
      </c>
      <c r="N78" s="349">
        <v>1</v>
      </c>
      <c r="O78" s="349">
        <v>15</v>
      </c>
      <c r="P78" s="349">
        <v>1</v>
      </c>
      <c r="Q78" s="349">
        <v>1</v>
      </c>
      <c r="S78"/>
    </row>
    <row r="79" spans="1:19" x14ac:dyDescent="0.25">
      <c r="A79" s="345">
        <v>66</v>
      </c>
      <c r="B79" s="345">
        <v>1</v>
      </c>
      <c r="C79" s="351">
        <v>19.100000000000001</v>
      </c>
      <c r="D79" s="345">
        <v>15.2</v>
      </c>
      <c r="E79" s="346">
        <v>6.0824099999999994</v>
      </c>
      <c r="F79" s="346">
        <v>14</v>
      </c>
      <c r="G79" s="345">
        <v>0</v>
      </c>
      <c r="H79" s="374">
        <f>Output_series!I83</f>
        <v>11.111034171121657</v>
      </c>
      <c r="I79" s="349">
        <v>85</v>
      </c>
      <c r="J79" s="349">
        <v>1</v>
      </c>
      <c r="K79" s="349">
        <v>2</v>
      </c>
      <c r="L79" s="349">
        <v>0.5</v>
      </c>
      <c r="M79" s="349">
        <v>2</v>
      </c>
      <c r="N79" s="349">
        <v>1</v>
      </c>
      <c r="O79" s="349">
        <v>15</v>
      </c>
      <c r="P79" s="349">
        <v>1</v>
      </c>
      <c r="Q79" s="349">
        <v>1</v>
      </c>
      <c r="S79"/>
    </row>
    <row r="80" spans="1:19" x14ac:dyDescent="0.25">
      <c r="A80" s="345">
        <v>67</v>
      </c>
      <c r="B80" s="345">
        <v>1</v>
      </c>
      <c r="C80" s="351">
        <v>16.399999999999999</v>
      </c>
      <c r="D80" s="345">
        <v>14.5</v>
      </c>
      <c r="E80" s="346">
        <v>5.5891380000000002</v>
      </c>
      <c r="F80" s="346">
        <v>14</v>
      </c>
      <c r="G80" s="345">
        <v>0</v>
      </c>
      <c r="H80" s="374">
        <f>Output_series!I84</f>
        <v>9.773883303904821</v>
      </c>
      <c r="I80" s="349">
        <v>85</v>
      </c>
      <c r="J80" s="349">
        <v>1</v>
      </c>
      <c r="K80" s="349">
        <v>2</v>
      </c>
      <c r="L80" s="349">
        <v>0.5</v>
      </c>
      <c r="M80" s="349">
        <v>2</v>
      </c>
      <c r="N80" s="349">
        <v>1</v>
      </c>
      <c r="O80" s="349">
        <v>15</v>
      </c>
      <c r="P80" s="349">
        <v>1</v>
      </c>
      <c r="Q80" s="349">
        <v>1</v>
      </c>
      <c r="S80"/>
    </row>
    <row r="81" spans="1:19" x14ac:dyDescent="0.25">
      <c r="A81" s="345">
        <v>68</v>
      </c>
      <c r="B81" s="345">
        <v>1</v>
      </c>
      <c r="C81" s="351">
        <v>15.1</v>
      </c>
      <c r="D81" s="345">
        <v>14</v>
      </c>
      <c r="E81" s="346">
        <v>7.6586000000000007</v>
      </c>
      <c r="F81" s="346">
        <v>14</v>
      </c>
      <c r="G81" s="345">
        <v>0</v>
      </c>
      <c r="H81" s="374">
        <f>Output_series!I85</f>
        <v>13.065129648637486</v>
      </c>
      <c r="I81" s="349">
        <v>85</v>
      </c>
      <c r="J81" s="349">
        <v>1</v>
      </c>
      <c r="K81" s="349">
        <v>2</v>
      </c>
      <c r="L81" s="349">
        <v>0.5</v>
      </c>
      <c r="M81" s="349">
        <v>2</v>
      </c>
      <c r="N81" s="349">
        <v>1</v>
      </c>
      <c r="O81" s="349">
        <v>15</v>
      </c>
      <c r="P81" s="349">
        <v>1</v>
      </c>
      <c r="Q81" s="349">
        <v>1</v>
      </c>
      <c r="S81"/>
    </row>
    <row r="82" spans="1:19" x14ac:dyDescent="0.25">
      <c r="A82" s="345">
        <v>69</v>
      </c>
      <c r="B82" s="345">
        <v>1</v>
      </c>
      <c r="C82" s="351">
        <v>14.1</v>
      </c>
      <c r="D82" s="345">
        <v>13.3</v>
      </c>
      <c r="E82" s="346">
        <v>7.6501229999999998</v>
      </c>
      <c r="F82" s="346">
        <v>14</v>
      </c>
      <c r="G82" s="345">
        <v>0</v>
      </c>
      <c r="H82" s="374">
        <f>Output_series!I86</f>
        <v>12.792425858015797</v>
      </c>
      <c r="I82" s="349">
        <v>85</v>
      </c>
      <c r="J82" s="349">
        <v>1</v>
      </c>
      <c r="K82" s="349">
        <v>2</v>
      </c>
      <c r="L82" s="349">
        <v>0.5</v>
      </c>
      <c r="M82" s="349">
        <v>2</v>
      </c>
      <c r="N82" s="349">
        <v>1</v>
      </c>
      <c r="O82" s="349">
        <v>15</v>
      </c>
      <c r="P82" s="349">
        <v>1</v>
      </c>
      <c r="Q82" s="349">
        <v>1</v>
      </c>
      <c r="S82"/>
    </row>
    <row r="83" spans="1:19" x14ac:dyDescent="0.25">
      <c r="A83" s="345">
        <v>70</v>
      </c>
      <c r="B83" s="345">
        <v>1</v>
      </c>
      <c r="C83" s="351">
        <v>13.2</v>
      </c>
      <c r="D83" s="345">
        <v>12.7</v>
      </c>
      <c r="E83" s="346">
        <v>7.6361999999999997</v>
      </c>
      <c r="F83" s="346">
        <v>14</v>
      </c>
      <c r="G83" s="345">
        <v>0</v>
      </c>
      <c r="H83" s="374">
        <f>Output_series!I87</f>
        <v>12.552226726004163</v>
      </c>
      <c r="I83" s="349">
        <v>85</v>
      </c>
      <c r="J83" s="349">
        <v>1</v>
      </c>
      <c r="K83" s="349">
        <v>2</v>
      </c>
      <c r="L83" s="349">
        <v>0.5</v>
      </c>
      <c r="M83" s="349">
        <v>2</v>
      </c>
      <c r="N83" s="349">
        <v>1</v>
      </c>
      <c r="O83" s="349">
        <v>15</v>
      </c>
      <c r="P83" s="349">
        <v>1</v>
      </c>
      <c r="Q83" s="349">
        <v>1</v>
      </c>
      <c r="S83"/>
    </row>
    <row r="84" spans="1:19" x14ac:dyDescent="0.25">
      <c r="A84" s="345">
        <v>71</v>
      </c>
      <c r="B84" s="345">
        <v>1</v>
      </c>
      <c r="C84" s="351">
        <v>12.3</v>
      </c>
      <c r="D84" s="345">
        <v>11.8</v>
      </c>
      <c r="E84" s="346">
        <v>7.627135</v>
      </c>
      <c r="F84" s="346">
        <v>14</v>
      </c>
      <c r="G84" s="345">
        <v>0</v>
      </c>
      <c r="H84" s="374">
        <f>Output_series!I88</f>
        <v>0</v>
      </c>
      <c r="I84" s="349">
        <v>85</v>
      </c>
      <c r="J84" s="349">
        <v>1</v>
      </c>
      <c r="K84" s="349">
        <v>2</v>
      </c>
      <c r="L84" s="349">
        <v>0.5</v>
      </c>
      <c r="M84" s="349">
        <v>2</v>
      </c>
      <c r="N84" s="349">
        <v>1</v>
      </c>
      <c r="O84" s="349">
        <v>15</v>
      </c>
      <c r="P84" s="349">
        <v>1</v>
      </c>
      <c r="Q84" s="349">
        <v>1</v>
      </c>
      <c r="S84"/>
    </row>
    <row r="85" spans="1:19" x14ac:dyDescent="0.25">
      <c r="A85" s="345">
        <v>72</v>
      </c>
      <c r="B85" s="345">
        <v>1</v>
      </c>
      <c r="C85" s="351">
        <v>11.8</v>
      </c>
      <c r="D85" s="345">
        <v>11.4</v>
      </c>
      <c r="E85" s="346">
        <v>7.6207719999999997</v>
      </c>
      <c r="F85" s="346">
        <v>14</v>
      </c>
      <c r="G85" s="345">
        <v>0</v>
      </c>
      <c r="H85" s="374">
        <f>Output_series!I89</f>
        <v>0</v>
      </c>
      <c r="I85" s="349">
        <v>85</v>
      </c>
      <c r="J85" s="349">
        <v>1</v>
      </c>
      <c r="K85" s="349">
        <v>2</v>
      </c>
      <c r="L85" s="349">
        <v>0.5</v>
      </c>
      <c r="M85" s="349">
        <v>2</v>
      </c>
      <c r="N85" s="349">
        <v>1</v>
      </c>
      <c r="O85" s="349">
        <v>15</v>
      </c>
      <c r="P85" s="349">
        <v>1</v>
      </c>
      <c r="Q85" s="349">
        <v>1</v>
      </c>
      <c r="S85"/>
    </row>
    <row r="86" spans="1:19" x14ac:dyDescent="0.25">
      <c r="S86"/>
    </row>
    <row r="87" spans="1:19" x14ac:dyDescent="0.25">
      <c r="S87"/>
    </row>
    <row r="88" spans="1:19" x14ac:dyDescent="0.25">
      <c r="S88"/>
    </row>
    <row r="89" spans="1:19" x14ac:dyDescent="0.25">
      <c r="S89"/>
    </row>
    <row r="90" spans="1:19" x14ac:dyDescent="0.25">
      <c r="S90"/>
    </row>
    <row r="91" spans="1:19" x14ac:dyDescent="0.25">
      <c r="S91"/>
    </row>
    <row r="92" spans="1:19" x14ac:dyDescent="0.25">
      <c r="S92"/>
    </row>
    <row r="93" spans="1:19" x14ac:dyDescent="0.25">
      <c r="S93"/>
    </row>
    <row r="94" spans="1:19" x14ac:dyDescent="0.25">
      <c r="S94"/>
    </row>
    <row r="95" spans="1:19" x14ac:dyDescent="0.25">
      <c r="S95"/>
    </row>
    <row r="96" spans="1:19" x14ac:dyDescent="0.25">
      <c r="S96"/>
    </row>
    <row r="97" spans="19:19" x14ac:dyDescent="0.25">
      <c r="S97"/>
    </row>
    <row r="98" spans="19:19" x14ac:dyDescent="0.25">
      <c r="S98"/>
    </row>
    <row r="99" spans="19:19" x14ac:dyDescent="0.25">
      <c r="S99"/>
    </row>
    <row r="100" spans="19:19" x14ac:dyDescent="0.25">
      <c r="S100"/>
    </row>
    <row r="101" spans="19:19" x14ac:dyDescent="0.25">
      <c r="S101"/>
    </row>
    <row r="102" spans="19:19" x14ac:dyDescent="0.25">
      <c r="S102"/>
    </row>
    <row r="103" spans="19:19" x14ac:dyDescent="0.25">
      <c r="S103"/>
    </row>
    <row r="104" spans="19:19" x14ac:dyDescent="0.25">
      <c r="S104"/>
    </row>
    <row r="105" spans="19:19" x14ac:dyDescent="0.25">
      <c r="S105"/>
    </row>
    <row r="106" spans="19:19" x14ac:dyDescent="0.25">
      <c r="S106"/>
    </row>
    <row r="107" spans="19:19" x14ac:dyDescent="0.25">
      <c r="S107"/>
    </row>
    <row r="108" spans="19:19" x14ac:dyDescent="0.25">
      <c r="S108"/>
    </row>
    <row r="109" spans="19:19" x14ac:dyDescent="0.25">
      <c r="S109"/>
    </row>
    <row r="110" spans="19:19" x14ac:dyDescent="0.25">
      <c r="S110"/>
    </row>
    <row r="111" spans="19:19" x14ac:dyDescent="0.25">
      <c r="S111"/>
    </row>
    <row r="112" spans="19:19" x14ac:dyDescent="0.25">
      <c r="S112"/>
    </row>
    <row r="113" spans="19:19" x14ac:dyDescent="0.25">
      <c r="S113"/>
    </row>
    <row r="114" spans="19:19" x14ac:dyDescent="0.25">
      <c r="S114"/>
    </row>
    <row r="115" spans="19:19" x14ac:dyDescent="0.25">
      <c r="S115"/>
    </row>
    <row r="116" spans="19:19" x14ac:dyDescent="0.25">
      <c r="S116"/>
    </row>
    <row r="117" spans="19:19" x14ac:dyDescent="0.25">
      <c r="S117"/>
    </row>
    <row r="118" spans="19:19" x14ac:dyDescent="0.25">
      <c r="S118"/>
    </row>
    <row r="119" spans="19:19" x14ac:dyDescent="0.25">
      <c r="S119"/>
    </row>
    <row r="120" spans="19:19" x14ac:dyDescent="0.25">
      <c r="S120"/>
    </row>
    <row r="121" spans="19:19" x14ac:dyDescent="0.25">
      <c r="S121"/>
    </row>
    <row r="122" spans="19:19" x14ac:dyDescent="0.25">
      <c r="S122"/>
    </row>
    <row r="123" spans="19:19" x14ac:dyDescent="0.25">
      <c r="S123"/>
    </row>
    <row r="124" spans="19:19" x14ac:dyDescent="0.25">
      <c r="S124"/>
    </row>
    <row r="125" spans="19:19" x14ac:dyDescent="0.25">
      <c r="S125"/>
    </row>
    <row r="126" spans="19:19" x14ac:dyDescent="0.25">
      <c r="S126"/>
    </row>
    <row r="127" spans="19:19" x14ac:dyDescent="0.25">
      <c r="S127"/>
    </row>
    <row r="128" spans="19:19" x14ac:dyDescent="0.25">
      <c r="S128"/>
    </row>
    <row r="129" spans="19:19" x14ac:dyDescent="0.25">
      <c r="S129"/>
    </row>
    <row r="130" spans="19:19" x14ac:dyDescent="0.25">
      <c r="S130"/>
    </row>
    <row r="131" spans="19:19" x14ac:dyDescent="0.25">
      <c r="S131"/>
    </row>
    <row r="132" spans="19:19" x14ac:dyDescent="0.25">
      <c r="S132"/>
    </row>
    <row r="133" spans="19:19" x14ac:dyDescent="0.25">
      <c r="S133"/>
    </row>
    <row r="134" spans="19:19" x14ac:dyDescent="0.25">
      <c r="S134"/>
    </row>
    <row r="135" spans="19:19" x14ac:dyDescent="0.25">
      <c r="S135"/>
    </row>
    <row r="136" spans="19:19" x14ac:dyDescent="0.25">
      <c r="S136"/>
    </row>
    <row r="137" spans="19:19" x14ac:dyDescent="0.25">
      <c r="S137"/>
    </row>
    <row r="138" spans="19:19" x14ac:dyDescent="0.25">
      <c r="S138"/>
    </row>
    <row r="139" spans="19:19" x14ac:dyDescent="0.25">
      <c r="S139"/>
    </row>
    <row r="140" spans="19:19" x14ac:dyDescent="0.25">
      <c r="S140"/>
    </row>
    <row r="141" spans="19:19" x14ac:dyDescent="0.25">
      <c r="S141"/>
    </row>
    <row r="142" spans="19:19" x14ac:dyDescent="0.25">
      <c r="S142"/>
    </row>
    <row r="143" spans="19:19" x14ac:dyDescent="0.25">
      <c r="S143"/>
    </row>
    <row r="144" spans="19:19" x14ac:dyDescent="0.25">
      <c r="S144"/>
    </row>
    <row r="145" spans="19:19" x14ac:dyDescent="0.25">
      <c r="S145"/>
    </row>
    <row r="146" spans="19:19" x14ac:dyDescent="0.25">
      <c r="S146"/>
    </row>
    <row r="147" spans="19:19" x14ac:dyDescent="0.25">
      <c r="S147"/>
    </row>
    <row r="148" spans="19:19" x14ac:dyDescent="0.25">
      <c r="S148"/>
    </row>
    <row r="149" spans="19:19" x14ac:dyDescent="0.25">
      <c r="S149"/>
    </row>
    <row r="150" spans="19:19" x14ac:dyDescent="0.25">
      <c r="S150"/>
    </row>
    <row r="151" spans="19:19" x14ac:dyDescent="0.25">
      <c r="S151"/>
    </row>
    <row r="152" spans="19:19" x14ac:dyDescent="0.25">
      <c r="S152"/>
    </row>
    <row r="153" spans="19:19" x14ac:dyDescent="0.25">
      <c r="S153"/>
    </row>
    <row r="154" spans="19:19" x14ac:dyDescent="0.25">
      <c r="S154"/>
    </row>
    <row r="155" spans="19:19" x14ac:dyDescent="0.25">
      <c r="S155"/>
    </row>
    <row r="156" spans="19:19" x14ac:dyDescent="0.25">
      <c r="S156"/>
    </row>
    <row r="157" spans="19:19" x14ac:dyDescent="0.25">
      <c r="S157"/>
    </row>
    <row r="158" spans="19:19" x14ac:dyDescent="0.25">
      <c r="S158"/>
    </row>
    <row r="159" spans="19:19" x14ac:dyDescent="0.25">
      <c r="S159"/>
    </row>
    <row r="160" spans="19:19" x14ac:dyDescent="0.25">
      <c r="S160"/>
    </row>
    <row r="161" spans="19:19" x14ac:dyDescent="0.25">
      <c r="S161"/>
    </row>
    <row r="162" spans="19:19" x14ac:dyDescent="0.25">
      <c r="S162"/>
    </row>
    <row r="163" spans="19:19" x14ac:dyDescent="0.25">
      <c r="S163"/>
    </row>
    <row r="164" spans="19:19" x14ac:dyDescent="0.25">
      <c r="S164"/>
    </row>
    <row r="165" spans="19:19" x14ac:dyDescent="0.25">
      <c r="S165"/>
    </row>
    <row r="166" spans="19:19" x14ac:dyDescent="0.25">
      <c r="S166"/>
    </row>
    <row r="167" spans="19:19" x14ac:dyDescent="0.25">
      <c r="S167"/>
    </row>
    <row r="168" spans="19:19" x14ac:dyDescent="0.25">
      <c r="S168"/>
    </row>
    <row r="169" spans="19:19" x14ac:dyDescent="0.25">
      <c r="S169"/>
    </row>
    <row r="170" spans="19:19" x14ac:dyDescent="0.25">
      <c r="S170"/>
    </row>
    <row r="171" spans="19:19" x14ac:dyDescent="0.25">
      <c r="S171"/>
    </row>
    <row r="172" spans="19:19" x14ac:dyDescent="0.25">
      <c r="S172"/>
    </row>
    <row r="173" spans="19:19" x14ac:dyDescent="0.25">
      <c r="S173"/>
    </row>
    <row r="174" spans="19:19" x14ac:dyDescent="0.25">
      <c r="S174"/>
    </row>
    <row r="175" spans="19:19" x14ac:dyDescent="0.25">
      <c r="S175"/>
    </row>
    <row r="176" spans="19:19" x14ac:dyDescent="0.25">
      <c r="S176"/>
    </row>
    <row r="177" spans="19:19" x14ac:dyDescent="0.25">
      <c r="S177"/>
    </row>
    <row r="178" spans="19:19" x14ac:dyDescent="0.25">
      <c r="S178"/>
    </row>
    <row r="179" spans="19:19" x14ac:dyDescent="0.25">
      <c r="S179"/>
    </row>
    <row r="180" spans="19:19" x14ac:dyDescent="0.25">
      <c r="S180"/>
    </row>
    <row r="181" spans="19:19" x14ac:dyDescent="0.25">
      <c r="S181"/>
    </row>
    <row r="182" spans="19:19" x14ac:dyDescent="0.25">
      <c r="S182"/>
    </row>
    <row r="183" spans="19:19" x14ac:dyDescent="0.25">
      <c r="S183"/>
    </row>
    <row r="184" spans="19:19" x14ac:dyDescent="0.25">
      <c r="S184"/>
    </row>
    <row r="185" spans="19:19" x14ac:dyDescent="0.25">
      <c r="S185"/>
    </row>
    <row r="186" spans="19:19" x14ac:dyDescent="0.25">
      <c r="S186"/>
    </row>
    <row r="187" spans="19:19" x14ac:dyDescent="0.25">
      <c r="S187"/>
    </row>
    <row r="188" spans="19:19" x14ac:dyDescent="0.25">
      <c r="S188"/>
    </row>
    <row r="189" spans="19:19" x14ac:dyDescent="0.25">
      <c r="S189"/>
    </row>
    <row r="190" spans="19:19" x14ac:dyDescent="0.25">
      <c r="S190"/>
    </row>
    <row r="191" spans="19:19" x14ac:dyDescent="0.25">
      <c r="S191"/>
    </row>
    <row r="192" spans="19:19" x14ac:dyDescent="0.25">
      <c r="S192"/>
    </row>
    <row r="193" spans="19:19" x14ac:dyDescent="0.25">
      <c r="S193"/>
    </row>
    <row r="194" spans="19:19" x14ac:dyDescent="0.25">
      <c r="S194"/>
    </row>
    <row r="195" spans="19:19" x14ac:dyDescent="0.25">
      <c r="S195"/>
    </row>
    <row r="196" spans="19:19" x14ac:dyDescent="0.25">
      <c r="S196"/>
    </row>
    <row r="197" spans="19:19" x14ac:dyDescent="0.25">
      <c r="S197"/>
    </row>
    <row r="198" spans="19:19" x14ac:dyDescent="0.25">
      <c r="S198"/>
    </row>
    <row r="199" spans="19:19" x14ac:dyDescent="0.25">
      <c r="S199"/>
    </row>
    <row r="200" spans="19:19" x14ac:dyDescent="0.25">
      <c r="S200"/>
    </row>
    <row r="201" spans="19:19" x14ac:dyDescent="0.25">
      <c r="S201"/>
    </row>
    <row r="202" spans="19:19" x14ac:dyDescent="0.25">
      <c r="S202"/>
    </row>
    <row r="203" spans="19:19" x14ac:dyDescent="0.25">
      <c r="S203"/>
    </row>
    <row r="204" spans="19:19" x14ac:dyDescent="0.25">
      <c r="S204"/>
    </row>
    <row r="205" spans="19:19" x14ac:dyDescent="0.25">
      <c r="S205"/>
    </row>
  </sheetData>
  <mergeCells count="1">
    <mergeCell ref="A1:G1"/>
  </mergeCells>
  <phoneticPr fontId="0" type="noConversion"/>
  <pageMargins left="0.75" right="0.75" top="1" bottom="1" header="0.5" footer="0.5"/>
  <pageSetup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I81"/>
  <sheetViews>
    <sheetView topLeftCell="D1" workbookViewId="0">
      <selection activeCell="D16" sqref="D16"/>
    </sheetView>
  </sheetViews>
  <sheetFormatPr baseColWidth="10" defaultColWidth="9.109375" defaultRowHeight="13.2" x14ac:dyDescent="0.25"/>
  <cols>
    <col min="1" max="1" width="43.44140625" style="8" customWidth="1"/>
    <col min="2" max="2" width="17.21875" style="2" customWidth="1"/>
    <col min="3" max="3" width="9.109375" style="2"/>
    <col min="4" max="4" width="14" style="2" customWidth="1"/>
    <col min="5" max="5" width="12.33203125" style="2" customWidth="1"/>
    <col min="6" max="7" width="9.109375" style="2"/>
    <col min="8" max="8" width="55" style="2" customWidth="1"/>
    <col min="9" max="16384" width="9.109375" style="2"/>
  </cols>
  <sheetData>
    <row r="1" spans="1:9" ht="76.5" customHeight="1" thickBot="1" x14ac:dyDescent="0.3">
      <c r="A1" s="475" t="s">
        <v>198</v>
      </c>
      <c r="B1" s="476"/>
      <c r="C1" s="476"/>
      <c r="D1" s="476"/>
      <c r="E1" s="476"/>
      <c r="F1" s="476"/>
      <c r="G1" s="476"/>
      <c r="H1" s="477"/>
    </row>
    <row r="2" spans="1:9" x14ac:dyDescent="0.25">
      <c r="A2" s="2"/>
    </row>
    <row r="3" spans="1:9" ht="13.8" thickBot="1" x14ac:dyDescent="0.3"/>
    <row r="4" spans="1:9" ht="23.25" customHeight="1" thickBot="1" x14ac:dyDescent="0.3">
      <c r="A4" s="194" t="s">
        <v>5</v>
      </c>
      <c r="B4" s="195" t="s">
        <v>9</v>
      </c>
      <c r="C4" s="195" t="s">
        <v>1</v>
      </c>
      <c r="D4" s="195" t="s">
        <v>6</v>
      </c>
      <c r="E4" s="195" t="s">
        <v>54</v>
      </c>
      <c r="F4" s="195" t="s">
        <v>2</v>
      </c>
      <c r="G4" s="195" t="s">
        <v>56</v>
      </c>
      <c r="H4" s="196" t="s">
        <v>8</v>
      </c>
    </row>
    <row r="5" spans="1:9" ht="19.5" customHeight="1" x14ac:dyDescent="0.25">
      <c r="A5" s="267" t="s">
        <v>191</v>
      </c>
      <c r="B5" s="32"/>
      <c r="C5" s="32"/>
      <c r="D5" s="205" t="s">
        <v>368</v>
      </c>
      <c r="E5" s="205" t="s">
        <v>369</v>
      </c>
      <c r="F5" s="32"/>
      <c r="G5" s="33"/>
      <c r="H5" s="268"/>
    </row>
    <row r="6" spans="1:9" ht="15.6" x14ac:dyDescent="0.25">
      <c r="A6" s="269" t="s">
        <v>262</v>
      </c>
      <c r="B6" s="30" t="s">
        <v>263</v>
      </c>
      <c r="C6" s="205" t="s">
        <v>43</v>
      </c>
      <c r="D6" s="206">
        <v>1</v>
      </c>
      <c r="E6" s="261"/>
      <c r="F6" s="205" t="s">
        <v>284</v>
      </c>
      <c r="G6" s="205" t="s">
        <v>288</v>
      </c>
      <c r="H6" s="229"/>
      <c r="I6" s="13"/>
    </row>
    <row r="7" spans="1:9" ht="15.6" x14ac:dyDescent="0.25">
      <c r="A7" s="269" t="s">
        <v>264</v>
      </c>
      <c r="B7" s="30" t="s">
        <v>265</v>
      </c>
      <c r="C7" s="205" t="s">
        <v>40</v>
      </c>
      <c r="D7" s="206">
        <v>11.8</v>
      </c>
      <c r="E7" s="261"/>
      <c r="F7" s="205" t="s">
        <v>285</v>
      </c>
      <c r="G7" s="205" t="s">
        <v>232</v>
      </c>
      <c r="H7" s="229"/>
      <c r="I7" s="20"/>
    </row>
    <row r="8" spans="1:9" ht="15.6" x14ac:dyDescent="0.25">
      <c r="A8" s="269" t="s">
        <v>266</v>
      </c>
      <c r="B8" s="30" t="s">
        <v>267</v>
      </c>
      <c r="C8" s="205" t="s">
        <v>40</v>
      </c>
      <c r="D8" s="206">
        <v>11.4</v>
      </c>
      <c r="E8" s="261"/>
      <c r="F8" s="205" t="s">
        <v>285</v>
      </c>
      <c r="G8" s="205" t="s">
        <v>232</v>
      </c>
      <c r="H8" s="229"/>
      <c r="I8" s="20"/>
    </row>
    <row r="9" spans="1:9" ht="26.4" x14ac:dyDescent="0.25">
      <c r="A9" s="376" t="s">
        <v>268</v>
      </c>
      <c r="B9" s="377" t="s">
        <v>269</v>
      </c>
      <c r="C9" s="378" t="s">
        <v>10</v>
      </c>
      <c r="D9" s="466">
        <f>[2]Method_output!$D$25</f>
        <v>19.062529781112353</v>
      </c>
      <c r="E9" s="383"/>
      <c r="F9" s="464" t="s">
        <v>259</v>
      </c>
      <c r="G9" s="378" t="s">
        <v>232</v>
      </c>
      <c r="H9" s="465" t="s">
        <v>638</v>
      </c>
      <c r="I9" s="20"/>
    </row>
    <row r="10" spans="1:9" ht="26.4" x14ac:dyDescent="0.25">
      <c r="A10" s="259" t="s">
        <v>270</v>
      </c>
      <c r="B10" s="30" t="s">
        <v>271</v>
      </c>
      <c r="C10" s="205" t="s">
        <v>40</v>
      </c>
      <c r="D10" s="466">
        <f>[2]Method_output!$D$27</f>
        <v>11.399999999999999</v>
      </c>
      <c r="E10" s="261"/>
      <c r="F10" s="464" t="s">
        <v>259</v>
      </c>
      <c r="G10" s="205" t="s">
        <v>232</v>
      </c>
      <c r="H10" s="465" t="s">
        <v>639</v>
      </c>
      <c r="I10" s="20"/>
    </row>
    <row r="11" spans="1:9" ht="15.6" x14ac:dyDescent="0.25">
      <c r="A11" s="269" t="s">
        <v>272</v>
      </c>
      <c r="B11" s="30" t="s">
        <v>273</v>
      </c>
      <c r="C11" s="205" t="s">
        <v>10</v>
      </c>
      <c r="D11" s="206">
        <v>0</v>
      </c>
      <c r="E11" s="261"/>
      <c r="F11" s="270" t="s">
        <v>260</v>
      </c>
      <c r="G11" s="205" t="s">
        <v>232</v>
      </c>
      <c r="H11" s="229"/>
    </row>
    <row r="12" spans="1:9" ht="15.6" x14ac:dyDescent="0.25">
      <c r="A12" s="382" t="s">
        <v>237</v>
      </c>
      <c r="B12" s="377" t="s">
        <v>274</v>
      </c>
      <c r="C12" s="378" t="s">
        <v>10</v>
      </c>
      <c r="D12" s="206">
        <v>0</v>
      </c>
      <c r="E12" s="383"/>
      <c r="F12" s="384" t="s">
        <v>260</v>
      </c>
      <c r="G12" s="378" t="s">
        <v>232</v>
      </c>
      <c r="H12" s="385" t="s">
        <v>528</v>
      </c>
    </row>
    <row r="13" spans="1:9" ht="26.4" x14ac:dyDescent="0.25">
      <c r="A13" s="269" t="s">
        <v>275</v>
      </c>
      <c r="B13" s="30" t="s">
        <v>276</v>
      </c>
      <c r="C13" s="205" t="s">
        <v>40</v>
      </c>
      <c r="D13" s="206">
        <v>85</v>
      </c>
      <c r="E13" s="336"/>
      <c r="F13" s="270" t="s">
        <v>260</v>
      </c>
      <c r="G13" s="205" t="s">
        <v>232</v>
      </c>
      <c r="H13" s="4"/>
    </row>
    <row r="14" spans="1:9" s="296" customFormat="1" ht="26.4" x14ac:dyDescent="0.25">
      <c r="A14" s="321" t="s">
        <v>448</v>
      </c>
      <c r="B14" s="31" t="s">
        <v>449</v>
      </c>
      <c r="C14" s="205" t="s">
        <v>450</v>
      </c>
      <c r="D14" s="472">
        <v>1</v>
      </c>
      <c r="E14" s="297"/>
      <c r="F14" s="473" t="s">
        <v>451</v>
      </c>
      <c r="G14" s="205" t="s">
        <v>452</v>
      </c>
      <c r="H14" s="473" t="s">
        <v>640</v>
      </c>
    </row>
    <row r="15" spans="1:9" s="330" customFormat="1" ht="15.6" x14ac:dyDescent="0.25">
      <c r="A15" s="269" t="s">
        <v>506</v>
      </c>
      <c r="B15" s="30" t="s">
        <v>507</v>
      </c>
      <c r="C15" s="205" t="s">
        <v>10</v>
      </c>
      <c r="D15" s="466">
        <f>[3]Method_output!$D$12</f>
        <v>-0.42484655172413799</v>
      </c>
      <c r="E15" s="329"/>
      <c r="F15" s="474" t="s">
        <v>451</v>
      </c>
      <c r="G15" s="205" t="s">
        <v>452</v>
      </c>
      <c r="H15" s="465" t="s">
        <v>641</v>
      </c>
    </row>
    <row r="16" spans="1:9" s="330" customFormat="1" ht="26.4" x14ac:dyDescent="0.25">
      <c r="A16" s="321" t="s">
        <v>508</v>
      </c>
      <c r="B16" s="30" t="s">
        <v>509</v>
      </c>
      <c r="C16" s="205" t="s">
        <v>10</v>
      </c>
      <c r="D16" s="466">
        <f>[3]Method_output!$D$25</f>
        <v>5.0168912102575552E-3</v>
      </c>
      <c r="E16" s="329"/>
      <c r="F16" s="464" t="s">
        <v>451</v>
      </c>
      <c r="G16" s="205" t="s">
        <v>452</v>
      </c>
      <c r="H16" s="464" t="s">
        <v>642</v>
      </c>
    </row>
    <row r="17" spans="1:8" ht="15" customHeight="1" x14ac:dyDescent="0.25">
      <c r="A17" s="314" t="s">
        <v>366</v>
      </c>
      <c r="B17" s="69" t="s">
        <v>277</v>
      </c>
      <c r="C17" s="317" t="s">
        <v>11</v>
      </c>
      <c r="D17" s="318">
        <v>2</v>
      </c>
      <c r="E17" s="9"/>
      <c r="F17" s="319" t="s">
        <v>261</v>
      </c>
      <c r="G17" s="317" t="s">
        <v>232</v>
      </c>
      <c r="H17" s="320"/>
    </row>
    <row r="18" spans="1:8" s="260" customFormat="1" ht="15" customHeight="1" x14ac:dyDescent="0.25">
      <c r="A18" s="269" t="s">
        <v>367</v>
      </c>
      <c r="B18" s="30" t="s">
        <v>277</v>
      </c>
      <c r="C18" s="205" t="s">
        <v>11</v>
      </c>
      <c r="D18" s="206">
        <v>1</v>
      </c>
      <c r="E18" s="262"/>
      <c r="F18" s="271" t="s">
        <v>261</v>
      </c>
      <c r="G18" s="205" t="s">
        <v>232</v>
      </c>
      <c r="H18" s="4"/>
    </row>
    <row r="19" spans="1:8" ht="18" customHeight="1" x14ac:dyDescent="0.25">
      <c r="A19" s="269" t="s">
        <v>278</v>
      </c>
      <c r="B19" s="30" t="s">
        <v>279</v>
      </c>
      <c r="C19" s="205" t="s">
        <v>40</v>
      </c>
      <c r="D19" s="206">
        <v>15</v>
      </c>
      <c r="E19" s="262"/>
      <c r="F19" s="205" t="s">
        <v>286</v>
      </c>
      <c r="G19" s="205" t="s">
        <v>232</v>
      </c>
      <c r="H19" s="4"/>
    </row>
    <row r="20" spans="1:8" ht="18" customHeight="1" x14ac:dyDescent="0.25">
      <c r="A20" s="269" t="s">
        <v>280</v>
      </c>
      <c r="B20" s="30" t="s">
        <v>281</v>
      </c>
      <c r="C20" s="205" t="s">
        <v>11</v>
      </c>
      <c r="D20" s="206">
        <v>1</v>
      </c>
      <c r="E20" s="262"/>
      <c r="F20" s="270" t="s">
        <v>286</v>
      </c>
      <c r="G20" s="205" t="s">
        <v>232</v>
      </c>
      <c r="H20" s="4"/>
    </row>
    <row r="21" spans="1:8" ht="15.6" x14ac:dyDescent="0.25">
      <c r="A21" s="269" t="s">
        <v>282</v>
      </c>
      <c r="B21" s="30" t="s">
        <v>283</v>
      </c>
      <c r="C21" s="205" t="s">
        <v>11</v>
      </c>
      <c r="D21" s="206">
        <v>1</v>
      </c>
      <c r="E21" s="261"/>
      <c r="F21" s="270" t="s">
        <v>286</v>
      </c>
      <c r="G21" s="205" t="s">
        <v>232</v>
      </c>
      <c r="H21" s="4"/>
    </row>
    <row r="22" spans="1:8" x14ac:dyDescent="0.25">
      <c r="A22" s="272"/>
      <c r="B22" s="30"/>
      <c r="C22" s="261"/>
      <c r="D22" s="205"/>
      <c r="E22" s="205"/>
      <c r="F22" s="262"/>
      <c r="G22" s="205"/>
      <c r="H22" s="4"/>
    </row>
    <row r="23" spans="1:8" s="292" customFormat="1" ht="13.8" x14ac:dyDescent="0.25">
      <c r="A23" s="273" t="s">
        <v>399</v>
      </c>
      <c r="B23" s="30"/>
      <c r="C23" s="293"/>
      <c r="F23" s="294"/>
      <c r="G23" s="293"/>
      <c r="H23" s="4"/>
    </row>
    <row r="24" spans="1:8" s="292" customFormat="1" x14ac:dyDescent="0.25">
      <c r="A24" s="361" t="s">
        <v>401</v>
      </c>
      <c r="B24" s="361" t="s">
        <v>400</v>
      </c>
      <c r="C24" s="205" t="s">
        <v>404</v>
      </c>
      <c r="D24" s="277" t="str">
        <f>Product_descriptive_data!C9</f>
        <v>COMP</v>
      </c>
      <c r="E24" s="277" t="str">
        <f>Product_descriptive_data!C17</f>
        <v>COMP</v>
      </c>
      <c r="F24" s="276" t="s">
        <v>286</v>
      </c>
      <c r="G24" s="276" t="s">
        <v>304</v>
      </c>
      <c r="H24" s="4"/>
    </row>
    <row r="25" spans="1:8" s="292" customFormat="1" x14ac:dyDescent="0.25">
      <c r="A25" s="361" t="s">
        <v>402</v>
      </c>
      <c r="B25" s="361" t="s">
        <v>403</v>
      </c>
      <c r="C25" s="205" t="s">
        <v>404</v>
      </c>
      <c r="D25" s="277" t="str">
        <f>Product_descriptive_data!C25</f>
        <v>HYBRID</v>
      </c>
      <c r="E25" s="302"/>
      <c r="F25" s="258" t="s">
        <v>286</v>
      </c>
      <c r="G25" s="258" t="s">
        <v>304</v>
      </c>
      <c r="H25" s="4"/>
    </row>
    <row r="26" spans="1:8" s="292" customFormat="1" x14ac:dyDescent="0.25">
      <c r="A26" s="269"/>
      <c r="B26" s="30"/>
      <c r="C26" s="258"/>
      <c r="D26" s="302"/>
      <c r="E26" s="302"/>
      <c r="F26" s="258"/>
      <c r="G26" s="258"/>
      <c r="H26" s="4"/>
    </row>
    <row r="27" spans="1:8" ht="13.8" x14ac:dyDescent="0.25">
      <c r="A27" s="273" t="s">
        <v>90</v>
      </c>
      <c r="B27" s="30"/>
      <c r="C27" s="261"/>
      <c r="D27" s="205"/>
      <c r="E27" s="205"/>
      <c r="F27" s="262"/>
      <c r="G27" s="261"/>
      <c r="H27" s="4"/>
    </row>
    <row r="28" spans="1:8" ht="15.6" x14ac:dyDescent="0.25">
      <c r="A28" s="274" t="s">
        <v>289</v>
      </c>
      <c r="B28" s="275" t="s">
        <v>290</v>
      </c>
      <c r="C28" s="276" t="s">
        <v>40</v>
      </c>
      <c r="D28" s="277">
        <v>6</v>
      </c>
      <c r="E28" s="277">
        <v>6</v>
      </c>
      <c r="F28" s="276" t="s">
        <v>286</v>
      </c>
      <c r="G28" s="276" t="s">
        <v>304</v>
      </c>
      <c r="H28" s="4"/>
    </row>
    <row r="29" spans="1:8" ht="26.4" x14ac:dyDescent="0.25">
      <c r="A29" s="435" t="s">
        <v>542</v>
      </c>
      <c r="B29" s="280" t="s">
        <v>291</v>
      </c>
      <c r="C29" s="258" t="s">
        <v>39</v>
      </c>
      <c r="D29" s="277">
        <v>100</v>
      </c>
      <c r="E29" s="277">
        <v>50</v>
      </c>
      <c r="F29" s="363" t="s">
        <v>286</v>
      </c>
      <c r="G29" s="363" t="s">
        <v>304</v>
      </c>
      <c r="H29" s="4"/>
    </row>
    <row r="30" spans="1:8" s="399" customFormat="1" ht="15.6" x14ac:dyDescent="0.25">
      <c r="A30" s="436" t="s">
        <v>539</v>
      </c>
      <c r="B30" s="424" t="s">
        <v>540</v>
      </c>
      <c r="C30" s="434" t="s">
        <v>11</v>
      </c>
      <c r="D30" s="277">
        <v>2.83</v>
      </c>
      <c r="E30" s="454">
        <v>4</v>
      </c>
      <c r="F30" s="276" t="s">
        <v>541</v>
      </c>
      <c r="G30" s="276" t="s">
        <v>304</v>
      </c>
      <c r="H30" s="455" t="s">
        <v>625</v>
      </c>
    </row>
    <row r="31" spans="1:8" ht="26.4" x14ac:dyDescent="0.25">
      <c r="A31" s="314" t="s">
        <v>292</v>
      </c>
      <c r="B31" s="69" t="s">
        <v>293</v>
      </c>
      <c r="C31" s="258" t="s">
        <v>40</v>
      </c>
      <c r="D31" s="278">
        <v>30</v>
      </c>
      <c r="E31" s="278">
        <v>34</v>
      </c>
      <c r="F31" s="315" t="s">
        <v>286</v>
      </c>
      <c r="G31" s="315" t="s">
        <v>304</v>
      </c>
      <c r="H31" s="4"/>
    </row>
    <row r="32" spans="1:8" ht="26.4" x14ac:dyDescent="0.25">
      <c r="A32" s="259" t="s">
        <v>294</v>
      </c>
      <c r="B32" s="419" t="s">
        <v>591</v>
      </c>
      <c r="C32" s="258" t="s">
        <v>40</v>
      </c>
      <c r="D32" s="277">
        <v>7</v>
      </c>
      <c r="E32" s="277">
        <v>10</v>
      </c>
      <c r="F32" s="258" t="s">
        <v>286</v>
      </c>
      <c r="G32" s="258" t="s">
        <v>304</v>
      </c>
      <c r="H32" s="4"/>
    </row>
    <row r="33" spans="1:8" s="456" customFormat="1" ht="15.6" x14ac:dyDescent="0.25">
      <c r="A33" s="418" t="s">
        <v>543</v>
      </c>
      <c r="B33" s="419" t="s">
        <v>561</v>
      </c>
      <c r="C33" s="425" t="s">
        <v>11</v>
      </c>
      <c r="D33" s="427">
        <v>2.83</v>
      </c>
      <c r="E33" s="427">
        <v>4</v>
      </c>
      <c r="F33" s="425" t="s">
        <v>305</v>
      </c>
      <c r="G33" s="425" t="s">
        <v>304</v>
      </c>
      <c r="H33" s="455" t="s">
        <v>632</v>
      </c>
    </row>
    <row r="34" spans="1:8" s="456" customFormat="1" ht="15.6" x14ac:dyDescent="0.25">
      <c r="A34" s="418" t="s">
        <v>544</v>
      </c>
      <c r="B34" s="419" t="s">
        <v>562</v>
      </c>
      <c r="C34" s="425" t="s">
        <v>44</v>
      </c>
      <c r="D34" s="427">
        <v>100</v>
      </c>
      <c r="E34" s="427">
        <v>100</v>
      </c>
      <c r="F34" s="425" t="s">
        <v>305</v>
      </c>
      <c r="G34" s="425" t="s">
        <v>304</v>
      </c>
      <c r="H34" s="455" t="s">
        <v>632</v>
      </c>
    </row>
    <row r="35" spans="1:8" s="456" customFormat="1" ht="26.4" x14ac:dyDescent="0.25">
      <c r="A35" s="418" t="s">
        <v>545</v>
      </c>
      <c r="B35" s="419" t="s">
        <v>563</v>
      </c>
      <c r="C35" s="425" t="s">
        <v>40</v>
      </c>
      <c r="D35" s="427">
        <v>7</v>
      </c>
      <c r="E35" s="427">
        <v>7</v>
      </c>
      <c r="F35" s="425" t="s">
        <v>305</v>
      </c>
      <c r="G35" s="425" t="s">
        <v>304</v>
      </c>
      <c r="H35" s="455" t="s">
        <v>632</v>
      </c>
    </row>
    <row r="36" spans="1:8" s="456" customFormat="1" ht="26.4" x14ac:dyDescent="0.25">
      <c r="A36" s="418" t="s">
        <v>546</v>
      </c>
      <c r="B36" s="419" t="s">
        <v>564</v>
      </c>
      <c r="C36" s="425" t="s">
        <v>40</v>
      </c>
      <c r="D36" s="427">
        <v>30</v>
      </c>
      <c r="E36" s="427">
        <v>30</v>
      </c>
      <c r="F36" s="425" t="s">
        <v>305</v>
      </c>
      <c r="G36" s="425" t="s">
        <v>304</v>
      </c>
      <c r="H36" s="455" t="s">
        <v>632</v>
      </c>
    </row>
    <row r="37" spans="1:8" s="456" customFormat="1" ht="15.6" x14ac:dyDescent="0.25">
      <c r="A37" s="418" t="s">
        <v>547</v>
      </c>
      <c r="B37" s="419" t="s">
        <v>565</v>
      </c>
      <c r="C37" s="425" t="s">
        <v>11</v>
      </c>
      <c r="D37" s="427">
        <v>3.59</v>
      </c>
      <c r="E37" s="427">
        <v>4</v>
      </c>
      <c r="F37" s="425" t="s">
        <v>305</v>
      </c>
      <c r="G37" s="425" t="s">
        <v>304</v>
      </c>
      <c r="H37" s="455" t="s">
        <v>632</v>
      </c>
    </row>
    <row r="38" spans="1:8" s="456" customFormat="1" ht="15.6" x14ac:dyDescent="0.25">
      <c r="A38" s="418" t="s">
        <v>548</v>
      </c>
      <c r="B38" s="419" t="s">
        <v>566</v>
      </c>
      <c r="C38" s="425" t="s">
        <v>44</v>
      </c>
      <c r="D38" s="427">
        <v>74</v>
      </c>
      <c r="E38" s="427">
        <v>74</v>
      </c>
      <c r="F38" s="425" t="s">
        <v>305</v>
      </c>
      <c r="G38" s="425" t="s">
        <v>304</v>
      </c>
      <c r="H38" s="455" t="s">
        <v>632</v>
      </c>
    </row>
    <row r="39" spans="1:8" s="456" customFormat="1" ht="26.4" x14ac:dyDescent="0.25">
      <c r="A39" s="418" t="s">
        <v>549</v>
      </c>
      <c r="B39" s="419" t="s">
        <v>567</v>
      </c>
      <c r="C39" s="425" t="s">
        <v>40</v>
      </c>
      <c r="D39" s="427">
        <v>7</v>
      </c>
      <c r="E39" s="427">
        <v>7</v>
      </c>
      <c r="F39" s="425" t="s">
        <v>305</v>
      </c>
      <c r="G39" s="425" t="s">
        <v>304</v>
      </c>
      <c r="H39" s="455" t="s">
        <v>632</v>
      </c>
    </row>
    <row r="40" spans="1:8" s="456" customFormat="1" ht="26.4" x14ac:dyDescent="0.25">
      <c r="A40" s="418" t="s">
        <v>550</v>
      </c>
      <c r="B40" s="419" t="s">
        <v>568</v>
      </c>
      <c r="C40" s="425" t="s">
        <v>40</v>
      </c>
      <c r="D40" s="427">
        <v>26</v>
      </c>
      <c r="E40" s="427">
        <v>26</v>
      </c>
      <c r="F40" s="425" t="s">
        <v>305</v>
      </c>
      <c r="G40" s="425" t="s">
        <v>304</v>
      </c>
      <c r="H40" s="455" t="s">
        <v>632</v>
      </c>
    </row>
    <row r="41" spans="1:8" s="456" customFormat="1" ht="15.6" x14ac:dyDescent="0.25">
      <c r="A41" s="418" t="s">
        <v>551</v>
      </c>
      <c r="B41" s="419" t="s">
        <v>569</v>
      </c>
      <c r="C41" s="425" t="s">
        <v>11</v>
      </c>
      <c r="D41" s="427">
        <v>4.76</v>
      </c>
      <c r="E41" s="427">
        <v>4</v>
      </c>
      <c r="F41" s="425" t="s">
        <v>305</v>
      </c>
      <c r="G41" s="425" t="s">
        <v>304</v>
      </c>
      <c r="H41" s="455" t="s">
        <v>632</v>
      </c>
    </row>
    <row r="42" spans="1:8" s="456" customFormat="1" ht="15.6" x14ac:dyDescent="0.25">
      <c r="A42" s="418" t="s">
        <v>552</v>
      </c>
      <c r="B42" s="419" t="s">
        <v>570</v>
      </c>
      <c r="C42" s="425" t="s">
        <v>44</v>
      </c>
      <c r="D42" s="427">
        <v>47</v>
      </c>
      <c r="E42" s="427">
        <v>47</v>
      </c>
      <c r="F42" s="425" t="s">
        <v>305</v>
      </c>
      <c r="G42" s="425" t="s">
        <v>304</v>
      </c>
      <c r="H42" s="455" t="s">
        <v>632</v>
      </c>
    </row>
    <row r="43" spans="1:8" s="456" customFormat="1" ht="26.4" x14ac:dyDescent="0.25">
      <c r="A43" s="418" t="s">
        <v>553</v>
      </c>
      <c r="B43" s="419" t="s">
        <v>571</v>
      </c>
      <c r="C43" s="425" t="s">
        <v>40</v>
      </c>
      <c r="D43" s="427">
        <v>7</v>
      </c>
      <c r="E43" s="427">
        <v>7</v>
      </c>
      <c r="F43" s="425" t="s">
        <v>305</v>
      </c>
      <c r="G43" s="425" t="s">
        <v>304</v>
      </c>
      <c r="H43" s="455" t="s">
        <v>632</v>
      </c>
    </row>
    <row r="44" spans="1:8" s="456" customFormat="1" ht="26.4" x14ac:dyDescent="0.25">
      <c r="A44" s="418" t="s">
        <v>554</v>
      </c>
      <c r="B44" s="419" t="s">
        <v>572</v>
      </c>
      <c r="C44" s="425" t="s">
        <v>40</v>
      </c>
      <c r="D44" s="427">
        <v>22</v>
      </c>
      <c r="E44" s="427">
        <v>22</v>
      </c>
      <c r="F44" s="425" t="s">
        <v>305</v>
      </c>
      <c r="G44" s="425" t="s">
        <v>304</v>
      </c>
      <c r="H44" s="455" t="s">
        <v>632</v>
      </c>
    </row>
    <row r="45" spans="1:8" s="456" customFormat="1" ht="15.6" x14ac:dyDescent="0.25">
      <c r="A45" s="418" t="s">
        <v>555</v>
      </c>
      <c r="B45" s="419" t="s">
        <v>573</v>
      </c>
      <c r="C45" s="425" t="s">
        <v>11</v>
      </c>
      <c r="D45" s="427">
        <v>4.8499999999999996</v>
      </c>
      <c r="E45" s="427">
        <v>4</v>
      </c>
      <c r="F45" s="425" t="s">
        <v>305</v>
      </c>
      <c r="G45" s="425" t="s">
        <v>304</v>
      </c>
      <c r="H45" s="455" t="s">
        <v>632</v>
      </c>
    </row>
    <row r="46" spans="1:8" s="456" customFormat="1" ht="15.6" x14ac:dyDescent="0.25">
      <c r="A46" s="418" t="s">
        <v>556</v>
      </c>
      <c r="B46" s="419" t="s">
        <v>574</v>
      </c>
      <c r="C46" s="425" t="s">
        <v>44</v>
      </c>
      <c r="D46" s="427">
        <v>21</v>
      </c>
      <c r="E46" s="427">
        <v>21</v>
      </c>
      <c r="F46" s="425" t="s">
        <v>305</v>
      </c>
      <c r="G46" s="425" t="s">
        <v>304</v>
      </c>
      <c r="H46" s="455" t="s">
        <v>632</v>
      </c>
    </row>
    <row r="47" spans="1:8" s="456" customFormat="1" ht="26.4" x14ac:dyDescent="0.25">
      <c r="A47" s="418" t="s">
        <v>557</v>
      </c>
      <c r="B47" s="419" t="s">
        <v>575</v>
      </c>
      <c r="C47" s="425" t="s">
        <v>40</v>
      </c>
      <c r="D47" s="427">
        <v>7</v>
      </c>
      <c r="E47" s="427">
        <v>7</v>
      </c>
      <c r="F47" s="425" t="s">
        <v>305</v>
      </c>
      <c r="G47" s="425" t="s">
        <v>304</v>
      </c>
      <c r="H47" s="455" t="s">
        <v>632</v>
      </c>
    </row>
    <row r="48" spans="1:8" s="296" customFormat="1" ht="26.4" x14ac:dyDescent="0.25">
      <c r="A48" s="418" t="s">
        <v>558</v>
      </c>
      <c r="B48" s="419" t="s">
        <v>576</v>
      </c>
      <c r="C48" s="425" t="s">
        <v>40</v>
      </c>
      <c r="D48" s="427">
        <v>18</v>
      </c>
      <c r="E48" s="427">
        <v>18</v>
      </c>
      <c r="F48" s="425" t="s">
        <v>305</v>
      </c>
      <c r="G48" s="425" t="s">
        <v>304</v>
      </c>
      <c r="H48" s="455" t="s">
        <v>632</v>
      </c>
    </row>
    <row r="49" spans="1:8" s="296" customFormat="1" ht="15.6" x14ac:dyDescent="0.25">
      <c r="A49" s="420" t="s">
        <v>577</v>
      </c>
      <c r="B49" s="419" t="s">
        <v>578</v>
      </c>
      <c r="C49" s="425" t="s">
        <v>44</v>
      </c>
      <c r="D49" s="427">
        <v>47</v>
      </c>
      <c r="E49" s="427">
        <v>47</v>
      </c>
      <c r="F49" s="425" t="s">
        <v>286</v>
      </c>
      <c r="G49" s="425" t="s">
        <v>304</v>
      </c>
      <c r="H49" s="455" t="s">
        <v>632</v>
      </c>
    </row>
    <row r="50" spans="1:8" s="296" customFormat="1" ht="28.8" x14ac:dyDescent="0.25">
      <c r="A50" s="418" t="s">
        <v>579</v>
      </c>
      <c r="B50" s="419" t="s">
        <v>580</v>
      </c>
      <c r="C50" s="425" t="s">
        <v>40</v>
      </c>
      <c r="D50" s="427">
        <v>7</v>
      </c>
      <c r="E50" s="427">
        <v>7</v>
      </c>
      <c r="F50" s="425" t="s">
        <v>286</v>
      </c>
      <c r="G50" s="425" t="s">
        <v>304</v>
      </c>
      <c r="H50" s="455" t="s">
        <v>632</v>
      </c>
    </row>
    <row r="51" spans="1:8" ht="28.8" x14ac:dyDescent="0.25">
      <c r="A51" s="418" t="s">
        <v>581</v>
      </c>
      <c r="B51" s="419" t="s">
        <v>582</v>
      </c>
      <c r="C51" s="425" t="s">
        <v>40</v>
      </c>
      <c r="D51" s="427">
        <v>30</v>
      </c>
      <c r="E51" s="427">
        <v>30</v>
      </c>
      <c r="F51" s="425" t="s">
        <v>286</v>
      </c>
      <c r="G51" s="425" t="s">
        <v>304</v>
      </c>
      <c r="H51" s="455" t="s">
        <v>632</v>
      </c>
    </row>
    <row r="52" spans="1:8" ht="39.6" x14ac:dyDescent="0.25">
      <c r="A52" s="418" t="s">
        <v>583</v>
      </c>
      <c r="B52" s="419" t="s">
        <v>584</v>
      </c>
      <c r="C52" s="425" t="s">
        <v>11</v>
      </c>
      <c r="D52" s="459">
        <f>Product_tech_data!D29</f>
        <v>3.1043478260869564</v>
      </c>
      <c r="E52" s="427">
        <v>4</v>
      </c>
      <c r="F52" s="421" t="s">
        <v>559</v>
      </c>
      <c r="G52" s="425" t="s">
        <v>304</v>
      </c>
      <c r="H52" s="455" t="s">
        <v>632</v>
      </c>
    </row>
    <row r="53" spans="1:8" s="403" customFormat="1" ht="15.6" x14ac:dyDescent="0.25">
      <c r="A53" s="420" t="s">
        <v>586</v>
      </c>
      <c r="B53" s="419" t="s">
        <v>587</v>
      </c>
      <c r="C53" s="425" t="s">
        <v>44</v>
      </c>
      <c r="D53" s="426">
        <v>25</v>
      </c>
      <c r="E53" s="427">
        <v>0</v>
      </c>
      <c r="F53" s="425" t="s">
        <v>286</v>
      </c>
      <c r="G53" s="425" t="s">
        <v>304</v>
      </c>
      <c r="H53" s="428"/>
    </row>
    <row r="54" spans="1:8" s="296" customFormat="1" ht="26.4" x14ac:dyDescent="0.25">
      <c r="A54" s="423" t="s">
        <v>435</v>
      </c>
      <c r="B54" s="69" t="s">
        <v>436</v>
      </c>
      <c r="C54" s="315" t="s">
        <v>11</v>
      </c>
      <c r="D54" s="277">
        <v>-1.428E-3</v>
      </c>
      <c r="E54" s="277">
        <v>-1.428E-3</v>
      </c>
      <c r="F54" s="258" t="s">
        <v>286</v>
      </c>
      <c r="G54" s="258" t="s">
        <v>304</v>
      </c>
      <c r="H54" s="201"/>
    </row>
    <row r="55" spans="1:8" s="296" customFormat="1" ht="26.4" x14ac:dyDescent="0.25">
      <c r="A55" s="283" t="s">
        <v>435</v>
      </c>
      <c r="B55" s="30" t="s">
        <v>437</v>
      </c>
      <c r="C55" s="258" t="s">
        <v>11</v>
      </c>
      <c r="D55" s="277">
        <v>3.1150000000000001E-2</v>
      </c>
      <c r="E55" s="277">
        <v>3.1150000000000001E-2</v>
      </c>
      <c r="F55" s="258" t="s">
        <v>286</v>
      </c>
      <c r="G55" s="258" t="s">
        <v>304</v>
      </c>
      <c r="H55" s="201"/>
    </row>
    <row r="56" spans="1:8" s="296" customFormat="1" ht="26.4" x14ac:dyDescent="0.25">
      <c r="A56" s="362" t="s">
        <v>435</v>
      </c>
      <c r="B56" s="280" t="s">
        <v>438</v>
      </c>
      <c r="C56" s="363" t="s">
        <v>11</v>
      </c>
      <c r="D56" s="364">
        <v>0.4476</v>
      </c>
      <c r="E56" s="364">
        <v>0.4476</v>
      </c>
      <c r="F56" s="363" t="s">
        <v>286</v>
      </c>
      <c r="G56" s="363" t="s">
        <v>304</v>
      </c>
      <c r="H56" s="365"/>
    </row>
    <row r="57" spans="1:8" s="342" customFormat="1" ht="15.6" x14ac:dyDescent="0.25">
      <c r="A57" s="283" t="s">
        <v>521</v>
      </c>
      <c r="B57" s="31" t="s">
        <v>522</v>
      </c>
      <c r="C57" s="341" t="s">
        <v>40</v>
      </c>
      <c r="D57" s="277">
        <v>20</v>
      </c>
      <c r="E57" s="277"/>
      <c r="F57" s="341" t="s">
        <v>286</v>
      </c>
      <c r="G57" s="341" t="s">
        <v>304</v>
      </c>
      <c r="H57" s="340"/>
    </row>
    <row r="58" spans="1:8" ht="26.4" x14ac:dyDescent="0.25">
      <c r="A58" s="314" t="s">
        <v>295</v>
      </c>
      <c r="B58" s="69" t="s">
        <v>296</v>
      </c>
      <c r="C58" s="315" t="s">
        <v>303</v>
      </c>
      <c r="D58" s="316">
        <v>2.5000000000000001E-2</v>
      </c>
      <c r="E58" s="9"/>
      <c r="F58" s="315" t="s">
        <v>286</v>
      </c>
      <c r="G58" s="315" t="s">
        <v>304</v>
      </c>
      <c r="H58" s="4"/>
    </row>
    <row r="59" spans="1:8" ht="26.4" x14ac:dyDescent="0.25">
      <c r="A59" s="269" t="s">
        <v>297</v>
      </c>
      <c r="B59" s="30" t="s">
        <v>298</v>
      </c>
      <c r="C59" s="258" t="s">
        <v>303</v>
      </c>
      <c r="D59" s="277">
        <v>3.3000000000000002E-2</v>
      </c>
      <c r="E59" s="261"/>
      <c r="F59" s="258" t="s">
        <v>286</v>
      </c>
      <c r="G59" s="258" t="s">
        <v>304</v>
      </c>
      <c r="H59" s="4"/>
    </row>
    <row r="60" spans="1:8" ht="26.4" x14ac:dyDescent="0.25">
      <c r="A60" s="269" t="s">
        <v>299</v>
      </c>
      <c r="B60" s="30" t="s">
        <v>300</v>
      </c>
      <c r="C60" s="258" t="s">
        <v>303</v>
      </c>
      <c r="D60" s="277">
        <v>0.1</v>
      </c>
      <c r="E60" s="261"/>
      <c r="F60" s="258" t="s">
        <v>286</v>
      </c>
      <c r="G60" s="258" t="s">
        <v>304</v>
      </c>
      <c r="H60" s="4"/>
    </row>
    <row r="61" spans="1:8" ht="26.4" x14ac:dyDescent="0.25">
      <c r="A61" s="269" t="s">
        <v>301</v>
      </c>
      <c r="B61" s="30" t="s">
        <v>302</v>
      </c>
      <c r="C61" s="258" t="s">
        <v>39</v>
      </c>
      <c r="D61" s="277">
        <v>0.1</v>
      </c>
      <c r="E61" s="262"/>
      <c r="F61" s="258" t="s">
        <v>286</v>
      </c>
      <c r="G61" s="258" t="s">
        <v>304</v>
      </c>
      <c r="H61" s="4"/>
    </row>
    <row r="62" spans="1:8" x14ac:dyDescent="0.25">
      <c r="B62" s="9"/>
      <c r="C62" s="9"/>
      <c r="D62" s="9"/>
      <c r="E62" s="9"/>
      <c r="F62" s="9"/>
      <c r="G62" s="9"/>
      <c r="H62" s="9"/>
    </row>
    <row r="63" spans="1:8" ht="13.8" x14ac:dyDescent="0.25">
      <c r="A63" s="279" t="s">
        <v>70</v>
      </c>
      <c r="B63" s="280"/>
      <c r="C63" s="113"/>
      <c r="D63" s="113"/>
      <c r="E63" s="113"/>
      <c r="F63" s="113"/>
      <c r="G63" s="113"/>
      <c r="H63" s="113"/>
    </row>
    <row r="64" spans="1:8" s="292" customFormat="1" x14ac:dyDescent="0.25">
      <c r="A64" s="227" t="s">
        <v>434</v>
      </c>
      <c r="B64" s="30"/>
      <c r="C64" s="293"/>
      <c r="D64" s="294"/>
      <c r="E64" s="294"/>
      <c r="F64" s="294"/>
      <c r="G64" s="294"/>
      <c r="H64" s="294"/>
    </row>
    <row r="65" spans="1:8" s="292" customFormat="1" x14ac:dyDescent="0.25">
      <c r="A65" s="298" t="s">
        <v>422</v>
      </c>
      <c r="B65" s="432" t="s">
        <v>423</v>
      </c>
      <c r="C65" s="205" t="s">
        <v>11</v>
      </c>
      <c r="D65" s="277" t="str">
        <f>Process_design_data!C9</f>
        <v>YES</v>
      </c>
      <c r="E65" s="56"/>
      <c r="F65" s="205" t="s">
        <v>286</v>
      </c>
      <c r="G65" s="205" t="s">
        <v>288</v>
      </c>
      <c r="H65" s="4"/>
    </row>
    <row r="66" spans="1:8" ht="15.6" x14ac:dyDescent="0.25">
      <c r="A66" s="391" t="s">
        <v>306</v>
      </c>
      <c r="B66" s="377" t="s">
        <v>307</v>
      </c>
      <c r="C66" s="378" t="s">
        <v>11</v>
      </c>
      <c r="D66" s="277">
        <v>2</v>
      </c>
      <c r="E66" s="392"/>
      <c r="F66" s="378" t="s">
        <v>286</v>
      </c>
      <c r="G66" s="378" t="s">
        <v>288</v>
      </c>
      <c r="H66" s="385" t="s">
        <v>528</v>
      </c>
    </row>
    <row r="67" spans="1:8" ht="15.6" x14ac:dyDescent="0.25">
      <c r="A67" s="281" t="s">
        <v>308</v>
      </c>
      <c r="B67" s="258" t="s">
        <v>309</v>
      </c>
      <c r="C67" s="205" t="s">
        <v>40</v>
      </c>
      <c r="D67" s="277">
        <v>22</v>
      </c>
      <c r="E67" s="261"/>
      <c r="F67" s="205" t="s">
        <v>286</v>
      </c>
      <c r="G67" s="205" t="s">
        <v>304</v>
      </c>
      <c r="H67" s="4"/>
    </row>
    <row r="68" spans="1:8" ht="15.6" x14ac:dyDescent="0.25">
      <c r="A68" s="281" t="s">
        <v>310</v>
      </c>
      <c r="B68" s="31" t="s">
        <v>311</v>
      </c>
      <c r="C68" s="205" t="s">
        <v>40</v>
      </c>
      <c r="D68" s="277">
        <v>2</v>
      </c>
      <c r="E68" s="261"/>
      <c r="F68" s="258" t="s">
        <v>286</v>
      </c>
      <c r="G68" s="205" t="s">
        <v>304</v>
      </c>
      <c r="H68" s="4"/>
    </row>
    <row r="69" spans="1:8" ht="15.6" x14ac:dyDescent="0.25">
      <c r="A69" s="281" t="s">
        <v>312</v>
      </c>
      <c r="B69" s="31" t="s">
        <v>313</v>
      </c>
      <c r="C69" s="205" t="s">
        <v>40</v>
      </c>
      <c r="D69" s="277">
        <v>6</v>
      </c>
      <c r="E69" s="262"/>
      <c r="F69" s="258" t="s">
        <v>286</v>
      </c>
      <c r="G69" s="205" t="s">
        <v>304</v>
      </c>
      <c r="H69" s="4"/>
    </row>
    <row r="70" spans="1:8" s="375" customFormat="1" ht="22.8" x14ac:dyDescent="0.25">
      <c r="A70" s="394" t="s">
        <v>247</v>
      </c>
      <c r="B70" s="395" t="s">
        <v>248</v>
      </c>
      <c r="C70" s="396" t="s">
        <v>40</v>
      </c>
      <c r="D70" s="397">
        <v>90</v>
      </c>
      <c r="E70" s="396"/>
      <c r="F70" s="378" t="s">
        <v>286</v>
      </c>
      <c r="G70" s="378" t="s">
        <v>288</v>
      </c>
      <c r="H70" s="385" t="s">
        <v>529</v>
      </c>
    </row>
    <row r="71" spans="1:8" s="375" customFormat="1" ht="15" x14ac:dyDescent="0.25">
      <c r="A71" s="394" t="s">
        <v>251</v>
      </c>
      <c r="B71" s="395" t="s">
        <v>252</v>
      </c>
      <c r="C71" s="396" t="s">
        <v>40</v>
      </c>
      <c r="D71" s="397">
        <v>40</v>
      </c>
      <c r="E71" s="396"/>
      <c r="F71" s="378" t="s">
        <v>286</v>
      </c>
      <c r="G71" s="378" t="s">
        <v>288</v>
      </c>
      <c r="H71" s="385" t="s">
        <v>529</v>
      </c>
    </row>
    <row r="72" spans="1:8" x14ac:dyDescent="0.25">
      <c r="A72" s="207"/>
      <c r="B72" s="30"/>
      <c r="C72" s="261"/>
      <c r="D72" s="262"/>
      <c r="E72" s="262"/>
      <c r="F72" s="262"/>
      <c r="G72" s="262"/>
      <c r="H72" s="4"/>
    </row>
    <row r="73" spans="1:8" x14ac:dyDescent="0.25">
      <c r="A73" s="227" t="s">
        <v>190</v>
      </c>
      <c r="B73" s="30"/>
      <c r="C73" s="25"/>
      <c r="D73" s="3"/>
      <c r="E73" s="3"/>
      <c r="F73" s="3"/>
      <c r="G73" s="3"/>
      <c r="H73" s="3"/>
    </row>
    <row r="74" spans="1:8" x14ac:dyDescent="0.25">
      <c r="A74" s="298" t="s">
        <v>428</v>
      </c>
      <c r="B74" s="433" t="s">
        <v>588</v>
      </c>
      <c r="C74" s="205" t="s">
        <v>11</v>
      </c>
      <c r="D74" s="277" t="str">
        <f>Process_design_data!C16</f>
        <v>TEMP</v>
      </c>
      <c r="E74" s="3"/>
      <c r="F74" s="3"/>
      <c r="G74" s="3"/>
      <c r="H74" s="3"/>
    </row>
    <row r="75" spans="1:8" s="234" customFormat="1" x14ac:dyDescent="0.25">
      <c r="A75" s="228"/>
      <c r="B75" s="30"/>
      <c r="C75" s="235"/>
      <c r="D75" s="236"/>
      <c r="E75" s="236"/>
      <c r="F75" s="236"/>
      <c r="G75" s="236"/>
      <c r="H75" s="236"/>
    </row>
    <row r="76" spans="1:8" s="234" customFormat="1" x14ac:dyDescent="0.25">
      <c r="A76" s="227" t="s">
        <v>202</v>
      </c>
      <c r="E76" s="236"/>
      <c r="F76" s="236"/>
      <c r="G76" s="236"/>
      <c r="H76" s="236"/>
    </row>
    <row r="77" spans="1:8" x14ac:dyDescent="0.25">
      <c r="A77" s="228" t="s">
        <v>194</v>
      </c>
      <c r="B77" s="280" t="s">
        <v>201</v>
      </c>
      <c r="C77" s="415" t="s">
        <v>195</v>
      </c>
      <c r="D77" s="364">
        <v>1.1599999999999999</v>
      </c>
      <c r="E77" s="3"/>
      <c r="F77" s="3"/>
      <c r="G77" s="3"/>
      <c r="H77" s="3"/>
    </row>
    <row r="78" spans="1:8" ht="15" x14ac:dyDescent="0.25">
      <c r="A78" s="429" t="s">
        <v>560</v>
      </c>
      <c r="B78" s="430" t="s">
        <v>589</v>
      </c>
      <c r="C78" s="431" t="s">
        <v>450</v>
      </c>
      <c r="D78" s="427">
        <v>273.14999999999998</v>
      </c>
      <c r="E78" s="402"/>
      <c r="F78" s="3"/>
      <c r="G78" s="3"/>
      <c r="H78" s="3"/>
    </row>
    <row r="79" spans="1:8" x14ac:dyDescent="0.25">
      <c r="A79" s="197"/>
      <c r="B79" s="69"/>
      <c r="C79" s="70"/>
      <c r="D79" s="9"/>
      <c r="E79" s="3"/>
      <c r="F79" s="3"/>
      <c r="G79" s="3"/>
      <c r="H79" s="3"/>
    </row>
    <row r="80" spans="1:8" x14ac:dyDescent="0.25">
      <c r="A80" s="58"/>
      <c r="B80" s="31"/>
      <c r="C80" s="25"/>
      <c r="D80" s="3"/>
      <c r="E80" s="56"/>
      <c r="F80" s="25"/>
      <c r="G80" s="25"/>
      <c r="H80" s="3"/>
    </row>
    <row r="81" spans="1:8" x14ac:dyDescent="0.25">
      <c r="A81" s="53"/>
      <c r="B81" s="59"/>
      <c r="C81" s="56"/>
      <c r="D81" s="3"/>
      <c r="E81" s="25"/>
      <c r="F81" s="25"/>
      <c r="G81" s="25"/>
      <c r="H81" s="3"/>
    </row>
  </sheetData>
  <mergeCells count="1">
    <mergeCell ref="A1:H1"/>
  </mergeCells>
  <phoneticPr fontId="0" type="noConversion"/>
  <pageMargins left="0.75" right="0.75" top="1" bottom="1" header="0.5" footer="0.5"/>
  <pageSetup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K82"/>
  <sheetViews>
    <sheetView topLeftCell="A7" zoomScaleNormal="100" workbookViewId="0">
      <selection activeCell="G13" sqref="G13"/>
    </sheetView>
  </sheetViews>
  <sheetFormatPr baseColWidth="10" defaultColWidth="9.109375" defaultRowHeight="13.2" x14ac:dyDescent="0.25"/>
  <cols>
    <col min="1" max="1" width="30.44140625" style="2" customWidth="1"/>
    <col min="2" max="2" width="12.44140625" style="2" customWidth="1"/>
    <col min="3" max="3" width="9.109375" style="2"/>
    <col min="4" max="4" width="11" style="2" customWidth="1"/>
    <col min="5" max="5" width="14" style="2" customWidth="1"/>
    <col min="6" max="6" width="47.6640625" style="2" customWidth="1"/>
    <col min="7" max="7" width="29.44140625" style="2" customWidth="1"/>
    <col min="8" max="9" width="11.5546875" style="2" bestFit="1" customWidth="1"/>
    <col min="10" max="16384" width="9.109375" style="2"/>
  </cols>
  <sheetData>
    <row r="1" spans="1:11" ht="86.25" customHeight="1" thickBot="1" x14ac:dyDescent="0.3">
      <c r="A1" s="475" t="s">
        <v>203</v>
      </c>
      <c r="B1" s="498"/>
      <c r="C1" s="498"/>
      <c r="D1" s="498"/>
      <c r="E1" s="498"/>
      <c r="F1" s="498"/>
      <c r="G1" s="499"/>
      <c r="H1" s="98"/>
      <c r="I1" s="98"/>
      <c r="J1" s="98"/>
      <c r="K1" s="98"/>
    </row>
    <row r="3" spans="1:11" x14ac:dyDescent="0.25">
      <c r="A3" s="51" t="s">
        <v>7</v>
      </c>
      <c r="B3" s="51" t="s">
        <v>9</v>
      </c>
      <c r="C3" s="51" t="s">
        <v>1</v>
      </c>
      <c r="D3" s="51" t="s">
        <v>6</v>
      </c>
      <c r="E3" s="51" t="s">
        <v>111</v>
      </c>
      <c r="F3" s="51" t="s">
        <v>104</v>
      </c>
      <c r="G3" s="51" t="s">
        <v>8</v>
      </c>
    </row>
    <row r="4" spans="1:11" x14ac:dyDescent="0.25">
      <c r="A4" s="289" t="s">
        <v>346</v>
      </c>
      <c r="B4" s="3"/>
      <c r="C4" s="3"/>
      <c r="D4" s="3"/>
      <c r="E4" s="3"/>
      <c r="F4" s="3"/>
      <c r="G4" s="3"/>
    </row>
    <row r="5" spans="1:11" ht="43.5" customHeight="1" x14ac:dyDescent="0.25">
      <c r="A5" s="259" t="s">
        <v>314</v>
      </c>
      <c r="B5" s="31" t="s">
        <v>460</v>
      </c>
      <c r="C5" s="205" t="s">
        <v>40</v>
      </c>
      <c r="D5" s="54">
        <f>MAX(Method_input!D57,Method_input!D7+Method_input!D69+Method_input!D14)</f>
        <v>20</v>
      </c>
      <c r="E5" s="205" t="s">
        <v>462</v>
      </c>
      <c r="F5" s="458" t="s">
        <v>630</v>
      </c>
      <c r="G5" s="3"/>
    </row>
    <row r="6" spans="1:11" s="330" customFormat="1" ht="43.5" customHeight="1" x14ac:dyDescent="0.25">
      <c r="A6" s="259" t="s">
        <v>314</v>
      </c>
      <c r="B6" s="31" t="s">
        <v>461</v>
      </c>
      <c r="C6" s="205" t="s">
        <v>40</v>
      </c>
      <c r="D6" s="54">
        <f>MAX(Method_input!D57,Method_input!D8+Method_input!D69+Method_input!D14)</f>
        <v>20</v>
      </c>
      <c r="E6" s="205" t="s">
        <v>463</v>
      </c>
      <c r="F6" s="447" t="s">
        <v>631</v>
      </c>
      <c r="G6" s="329"/>
    </row>
    <row r="7" spans="1:11" ht="34.5" customHeight="1" x14ac:dyDescent="0.25">
      <c r="A7" s="376" t="s">
        <v>315</v>
      </c>
      <c r="B7" s="387" t="s">
        <v>320</v>
      </c>
      <c r="C7" s="388" t="s">
        <v>11</v>
      </c>
      <c r="D7" s="379">
        <f>MAX(Method_input!D10,Method_input!D28)</f>
        <v>11.399999999999999</v>
      </c>
      <c r="E7" s="378" t="s">
        <v>317</v>
      </c>
      <c r="F7" s="389" t="s">
        <v>316</v>
      </c>
      <c r="G7" s="378" t="s">
        <v>527</v>
      </c>
    </row>
    <row r="8" spans="1:11" ht="44.25" customHeight="1" x14ac:dyDescent="0.25">
      <c r="A8" s="259" t="s">
        <v>318</v>
      </c>
      <c r="B8" s="31" t="s">
        <v>459</v>
      </c>
      <c r="C8" s="205" t="s">
        <v>40</v>
      </c>
      <c r="D8" s="54">
        <f>IF(OR(Method_input!D24="COMP",Method_input!D24="ABS"),D7,"-")</f>
        <v>11.399999999999999</v>
      </c>
      <c r="E8" s="205" t="s">
        <v>319</v>
      </c>
      <c r="F8" s="284" t="s">
        <v>590</v>
      </c>
      <c r="G8" s="25"/>
    </row>
    <row r="9" spans="1:11" ht="34.5" customHeight="1" x14ac:dyDescent="0.25">
      <c r="A9" s="259" t="s">
        <v>324</v>
      </c>
      <c r="B9" s="30" t="s">
        <v>322</v>
      </c>
      <c r="C9" s="282" t="s">
        <v>11</v>
      </c>
      <c r="D9" s="54" t="str">
        <f>IF(OR(Method_input!D65="NO",Method_input!D25="AIR_C_COND"),0,"-")</f>
        <v>-</v>
      </c>
      <c r="E9" s="205" t="s">
        <v>323</v>
      </c>
      <c r="F9" s="285" t="s">
        <v>321</v>
      </c>
      <c r="G9" s="3"/>
    </row>
    <row r="10" spans="1:11" ht="40.5" customHeight="1" x14ac:dyDescent="0.25">
      <c r="A10" s="259" t="s">
        <v>325</v>
      </c>
      <c r="B10" s="30" t="s">
        <v>322</v>
      </c>
      <c r="C10" s="282" t="s">
        <v>11</v>
      </c>
      <c r="D10" s="54" t="str">
        <f>IF(AND(Method_input!D65="YES",Method_input!D25="DRY"),IF((Method_input!D10-Method_input!D7)&gt;Method_input!D68,1,0),"-")</f>
        <v>-</v>
      </c>
      <c r="E10" s="205" t="s">
        <v>327</v>
      </c>
      <c r="F10" s="286" t="s">
        <v>326</v>
      </c>
      <c r="G10" s="3"/>
    </row>
    <row r="11" spans="1:11" ht="39.6" x14ac:dyDescent="0.25">
      <c r="A11" s="283" t="s">
        <v>328</v>
      </c>
      <c r="B11" s="30" t="s">
        <v>322</v>
      </c>
      <c r="C11" s="282" t="s">
        <v>11</v>
      </c>
      <c r="D11" s="54">
        <f>IF(AND(Method_input!D65="YES",OR(Method_input!D25="WET",Method_input!D25="HYBRID")),IF((Method_input!D10-Method_input!D8)&gt;Method_input!D68,1,0),"-")</f>
        <v>0</v>
      </c>
      <c r="E11" s="205" t="s">
        <v>329</v>
      </c>
      <c r="F11" s="286" t="s">
        <v>330</v>
      </c>
      <c r="G11" s="3"/>
    </row>
    <row r="12" spans="1:11" ht="34.5" customHeight="1" x14ac:dyDescent="0.25">
      <c r="A12" s="283" t="s">
        <v>332</v>
      </c>
      <c r="B12" s="30" t="s">
        <v>322</v>
      </c>
      <c r="C12" s="282" t="s">
        <v>11</v>
      </c>
      <c r="D12" s="55" t="str">
        <f>IF(AND(Method_input!D65="YES",Method_input!D25="OTHER"),IF((Method_input!D10-Method_input!D19)&gt;Method_input!D68,1,0),"-")</f>
        <v>-</v>
      </c>
      <c r="E12" s="205" t="s">
        <v>333</v>
      </c>
      <c r="F12" s="286" t="s">
        <v>331</v>
      </c>
      <c r="G12" s="3"/>
    </row>
    <row r="13" spans="1:11" ht="33" customHeight="1" x14ac:dyDescent="0.25">
      <c r="A13" s="467" t="s">
        <v>334</v>
      </c>
      <c r="B13" s="468" t="s">
        <v>490</v>
      </c>
      <c r="C13" s="469" t="s">
        <v>10</v>
      </c>
      <c r="D13" s="470">
        <f>SUM(D14:D19)</f>
        <v>337.45189824373767</v>
      </c>
      <c r="E13" s="469" t="s">
        <v>335</v>
      </c>
      <c r="F13" s="471"/>
      <c r="G13" s="469"/>
    </row>
    <row r="14" spans="1:11" s="330" customFormat="1" ht="39.6" x14ac:dyDescent="0.25">
      <c r="A14" s="393" t="s">
        <v>464</v>
      </c>
      <c r="B14" s="386" t="s">
        <v>489</v>
      </c>
      <c r="C14" s="378" t="s">
        <v>10</v>
      </c>
      <c r="D14" s="379">
        <f>IF(Method_input!D25="AIR_C_COND",IF(D20&lt;&gt;"-",D20,IF(D23&lt;&gt;"-",D23,D26)),0)</f>
        <v>0</v>
      </c>
      <c r="E14" s="378" t="s">
        <v>336</v>
      </c>
      <c r="F14" s="386" t="s">
        <v>467</v>
      </c>
      <c r="G14" s="378" t="s">
        <v>527</v>
      </c>
    </row>
    <row r="15" spans="1:11" s="330" customFormat="1" ht="28.8" x14ac:dyDescent="0.35">
      <c r="A15" s="393" t="s">
        <v>465</v>
      </c>
      <c r="B15" s="386" t="s">
        <v>489</v>
      </c>
      <c r="C15" s="378" t="s">
        <v>10</v>
      </c>
      <c r="D15" s="379">
        <f>IF(AND(Method_input!D25&lt;&gt;"AIR_C_COND",OR(D44=1,D46=1,D48=1,D50=1,D52=1,D54=1,D56=1,D58=1)),IF(D22&lt;&gt;"-",D22,D25),0)</f>
        <v>0</v>
      </c>
      <c r="E15" s="378" t="s">
        <v>338</v>
      </c>
      <c r="F15" s="386" t="s">
        <v>468</v>
      </c>
      <c r="G15" s="378" t="s">
        <v>527</v>
      </c>
    </row>
    <row r="16" spans="1:11" s="330" customFormat="1" ht="26.4" x14ac:dyDescent="0.25">
      <c r="A16" s="393" t="s">
        <v>466</v>
      </c>
      <c r="B16" s="386" t="s">
        <v>489</v>
      </c>
      <c r="C16" s="378" t="s">
        <v>10</v>
      </c>
      <c r="D16" s="379">
        <f>IF(AND(Method_input!D25&lt;&gt;"AIR_C_COND",OR(D44=0,D46=0,D48=0,D50=0,D52=0,D54=0,D56=0,D58=0)),IF(D21&lt;&gt;"-",D21,IF(D24&lt;&gt;"-",D24,IF(D26&lt;&gt;"-",D26))),0)</f>
        <v>271.64226805407367</v>
      </c>
      <c r="E16" s="378" t="s">
        <v>337</v>
      </c>
      <c r="F16" s="386" t="s">
        <v>469</v>
      </c>
      <c r="G16" s="378" t="s">
        <v>527</v>
      </c>
    </row>
    <row r="17" spans="1:7" s="330" customFormat="1" ht="39.6" x14ac:dyDescent="0.25">
      <c r="A17" s="393" t="s">
        <v>470</v>
      </c>
      <c r="B17" s="386" t="s">
        <v>489</v>
      </c>
      <c r="C17" s="378" t="s">
        <v>10</v>
      </c>
      <c r="D17" s="379">
        <f>IF(Method_input!D25="AIR_C_COND",IF(D27&lt;&gt;"-",D27,IF(D30&lt;&gt;"-",D30)),0)</f>
        <v>0</v>
      </c>
      <c r="E17" s="378" t="s">
        <v>336</v>
      </c>
      <c r="F17" s="386" t="s">
        <v>467</v>
      </c>
      <c r="G17" s="378" t="s">
        <v>527</v>
      </c>
    </row>
    <row r="18" spans="1:7" s="330" customFormat="1" ht="28.8" x14ac:dyDescent="0.35">
      <c r="A18" s="393" t="s">
        <v>471</v>
      </c>
      <c r="B18" s="386" t="s">
        <v>489</v>
      </c>
      <c r="C18" s="378" t="s">
        <v>10</v>
      </c>
      <c r="D18" s="379">
        <f>IF(AND(Method_input!D25&lt;&gt;"AIR_C_COND",OR(D44=1,D46=1,D48=1,D50=1,D52=1,D54=1,D56=1,D58=1)),IF(D29&lt;&gt;"-",D29,IF(D32&lt;&gt;"-",D32)),0)</f>
        <v>0</v>
      </c>
      <c r="E18" s="378" t="s">
        <v>338</v>
      </c>
      <c r="F18" s="386" t="s">
        <v>468</v>
      </c>
      <c r="G18" s="378" t="s">
        <v>527</v>
      </c>
    </row>
    <row r="19" spans="1:7" s="330" customFormat="1" ht="26.4" x14ac:dyDescent="0.25">
      <c r="A19" s="393" t="s">
        <v>472</v>
      </c>
      <c r="B19" s="386" t="s">
        <v>489</v>
      </c>
      <c r="C19" s="378" t="s">
        <v>10</v>
      </c>
      <c r="D19" s="379">
        <f>IF(AND(Method_input!D25&lt;&gt;"AIR_C_COND",OR(D44=0,D46=0,D48=0,D50=0,D52=0,D54=0,D56=0,D58=0)),IF(D28&lt;&gt;"-",D28,IF(D31&lt;&gt;"-",D31,IF(D33&lt;&gt;"-",D33))),0)</f>
        <v>65.80963018966402</v>
      </c>
      <c r="E19" s="378" t="s">
        <v>337</v>
      </c>
      <c r="F19" s="386" t="s">
        <v>469</v>
      </c>
      <c r="G19" s="378" t="s">
        <v>527</v>
      </c>
    </row>
    <row r="20" spans="1:7" s="330" customFormat="1" ht="71.400000000000006" customHeight="1" x14ac:dyDescent="0.25">
      <c r="A20" s="283" t="s">
        <v>474</v>
      </c>
      <c r="B20" s="285" t="s">
        <v>476</v>
      </c>
      <c r="C20" s="205" t="s">
        <v>10</v>
      </c>
      <c r="D20" s="55">
        <f>IF(Method_input!D24="COMP",Method_input!D29*Method_in*((Method_input!$D$78+D8)/(MAX(Method_input!D57,Method_input!D7)-D8+Product_tech_data!D36))/((Method_input!$D$78+Method_input!D32)/(Method_input!D31-Method_input!D32+Product_tech_data!D36)),"-")</f>
        <v>271.64226805407367</v>
      </c>
      <c r="E20" s="205" t="s">
        <v>340</v>
      </c>
      <c r="F20" s="99"/>
      <c r="G20" s="329"/>
    </row>
    <row r="21" spans="1:7" ht="71.400000000000006" customHeight="1" x14ac:dyDescent="0.25">
      <c r="A21" s="283" t="s">
        <v>474</v>
      </c>
      <c r="B21" s="285" t="s">
        <v>477</v>
      </c>
      <c r="C21" s="205" t="s">
        <v>10</v>
      </c>
      <c r="D21" s="55">
        <f>IF(Method_input!D24="COMP",Method_input!D29*Method_in*((Method_input!$D$78+D8)/(D5-D8+Product_tech_data!D36))/((Method_input!$D$78+Method_input!D32)/(Method_input!D31-Method_input!D32+Product_tech_data!D36)),"-")</f>
        <v>271.64226805407367</v>
      </c>
      <c r="E21" s="205" t="s">
        <v>342</v>
      </c>
      <c r="F21" s="99"/>
      <c r="G21" s="3"/>
    </row>
    <row r="22" spans="1:7" s="330" customFormat="1" ht="71.400000000000006" customHeight="1" x14ac:dyDescent="0.25">
      <c r="A22" s="283" t="s">
        <v>475</v>
      </c>
      <c r="B22" s="285" t="s">
        <v>478</v>
      </c>
      <c r="C22" s="205" t="s">
        <v>10</v>
      </c>
      <c r="D22" s="55">
        <f>IF(Method_input!D24="COMP",Method_input!D29*Method_in*((Method_input!$D$78+D8)/(D6-D8+Product_tech_data!D36))/((Method_input!$D$78+Method_input!D32)/(Method_input!D31-Method_input!D32+Product_tech_data!D36)),"-")</f>
        <v>271.64226805407367</v>
      </c>
      <c r="E22" s="205" t="s">
        <v>473</v>
      </c>
      <c r="F22" s="99"/>
      <c r="G22" s="329"/>
    </row>
    <row r="23" spans="1:7" s="330" customFormat="1" ht="39.6" x14ac:dyDescent="0.25">
      <c r="A23" s="283" t="s">
        <v>481</v>
      </c>
      <c r="B23" s="285" t="s">
        <v>476</v>
      </c>
      <c r="C23" s="205" t="s">
        <v>10</v>
      </c>
      <c r="D23" s="55" t="str">
        <f>IF(Method_input!D24="ABS",Method_input!D29*Method_in*(Method_input!D54*D34^2+Method_input!D55*D34+Method_input!D56)/(Method_input!D54*D37^2+Method_input!D55*D37+Method_input!D56),"-")</f>
        <v>-</v>
      </c>
      <c r="E23" s="205" t="s">
        <v>479</v>
      </c>
      <c r="F23"/>
      <c r="G23" s="329"/>
    </row>
    <row r="24" spans="1:7" ht="39.6" x14ac:dyDescent="0.25">
      <c r="A24" s="283" t="s">
        <v>481</v>
      </c>
      <c r="B24" s="285" t="s">
        <v>477</v>
      </c>
      <c r="C24" s="205" t="s">
        <v>10</v>
      </c>
      <c r="D24" s="55" t="str">
        <f>IF(Method_input!D24="ABS",Method_input!D29*Method_in*(Method_input!D54*D35^2+Method_input!D55*D35+Method_input!D56)/(Method_input!D54*D37^2+Method_input!D55*D37+Method_input!D56),"-")</f>
        <v>-</v>
      </c>
      <c r="E24" s="205" t="s">
        <v>480</v>
      </c>
      <c r="F24" s="99"/>
      <c r="G24" s="3"/>
    </row>
    <row r="25" spans="1:7" s="330" customFormat="1" ht="39.6" x14ac:dyDescent="0.25">
      <c r="A25" s="283" t="s">
        <v>481</v>
      </c>
      <c r="B25" s="285" t="s">
        <v>478</v>
      </c>
      <c r="C25" s="205" t="s">
        <v>10</v>
      </c>
      <c r="D25" s="55" t="str">
        <f>IF(Method_input!D24="ABS",Method_input!D29*Method_in*(Method_input!D54*D36^2+Method_input!D55*D36+Method_input!D56)/(Method_input!D54*D37^2+Method_input!D55*D37+Method_input!D56),"-")</f>
        <v>-</v>
      </c>
      <c r="E25" s="205" t="s">
        <v>482</v>
      </c>
      <c r="F25" s="99"/>
      <c r="G25" s="329"/>
    </row>
    <row r="26" spans="1:7" ht="39.6" x14ac:dyDescent="0.25">
      <c r="A26" s="283" t="s">
        <v>484</v>
      </c>
      <c r="B26" s="285" t="s">
        <v>477</v>
      </c>
      <c r="C26" s="205" t="s">
        <v>10</v>
      </c>
      <c r="D26" s="55" t="str">
        <f>IF(Method_input!D24="OTHER",Method_input!D29*Method_in*0.1,"-")</f>
        <v>-</v>
      </c>
      <c r="E26" s="205" t="s">
        <v>483</v>
      </c>
      <c r="F26" s="99"/>
      <c r="G26" s="25"/>
    </row>
    <row r="27" spans="1:7" s="330" customFormat="1" ht="71.400000000000006" customHeight="1" x14ac:dyDescent="0.25">
      <c r="A27" s="283" t="s">
        <v>485</v>
      </c>
      <c r="B27" s="285" t="s">
        <v>476</v>
      </c>
      <c r="C27" s="205" t="s">
        <v>10</v>
      </c>
      <c r="D27" s="55">
        <f>IF(Method_input!E24="COMP",Method_input!E29*Method_in*((Method_input!$D$78+D8)/(MAX(Method_input!D57,Method_input!D7)-D8+Product_tech_data!E36))/((Method_input!$D$78+Method_input!E32)/(Method_input!E31-Method_input!E32+Product_tech_data!E36)),"-")</f>
        <v>65.80963018966402</v>
      </c>
      <c r="E27" s="205" t="s">
        <v>340</v>
      </c>
      <c r="F27"/>
      <c r="G27" s="329"/>
    </row>
    <row r="28" spans="1:7" s="330" customFormat="1" ht="71.400000000000006" customHeight="1" x14ac:dyDescent="0.25">
      <c r="A28" s="283" t="s">
        <v>485</v>
      </c>
      <c r="B28" s="285" t="s">
        <v>477</v>
      </c>
      <c r="C28" s="205" t="s">
        <v>10</v>
      </c>
      <c r="D28" s="55">
        <f>IF(Method_input!E24="COMP",Method_input!E29*Method_in*((Method_input!$D$78+D8)/(D5-D8+Product_tech_data!E36))/((Method_input!$D$78+Method_input!E32)/(Method_input!E31-Method_input!E32+Product_tech_data!E36)),"-")</f>
        <v>65.80963018966402</v>
      </c>
      <c r="E28" s="205" t="s">
        <v>342</v>
      </c>
      <c r="F28" s="99"/>
      <c r="G28" s="329"/>
    </row>
    <row r="29" spans="1:7" s="330" customFormat="1" ht="71.400000000000006" customHeight="1" x14ac:dyDescent="0.25">
      <c r="A29" s="283" t="s">
        <v>486</v>
      </c>
      <c r="B29" s="285" t="s">
        <v>478</v>
      </c>
      <c r="C29" s="205" t="s">
        <v>10</v>
      </c>
      <c r="D29" s="55">
        <f>IF(Method_input!E24="COMP",Method_input!E29*Method_in*((Method_input!$D$78+D8)/(D6-D8+Product_tech_data!E36))/((Method_input!$D$78+Method_input!E32)/(Method_input!E31-Method_input!E32+Product_tech_data!E36)),"-")</f>
        <v>65.80963018966402</v>
      </c>
      <c r="E29" s="205" t="s">
        <v>473</v>
      </c>
      <c r="F29" s="99"/>
      <c r="G29" s="329"/>
    </row>
    <row r="30" spans="1:7" s="330" customFormat="1" ht="39.6" x14ac:dyDescent="0.25">
      <c r="A30" s="283" t="s">
        <v>487</v>
      </c>
      <c r="B30" s="285" t="s">
        <v>476</v>
      </c>
      <c r="C30" s="205" t="s">
        <v>10</v>
      </c>
      <c r="D30" s="55" t="str">
        <f>IF(Method_input!E24="ABS",Method_input!E29*Method_in*(Method_input!E54*D34^2+Method_input!E55*D34+Method_input!E56)/(Method_input!E54*D37^2+Method_input!E55*D37+Method_input!E56),"-")</f>
        <v>-</v>
      </c>
      <c r="E30" s="205" t="s">
        <v>479</v>
      </c>
      <c r="F30"/>
      <c r="G30" s="329"/>
    </row>
    <row r="31" spans="1:7" s="330" customFormat="1" ht="39.6" x14ac:dyDescent="0.25">
      <c r="A31" s="283" t="s">
        <v>487</v>
      </c>
      <c r="B31" s="285" t="s">
        <v>477</v>
      </c>
      <c r="C31" s="205" t="s">
        <v>10</v>
      </c>
      <c r="D31" s="55" t="str">
        <f>IF(Method_input!E24="ABS",Method_input!E29*Method_in*(Method_input!E54*D35^2+Method_input!E55*D35+Method_input!E56)/(Method_input!E54*D37^2+Method_input!E55*D37+Method_input!E56),"-")</f>
        <v>-</v>
      </c>
      <c r="E31" s="205" t="s">
        <v>480</v>
      </c>
      <c r="F31" s="99"/>
      <c r="G31" s="329"/>
    </row>
    <row r="32" spans="1:7" s="330" customFormat="1" ht="39.6" x14ac:dyDescent="0.25">
      <c r="A32" s="283" t="s">
        <v>487</v>
      </c>
      <c r="B32" s="285" t="s">
        <v>478</v>
      </c>
      <c r="C32" s="205" t="s">
        <v>10</v>
      </c>
      <c r="D32" s="55" t="str">
        <f>IF(Method_input!E24="ABS",Method_input!E29*Method_in*(Method_input!E54*D36^2+Method_input!E55*D36+Method_input!E56)/(Method_input!E54*D37^2+Method_input!E55*D37+Method_input!E56),"-")</f>
        <v>-</v>
      </c>
      <c r="E32" s="205" t="s">
        <v>482</v>
      </c>
      <c r="F32" s="99"/>
      <c r="G32" s="329"/>
    </row>
    <row r="33" spans="1:9" s="330" customFormat="1" ht="39.6" x14ac:dyDescent="0.25">
      <c r="A33" s="283" t="s">
        <v>488</v>
      </c>
      <c r="B33" s="285" t="s">
        <v>477</v>
      </c>
      <c r="C33" s="205" t="s">
        <v>10</v>
      </c>
      <c r="D33" s="55" t="str">
        <f>IF(Method_input!E24="OTHER",Method_input!E29*Method_in,"-")</f>
        <v>-</v>
      </c>
      <c r="E33" s="205" t="s">
        <v>483</v>
      </c>
      <c r="F33" s="99"/>
      <c r="G33" s="331"/>
    </row>
    <row r="34" spans="1:9" s="334" customFormat="1" ht="39" customHeight="1" x14ac:dyDescent="0.25">
      <c r="A34" s="283" t="s">
        <v>518</v>
      </c>
      <c r="B34" s="295" t="s">
        <v>517</v>
      </c>
      <c r="C34" s="205" t="s">
        <v>10</v>
      </c>
      <c r="D34" s="55">
        <f>(Method_input!$D$78+D8)*(Method_input!D13-MAX(Method_input!D57,Method_input!D7))/((Method_input!$D$78+Method_input!D13)*(MAX(Method_input!D57,Method_input!D7)-D8))</f>
        <v>6.0049381673912112</v>
      </c>
      <c r="E34" s="205" t="s">
        <v>381</v>
      </c>
      <c r="F34" s="99"/>
      <c r="G34" s="335"/>
    </row>
    <row r="35" spans="1:9" s="334" customFormat="1" ht="39" customHeight="1" x14ac:dyDescent="0.25">
      <c r="A35" s="283" t="s">
        <v>512</v>
      </c>
      <c r="B35" s="295" t="s">
        <v>514</v>
      </c>
      <c r="C35" s="205" t="s">
        <v>10</v>
      </c>
      <c r="D35" s="55">
        <f>(Method_input!$D$78+D8)*(Method_input!D13-D5)/((Method_input!$D$78+Method_input!D13)*(D5-D8))</f>
        <v>6.0049381673912112</v>
      </c>
      <c r="E35" s="205" t="s">
        <v>381</v>
      </c>
      <c r="F35" s="99"/>
      <c r="G35" s="335"/>
    </row>
    <row r="36" spans="1:9" s="334" customFormat="1" ht="36.6" customHeight="1" x14ac:dyDescent="0.25">
      <c r="A36" s="283" t="s">
        <v>513</v>
      </c>
      <c r="B36" s="295" t="s">
        <v>515</v>
      </c>
      <c r="C36" s="205" t="s">
        <v>10</v>
      </c>
      <c r="D36" s="55">
        <f>(Method_input!$D$78+D8)*(Method_input!D13-D6)/((Method_input!$D$78+Method_input!D13)*(D6-D8))</f>
        <v>6.0049381673912112</v>
      </c>
      <c r="E36" s="205" t="s">
        <v>381</v>
      </c>
      <c r="F36" s="99"/>
      <c r="G36" s="335"/>
    </row>
    <row r="37" spans="1:9" s="334" customFormat="1" ht="36.6" customHeight="1" x14ac:dyDescent="0.25">
      <c r="A37" s="283" t="s">
        <v>519</v>
      </c>
      <c r="B37" s="295" t="s">
        <v>516</v>
      </c>
      <c r="C37" s="205" t="s">
        <v>10</v>
      </c>
      <c r="D37" s="55">
        <f>(Method_input!$D$78+Method_input!D32)*(90-Method_input!D31)/((Method_input!$D$78+90)*(Method_input!D31-Method_input!D32))</f>
        <v>2.0124634089398921</v>
      </c>
      <c r="E37" s="205" t="s">
        <v>381</v>
      </c>
      <c r="F37" s="99"/>
      <c r="G37" s="335"/>
    </row>
    <row r="38" spans="1:9" ht="57.6" x14ac:dyDescent="0.25">
      <c r="A38" s="283" t="s">
        <v>339</v>
      </c>
      <c r="B38" s="3"/>
      <c r="C38" s="205" t="s">
        <v>10</v>
      </c>
      <c r="D38" s="55" t="str">
        <f>IF(Method_input!D17&lt;Method_input!D18,IF(Method_input!D9&gt;IF(D14&lt;&gt;0,D14,IF(D15&lt;&gt;0,D15,D16)),Method_input!D9-IF(D14&lt;&gt;0,D14,IF(D15&lt;&gt;0,D15,D16)),"-"),IF(Method_input!D9&gt;IF(D17&lt;&gt;0,D17,IF(D18&lt;&gt;0,D18,D19)),Method_input!D9-IF(D17&lt;&gt;0,D17,IF(D18&lt;&gt;0,D18,D19)),"-"))</f>
        <v>-</v>
      </c>
      <c r="E38" s="205" t="s">
        <v>341</v>
      </c>
      <c r="F38" s="338"/>
      <c r="G38" s="3"/>
      <c r="H38" s="330"/>
      <c r="I38" s="330"/>
    </row>
    <row r="39" spans="1:9" ht="57.6" x14ac:dyDescent="0.25">
      <c r="A39" s="283" t="s">
        <v>339</v>
      </c>
      <c r="B39"/>
      <c r="C39" s="205" t="s">
        <v>10</v>
      </c>
      <c r="D39" s="55" t="str">
        <f>IF(Method_input!D17&lt;Method_input!D18,IF(Method_input!D9&gt;IF(D14&lt;&gt;0,D14,IF(D15&lt;&gt;0,D15,D16)),IF(D14&lt;&gt;0,D14,IF(D15&lt;&gt;0,D15,D16)),"-"),IF(Method_input!D9&gt;IF(D17&lt;&gt;0,D17,IF(D18&lt;&gt;0,D18,D19)),IF(D17&lt;&gt;0,D17,IF(D18&lt;&gt;0,D18,D19)),"-"))</f>
        <v>-</v>
      </c>
      <c r="E39" s="205" t="s">
        <v>491</v>
      </c>
      <c r="F39" s="99"/>
      <c r="G39" s="3"/>
      <c r="H39" s="330"/>
      <c r="I39" s="330"/>
    </row>
    <row r="40" spans="1:9" ht="42" x14ac:dyDescent="0.25">
      <c r="A40" s="283" t="s">
        <v>494</v>
      </c>
      <c r="B40" s="3"/>
      <c r="C40" s="205" t="s">
        <v>10</v>
      </c>
      <c r="D40" s="3">
        <f>IF(Method_input!D17&lt;Method_input!D18,IF(Method_input!D9&lt;=IF(D14&lt;&gt;0,D14,IF(D15&lt;&gt;0,D15,D16)),0,"-"),IF(Method_input!D9&lt;=IF(D17&lt;&gt;0,D17,IF(D18&lt;&gt;0,D18,D19)),0,"-"))</f>
        <v>0</v>
      </c>
      <c r="E40" s="205" t="s">
        <v>343</v>
      </c>
      <c r="F40" s="99"/>
      <c r="G40" s="3"/>
      <c r="H40" s="330"/>
      <c r="I40" s="330"/>
    </row>
    <row r="41" spans="1:9" ht="42" x14ac:dyDescent="0.25">
      <c r="A41" s="283" t="s">
        <v>494</v>
      </c>
      <c r="B41" s="31"/>
      <c r="C41" s="25" t="s">
        <v>39</v>
      </c>
      <c r="D41" s="55">
        <f>IF(Method_input!D17&lt;Method_input!D18,IF(Method_input!D9&lt;=IF(D14&lt;&gt;0,D14,IF(D15&lt;&gt;0,D15,D16)),MAX(0,Method_input!D9),"-"),IF(Method_input!D9&lt;=IF(D17&lt;&gt;0,D17,IF(D18&lt;&gt;0,D18,D19)),MAX(0,Method_input!D9),"-"))</f>
        <v>19.062529781112353</v>
      </c>
      <c r="E41" s="205" t="s">
        <v>492</v>
      </c>
      <c r="F41" s="99"/>
      <c r="G41" s="3"/>
      <c r="H41" s="330"/>
    </row>
    <row r="42" spans="1:9" ht="34.5" customHeight="1" x14ac:dyDescent="0.25">
      <c r="A42" s="287" t="s">
        <v>344</v>
      </c>
      <c r="B42" s="31"/>
      <c r="C42" s="282" t="s">
        <v>11</v>
      </c>
      <c r="D42" s="55">
        <f>IF(Method_input!D17&lt;Method_input!D18,IF(D39&lt;&gt;"-",D39,D41),IF(D38&lt;&gt;"-",D38,D40))/IF(D14&lt;&gt;0,D14,IF(D15&lt;&gt;0,D15,D16))*100</f>
        <v>0</v>
      </c>
      <c r="E42" s="205" t="s">
        <v>493</v>
      </c>
      <c r="F42" s="99"/>
      <c r="G42" s="25"/>
    </row>
    <row r="43" spans="1:9" ht="34.5" customHeight="1" x14ac:dyDescent="0.25">
      <c r="A43" s="288" t="s">
        <v>345</v>
      </c>
      <c r="B43" s="31"/>
      <c r="C43" s="282" t="s">
        <v>11</v>
      </c>
      <c r="D43" s="55">
        <f>IF(Method_input!D17&lt;Method_input!D18,IF(D38&lt;&gt;"-",D38,D40),IF(D39&lt;&gt;"-",D39,D41))/IF(D17&lt;&gt;0,D17,IF(D18&lt;&gt;0,D18,D19))*100</f>
        <v>28.966170644287086</v>
      </c>
      <c r="E43" s="205" t="s">
        <v>493</v>
      </c>
      <c r="F43" s="99"/>
      <c r="G43" s="3"/>
    </row>
    <row r="44" spans="1:9" ht="39.6" x14ac:dyDescent="0.25">
      <c r="A44" s="281" t="s">
        <v>447</v>
      </c>
      <c r="B44" s="30" t="s">
        <v>348</v>
      </c>
      <c r="C44" s="205" t="s">
        <v>11</v>
      </c>
      <c r="D44" s="24" t="str">
        <f>IF(Method_input!D25="AIR_C_COND",0,"-")</f>
        <v>-</v>
      </c>
      <c r="E44" s="205" t="s">
        <v>349</v>
      </c>
      <c r="F44" s="290" t="s">
        <v>347</v>
      </c>
      <c r="G44" s="3"/>
    </row>
    <row r="45" spans="1:9" ht="39.6" x14ac:dyDescent="0.25">
      <c r="A45" s="281" t="s">
        <v>446</v>
      </c>
      <c r="B45" s="31" t="s">
        <v>523</v>
      </c>
      <c r="C45" s="205" t="s">
        <v>40</v>
      </c>
      <c r="D45" s="55" t="str">
        <f>IF(Method_input!D25="AIR_C_COND",MAX(Method_input!D57,Method_input!D7),"-")</f>
        <v>-</v>
      </c>
      <c r="E45" s="205" t="s">
        <v>495</v>
      </c>
      <c r="F45" s="438" t="s">
        <v>593</v>
      </c>
      <c r="G45" s="3"/>
    </row>
    <row r="46" spans="1:9" ht="39.6" x14ac:dyDescent="0.25">
      <c r="A46" s="281" t="s">
        <v>351</v>
      </c>
      <c r="B46" s="30" t="s">
        <v>348</v>
      </c>
      <c r="C46" s="205" t="s">
        <v>11</v>
      </c>
      <c r="D46" s="24" t="str">
        <f>IF(Method_input!D25="DRY",0,"-")</f>
        <v>-</v>
      </c>
      <c r="E46" s="205" t="s">
        <v>352</v>
      </c>
      <c r="F46" s="290" t="s">
        <v>347</v>
      </c>
      <c r="G46" s="3"/>
    </row>
    <row r="47" spans="1:9" ht="39.6" x14ac:dyDescent="0.25">
      <c r="A47" s="281" t="s">
        <v>350</v>
      </c>
      <c r="B47" s="31" t="s">
        <v>523</v>
      </c>
      <c r="C47" s="205" t="s">
        <v>40</v>
      </c>
      <c r="D47" s="55" t="str">
        <f>IF(Method_input!D25="DRY",D5,"-")</f>
        <v>-</v>
      </c>
      <c r="E47" s="205" t="s">
        <v>496</v>
      </c>
      <c r="F47" s="437" t="s">
        <v>628</v>
      </c>
      <c r="G47" s="3"/>
    </row>
    <row r="48" spans="1:9" ht="39.6" x14ac:dyDescent="0.25">
      <c r="A48" s="281" t="s">
        <v>353</v>
      </c>
      <c r="B48" s="30" t="s">
        <v>348</v>
      </c>
      <c r="C48" s="205" t="s">
        <v>11</v>
      </c>
      <c r="D48" s="24" t="str">
        <f>IF(Product_descriptive_data!C25="WET",1,"-")</f>
        <v>-</v>
      </c>
      <c r="E48" s="205" t="s">
        <v>356</v>
      </c>
      <c r="F48" s="290" t="s">
        <v>355</v>
      </c>
      <c r="G48" s="3"/>
    </row>
    <row r="49" spans="1:7" ht="39.6" x14ac:dyDescent="0.25">
      <c r="A49" s="281" t="s">
        <v>354</v>
      </c>
      <c r="B49" s="31" t="s">
        <v>523</v>
      </c>
      <c r="C49" s="205" t="s">
        <v>40</v>
      </c>
      <c r="D49" s="55" t="str">
        <f>IF(Method_input!D25="WET",D6,"-")</f>
        <v>-</v>
      </c>
      <c r="E49" s="205" t="s">
        <v>497</v>
      </c>
      <c r="F49" s="437" t="s">
        <v>629</v>
      </c>
      <c r="G49" s="3"/>
    </row>
    <row r="50" spans="1:7" ht="68.400000000000006" x14ac:dyDescent="0.25">
      <c r="A50" s="269" t="s">
        <v>594</v>
      </c>
      <c r="B50" s="30" t="s">
        <v>348</v>
      </c>
      <c r="C50" s="205" t="s">
        <v>11</v>
      </c>
      <c r="D50" s="24" t="str">
        <f>IF(AND(Method_input!D25="HYBRID",Method_input!D74="TEMP",Method_input!D7&gt;Method_input!D67),1,"-")</f>
        <v>-</v>
      </c>
      <c r="E50" s="205" t="s">
        <v>357</v>
      </c>
      <c r="F50" s="290" t="s">
        <v>355</v>
      </c>
      <c r="G50" s="3"/>
    </row>
    <row r="51" spans="1:7" ht="68.400000000000006" x14ac:dyDescent="0.25">
      <c r="A51" s="269" t="s">
        <v>595</v>
      </c>
      <c r="B51" s="31" t="s">
        <v>523</v>
      </c>
      <c r="C51" s="205" t="s">
        <v>40</v>
      </c>
      <c r="D51" s="55" t="str">
        <f>IF(AND(Method_input!D25="HYBRID",Method_input!D74="TEMP",Method_input!D7&gt;Method_input!D67),D6,"-")</f>
        <v>-</v>
      </c>
      <c r="E51" s="205" t="s">
        <v>498</v>
      </c>
      <c r="F51" s="437" t="s">
        <v>629</v>
      </c>
      <c r="G51" s="3"/>
    </row>
    <row r="52" spans="1:7" ht="66" x14ac:dyDescent="0.25">
      <c r="A52" s="269" t="s">
        <v>596</v>
      </c>
      <c r="B52" s="30" t="s">
        <v>348</v>
      </c>
      <c r="C52" s="205" t="s">
        <v>11</v>
      </c>
      <c r="D52" s="322">
        <f>IF(AND(Method_input!D25="HYBRID",Method_input!D74="TEMP",Method_input!D7&lt;=Method_input!D67),0,"-")</f>
        <v>0</v>
      </c>
      <c r="E52" s="205" t="s">
        <v>358</v>
      </c>
      <c r="F52" s="290" t="s">
        <v>347</v>
      </c>
      <c r="G52" s="25"/>
    </row>
    <row r="53" spans="1:7" ht="66" x14ac:dyDescent="0.25">
      <c r="A53" s="269" t="s">
        <v>597</v>
      </c>
      <c r="B53" s="31" t="s">
        <v>523</v>
      </c>
      <c r="C53" s="205" t="s">
        <v>40</v>
      </c>
      <c r="D53" s="55">
        <f>IF(AND(Method_input!D25="HYBRID",Method_input!D74="TEMP",Method_input!D7&lt;=Method_input!D67),D5,"-")</f>
        <v>20</v>
      </c>
      <c r="E53" s="205" t="s">
        <v>499</v>
      </c>
      <c r="F53" s="437" t="s">
        <v>628</v>
      </c>
      <c r="G53" s="3"/>
    </row>
    <row r="54" spans="1:7" ht="76.8" customHeight="1" x14ac:dyDescent="0.25">
      <c r="A54" s="291" t="s">
        <v>359</v>
      </c>
      <c r="B54" s="30" t="s">
        <v>348</v>
      </c>
      <c r="C54" s="205" t="s">
        <v>11</v>
      </c>
      <c r="D54" s="24" t="str">
        <f>IF(AND(Product_descriptive_data!C25="HYBRID",Process_design_data!C16="MAX_POWER",Method_input!D9&gt;SUM(D21,D24,D26,D28,D31,D33)),1,"-")</f>
        <v>-</v>
      </c>
      <c r="E54" s="205" t="s">
        <v>360</v>
      </c>
      <c r="F54" s="290" t="s">
        <v>355</v>
      </c>
      <c r="G54" s="99"/>
    </row>
    <row r="55" spans="1:7" ht="83.4" customHeight="1" x14ac:dyDescent="0.25">
      <c r="A55" s="291" t="s">
        <v>599</v>
      </c>
      <c r="B55" s="31" t="s">
        <v>523</v>
      </c>
      <c r="C55" s="205" t="s">
        <v>40</v>
      </c>
      <c r="D55" s="55" t="str">
        <f>IF(AND(Product_descriptive_data!C25="HYBRID",Process_design_data!C16="MAX_POWER",Method_input!D9&gt;SUM(D21,D24,D26,D28,D31,D33)),MAX(D6,Method_input!D57),"-")</f>
        <v>-</v>
      </c>
      <c r="E55" s="205" t="s">
        <v>500</v>
      </c>
      <c r="F55" s="437" t="s">
        <v>592</v>
      </c>
      <c r="G55" s="3"/>
    </row>
    <row r="56" spans="1:7" s="260" customFormat="1" ht="66" x14ac:dyDescent="0.25">
      <c r="A56" s="269" t="s">
        <v>598</v>
      </c>
      <c r="B56" s="30" t="s">
        <v>348</v>
      </c>
      <c r="C56" s="205" t="s">
        <v>11</v>
      </c>
      <c r="D56" s="24" t="str">
        <f>IF(AND(Product_descriptive_data!C25="HYBRID",Process_design_data!C16="MAX_POWER",Method_input!D9&lt;=SUM(D21,D24,D26,D28,D31,D33)),0,"-")</f>
        <v>-</v>
      </c>
      <c r="E56" s="205" t="s">
        <v>361</v>
      </c>
      <c r="F56" s="290" t="s">
        <v>347</v>
      </c>
      <c r="G56" s="261"/>
    </row>
    <row r="57" spans="1:7" s="260" customFormat="1" ht="66" x14ac:dyDescent="0.25">
      <c r="A57" s="269" t="s">
        <v>600</v>
      </c>
      <c r="B57" s="31" t="s">
        <v>523</v>
      </c>
      <c r="C57" s="205" t="s">
        <v>40</v>
      </c>
      <c r="D57" s="55" t="str">
        <f>IF(AND(Product_descriptive_data!C25="HYBRID",Process_design_data!C16="MAX_POWER",Method_input!D9&lt;=SUM(D21,D24,D26,D28,D31,D33)),D5,"-")</f>
        <v>-</v>
      </c>
      <c r="E57" s="205" t="s">
        <v>501</v>
      </c>
      <c r="F57" s="437" t="s">
        <v>628</v>
      </c>
      <c r="G57" s="262"/>
    </row>
    <row r="58" spans="1:7" s="260" customFormat="1" ht="34.5" customHeight="1" x14ac:dyDescent="0.25">
      <c r="A58" s="281" t="s">
        <v>363</v>
      </c>
      <c r="B58" s="30" t="s">
        <v>348</v>
      </c>
      <c r="C58" s="205" t="s">
        <v>11</v>
      </c>
      <c r="D58" s="24" t="str">
        <f>IF(Product_descriptive_data!C25="OTHER",0,"-")</f>
        <v>-</v>
      </c>
      <c r="E58" s="205" t="s">
        <v>362</v>
      </c>
      <c r="F58" s="290" t="s">
        <v>347</v>
      </c>
      <c r="G58" s="262"/>
    </row>
    <row r="59" spans="1:7" s="260" customFormat="1" ht="34.5" customHeight="1" x14ac:dyDescent="0.25">
      <c r="A59" s="281" t="s">
        <v>364</v>
      </c>
      <c r="B59" s="31" t="s">
        <v>523</v>
      </c>
      <c r="C59" s="205" t="s">
        <v>40</v>
      </c>
      <c r="D59" s="55" t="str">
        <f>IF(Method_input!D25="OTHER",MAX(Method_input!D57,Method_input!D19),"-")</f>
        <v>-</v>
      </c>
      <c r="E59" s="205" t="s">
        <v>502</v>
      </c>
      <c r="F59" s="437" t="s">
        <v>601</v>
      </c>
      <c r="G59" s="262"/>
    </row>
    <row r="60" spans="1:7" s="260" customFormat="1" x14ac:dyDescent="0.25">
      <c r="A60" s="289" t="s">
        <v>365</v>
      </c>
      <c r="B60" s="262"/>
      <c r="C60" s="262"/>
      <c r="D60" s="262"/>
      <c r="E60" s="262"/>
      <c r="F60" s="262"/>
      <c r="G60" s="262"/>
    </row>
    <row r="61" spans="1:7" s="260" customFormat="1" ht="43.5" customHeight="1" x14ac:dyDescent="0.25">
      <c r="A61" s="376" t="s">
        <v>370</v>
      </c>
      <c r="B61" s="377" t="s">
        <v>388</v>
      </c>
      <c r="C61" s="378" t="s">
        <v>10</v>
      </c>
      <c r="D61" s="379">
        <f>Method_input!D20*((1-IF(D9&lt;&gt;"-",D9,IF(D10&lt;&gt;"-",D10,IF(D11&lt;&gt;"-",D11,D12))))*(IF(Method_input!D24="COMP",IF(Method_input!D17&lt;Method_input!D18,IF(D39&lt;&gt;"-",D39,D41),IF(D38&lt;&gt;"-",D38,D40)))+IF(Method_input!E24="COMP",IF(Method_input!D17&lt;Method_input!D18,IF(D38&lt;&gt;"-",D38,D40),IF(D39&lt;&gt;"-",D39,D41))))+(1-IF(D9&lt;&gt;"-",D9,IF(D10&lt;&gt;"-",D10,IF(D11&lt;&gt;"-",D11,D12))))*(IF(Method_input!D24="OTHER",IF(Method_input!D17&lt;Method_input!D18,IF(D39&lt;&gt;"-",D39,D41),IF(D38&lt;&gt;"-",D38,D40)))+IF(Method_input!E24="OTHER",IF(Method_input!D17&lt;Method_input!D18,IF(D38&lt;&gt;"-",D38,D40),IF(D39&lt;&gt;"-",D39,D41))))+IF(D9&lt;&gt;"-",D9,IF(D10&lt;&gt;"-",D10,IF(D11&lt;&gt;"-",D11,D12)))*Method_input!D9)+IF(Method_input!D24="ABS",MIN(IF(Method_input!D17&lt;Method_input!D18,IF(D39&lt;&gt;"-",D39,D41),IF(D38&lt;&gt;"-",D38,D40)),Method_input!D12*D74))+IF(Method_input!E24="ABS",MIN(IF(Method_input!D17&lt;Method_input!D18,IF(D38&lt;&gt;"-",D38,D40),IF(D39&lt;&gt;"-",D39,D41)),Method_input!D12*D75))</f>
        <v>19.062529781112353</v>
      </c>
      <c r="E61" s="378" t="s">
        <v>371</v>
      </c>
      <c r="F61" s="439"/>
      <c r="G61" s="378" t="s">
        <v>527</v>
      </c>
    </row>
    <row r="62" spans="1:7" s="260" customFormat="1" ht="34.5" customHeight="1" x14ac:dyDescent="0.25">
      <c r="A62" s="259" t="s">
        <v>372</v>
      </c>
      <c r="B62" s="30" t="s">
        <v>389</v>
      </c>
      <c r="C62" s="205" t="s">
        <v>10</v>
      </c>
      <c r="D62" s="55">
        <f>D64+D77+Method_input!D12+Method_input!D20*((1-IF(D9&lt;&gt;"-",D9,IF(D10&lt;&gt;"-",D10,IF(D11&lt;&gt;"-",D11,D12))))*(IF(Method_input!D17&lt;Method_input!D18,IF(D39&lt;&gt;"-",D39,D41),IF(D38&lt;&gt;"-",D38,D40))+IF(Method_input!D17&lt;Method_input!D18,IF(D38&lt;&gt;"-",D38,D40),IF(D39&lt;&gt;"-",D39,D41)))+IF(D9&lt;&gt;"-",D9,IF(D10&lt;&gt;"-",D10,IF(D11&lt;&gt;"-",D11,D12)))*Method_input!D9)</f>
        <v>21.588953313197802</v>
      </c>
      <c r="E62" s="205" t="s">
        <v>373</v>
      </c>
      <c r="F62"/>
      <c r="G62" s="262"/>
    </row>
    <row r="63" spans="1:7" s="260" customFormat="1" ht="44.25" customHeight="1" x14ac:dyDescent="0.25">
      <c r="A63" s="376" t="s">
        <v>374</v>
      </c>
      <c r="B63" s="377" t="s">
        <v>390</v>
      </c>
      <c r="C63" s="378" t="s">
        <v>10</v>
      </c>
      <c r="D63" s="379">
        <f>D64+D77+Method_input!D12+Method_input!D20*(1-IF(D9&lt;&gt;"-",D9,IF(D10&lt;&gt;"-",D10,IF(D11&lt;&gt;"-",D11,D12))))*(IF(Method_input!D17&lt;Method_input!D18,IF(D39&lt;&gt;"-",D39,D41),IF(D38&lt;&gt;"-",D38,D40))+IF(Method_input!D17&lt;Method_input!D18,IF(D38&lt;&gt;"-",D38,D40),IF(D39&lt;&gt;"-",D39,D41)))</f>
        <v>21.588953313197802</v>
      </c>
      <c r="E63" s="378" t="s">
        <v>375</v>
      </c>
      <c r="F63" s="380"/>
      <c r="G63" s="378" t="s">
        <v>527</v>
      </c>
    </row>
    <row r="64" spans="1:7" s="260" customFormat="1" ht="40.200000000000003" customHeight="1" x14ac:dyDescent="0.25">
      <c r="A64" s="376" t="s">
        <v>504</v>
      </c>
      <c r="B64" s="377" t="s">
        <v>391</v>
      </c>
      <c r="C64" s="378" t="s">
        <v>10</v>
      </c>
      <c r="D64" s="379">
        <f>Method_input!D20*(1-IF(D9&lt;&gt;"-",D9,IF(D10&lt;&gt;"-",D10,IF(D11&lt;&gt;"-",D11,D12))))*(IF(Method_input!D24="COMP",IF(Method_input!D17&lt;Method_input!D18,IF(D39&lt;&gt;"-",D39,D41),IF(D38&lt;&gt;"-",D38,D40))/D65,0)+IF(Method_input!E24="COMP",IF(Method_input!D17&lt;Method_input!D18,IF(D38&lt;&gt;"-",D38,D40),IF(D39&lt;&gt;"-",D39,D41))/D66,0))</f>
        <v>2.5264235320854476</v>
      </c>
      <c r="E64" s="378" t="s">
        <v>376</v>
      </c>
      <c r="F64" s="380"/>
      <c r="G64" s="378" t="s">
        <v>527</v>
      </c>
    </row>
    <row r="65" spans="1:7" s="403" customFormat="1" ht="40.200000000000003" customHeight="1" x14ac:dyDescent="0.25">
      <c r="A65" s="440" t="s">
        <v>377</v>
      </c>
      <c r="B65" s="419" t="s">
        <v>605</v>
      </c>
      <c r="C65" s="441" t="s">
        <v>11</v>
      </c>
      <c r="D65" s="442">
        <f>Method_input!D30*(IF(D67&lt;&gt;"-",D67,IF(D69&lt;&gt;"-",D69,D71)))</f>
        <v>6.8867814796605558</v>
      </c>
      <c r="E65" s="441" t="s">
        <v>378</v>
      </c>
      <c r="F65" s="443" t="s">
        <v>606</v>
      </c>
      <c r="G65" s="441"/>
    </row>
    <row r="66" spans="1:7" s="403" customFormat="1" ht="40.200000000000003" customHeight="1" x14ac:dyDescent="0.25">
      <c r="A66" s="440" t="s">
        <v>379</v>
      </c>
      <c r="B66" s="419" t="s">
        <v>605</v>
      </c>
      <c r="C66" s="441" t="s">
        <v>11</v>
      </c>
      <c r="D66" s="442">
        <f>Method_input!E30*IF(D68&lt;&gt;"-",D68,IF(D70&lt;&gt;"-",D70,D72))</f>
        <v>7.5452629137669183</v>
      </c>
      <c r="E66" s="441" t="s">
        <v>378</v>
      </c>
      <c r="F66" s="443" t="s">
        <v>606</v>
      </c>
      <c r="G66" s="441"/>
    </row>
    <row r="67" spans="1:7" s="260" customFormat="1" ht="44.4" x14ac:dyDescent="0.25">
      <c r="A67" s="440" t="s">
        <v>617</v>
      </c>
      <c r="B67" s="419" t="s">
        <v>607</v>
      </c>
      <c r="C67" s="441" t="s">
        <v>11</v>
      </c>
      <c r="D67" s="442" t="str">
        <f>IF(AND(Product_tech_data!C4=14825,D42&gt;Method_input!D53),(Method_input!$D$78+D8)/(IF(D45&lt;&gt;"-",D45,IF(D47&lt;&gt;"-",D47,IF(D49&lt;&gt;"-",D49,IF(D51&lt;&gt;"-",D51,IF(D53&lt;&gt;"-",D53,IF(D55&lt;&gt;"-",D55,IF(D57&lt;&gt;"-",D57,D59)))))))-D8+D42/100*Product_tech_data!D36)*(Product_tech_data!D32*(D42/100)^3+Product_tech_data!D33*(D42/100)^2+Product_tech_data!D34*D42/100+Product_tech_data!D35),"-")</f>
        <v>-</v>
      </c>
      <c r="E67" s="441" t="s">
        <v>602</v>
      </c>
      <c r="F67" s="444"/>
      <c r="G67" s="441"/>
    </row>
    <row r="68" spans="1:7" s="403" customFormat="1" ht="44.4" x14ac:dyDescent="0.25">
      <c r="A68" s="440" t="s">
        <v>618</v>
      </c>
      <c r="B68" s="419" t="s">
        <v>607</v>
      </c>
      <c r="C68" s="441" t="s">
        <v>11</v>
      </c>
      <c r="D68" s="442" t="str">
        <f>IF(AND(Product_tech_data!C4=14825,D42&gt;Method_input!E53),(Method_input!$D$78+D8)/(IF(D45&lt;&gt;"-",D45,IF(D47&lt;&gt;"-",D47,IF(D49&lt;&gt;"-",D49,IF(D51&lt;&gt;"-",D51,IF(D53&lt;&gt;"-",D53,IF(D55&lt;&gt;"-",D55,IF(D57&lt;&gt;"-",D57,D59)))))))-D8+D42/100*Product_tech_data!DE6)*(Product_tech_data!E32*(D42/100)^3+Product_tech_data!E33*(D42/100)^2+Product_tech_data!E34*D42/100+Product_tech_data!E35),"-")</f>
        <v>-</v>
      </c>
      <c r="E68" s="441" t="s">
        <v>602</v>
      </c>
      <c r="F68" s="444"/>
      <c r="G68" s="441"/>
    </row>
    <row r="69" spans="1:7" s="263" customFormat="1" ht="40.5" customHeight="1" x14ac:dyDescent="0.25">
      <c r="A69" s="440" t="s">
        <v>619</v>
      </c>
      <c r="B69" s="419" t="s">
        <v>607</v>
      </c>
      <c r="C69" s="441" t="s">
        <v>11</v>
      </c>
      <c r="D69" s="442">
        <f>IF(AND(Product_tech_data!C4=14825,D42&lt;=Method_input!D53),(Method_input!$D$78+D8)/(IF(D45&lt;&gt;"-",D45,IF(D47&lt;&gt;"-",D47,IF(D49&lt;&gt;"-",D49,IF(D51&lt;&gt;"-",D51,IF(D53&lt;&gt;"-",D53,IF(D55&lt;&gt;"-",D55,IF(D57&lt;&gt;"-",D57,D59)))))))-D8+Method_input!D53/100*Product_tech_data!D36)*(Product_tech_data!D32*(Method_input!D53/100)^3+Product_tech_data!D33*(Method_input!D53/100)^2+Product_tech_data!D34*Method_input!D53/100+Product_tech_data!D35),"-")</f>
        <v>2.4334916889259914</v>
      </c>
      <c r="E69" s="441" t="s">
        <v>603</v>
      </c>
      <c r="F69" s="444"/>
      <c r="G69" s="441"/>
    </row>
    <row r="70" spans="1:7" s="403" customFormat="1" ht="40.5" customHeight="1" x14ac:dyDescent="0.25">
      <c r="A70" s="440" t="s">
        <v>620</v>
      </c>
      <c r="B70" s="419" t="s">
        <v>607</v>
      </c>
      <c r="C70" s="441" t="s">
        <v>11</v>
      </c>
      <c r="D70" s="442">
        <f>IF(AND(Product_tech_data!C4=14825,D42&lt;=Method_input!E53),(Method_input!$D$78+D8)/(IF(D45&lt;&gt;"-",D45,IF(D47&lt;&gt;"-",D47,IF(D49&lt;&gt;"-",D49,IF(D51&lt;&gt;"-",D51,IF(D53&lt;&gt;"-",D53,IF(D55&lt;&gt;"-",D55,IF(D57&lt;&gt;"-",D57,D59)))))))-D8+Method_input!D53/100*Product_tech_data!E36)*(Product_tech_data!E32*(Method_input!D53/100)^3+Product_tech_data!E33*(Method_input!D53/100)^2+Product_tech_data!E34*Method_input!D53/100+Product_tech_data!E35),"-")</f>
        <v>1.8863157284417296</v>
      </c>
      <c r="E70" s="441" t="s">
        <v>603</v>
      </c>
      <c r="F70" s="444"/>
      <c r="G70" s="441"/>
    </row>
    <row r="71" spans="1:7" s="403" customFormat="1" ht="84" customHeight="1" x14ac:dyDescent="0.25">
      <c r="A71" s="440" t="s">
        <v>621</v>
      </c>
      <c r="B71" s="419" t="s">
        <v>607</v>
      </c>
      <c r="C71" s="441" t="s">
        <v>11</v>
      </c>
      <c r="D71" s="445" t="str">
        <f>IF(Product_tech_data!C4=14511,(Method_input!D78+D8)/(IF(D45&lt;&gt;"-",D45,IF(D47&lt;&gt;"-",D47,IF(D49&lt;&gt;"-",D49,IF(D51&lt;&gt;"-",D51,IF(D53&lt;&gt;"-",D53,IF(D55&lt;&gt;"-",D55,IF(D57&lt;&gt;"-",D57,D59)))))))-D8)/((Method_input!D78+Method_input!D32)/(Method_input!D31-Method_input!D32)),"-")</f>
        <v>-</v>
      </c>
      <c r="E71" s="441" t="s">
        <v>604</v>
      </c>
      <c r="F71" s="444"/>
      <c r="G71" s="441"/>
    </row>
    <row r="72" spans="1:7" s="403" customFormat="1" ht="84" customHeight="1" x14ac:dyDescent="0.25">
      <c r="A72" s="440" t="s">
        <v>622</v>
      </c>
      <c r="B72" s="419" t="s">
        <v>607</v>
      </c>
      <c r="C72" s="441" t="s">
        <v>11</v>
      </c>
      <c r="D72" s="445" t="str">
        <f>IF(Product_tech_data!C4=14511,(Method_input!D78+D8)/(IF(D45&lt;&gt;"-",D45,IF(D47&lt;&gt;"-",D47,IF(D49&lt;&gt;"-",D49,IF(D51&lt;&gt;"-",D51,IF(D53&lt;&gt;"-",D53,IF(D55&lt;&gt;"-",D55,IF(D57&lt;&gt;"-",D57,D59)))))))-D8)/((Method_input!D78+Method_input!E32)/(Method_input!E31-Method_input!E32)),"-")</f>
        <v>-</v>
      </c>
      <c r="E72" s="441" t="s">
        <v>604</v>
      </c>
      <c r="F72" s="446"/>
      <c r="G72" s="441"/>
    </row>
    <row r="73" spans="1:7" s="260" customFormat="1" ht="41.4" customHeight="1" x14ac:dyDescent="0.25">
      <c r="A73" s="381" t="s">
        <v>505</v>
      </c>
      <c r="B73" s="377" t="s">
        <v>392</v>
      </c>
      <c r="C73" s="378" t="s">
        <v>10</v>
      </c>
      <c r="D73" s="390">
        <f>(1-IF(D9&lt;&gt;"-",D9,IF(D10&lt;&gt;"-",D10,IF(D11&lt;&gt;"-",D11,D12))))*(IF(Method_input!D24="ABS",IF(Method_input!D17&lt;Method_input!D18,IF(D39&lt;&gt;"-",D39,D41),IF(D38&lt;&gt;"-",D38,D40))/D74,0)+IF(Method_input!E24="ABS",IF(Method_input!D17&lt;Method_input!D18,IF(D38&lt;&gt;"-",D38,D40),IF(D39&lt;&gt;"-",D39,D41))/D75,0))</f>
        <v>0</v>
      </c>
      <c r="E73" s="378" t="s">
        <v>608</v>
      </c>
      <c r="F73" s="380"/>
      <c r="G73" s="378" t="s">
        <v>527</v>
      </c>
    </row>
    <row r="74" spans="1:7" s="260" customFormat="1" ht="34.5" customHeight="1" x14ac:dyDescent="0.25">
      <c r="A74" s="283" t="s">
        <v>380</v>
      </c>
      <c r="B74" s="295" t="s">
        <v>393</v>
      </c>
      <c r="C74" s="205" t="s">
        <v>10</v>
      </c>
      <c r="D74" s="55">
        <f>Method_input!D54*D76^2+Method_input!D55*D76+Method_input!D56</f>
        <v>0.58316116865533041</v>
      </c>
      <c r="E74" s="205" t="s">
        <v>609</v>
      </c>
      <c r="F74" s="99"/>
      <c r="G74" s="262"/>
    </row>
    <row r="75" spans="1:7" s="263" customFormat="1" ht="34.5" customHeight="1" x14ac:dyDescent="0.25">
      <c r="A75" s="283" t="s">
        <v>503</v>
      </c>
      <c r="B75" s="295" t="s">
        <v>393</v>
      </c>
      <c r="C75" s="205" t="s">
        <v>10</v>
      </c>
      <c r="D75" s="55">
        <f>Method_input!E54*D76^2+Method_input!E55*D76+Method_input!E56</f>
        <v>0.58316116865533041</v>
      </c>
      <c r="E75" s="205" t="s">
        <v>609</v>
      </c>
      <c r="F75" s="99"/>
      <c r="G75" s="264"/>
    </row>
    <row r="76" spans="1:7" s="260" customFormat="1" ht="50.25" customHeight="1" x14ac:dyDescent="0.25">
      <c r="A76" s="283" t="s">
        <v>382</v>
      </c>
      <c r="B76" s="295" t="s">
        <v>394</v>
      </c>
      <c r="C76" s="205" t="s">
        <v>10</v>
      </c>
      <c r="D76" s="55">
        <f>(Method_input!$D$78+D8)*(Method_input!D13-IF(D45&lt;&gt;"-",D45,IF(D47&lt;&gt;"-",D47,IF(D49&lt;&gt;"-",D49,IF(D51&lt;&gt;"-",D51,IF(D53&lt;&gt;"-",D53,IF(D55&lt;&gt;"-",D55,IF(D57&lt;&gt;"-",D57,D59))))))))/((Method_input!$D$78+Method_input!D13)*(IF(D45&lt;&gt;"-",D45,IF(D47&lt;&gt;"-",D47,IF(D49&lt;&gt;"-",D49,IF(D51&lt;&gt;"-",D51,IF(D53&lt;&gt;"-",D53,IF(D55&lt;&gt;"-",D55,IF(D57&lt;&gt;"-",D57,D59)))))))-D8))</f>
        <v>6.0049381673912112</v>
      </c>
      <c r="E76" s="205" t="s">
        <v>610</v>
      </c>
      <c r="F76" s="447"/>
      <c r="G76" s="262"/>
    </row>
    <row r="77" spans="1:7" s="260" customFormat="1" ht="48" customHeight="1" x14ac:dyDescent="0.25">
      <c r="A77" s="381" t="s">
        <v>383</v>
      </c>
      <c r="B77" s="377" t="s">
        <v>391</v>
      </c>
      <c r="C77" s="378" t="s">
        <v>10</v>
      </c>
      <c r="D77" s="379">
        <f>Method_input!D20*IF(Method_input!D24="OTHER",IF(Method_input!D17&lt;Method_input!D18,IF(D39&lt;&gt;"-",D39,D41),IF(D38&lt;&gt;"-",D38,D40)),0)*0.1+IF(Method_input!E24="OTHER",IF(Method_input!D17&lt;Method_input!D18,IF(D38&lt;&gt;"-",D38,D40),IF(D39&lt;&gt;"-",D39,D41)),0)*0.1</f>
        <v>0</v>
      </c>
      <c r="E77" s="378" t="s">
        <v>611</v>
      </c>
      <c r="F77" s="380"/>
      <c r="G77" s="378" t="s">
        <v>527</v>
      </c>
    </row>
    <row r="78" spans="1:7" s="260" customFormat="1" ht="34.5" customHeight="1" x14ac:dyDescent="0.25">
      <c r="A78" s="381" t="s">
        <v>384</v>
      </c>
      <c r="B78" s="377" t="s">
        <v>395</v>
      </c>
      <c r="C78" s="378" t="s">
        <v>10</v>
      </c>
      <c r="D78" s="379">
        <f>IF(D79&lt;&gt;"-",D79)+IF(D80&lt;&gt;"-",D80)+D82+Method_input!D16</f>
        <v>0.63411956024709915</v>
      </c>
      <c r="E78" s="378" t="s">
        <v>612</v>
      </c>
      <c r="F78" s="380"/>
      <c r="G78" s="378" t="s">
        <v>527</v>
      </c>
    </row>
    <row r="79" spans="1:7" s="368" customFormat="1" ht="39" customHeight="1" x14ac:dyDescent="0.25">
      <c r="A79" s="283" t="s">
        <v>526</v>
      </c>
      <c r="B79" s="30" t="s">
        <v>396</v>
      </c>
      <c r="C79" s="205" t="s">
        <v>10</v>
      </c>
      <c r="D79" s="55" t="str">
        <f>IF(Method_input!D25="OTHER",D81*(1-IF(OR(D48=1,D50=1,D54=1),1,0))*Method_input!D60,"-")</f>
        <v>-</v>
      </c>
      <c r="E79" s="205" t="s">
        <v>613</v>
      </c>
      <c r="F79" s="99"/>
      <c r="G79" s="369"/>
    </row>
    <row r="80" spans="1:7" s="260" customFormat="1" ht="34.5" customHeight="1" x14ac:dyDescent="0.25">
      <c r="A80" s="283" t="s">
        <v>385</v>
      </c>
      <c r="B80" s="30" t="s">
        <v>396</v>
      </c>
      <c r="C80" s="205" t="s">
        <v>10</v>
      </c>
      <c r="D80" s="55">
        <f>IF(Method_input!D25&lt;&gt;"OTHER",D81*((1-IF(OR(D48=1,D50=1,D54=1),1,0))*Method_input!D58+IF(OR(D48=1,D50=1,D54=1),1,0)*Method_input!D59),"-")</f>
        <v>0.52910266903684167</v>
      </c>
      <c r="E80" s="205" t="s">
        <v>614</v>
      </c>
      <c r="F80"/>
      <c r="G80" s="261"/>
    </row>
    <row r="81" spans="1:7" s="260" customFormat="1" ht="37.200000000000003" customHeight="1" x14ac:dyDescent="0.25">
      <c r="A81" s="283" t="s">
        <v>386</v>
      </c>
      <c r="B81" s="30" t="s">
        <v>397</v>
      </c>
      <c r="C81" s="205" t="s">
        <v>10</v>
      </c>
      <c r="D81" s="55">
        <f>D62-Method_input!D11+Method_input!D15</f>
        <v>21.164106761473665</v>
      </c>
      <c r="E81" s="205" t="s">
        <v>615</v>
      </c>
      <c r="F81" s="99"/>
      <c r="G81" s="262"/>
    </row>
    <row r="82" spans="1:7" s="260" customFormat="1" ht="34.5" customHeight="1" x14ac:dyDescent="0.25">
      <c r="A82" s="283" t="s">
        <v>387</v>
      </c>
      <c r="B82" s="30" t="s">
        <v>398</v>
      </c>
      <c r="C82" s="205" t="s">
        <v>10</v>
      </c>
      <c r="D82" s="55">
        <f>Method_input!D61*Method_input!D21*Method_in</f>
        <v>0.1</v>
      </c>
      <c r="E82" s="205" t="s">
        <v>616</v>
      </c>
      <c r="F82" s="99"/>
      <c r="G82" s="262"/>
    </row>
  </sheetData>
  <mergeCells count="1">
    <mergeCell ref="A1:G1"/>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5147" r:id="rId4">
          <objectPr defaultSize="0" autoPict="0" r:id="rId5">
            <anchor moveWithCells="1" sizeWithCells="1">
              <from>
                <xdr:col>5</xdr:col>
                <xdr:colOff>38100</xdr:colOff>
                <xdr:row>12</xdr:row>
                <xdr:rowOff>15240</xdr:rowOff>
              </from>
              <to>
                <xdr:col>5</xdr:col>
                <xdr:colOff>1981200</xdr:colOff>
                <xdr:row>13</xdr:row>
                <xdr:rowOff>0</xdr:rowOff>
              </to>
            </anchor>
          </objectPr>
        </oleObject>
      </mc:Choice>
      <mc:Fallback>
        <oleObject progId="Equation.3" shapeId="5147" r:id="rId4"/>
      </mc:Fallback>
    </mc:AlternateContent>
    <mc:AlternateContent xmlns:mc="http://schemas.openxmlformats.org/markup-compatibility/2006">
      <mc:Choice Requires="x14">
        <oleObject progId="Equation.3" shapeId="5155" r:id="rId6">
          <objectPr defaultSize="0" autoPict="0" r:id="rId7">
            <anchor moveWithCells="1" sizeWithCells="1">
              <from>
                <xdr:col>5</xdr:col>
                <xdr:colOff>53340</xdr:colOff>
                <xdr:row>25</xdr:row>
                <xdr:rowOff>91440</xdr:rowOff>
              </from>
              <to>
                <xdr:col>5</xdr:col>
                <xdr:colOff>2758440</xdr:colOff>
                <xdr:row>25</xdr:row>
                <xdr:rowOff>335280</xdr:rowOff>
              </to>
            </anchor>
          </objectPr>
        </oleObject>
      </mc:Choice>
      <mc:Fallback>
        <oleObject progId="Equation.3" shapeId="5155" r:id="rId6"/>
      </mc:Fallback>
    </mc:AlternateContent>
    <mc:AlternateContent xmlns:mc="http://schemas.openxmlformats.org/markup-compatibility/2006">
      <mc:Choice Requires="x14">
        <oleObject progId="Equation.3" shapeId="5163" r:id="rId8">
          <objectPr defaultSize="0" autoPict="0" r:id="rId9">
            <anchor moveWithCells="1" sizeWithCells="1">
              <from>
                <xdr:col>0</xdr:col>
                <xdr:colOff>647700</xdr:colOff>
                <xdr:row>37</xdr:row>
                <xdr:rowOff>350520</xdr:rowOff>
              </from>
              <to>
                <xdr:col>0</xdr:col>
                <xdr:colOff>1981200</xdr:colOff>
                <xdr:row>38</xdr:row>
                <xdr:rowOff>0</xdr:rowOff>
              </to>
            </anchor>
          </objectPr>
        </oleObject>
      </mc:Choice>
      <mc:Fallback>
        <oleObject progId="Equation.3" shapeId="5163" r:id="rId8"/>
      </mc:Fallback>
    </mc:AlternateContent>
    <mc:AlternateContent xmlns:mc="http://schemas.openxmlformats.org/markup-compatibility/2006">
      <mc:Choice Requires="x14">
        <oleObject progId="Equation.3" shapeId="5164" r:id="rId10">
          <objectPr defaultSize="0" autoPict="0" r:id="rId11">
            <anchor moveWithCells="1" sizeWithCells="1">
              <from>
                <xdr:col>5</xdr:col>
                <xdr:colOff>22860</xdr:colOff>
                <xdr:row>37</xdr:row>
                <xdr:rowOff>152400</xdr:rowOff>
              </from>
              <to>
                <xdr:col>5</xdr:col>
                <xdr:colOff>2301240</xdr:colOff>
                <xdr:row>37</xdr:row>
                <xdr:rowOff>609600</xdr:rowOff>
              </to>
            </anchor>
          </objectPr>
        </oleObject>
      </mc:Choice>
      <mc:Fallback>
        <oleObject progId="Equation.3" shapeId="5164" r:id="rId10"/>
      </mc:Fallback>
    </mc:AlternateContent>
    <mc:AlternateContent xmlns:mc="http://schemas.openxmlformats.org/markup-compatibility/2006">
      <mc:Choice Requires="x14">
        <oleObject progId="Equation.3" shapeId="5166" r:id="rId12">
          <objectPr defaultSize="0" r:id="rId13">
            <anchor moveWithCells="1" sizeWithCells="1">
              <from>
                <xdr:col>5</xdr:col>
                <xdr:colOff>22860</xdr:colOff>
                <xdr:row>38</xdr:row>
                <xdr:rowOff>236220</xdr:rowOff>
              </from>
              <to>
                <xdr:col>5</xdr:col>
                <xdr:colOff>2682240</xdr:colOff>
                <xdr:row>38</xdr:row>
                <xdr:rowOff>548640</xdr:rowOff>
              </to>
            </anchor>
          </objectPr>
        </oleObject>
      </mc:Choice>
      <mc:Fallback>
        <oleObject progId="Equation.3" shapeId="5166" r:id="rId12"/>
      </mc:Fallback>
    </mc:AlternateContent>
    <mc:AlternateContent xmlns:mc="http://schemas.openxmlformats.org/markup-compatibility/2006">
      <mc:Choice Requires="x14">
        <oleObject progId="Equation.3" shapeId="5167" r:id="rId14">
          <objectPr defaultSize="0" autoPict="0" r:id="rId9">
            <anchor moveWithCells="1" sizeWithCells="1">
              <from>
                <xdr:col>0</xdr:col>
                <xdr:colOff>647700</xdr:colOff>
                <xdr:row>38</xdr:row>
                <xdr:rowOff>350520</xdr:rowOff>
              </from>
              <to>
                <xdr:col>0</xdr:col>
                <xdr:colOff>1981200</xdr:colOff>
                <xdr:row>39</xdr:row>
                <xdr:rowOff>0</xdr:rowOff>
              </to>
            </anchor>
          </objectPr>
        </oleObject>
      </mc:Choice>
      <mc:Fallback>
        <oleObject progId="Equation.3" shapeId="5167" r:id="rId14"/>
      </mc:Fallback>
    </mc:AlternateContent>
    <mc:AlternateContent xmlns:mc="http://schemas.openxmlformats.org/markup-compatibility/2006">
      <mc:Choice Requires="x14">
        <oleObject progId="Equation.3" shapeId="5169" r:id="rId15">
          <objectPr defaultSize="0" autoPict="0" r:id="rId16">
            <anchor moveWithCells="1" sizeWithCells="1">
              <from>
                <xdr:col>5</xdr:col>
                <xdr:colOff>91440</xdr:colOff>
                <xdr:row>39</xdr:row>
                <xdr:rowOff>83820</xdr:rowOff>
              </from>
              <to>
                <xdr:col>5</xdr:col>
                <xdr:colOff>868680</xdr:colOff>
                <xdr:row>39</xdr:row>
                <xdr:rowOff>320040</xdr:rowOff>
              </to>
            </anchor>
          </objectPr>
        </oleObject>
      </mc:Choice>
      <mc:Fallback>
        <oleObject progId="Equation.3" shapeId="5169" r:id="rId15"/>
      </mc:Fallback>
    </mc:AlternateContent>
    <mc:AlternateContent xmlns:mc="http://schemas.openxmlformats.org/markup-compatibility/2006">
      <mc:Choice Requires="x14">
        <oleObject progId="Equation.3" shapeId="5171" r:id="rId17">
          <objectPr defaultSize="0" autoPict="0" r:id="rId18">
            <anchor moveWithCells="1" sizeWithCells="1">
              <from>
                <xdr:col>1</xdr:col>
                <xdr:colOff>60960</xdr:colOff>
                <xdr:row>37</xdr:row>
                <xdr:rowOff>205740</xdr:rowOff>
              </from>
              <to>
                <xdr:col>1</xdr:col>
                <xdr:colOff>739140</xdr:colOff>
                <xdr:row>37</xdr:row>
                <xdr:rowOff>518160</xdr:rowOff>
              </to>
            </anchor>
          </objectPr>
        </oleObject>
      </mc:Choice>
      <mc:Fallback>
        <oleObject progId="Equation.3" shapeId="5171" r:id="rId17"/>
      </mc:Fallback>
    </mc:AlternateContent>
    <mc:AlternateContent xmlns:mc="http://schemas.openxmlformats.org/markup-compatibility/2006">
      <mc:Choice Requires="x14">
        <oleObject progId="Equation.3" shapeId="5172" r:id="rId19">
          <objectPr defaultSize="0" autoPict="0" r:id="rId20">
            <anchor moveWithCells="1" sizeWithCells="1">
              <from>
                <xdr:col>1</xdr:col>
                <xdr:colOff>91440</xdr:colOff>
                <xdr:row>39</xdr:row>
                <xdr:rowOff>99060</xdr:rowOff>
              </from>
              <to>
                <xdr:col>1</xdr:col>
                <xdr:colOff>769620</xdr:colOff>
                <xdr:row>39</xdr:row>
                <xdr:rowOff>411480</xdr:rowOff>
              </to>
            </anchor>
          </objectPr>
        </oleObject>
      </mc:Choice>
      <mc:Fallback>
        <oleObject progId="Equation.3" shapeId="5172" r:id="rId19"/>
      </mc:Fallback>
    </mc:AlternateContent>
    <mc:AlternateContent xmlns:mc="http://schemas.openxmlformats.org/markup-compatibility/2006">
      <mc:Choice Requires="x14">
        <oleObject progId="Equation.3" shapeId="5173" r:id="rId21">
          <objectPr defaultSize="0" autoPict="0" r:id="rId22">
            <anchor moveWithCells="1" sizeWithCells="1">
              <from>
                <xdr:col>5</xdr:col>
                <xdr:colOff>0</xdr:colOff>
                <xdr:row>40</xdr:row>
                <xdr:rowOff>0</xdr:rowOff>
              </from>
              <to>
                <xdr:col>5</xdr:col>
                <xdr:colOff>2964180</xdr:colOff>
                <xdr:row>40</xdr:row>
                <xdr:rowOff>472440</xdr:rowOff>
              </to>
            </anchor>
          </objectPr>
        </oleObject>
      </mc:Choice>
      <mc:Fallback>
        <oleObject progId="Equation.3" shapeId="5173" r:id="rId21"/>
      </mc:Fallback>
    </mc:AlternateContent>
    <mc:AlternateContent xmlns:mc="http://schemas.openxmlformats.org/markup-compatibility/2006">
      <mc:Choice Requires="x14">
        <oleObject progId="Equation.3" shapeId="5179" r:id="rId23">
          <objectPr defaultSize="0" autoPict="0" r:id="rId24">
            <anchor moveWithCells="1">
              <from>
                <xdr:col>1</xdr:col>
                <xdr:colOff>182880</xdr:colOff>
                <xdr:row>41</xdr:row>
                <xdr:rowOff>91440</xdr:rowOff>
              </from>
              <to>
                <xdr:col>1</xdr:col>
                <xdr:colOff>579120</xdr:colOff>
                <xdr:row>41</xdr:row>
                <xdr:rowOff>335280</xdr:rowOff>
              </to>
            </anchor>
          </objectPr>
        </oleObject>
      </mc:Choice>
      <mc:Fallback>
        <oleObject progId="Equation.3" shapeId="5179" r:id="rId23"/>
      </mc:Fallback>
    </mc:AlternateContent>
    <mc:AlternateContent xmlns:mc="http://schemas.openxmlformats.org/markup-compatibility/2006">
      <mc:Choice Requires="x14">
        <oleObject progId="Equation.3" shapeId="5180" r:id="rId25">
          <objectPr defaultSize="0" autoPict="0" r:id="rId26">
            <anchor moveWithCells="1">
              <from>
                <xdr:col>1</xdr:col>
                <xdr:colOff>160020</xdr:colOff>
                <xdr:row>42</xdr:row>
                <xdr:rowOff>45720</xdr:rowOff>
              </from>
              <to>
                <xdr:col>1</xdr:col>
                <xdr:colOff>617220</xdr:colOff>
                <xdr:row>42</xdr:row>
                <xdr:rowOff>327660</xdr:rowOff>
              </to>
            </anchor>
          </objectPr>
        </oleObject>
      </mc:Choice>
      <mc:Fallback>
        <oleObject progId="Equation.3" shapeId="5180" r:id="rId25"/>
      </mc:Fallback>
    </mc:AlternateContent>
    <mc:AlternateContent xmlns:mc="http://schemas.openxmlformats.org/markup-compatibility/2006">
      <mc:Choice Requires="x14">
        <oleObject progId="Equation.3" shapeId="5181" r:id="rId27">
          <objectPr defaultSize="0" autoPict="0" r:id="rId28">
            <anchor moveWithCells="1">
              <from>
                <xdr:col>1</xdr:col>
                <xdr:colOff>22860</xdr:colOff>
                <xdr:row>38</xdr:row>
                <xdr:rowOff>182880</xdr:rowOff>
              </from>
              <to>
                <xdr:col>1</xdr:col>
                <xdr:colOff>830580</xdr:colOff>
                <xdr:row>38</xdr:row>
                <xdr:rowOff>441960</xdr:rowOff>
              </to>
            </anchor>
          </objectPr>
        </oleObject>
      </mc:Choice>
      <mc:Fallback>
        <oleObject progId="Equation.3" shapeId="5181" r:id="rId27"/>
      </mc:Fallback>
    </mc:AlternateContent>
    <mc:AlternateContent xmlns:mc="http://schemas.openxmlformats.org/markup-compatibility/2006">
      <mc:Choice Requires="x14">
        <oleObject progId="Equation.3" shapeId="5182" r:id="rId29">
          <objectPr defaultSize="0" autoPict="0" r:id="rId28">
            <anchor moveWithCells="1">
              <from>
                <xdr:col>1</xdr:col>
                <xdr:colOff>22860</xdr:colOff>
                <xdr:row>40</xdr:row>
                <xdr:rowOff>83820</xdr:rowOff>
              </from>
              <to>
                <xdr:col>1</xdr:col>
                <xdr:colOff>830580</xdr:colOff>
                <xdr:row>40</xdr:row>
                <xdr:rowOff>342900</xdr:rowOff>
              </to>
            </anchor>
          </objectPr>
        </oleObject>
      </mc:Choice>
      <mc:Fallback>
        <oleObject progId="Equation.3" shapeId="5182" r:id="rId29"/>
      </mc:Fallback>
    </mc:AlternateContent>
    <mc:AlternateContent xmlns:mc="http://schemas.openxmlformats.org/markup-compatibility/2006">
      <mc:Choice Requires="x14">
        <oleObject progId="Equation.3" shapeId="5194" r:id="rId30">
          <objectPr defaultSize="0" autoPict="0" r:id="rId31">
            <anchor moveWithCells="1" sizeWithCells="1">
              <from>
                <xdr:col>0</xdr:col>
                <xdr:colOff>792480</xdr:colOff>
                <xdr:row>53</xdr:row>
                <xdr:rowOff>624840</xdr:rowOff>
              </from>
              <to>
                <xdr:col>0</xdr:col>
                <xdr:colOff>2034540</xdr:colOff>
                <xdr:row>53</xdr:row>
                <xdr:rowOff>960120</xdr:rowOff>
              </to>
            </anchor>
          </objectPr>
        </oleObject>
      </mc:Choice>
      <mc:Fallback>
        <oleObject progId="Equation.3" shapeId="5194" r:id="rId30"/>
      </mc:Fallback>
    </mc:AlternateContent>
    <mc:AlternateContent xmlns:mc="http://schemas.openxmlformats.org/markup-compatibility/2006">
      <mc:Choice Requires="x14">
        <oleObject progId="Equation.3" shapeId="5195" r:id="rId32">
          <objectPr defaultSize="0" autoPict="0" r:id="rId31">
            <anchor moveWithCells="1" sizeWithCells="1">
              <from>
                <xdr:col>0</xdr:col>
                <xdr:colOff>822960</xdr:colOff>
                <xdr:row>54</xdr:row>
                <xdr:rowOff>701040</xdr:rowOff>
              </from>
              <to>
                <xdr:col>0</xdr:col>
                <xdr:colOff>2065020</xdr:colOff>
                <xdr:row>54</xdr:row>
                <xdr:rowOff>1036320</xdr:rowOff>
              </to>
            </anchor>
          </objectPr>
        </oleObject>
      </mc:Choice>
      <mc:Fallback>
        <oleObject progId="Equation.3" shapeId="5195" r:id="rId32"/>
      </mc:Fallback>
    </mc:AlternateContent>
    <mc:AlternateContent xmlns:mc="http://schemas.openxmlformats.org/markup-compatibility/2006">
      <mc:Choice Requires="x14">
        <oleObject progId="Equation.3" shapeId="5210" r:id="rId33">
          <objectPr defaultSize="0" autoPict="0" r:id="rId34">
            <anchor moveWithCells="1" sizeWithCells="1">
              <from>
                <xdr:col>5</xdr:col>
                <xdr:colOff>0</xdr:colOff>
                <xdr:row>62</xdr:row>
                <xdr:rowOff>137160</xdr:rowOff>
              </from>
              <to>
                <xdr:col>6</xdr:col>
                <xdr:colOff>609600</xdr:colOff>
                <xdr:row>62</xdr:row>
                <xdr:rowOff>487680</xdr:rowOff>
              </to>
            </anchor>
          </objectPr>
        </oleObject>
      </mc:Choice>
      <mc:Fallback>
        <oleObject progId="Equation.3" shapeId="5210" r:id="rId33"/>
      </mc:Fallback>
    </mc:AlternateContent>
    <mc:AlternateContent xmlns:mc="http://schemas.openxmlformats.org/markup-compatibility/2006">
      <mc:Choice Requires="x14">
        <oleObject progId="Equation.3" shapeId="5211" r:id="rId35">
          <objectPr defaultSize="0" autoPict="0" r:id="rId36">
            <anchor moveWithCells="1" sizeWithCells="1">
              <from>
                <xdr:col>5</xdr:col>
                <xdr:colOff>0</xdr:colOff>
                <xdr:row>63</xdr:row>
                <xdr:rowOff>0</xdr:rowOff>
              </from>
              <to>
                <xdr:col>5</xdr:col>
                <xdr:colOff>2415540</xdr:colOff>
                <xdr:row>63</xdr:row>
                <xdr:rowOff>464820</xdr:rowOff>
              </to>
            </anchor>
          </objectPr>
        </oleObject>
      </mc:Choice>
      <mc:Fallback>
        <oleObject progId="Equation.3" shapeId="5211" r:id="rId35"/>
      </mc:Fallback>
    </mc:AlternateContent>
    <mc:AlternateContent xmlns:mc="http://schemas.openxmlformats.org/markup-compatibility/2006">
      <mc:Choice Requires="x14">
        <oleObject progId="Equation.3" shapeId="5216" r:id="rId37">
          <objectPr defaultSize="0" autoPict="0" r:id="rId38">
            <anchor moveWithCells="1" sizeWithCells="1">
              <from>
                <xdr:col>5</xdr:col>
                <xdr:colOff>0</xdr:colOff>
                <xdr:row>72</xdr:row>
                <xdr:rowOff>0</xdr:rowOff>
              </from>
              <to>
                <xdr:col>5</xdr:col>
                <xdr:colOff>1866900</xdr:colOff>
                <xdr:row>72</xdr:row>
                <xdr:rowOff>449580</xdr:rowOff>
              </to>
            </anchor>
          </objectPr>
        </oleObject>
      </mc:Choice>
      <mc:Fallback>
        <oleObject progId="Equation.3" shapeId="5216" r:id="rId37"/>
      </mc:Fallback>
    </mc:AlternateContent>
    <mc:AlternateContent xmlns:mc="http://schemas.openxmlformats.org/markup-compatibility/2006">
      <mc:Choice Requires="x14">
        <oleObject progId="Equation.3" shapeId="5220" r:id="rId39">
          <objectPr defaultSize="0" autoPict="0" r:id="rId40">
            <anchor moveWithCells="1" sizeWithCells="1">
              <from>
                <xdr:col>5</xdr:col>
                <xdr:colOff>0</xdr:colOff>
                <xdr:row>73</xdr:row>
                <xdr:rowOff>76200</xdr:rowOff>
              </from>
              <to>
                <xdr:col>5</xdr:col>
                <xdr:colOff>1866900</xdr:colOff>
                <xdr:row>73</xdr:row>
                <xdr:rowOff>327660</xdr:rowOff>
              </to>
            </anchor>
          </objectPr>
        </oleObject>
      </mc:Choice>
      <mc:Fallback>
        <oleObject progId="Equation.3" shapeId="5220" r:id="rId39"/>
      </mc:Fallback>
    </mc:AlternateContent>
    <mc:AlternateContent xmlns:mc="http://schemas.openxmlformats.org/markup-compatibility/2006">
      <mc:Choice Requires="x14">
        <oleObject progId="Equation.3" shapeId="5221" r:id="rId41">
          <objectPr defaultSize="0" autoPict="0" r:id="rId40">
            <anchor moveWithCells="1" sizeWithCells="1">
              <from>
                <xdr:col>5</xdr:col>
                <xdr:colOff>0</xdr:colOff>
                <xdr:row>74</xdr:row>
                <xdr:rowOff>76200</xdr:rowOff>
              </from>
              <to>
                <xdr:col>5</xdr:col>
                <xdr:colOff>1866900</xdr:colOff>
                <xdr:row>74</xdr:row>
                <xdr:rowOff>327660</xdr:rowOff>
              </to>
            </anchor>
          </objectPr>
        </oleObject>
      </mc:Choice>
      <mc:Fallback>
        <oleObject progId="Equation.3" shapeId="5221" r:id="rId41"/>
      </mc:Fallback>
    </mc:AlternateContent>
    <mc:AlternateContent xmlns:mc="http://schemas.openxmlformats.org/markup-compatibility/2006">
      <mc:Choice Requires="x14">
        <oleObject progId="Equation.3" shapeId="5224" r:id="rId42">
          <objectPr defaultSize="0" autoPict="0" r:id="rId43">
            <anchor moveWithCells="1" sizeWithCells="1">
              <from>
                <xdr:col>5</xdr:col>
                <xdr:colOff>0</xdr:colOff>
                <xdr:row>76</xdr:row>
                <xdr:rowOff>0</xdr:rowOff>
              </from>
              <to>
                <xdr:col>5</xdr:col>
                <xdr:colOff>3108960</xdr:colOff>
                <xdr:row>76</xdr:row>
                <xdr:rowOff>441960</xdr:rowOff>
              </to>
            </anchor>
          </objectPr>
        </oleObject>
      </mc:Choice>
      <mc:Fallback>
        <oleObject progId="Equation.3" shapeId="5224" r:id="rId42"/>
      </mc:Fallback>
    </mc:AlternateContent>
    <mc:AlternateContent xmlns:mc="http://schemas.openxmlformats.org/markup-compatibility/2006">
      <mc:Choice Requires="x14">
        <oleObject progId="Equation.3" shapeId="5225" r:id="rId44">
          <objectPr defaultSize="0" autoPict="0" r:id="rId45">
            <anchor moveWithCells="1" sizeWithCells="1">
              <from>
                <xdr:col>5</xdr:col>
                <xdr:colOff>91440</xdr:colOff>
                <xdr:row>77</xdr:row>
                <xdr:rowOff>83820</xdr:rowOff>
              </from>
              <to>
                <xdr:col>5</xdr:col>
                <xdr:colOff>1844040</xdr:colOff>
                <xdr:row>77</xdr:row>
                <xdr:rowOff>320040</xdr:rowOff>
              </to>
            </anchor>
          </objectPr>
        </oleObject>
      </mc:Choice>
      <mc:Fallback>
        <oleObject progId="Equation.3" shapeId="5225" r:id="rId44"/>
      </mc:Fallback>
    </mc:AlternateContent>
    <mc:AlternateContent xmlns:mc="http://schemas.openxmlformats.org/markup-compatibility/2006">
      <mc:Choice Requires="x14">
        <oleObject progId="Equation.3" shapeId="5227" r:id="rId46">
          <objectPr defaultSize="0" autoPict="0" r:id="rId47">
            <anchor moveWithCells="1" sizeWithCells="1">
              <from>
                <xdr:col>5</xdr:col>
                <xdr:colOff>0</xdr:colOff>
                <xdr:row>80</xdr:row>
                <xdr:rowOff>76200</xdr:rowOff>
              </from>
              <to>
                <xdr:col>5</xdr:col>
                <xdr:colOff>2263140</xdr:colOff>
                <xdr:row>80</xdr:row>
                <xdr:rowOff>312420</xdr:rowOff>
              </to>
            </anchor>
          </objectPr>
        </oleObject>
      </mc:Choice>
      <mc:Fallback>
        <oleObject progId="Equation.3" shapeId="5227" r:id="rId46"/>
      </mc:Fallback>
    </mc:AlternateContent>
    <mc:AlternateContent xmlns:mc="http://schemas.openxmlformats.org/markup-compatibility/2006">
      <mc:Choice Requires="x14">
        <oleObject progId="Equation.3" shapeId="5228" r:id="rId48">
          <objectPr defaultSize="0" autoPict="0" r:id="rId49">
            <anchor moveWithCells="1" sizeWithCells="1">
              <from>
                <xdr:col>5</xdr:col>
                <xdr:colOff>38100</xdr:colOff>
                <xdr:row>81</xdr:row>
                <xdr:rowOff>45720</xdr:rowOff>
              </from>
              <to>
                <xdr:col>5</xdr:col>
                <xdr:colOff>1874520</xdr:colOff>
                <xdr:row>81</xdr:row>
                <xdr:rowOff>388620</xdr:rowOff>
              </to>
            </anchor>
          </objectPr>
        </oleObject>
      </mc:Choice>
      <mc:Fallback>
        <oleObject progId="Equation.3" shapeId="5228" r:id="rId48"/>
      </mc:Fallback>
    </mc:AlternateContent>
    <mc:AlternateContent xmlns:mc="http://schemas.openxmlformats.org/markup-compatibility/2006">
      <mc:Choice Requires="x14">
        <oleObject progId="Equation.3" shapeId="5234" r:id="rId50">
          <objectPr defaultSize="0" autoPict="0" r:id="rId51">
            <anchor moveWithCells="1" sizeWithCells="1">
              <from>
                <xdr:col>5</xdr:col>
                <xdr:colOff>0</xdr:colOff>
                <xdr:row>23</xdr:row>
                <xdr:rowOff>0</xdr:rowOff>
              </from>
              <to>
                <xdr:col>6</xdr:col>
                <xdr:colOff>76200</xdr:colOff>
                <xdr:row>24</xdr:row>
                <xdr:rowOff>15240</xdr:rowOff>
              </to>
            </anchor>
          </objectPr>
        </oleObject>
      </mc:Choice>
      <mc:Fallback>
        <oleObject progId="Equation.3" shapeId="5234" r:id="rId50"/>
      </mc:Fallback>
    </mc:AlternateContent>
    <mc:AlternateContent xmlns:mc="http://schemas.openxmlformats.org/markup-compatibility/2006">
      <mc:Choice Requires="x14">
        <oleObject progId="Equation.3" shapeId="5235" r:id="rId52">
          <objectPr defaultSize="0" autoPict="0" r:id="rId53">
            <anchor moveWithCells="1" sizeWithCells="1">
              <from>
                <xdr:col>5</xdr:col>
                <xdr:colOff>0</xdr:colOff>
                <xdr:row>24</xdr:row>
                <xdr:rowOff>0</xdr:rowOff>
              </from>
              <to>
                <xdr:col>6</xdr:col>
                <xdr:colOff>99060</xdr:colOff>
                <xdr:row>24</xdr:row>
                <xdr:rowOff>495300</xdr:rowOff>
              </to>
            </anchor>
          </objectPr>
        </oleObject>
      </mc:Choice>
      <mc:Fallback>
        <oleObject progId="Equation.3" shapeId="5235" r:id="rId52"/>
      </mc:Fallback>
    </mc:AlternateContent>
    <mc:AlternateContent xmlns:mc="http://schemas.openxmlformats.org/markup-compatibility/2006">
      <mc:Choice Requires="x14">
        <oleObject progId="Equation.3" shapeId="5240" r:id="rId54">
          <objectPr defaultSize="0" autoPict="0" r:id="rId55">
            <anchor moveWithCells="1" sizeWithCells="1">
              <from>
                <xdr:col>5</xdr:col>
                <xdr:colOff>0</xdr:colOff>
                <xdr:row>22</xdr:row>
                <xdr:rowOff>0</xdr:rowOff>
              </from>
              <to>
                <xdr:col>5</xdr:col>
                <xdr:colOff>3032760</xdr:colOff>
                <xdr:row>22</xdr:row>
                <xdr:rowOff>495300</xdr:rowOff>
              </to>
            </anchor>
          </objectPr>
        </oleObject>
      </mc:Choice>
      <mc:Fallback>
        <oleObject progId="Equation.3" shapeId="5240" r:id="rId54"/>
      </mc:Fallback>
    </mc:AlternateContent>
    <mc:AlternateContent xmlns:mc="http://schemas.openxmlformats.org/markup-compatibility/2006">
      <mc:Choice Requires="x14">
        <oleObject progId="Equation.3" shapeId="5249" r:id="rId56">
          <objectPr defaultSize="0" autoPict="0" r:id="rId7">
            <anchor moveWithCells="1" sizeWithCells="1">
              <from>
                <xdr:col>5</xdr:col>
                <xdr:colOff>53340</xdr:colOff>
                <xdr:row>32</xdr:row>
                <xdr:rowOff>91440</xdr:rowOff>
              </from>
              <to>
                <xdr:col>5</xdr:col>
                <xdr:colOff>2758440</xdr:colOff>
                <xdr:row>32</xdr:row>
                <xdr:rowOff>335280</xdr:rowOff>
              </to>
            </anchor>
          </objectPr>
        </oleObject>
      </mc:Choice>
      <mc:Fallback>
        <oleObject progId="Equation.3" shapeId="5249" r:id="rId56"/>
      </mc:Fallback>
    </mc:AlternateContent>
    <mc:AlternateContent xmlns:mc="http://schemas.openxmlformats.org/markup-compatibility/2006">
      <mc:Choice Requires="x14">
        <oleObject progId="Equation.3" shapeId="5252" r:id="rId57">
          <objectPr defaultSize="0" autoPict="0" r:id="rId51">
            <anchor moveWithCells="1" sizeWithCells="1">
              <from>
                <xdr:col>5</xdr:col>
                <xdr:colOff>0</xdr:colOff>
                <xdr:row>30</xdr:row>
                <xdr:rowOff>0</xdr:rowOff>
              </from>
              <to>
                <xdr:col>6</xdr:col>
                <xdr:colOff>76200</xdr:colOff>
                <xdr:row>31</xdr:row>
                <xdr:rowOff>15240</xdr:rowOff>
              </to>
            </anchor>
          </objectPr>
        </oleObject>
      </mc:Choice>
      <mc:Fallback>
        <oleObject progId="Equation.3" shapeId="5252" r:id="rId57"/>
      </mc:Fallback>
    </mc:AlternateContent>
    <mc:AlternateContent xmlns:mc="http://schemas.openxmlformats.org/markup-compatibility/2006">
      <mc:Choice Requires="x14">
        <oleObject progId="Equation.3" shapeId="5253" r:id="rId58">
          <objectPr defaultSize="0" autoPict="0" r:id="rId53">
            <anchor moveWithCells="1" sizeWithCells="1">
              <from>
                <xdr:col>5</xdr:col>
                <xdr:colOff>0</xdr:colOff>
                <xdr:row>31</xdr:row>
                <xdr:rowOff>0</xdr:rowOff>
              </from>
              <to>
                <xdr:col>6</xdr:col>
                <xdr:colOff>99060</xdr:colOff>
                <xdr:row>31</xdr:row>
                <xdr:rowOff>495300</xdr:rowOff>
              </to>
            </anchor>
          </objectPr>
        </oleObject>
      </mc:Choice>
      <mc:Fallback>
        <oleObject progId="Equation.3" shapeId="5253" r:id="rId58"/>
      </mc:Fallback>
    </mc:AlternateContent>
    <mc:AlternateContent xmlns:mc="http://schemas.openxmlformats.org/markup-compatibility/2006">
      <mc:Choice Requires="x14">
        <oleObject progId="Equation.3" shapeId="5254" r:id="rId59">
          <objectPr defaultSize="0" autoPict="0" r:id="rId55">
            <anchor moveWithCells="1" sizeWithCells="1">
              <from>
                <xdr:col>5</xdr:col>
                <xdr:colOff>0</xdr:colOff>
                <xdr:row>29</xdr:row>
                <xdr:rowOff>0</xdr:rowOff>
              </from>
              <to>
                <xdr:col>5</xdr:col>
                <xdr:colOff>3032760</xdr:colOff>
                <xdr:row>29</xdr:row>
                <xdr:rowOff>495300</xdr:rowOff>
              </to>
            </anchor>
          </objectPr>
        </oleObject>
      </mc:Choice>
      <mc:Fallback>
        <oleObject progId="Equation.3" shapeId="5254" r:id="rId59"/>
      </mc:Fallback>
    </mc:AlternateContent>
    <mc:AlternateContent xmlns:mc="http://schemas.openxmlformats.org/markup-compatibility/2006">
      <mc:Choice Requires="x14">
        <oleObject progId="Equation.3" shapeId="5268" r:id="rId60">
          <objectPr defaultSize="0" autoPict="0" r:id="rId61">
            <anchor moveWithCells="1" sizeWithCells="1">
              <from>
                <xdr:col>5</xdr:col>
                <xdr:colOff>30480</xdr:colOff>
                <xdr:row>78</xdr:row>
                <xdr:rowOff>91440</xdr:rowOff>
              </from>
              <to>
                <xdr:col>5</xdr:col>
                <xdr:colOff>1897380</xdr:colOff>
                <xdr:row>78</xdr:row>
                <xdr:rowOff>327660</xdr:rowOff>
              </to>
            </anchor>
          </objectPr>
        </oleObject>
      </mc:Choice>
      <mc:Fallback>
        <oleObject progId="Equation.3" shapeId="5268" r:id="rId60"/>
      </mc:Fallback>
    </mc:AlternateContent>
    <mc:AlternateContent xmlns:mc="http://schemas.openxmlformats.org/markup-compatibility/2006">
      <mc:Choice Requires="x14">
        <oleObject progId="Equation.3" shapeId="5269" r:id="rId62">
          <objectPr defaultSize="0" autoPict="0" r:id="rId63">
            <anchor moveWithCells="1" sizeWithCells="1">
              <from>
                <xdr:col>5</xdr:col>
                <xdr:colOff>7620</xdr:colOff>
                <xdr:row>79</xdr:row>
                <xdr:rowOff>76200</xdr:rowOff>
              </from>
              <to>
                <xdr:col>5</xdr:col>
                <xdr:colOff>3040380</xdr:colOff>
                <xdr:row>79</xdr:row>
                <xdr:rowOff>312420</xdr:rowOff>
              </to>
            </anchor>
          </objectPr>
        </oleObject>
      </mc:Choice>
      <mc:Fallback>
        <oleObject progId="Equation.3" shapeId="5269" r:id="rId62"/>
      </mc:Fallback>
    </mc:AlternateContent>
    <mc:AlternateContent xmlns:mc="http://schemas.openxmlformats.org/markup-compatibility/2006">
      <mc:Choice Requires="x14">
        <oleObject progId="Equation.3" shapeId="5271" r:id="rId64">
          <objectPr defaultSize="0" autoPict="0" r:id="rId65">
            <anchor moveWithCells="1" sizeWithCells="1">
              <from>
                <xdr:col>5</xdr:col>
                <xdr:colOff>0</xdr:colOff>
                <xdr:row>20</xdr:row>
                <xdr:rowOff>0</xdr:rowOff>
              </from>
              <to>
                <xdr:col>6</xdr:col>
                <xdr:colOff>289560</xdr:colOff>
                <xdr:row>21</xdr:row>
                <xdr:rowOff>7620</xdr:rowOff>
              </to>
            </anchor>
          </objectPr>
        </oleObject>
      </mc:Choice>
      <mc:Fallback>
        <oleObject progId="Equation.3" shapeId="5271" r:id="rId64"/>
      </mc:Fallback>
    </mc:AlternateContent>
    <mc:AlternateContent xmlns:mc="http://schemas.openxmlformats.org/markup-compatibility/2006">
      <mc:Choice Requires="x14">
        <oleObject progId="Equation.3" shapeId="5272" r:id="rId66">
          <objectPr defaultSize="0" autoPict="0" r:id="rId67">
            <anchor moveWithCells="1" sizeWithCells="1">
              <from>
                <xdr:col>5</xdr:col>
                <xdr:colOff>0</xdr:colOff>
                <xdr:row>21</xdr:row>
                <xdr:rowOff>0</xdr:rowOff>
              </from>
              <to>
                <xdr:col>6</xdr:col>
                <xdr:colOff>289560</xdr:colOff>
                <xdr:row>22</xdr:row>
                <xdr:rowOff>7620</xdr:rowOff>
              </to>
            </anchor>
          </objectPr>
        </oleObject>
      </mc:Choice>
      <mc:Fallback>
        <oleObject progId="Equation.3" shapeId="5272" r:id="rId66"/>
      </mc:Fallback>
    </mc:AlternateContent>
    <mc:AlternateContent xmlns:mc="http://schemas.openxmlformats.org/markup-compatibility/2006">
      <mc:Choice Requires="x14">
        <oleObject progId="Equation.3" shapeId="5275" r:id="rId68">
          <objectPr defaultSize="0" autoPict="0" r:id="rId65">
            <anchor moveWithCells="1" sizeWithCells="1">
              <from>
                <xdr:col>5</xdr:col>
                <xdr:colOff>0</xdr:colOff>
                <xdr:row>27</xdr:row>
                <xdr:rowOff>0</xdr:rowOff>
              </from>
              <to>
                <xdr:col>6</xdr:col>
                <xdr:colOff>289560</xdr:colOff>
                <xdr:row>28</xdr:row>
                <xdr:rowOff>7620</xdr:rowOff>
              </to>
            </anchor>
          </objectPr>
        </oleObject>
      </mc:Choice>
      <mc:Fallback>
        <oleObject progId="Equation.3" shapeId="5275" r:id="rId68"/>
      </mc:Fallback>
    </mc:AlternateContent>
    <mc:AlternateContent xmlns:mc="http://schemas.openxmlformats.org/markup-compatibility/2006">
      <mc:Choice Requires="x14">
        <oleObject progId="Equation.3" shapeId="5276" r:id="rId69">
          <objectPr defaultSize="0" autoPict="0" r:id="rId67">
            <anchor moveWithCells="1" sizeWithCells="1">
              <from>
                <xdr:col>5</xdr:col>
                <xdr:colOff>0</xdr:colOff>
                <xdr:row>28</xdr:row>
                <xdr:rowOff>0</xdr:rowOff>
              </from>
              <to>
                <xdr:col>6</xdr:col>
                <xdr:colOff>289560</xdr:colOff>
                <xdr:row>29</xdr:row>
                <xdr:rowOff>7620</xdr:rowOff>
              </to>
            </anchor>
          </objectPr>
        </oleObject>
      </mc:Choice>
      <mc:Fallback>
        <oleObject progId="Equation.3" shapeId="5276" r:id="rId69"/>
      </mc:Fallback>
    </mc:AlternateContent>
    <mc:AlternateContent xmlns:mc="http://schemas.openxmlformats.org/markup-compatibility/2006">
      <mc:Choice Requires="x14">
        <oleObject progId="Equation.3" shapeId="5277" r:id="rId70">
          <objectPr defaultSize="0" autoPict="0" r:id="rId71">
            <anchor moveWithCells="1" sizeWithCells="1">
              <from>
                <xdr:col>5</xdr:col>
                <xdr:colOff>0</xdr:colOff>
                <xdr:row>33</xdr:row>
                <xdr:rowOff>0</xdr:rowOff>
              </from>
              <to>
                <xdr:col>5</xdr:col>
                <xdr:colOff>2560320</xdr:colOff>
                <xdr:row>33</xdr:row>
                <xdr:rowOff>457200</xdr:rowOff>
              </to>
            </anchor>
          </objectPr>
        </oleObject>
      </mc:Choice>
      <mc:Fallback>
        <oleObject progId="Equation.3" shapeId="5277" r:id="rId70"/>
      </mc:Fallback>
    </mc:AlternateContent>
    <mc:AlternateContent xmlns:mc="http://schemas.openxmlformats.org/markup-compatibility/2006">
      <mc:Choice Requires="x14">
        <oleObject progId="Equation.3" shapeId="5278" r:id="rId72">
          <objectPr defaultSize="0" autoPict="0" r:id="rId71">
            <anchor moveWithCells="1" sizeWithCells="1">
              <from>
                <xdr:col>5</xdr:col>
                <xdr:colOff>0</xdr:colOff>
                <xdr:row>34</xdr:row>
                <xdr:rowOff>0</xdr:rowOff>
              </from>
              <to>
                <xdr:col>5</xdr:col>
                <xdr:colOff>2560320</xdr:colOff>
                <xdr:row>34</xdr:row>
                <xdr:rowOff>457200</xdr:rowOff>
              </to>
            </anchor>
          </objectPr>
        </oleObject>
      </mc:Choice>
      <mc:Fallback>
        <oleObject progId="Equation.3" shapeId="5278" r:id="rId72"/>
      </mc:Fallback>
    </mc:AlternateContent>
    <mc:AlternateContent xmlns:mc="http://schemas.openxmlformats.org/markup-compatibility/2006">
      <mc:Choice Requires="x14">
        <oleObject progId="Equation.3" shapeId="5279" r:id="rId73">
          <objectPr defaultSize="0" autoPict="0" r:id="rId71">
            <anchor moveWithCells="1" sizeWithCells="1">
              <from>
                <xdr:col>5</xdr:col>
                <xdr:colOff>0</xdr:colOff>
                <xdr:row>35</xdr:row>
                <xdr:rowOff>0</xdr:rowOff>
              </from>
              <to>
                <xdr:col>5</xdr:col>
                <xdr:colOff>2560320</xdr:colOff>
                <xdr:row>35</xdr:row>
                <xdr:rowOff>457200</xdr:rowOff>
              </to>
            </anchor>
          </objectPr>
        </oleObject>
      </mc:Choice>
      <mc:Fallback>
        <oleObject progId="Equation.3" shapeId="5279" r:id="rId73"/>
      </mc:Fallback>
    </mc:AlternateContent>
    <mc:AlternateContent xmlns:mc="http://schemas.openxmlformats.org/markup-compatibility/2006">
      <mc:Choice Requires="x14">
        <oleObject progId="Equation.3" shapeId="5280" r:id="rId74">
          <objectPr defaultSize="0" autoPict="0" r:id="rId71">
            <anchor moveWithCells="1" sizeWithCells="1">
              <from>
                <xdr:col>5</xdr:col>
                <xdr:colOff>0</xdr:colOff>
                <xdr:row>36</xdr:row>
                <xdr:rowOff>0</xdr:rowOff>
              </from>
              <to>
                <xdr:col>5</xdr:col>
                <xdr:colOff>2560320</xdr:colOff>
                <xdr:row>36</xdr:row>
                <xdr:rowOff>457200</xdr:rowOff>
              </to>
            </anchor>
          </objectPr>
        </oleObject>
      </mc:Choice>
      <mc:Fallback>
        <oleObject progId="Equation.3" shapeId="5280" r:id="rId74"/>
      </mc:Fallback>
    </mc:AlternateContent>
    <mc:AlternateContent xmlns:mc="http://schemas.openxmlformats.org/markup-compatibility/2006">
      <mc:Choice Requires="x14">
        <oleObject progId="Equation.3" shapeId="5281" r:id="rId75">
          <objectPr defaultSize="0" autoPict="0" r:id="rId76">
            <anchor moveWithCells="1" sizeWithCells="1">
              <from>
                <xdr:col>5</xdr:col>
                <xdr:colOff>30480</xdr:colOff>
                <xdr:row>60</xdr:row>
                <xdr:rowOff>38100</xdr:rowOff>
              </from>
              <to>
                <xdr:col>7</xdr:col>
                <xdr:colOff>228600</xdr:colOff>
                <xdr:row>60</xdr:row>
                <xdr:rowOff>487680</xdr:rowOff>
              </to>
            </anchor>
          </objectPr>
        </oleObject>
      </mc:Choice>
      <mc:Fallback>
        <oleObject progId="Equation.3" shapeId="5281" r:id="rId75"/>
      </mc:Fallback>
    </mc:AlternateContent>
    <mc:AlternateContent xmlns:mc="http://schemas.openxmlformats.org/markup-compatibility/2006">
      <mc:Choice Requires="x14">
        <oleObject progId="Equation.3" shapeId="5282" r:id="rId77">
          <objectPr defaultSize="0" autoPict="0" r:id="rId78">
            <anchor moveWithCells="1" sizeWithCells="1">
              <from>
                <xdr:col>5</xdr:col>
                <xdr:colOff>0</xdr:colOff>
                <xdr:row>61</xdr:row>
                <xdr:rowOff>0</xdr:rowOff>
              </from>
              <to>
                <xdr:col>6</xdr:col>
                <xdr:colOff>1569720</xdr:colOff>
                <xdr:row>62</xdr:row>
                <xdr:rowOff>22860</xdr:rowOff>
              </to>
            </anchor>
          </objectPr>
        </oleObject>
      </mc:Choice>
      <mc:Fallback>
        <oleObject progId="Equation.3" shapeId="5282" r:id="rId77"/>
      </mc:Fallback>
    </mc:AlternateContent>
    <mc:AlternateContent xmlns:mc="http://schemas.openxmlformats.org/markup-compatibility/2006">
      <mc:Choice Requires="x14">
        <oleObject progId="Equation.3" shapeId="5295" r:id="rId79">
          <objectPr defaultSize="0" autoPict="0" r:id="rId80">
            <anchor moveWithCells="1" sizeWithCells="1">
              <from>
                <xdr:col>5</xdr:col>
                <xdr:colOff>0</xdr:colOff>
                <xdr:row>66</xdr:row>
                <xdr:rowOff>30480</xdr:rowOff>
              </from>
              <to>
                <xdr:col>6</xdr:col>
                <xdr:colOff>1127760</xdr:colOff>
                <xdr:row>66</xdr:row>
                <xdr:rowOff>548640</xdr:rowOff>
              </to>
            </anchor>
          </objectPr>
        </oleObject>
      </mc:Choice>
      <mc:Fallback>
        <oleObject progId="Equation.3" shapeId="5295" r:id="rId79"/>
      </mc:Fallback>
    </mc:AlternateContent>
    <mc:AlternateContent xmlns:mc="http://schemas.openxmlformats.org/markup-compatibility/2006">
      <mc:Choice Requires="x14">
        <oleObject progId="Equation.3" shapeId="5296" r:id="rId81">
          <objectPr defaultSize="0" autoPict="0" r:id="rId82">
            <anchor moveWithCells="1" sizeWithCells="1">
              <from>
                <xdr:col>5</xdr:col>
                <xdr:colOff>0</xdr:colOff>
                <xdr:row>68</xdr:row>
                <xdr:rowOff>30480</xdr:rowOff>
              </from>
              <to>
                <xdr:col>6</xdr:col>
                <xdr:colOff>1150620</xdr:colOff>
                <xdr:row>68</xdr:row>
                <xdr:rowOff>495300</xdr:rowOff>
              </to>
            </anchor>
          </objectPr>
        </oleObject>
      </mc:Choice>
      <mc:Fallback>
        <oleObject progId="Equation.3" shapeId="5296" r:id="rId81"/>
      </mc:Fallback>
    </mc:AlternateContent>
    <mc:AlternateContent xmlns:mc="http://schemas.openxmlformats.org/markup-compatibility/2006">
      <mc:Choice Requires="x14">
        <oleObject progId="Equation.3" shapeId="5298" r:id="rId83">
          <objectPr defaultSize="0" autoPict="0" r:id="rId84">
            <anchor moveWithCells="1" sizeWithCells="1">
              <from>
                <xdr:col>5</xdr:col>
                <xdr:colOff>114300</xdr:colOff>
                <xdr:row>70</xdr:row>
                <xdr:rowOff>68580</xdr:rowOff>
              </from>
              <to>
                <xdr:col>5</xdr:col>
                <xdr:colOff>1821180</xdr:colOff>
                <xdr:row>70</xdr:row>
                <xdr:rowOff>982980</xdr:rowOff>
              </to>
            </anchor>
          </objectPr>
        </oleObject>
      </mc:Choice>
      <mc:Fallback>
        <oleObject progId="Equation.3" shapeId="5298" r:id="rId83"/>
      </mc:Fallback>
    </mc:AlternateContent>
    <mc:AlternateContent xmlns:mc="http://schemas.openxmlformats.org/markup-compatibility/2006">
      <mc:Choice Requires="x14">
        <oleObject progId="Equation.3" shapeId="5300" r:id="rId85">
          <objectPr defaultSize="0" autoPict="0" r:id="rId80">
            <anchor moveWithCells="1" sizeWithCells="1">
              <from>
                <xdr:col>5</xdr:col>
                <xdr:colOff>0</xdr:colOff>
                <xdr:row>67</xdr:row>
                <xdr:rowOff>30480</xdr:rowOff>
              </from>
              <to>
                <xdr:col>6</xdr:col>
                <xdr:colOff>1127760</xdr:colOff>
                <xdr:row>67</xdr:row>
                <xdr:rowOff>548640</xdr:rowOff>
              </to>
            </anchor>
          </objectPr>
        </oleObject>
      </mc:Choice>
      <mc:Fallback>
        <oleObject progId="Equation.3" shapeId="5300" r:id="rId85"/>
      </mc:Fallback>
    </mc:AlternateContent>
    <mc:AlternateContent xmlns:mc="http://schemas.openxmlformats.org/markup-compatibility/2006">
      <mc:Choice Requires="x14">
        <oleObject progId="Equation.3" shapeId="5301" r:id="rId86">
          <objectPr defaultSize="0" autoPict="0" r:id="rId82">
            <anchor moveWithCells="1" sizeWithCells="1">
              <from>
                <xdr:col>5</xdr:col>
                <xdr:colOff>0</xdr:colOff>
                <xdr:row>69</xdr:row>
                <xdr:rowOff>30480</xdr:rowOff>
              </from>
              <to>
                <xdr:col>6</xdr:col>
                <xdr:colOff>1150620</xdr:colOff>
                <xdr:row>69</xdr:row>
                <xdr:rowOff>495300</xdr:rowOff>
              </to>
            </anchor>
          </objectPr>
        </oleObject>
      </mc:Choice>
      <mc:Fallback>
        <oleObject progId="Equation.3" shapeId="5301" r:id="rId86"/>
      </mc:Fallback>
    </mc:AlternateContent>
    <mc:AlternateContent xmlns:mc="http://schemas.openxmlformats.org/markup-compatibility/2006">
      <mc:Choice Requires="x14">
        <oleObject progId="Equation.3" shapeId="5302" r:id="rId87">
          <objectPr defaultSize="0" autoPict="0" r:id="rId84">
            <anchor moveWithCells="1" sizeWithCells="1">
              <from>
                <xdr:col>5</xdr:col>
                <xdr:colOff>114300</xdr:colOff>
                <xdr:row>71</xdr:row>
                <xdr:rowOff>68580</xdr:rowOff>
              </from>
              <to>
                <xdr:col>5</xdr:col>
                <xdr:colOff>1821180</xdr:colOff>
                <xdr:row>71</xdr:row>
                <xdr:rowOff>982980</xdr:rowOff>
              </to>
            </anchor>
          </objectPr>
        </oleObject>
      </mc:Choice>
      <mc:Fallback>
        <oleObject progId="Equation.3" shapeId="5302" r:id="rId87"/>
      </mc:Fallback>
    </mc:AlternateContent>
    <mc:AlternateContent xmlns:mc="http://schemas.openxmlformats.org/markup-compatibility/2006">
      <mc:Choice Requires="x14">
        <oleObject progId="Equation.3" shapeId="5303" r:id="rId88">
          <objectPr defaultSize="0" autoPict="0" r:id="rId71">
            <anchor moveWithCells="1" sizeWithCells="1">
              <from>
                <xdr:col>5</xdr:col>
                <xdr:colOff>45720</xdr:colOff>
                <xdr:row>75</xdr:row>
                <xdr:rowOff>53340</xdr:rowOff>
              </from>
              <to>
                <xdr:col>5</xdr:col>
                <xdr:colOff>2606040</xdr:colOff>
                <xdr:row>75</xdr:row>
                <xdr:rowOff>510540</xdr:rowOff>
              </to>
            </anchor>
          </objectPr>
        </oleObject>
      </mc:Choice>
      <mc:Fallback>
        <oleObject progId="Equation.3" shapeId="5303" r:id="rId88"/>
      </mc:Fallback>
    </mc:AlternateContent>
    <mc:AlternateContent xmlns:mc="http://schemas.openxmlformats.org/markup-compatibility/2006">
      <mc:Choice Requires="x14">
        <oleObject progId="Equation.3" shapeId="5304" r:id="rId89">
          <objectPr defaultSize="0" autoPict="0" r:id="rId90">
            <anchor moveWithCells="1" sizeWithCells="1">
              <from>
                <xdr:col>5</xdr:col>
                <xdr:colOff>0</xdr:colOff>
                <xdr:row>41</xdr:row>
                <xdr:rowOff>0</xdr:rowOff>
              </from>
              <to>
                <xdr:col>5</xdr:col>
                <xdr:colOff>1714500</xdr:colOff>
                <xdr:row>42</xdr:row>
                <xdr:rowOff>38100</xdr:rowOff>
              </to>
            </anchor>
          </objectPr>
        </oleObject>
      </mc:Choice>
      <mc:Fallback>
        <oleObject progId="Equation.3" shapeId="5304" r:id="rId89"/>
      </mc:Fallback>
    </mc:AlternateContent>
    <mc:AlternateContent xmlns:mc="http://schemas.openxmlformats.org/markup-compatibility/2006">
      <mc:Choice Requires="x14">
        <oleObject progId="Equation.3" shapeId="5305" r:id="rId91">
          <objectPr defaultSize="0" autoPict="0" r:id="rId90">
            <anchor moveWithCells="1" sizeWithCells="1">
              <from>
                <xdr:col>5</xdr:col>
                <xdr:colOff>0</xdr:colOff>
                <xdr:row>42</xdr:row>
                <xdr:rowOff>0</xdr:rowOff>
              </from>
              <to>
                <xdr:col>5</xdr:col>
                <xdr:colOff>1714500</xdr:colOff>
                <xdr:row>43</xdr:row>
                <xdr:rowOff>38100</xdr:rowOff>
              </to>
            </anchor>
          </objectPr>
        </oleObject>
      </mc:Choice>
      <mc:Fallback>
        <oleObject progId="Equation.3" shapeId="5305" r:id="rId91"/>
      </mc:Fallback>
    </mc:AlternateContent>
    <mc:AlternateContent xmlns:mc="http://schemas.openxmlformats.org/markup-compatibility/2006">
      <mc:Choice Requires="x14">
        <oleObject progId="Equation.3" shapeId="5306" r:id="rId92">
          <objectPr defaultSize="0" autoPict="0" r:id="rId93">
            <anchor moveWithCells="1" sizeWithCells="1">
              <from>
                <xdr:col>5</xdr:col>
                <xdr:colOff>0</xdr:colOff>
                <xdr:row>26</xdr:row>
                <xdr:rowOff>0</xdr:rowOff>
              </from>
              <to>
                <xdr:col>6</xdr:col>
                <xdr:colOff>746760</xdr:colOff>
                <xdr:row>27</xdr:row>
                <xdr:rowOff>30480</xdr:rowOff>
              </to>
            </anchor>
          </objectPr>
        </oleObject>
      </mc:Choice>
      <mc:Fallback>
        <oleObject progId="Equation.3" shapeId="5306" r:id="rId92"/>
      </mc:Fallback>
    </mc:AlternateContent>
    <mc:AlternateContent xmlns:mc="http://schemas.openxmlformats.org/markup-compatibility/2006">
      <mc:Choice Requires="x14">
        <oleObject progId="Equation.3" shapeId="5307" r:id="rId94">
          <objectPr defaultSize="0" autoPict="0" r:id="rId93">
            <anchor moveWithCells="1" sizeWithCells="1">
              <from>
                <xdr:col>5</xdr:col>
                <xdr:colOff>0</xdr:colOff>
                <xdr:row>19</xdr:row>
                <xdr:rowOff>0</xdr:rowOff>
              </from>
              <to>
                <xdr:col>6</xdr:col>
                <xdr:colOff>746760</xdr:colOff>
                <xdr:row>20</xdr:row>
                <xdr:rowOff>30480</xdr:rowOff>
              </to>
            </anchor>
          </objectPr>
        </oleObject>
      </mc:Choice>
      <mc:Fallback>
        <oleObject progId="Equation.3" shapeId="5307" r:id="rId94"/>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rgb="FF009900"/>
  </sheetPr>
  <dimension ref="A1:I29"/>
  <sheetViews>
    <sheetView tabSelected="1" topLeftCell="A7" workbookViewId="0">
      <selection activeCell="A16" sqref="A16:XFD16"/>
    </sheetView>
  </sheetViews>
  <sheetFormatPr baseColWidth="10" defaultColWidth="9.109375" defaultRowHeight="13.2" x14ac:dyDescent="0.25"/>
  <cols>
    <col min="1" max="1" width="29.6640625" style="221" customWidth="1"/>
    <col min="2" max="2" width="12.109375" style="221" customWidth="1"/>
    <col min="3" max="3" width="9.44140625" style="221" customWidth="1"/>
    <col min="4" max="4" width="11.6640625" style="221" customWidth="1"/>
    <col min="5" max="5" width="12.6640625" style="221" customWidth="1"/>
    <col min="6" max="6" width="65.21875" style="221" customWidth="1"/>
    <col min="7" max="16384" width="9.109375" style="221"/>
  </cols>
  <sheetData>
    <row r="1" spans="1:9" ht="62.25" customHeight="1" x14ac:dyDescent="0.25">
      <c r="A1" s="500" t="s">
        <v>197</v>
      </c>
      <c r="B1" s="501"/>
      <c r="C1" s="501"/>
      <c r="D1" s="501"/>
      <c r="E1" s="501"/>
      <c r="F1" s="501"/>
      <c r="G1" s="501"/>
      <c r="H1" s="501"/>
      <c r="I1" s="501"/>
    </row>
    <row r="9" spans="1:9" ht="26.4" x14ac:dyDescent="0.25">
      <c r="A9" s="329" t="s">
        <v>5</v>
      </c>
      <c r="B9" s="329" t="s">
        <v>9</v>
      </c>
      <c r="C9" s="329" t="s">
        <v>1</v>
      </c>
      <c r="D9" s="329" t="s">
        <v>6</v>
      </c>
      <c r="E9" s="329" t="s">
        <v>167</v>
      </c>
      <c r="F9" s="329" t="s">
        <v>8</v>
      </c>
    </row>
    <row r="10" spans="1:9" x14ac:dyDescent="0.25">
      <c r="A10" s="289" t="s">
        <v>112</v>
      </c>
      <c r="B10" s="329"/>
      <c r="C10" s="329"/>
      <c r="D10" s="329"/>
      <c r="E10" s="329"/>
      <c r="F10" s="329"/>
    </row>
    <row r="11" spans="1:9" ht="22.8" x14ac:dyDescent="0.25">
      <c r="A11" s="333" t="s">
        <v>233</v>
      </c>
      <c r="B11" s="265" t="s">
        <v>234</v>
      </c>
      <c r="C11" s="266" t="s">
        <v>10</v>
      </c>
      <c r="D11" s="461">
        <f>Method_calculation!D64+Method_calculation!D77</f>
        <v>2.5264235320854476</v>
      </c>
      <c r="E11" s="462" t="s">
        <v>535</v>
      </c>
      <c r="F11" s="463" t="s">
        <v>635</v>
      </c>
      <c r="G11" s="460"/>
    </row>
    <row r="12" spans="1:9" s="256" customFormat="1" ht="22.8" x14ac:dyDescent="0.25">
      <c r="A12" s="333" t="s">
        <v>235</v>
      </c>
      <c r="B12" s="265" t="s">
        <v>236</v>
      </c>
      <c r="C12" s="266" t="s">
        <v>10</v>
      </c>
      <c r="D12" s="461">
        <f>Method_calculation!D78</f>
        <v>0.63411956024709915</v>
      </c>
      <c r="E12" s="462" t="s">
        <v>535</v>
      </c>
      <c r="F12" s="464" t="s">
        <v>637</v>
      </c>
    </row>
    <row r="13" spans="1:9" s="256" customFormat="1" ht="22.8" x14ac:dyDescent="0.25">
      <c r="A13" s="333" t="s">
        <v>237</v>
      </c>
      <c r="B13" s="265" t="s">
        <v>238</v>
      </c>
      <c r="C13" s="266" t="s">
        <v>10</v>
      </c>
      <c r="D13" s="461">
        <f>Method_input!D12</f>
        <v>0</v>
      </c>
      <c r="E13" s="462" t="s">
        <v>258</v>
      </c>
      <c r="F13" s="464" t="s">
        <v>636</v>
      </c>
      <c r="G13" s="460"/>
    </row>
    <row r="14" spans="1:9" s="368" customFormat="1" x14ac:dyDescent="0.25">
      <c r="A14" s="289" t="s">
        <v>524</v>
      </c>
      <c r="B14" s="367"/>
      <c r="C14" s="367"/>
      <c r="D14" s="367"/>
      <c r="E14" s="367"/>
      <c r="F14" s="367"/>
    </row>
    <row r="15" spans="1:9" s="256" customFormat="1" ht="22.8" x14ac:dyDescent="0.25">
      <c r="A15" s="333" t="s">
        <v>239</v>
      </c>
      <c r="B15" s="265" t="s">
        <v>240</v>
      </c>
      <c r="C15" s="266" t="s">
        <v>10</v>
      </c>
      <c r="D15" s="461">
        <f>Method_calculation!D61</f>
        <v>19.062529781112353</v>
      </c>
      <c r="E15" s="462" t="s">
        <v>259</v>
      </c>
      <c r="F15" s="463" t="s">
        <v>633</v>
      </c>
      <c r="G15" s="460"/>
    </row>
    <row r="16" spans="1:9" ht="22.8" x14ac:dyDescent="0.25">
      <c r="A16" s="417" t="s">
        <v>243</v>
      </c>
      <c r="B16" s="416" t="s">
        <v>244</v>
      </c>
      <c r="C16" s="265" t="s">
        <v>40</v>
      </c>
      <c r="D16" s="461">
        <f>Method_calculation!D7</f>
        <v>11.399999999999999</v>
      </c>
      <c r="E16" s="462" t="s">
        <v>259</v>
      </c>
      <c r="F16" s="464" t="s">
        <v>634</v>
      </c>
      <c r="G16" s="460"/>
    </row>
    <row r="17" spans="1:6" ht="30" x14ac:dyDescent="0.25">
      <c r="A17" s="417" t="s">
        <v>245</v>
      </c>
      <c r="B17" s="416" t="s">
        <v>246</v>
      </c>
      <c r="C17" s="266" t="s">
        <v>10</v>
      </c>
      <c r="D17" s="55">
        <f>Method_calculation!D73</f>
        <v>0</v>
      </c>
      <c r="E17" s="266" t="s">
        <v>260</v>
      </c>
      <c r="F17" s="329"/>
    </row>
    <row r="18" spans="1:6" ht="22.8" x14ac:dyDescent="0.25">
      <c r="A18" s="417" t="s">
        <v>536</v>
      </c>
      <c r="B18" s="416" t="s">
        <v>248</v>
      </c>
      <c r="C18" s="266" t="s">
        <v>40</v>
      </c>
      <c r="D18" s="55">
        <f>Method_input!D70</f>
        <v>90</v>
      </c>
      <c r="E18" s="266" t="s">
        <v>260</v>
      </c>
      <c r="F18" s="329"/>
    </row>
    <row r="19" spans="1:6" ht="22.8" x14ac:dyDescent="0.25">
      <c r="A19" s="417" t="s">
        <v>249</v>
      </c>
      <c r="B19" s="416" t="s">
        <v>250</v>
      </c>
      <c r="C19" s="266" t="s">
        <v>10</v>
      </c>
      <c r="D19" s="55">
        <f>Method_calculation!D63</f>
        <v>21.588953313197802</v>
      </c>
      <c r="E19" s="266" t="s">
        <v>260</v>
      </c>
      <c r="F19" s="205"/>
    </row>
    <row r="20" spans="1:6" ht="22.8" x14ac:dyDescent="0.25">
      <c r="A20" s="417" t="s">
        <v>251</v>
      </c>
      <c r="B20" s="416" t="s">
        <v>252</v>
      </c>
      <c r="C20" s="266" t="s">
        <v>40</v>
      </c>
      <c r="D20" s="55">
        <f>Method_input!D71</f>
        <v>40</v>
      </c>
      <c r="E20" s="266" t="s">
        <v>260</v>
      </c>
      <c r="F20" s="329"/>
    </row>
    <row r="21" spans="1:6" ht="22.8" x14ac:dyDescent="0.25">
      <c r="A21" s="417" t="s">
        <v>253</v>
      </c>
      <c r="B21" s="416" t="s">
        <v>254</v>
      </c>
      <c r="C21" s="266" t="s">
        <v>10</v>
      </c>
      <c r="D21" s="55">
        <f>Method_input!D9</f>
        <v>19.062529781112353</v>
      </c>
      <c r="E21" s="266" t="s">
        <v>261</v>
      </c>
      <c r="F21" s="329"/>
    </row>
    <row r="22" spans="1:6" ht="15" x14ac:dyDescent="0.25">
      <c r="A22" s="417" t="s">
        <v>255</v>
      </c>
      <c r="B22" s="416" t="s">
        <v>256</v>
      </c>
      <c r="C22" s="266" t="s">
        <v>11</v>
      </c>
      <c r="D22" s="55">
        <f>Method_input!D66</f>
        <v>2</v>
      </c>
      <c r="E22" s="266" t="s">
        <v>261</v>
      </c>
      <c r="F22" s="329"/>
    </row>
    <row r="23" spans="1:6" ht="22.8" x14ac:dyDescent="0.25">
      <c r="A23" s="417" t="s">
        <v>537</v>
      </c>
      <c r="B23" s="416" t="s">
        <v>257</v>
      </c>
      <c r="C23" s="266" t="s">
        <v>10</v>
      </c>
      <c r="D23" s="55">
        <f>IF(Method_calculation!D14&lt;&gt;0,Method_calculation!D14,IF(Method_calculation!D15&lt;&gt;0,Method_calculation!D15,Method_calculation!D16))</f>
        <v>271.64226805407367</v>
      </c>
      <c r="E23" s="266" t="s">
        <v>261</v>
      </c>
      <c r="F23" s="329"/>
    </row>
    <row r="24" spans="1:6" s="330" customFormat="1" ht="22.8" x14ac:dyDescent="0.25">
      <c r="A24" s="417" t="s">
        <v>538</v>
      </c>
      <c r="B24" s="416" t="s">
        <v>257</v>
      </c>
      <c r="C24" s="266" t="s">
        <v>10</v>
      </c>
      <c r="D24" s="55">
        <f>IF(Method_calculation!D17&lt;&gt;0,Method_calculation!D17,IF(Method_calculation!D18&lt;&gt;0,Method_calculation!D18,Method_calculation!D19))</f>
        <v>65.80963018966402</v>
      </c>
      <c r="E24" s="266" t="s">
        <v>261</v>
      </c>
      <c r="F24" s="329"/>
    </row>
    <row r="27" spans="1:6" x14ac:dyDescent="0.25">
      <c r="D27" s="221">
        <f>Method_calculation!D11</f>
        <v>0</v>
      </c>
    </row>
    <row r="28" spans="1:6" x14ac:dyDescent="0.25">
      <c r="D28" s="373" t="str">
        <f>Method_calculation!D50</f>
        <v>-</v>
      </c>
    </row>
    <row r="29" spans="1:6" x14ac:dyDescent="0.25">
      <c r="D29" s="373">
        <f>Method_calculation!D52</f>
        <v>0</v>
      </c>
    </row>
  </sheetData>
  <mergeCells count="1">
    <mergeCell ref="A1:I1"/>
  </mergeCells>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U89"/>
  <sheetViews>
    <sheetView topLeftCell="A58" workbookViewId="0">
      <selection activeCell="B89" sqref="B89:U89"/>
    </sheetView>
  </sheetViews>
  <sheetFormatPr baseColWidth="10" defaultColWidth="9.109375" defaultRowHeight="13.2" x14ac:dyDescent="0.25"/>
  <cols>
    <col min="1" max="1" width="12.6640625" style="2" customWidth="1"/>
    <col min="2" max="3" width="8.77734375" style="2" customWidth="1"/>
    <col min="4" max="4" width="10.5546875" style="2" customWidth="1"/>
    <col min="5" max="5" width="10.5546875" style="368" customWidth="1"/>
    <col min="6" max="6" width="7.5546875" style="2" customWidth="1"/>
    <col min="7" max="7" width="9.5546875" style="2" customWidth="1"/>
    <col min="8" max="8" width="7.44140625" style="13" customWidth="1"/>
    <col min="9" max="9" width="12.44140625" style="13" customWidth="1"/>
    <col min="10" max="10" width="11.88671875" style="13" customWidth="1"/>
    <col min="11" max="11" width="9.21875" style="13" bestFit="1" customWidth="1"/>
    <col min="12" max="12" width="9.77734375" style="2" customWidth="1"/>
    <col min="13" max="13" width="9.21875" style="2" bestFit="1" customWidth="1"/>
    <col min="14" max="14" width="6.109375" style="2" customWidth="1"/>
    <col min="15" max="16" width="10" style="339" customWidth="1"/>
    <col min="17" max="16384" width="9.109375" style="2"/>
  </cols>
  <sheetData>
    <row r="1" spans="1:16" ht="58.5" customHeight="1" thickBot="1" x14ac:dyDescent="0.3">
      <c r="A1" s="505" t="s">
        <v>204</v>
      </c>
      <c r="B1" s="476"/>
      <c r="C1" s="476"/>
      <c r="D1" s="476"/>
      <c r="E1" s="476"/>
      <c r="F1" s="476"/>
      <c r="G1" s="477"/>
      <c r="M1" s="366"/>
      <c r="N1" s="13"/>
      <c r="O1" s="366"/>
      <c r="P1" s="366"/>
    </row>
    <row r="2" spans="1:16" ht="13.8" thickBot="1" x14ac:dyDescent="0.3">
      <c r="M2" s="366"/>
      <c r="N2" s="13"/>
      <c r="O2" s="366"/>
      <c r="P2" s="366"/>
    </row>
    <row r="3" spans="1:16" x14ac:dyDescent="0.25">
      <c r="A3" s="154" t="s">
        <v>175</v>
      </c>
      <c r="B3" s="146"/>
      <c r="C3" s="147"/>
      <c r="M3" s="366"/>
      <c r="N3" s="13"/>
      <c r="O3" s="366"/>
      <c r="P3" s="366"/>
    </row>
    <row r="4" spans="1:16" x14ac:dyDescent="0.25">
      <c r="A4" s="155" t="s">
        <v>174</v>
      </c>
      <c r="B4" s="148"/>
      <c r="C4" s="149"/>
      <c r="M4" s="366"/>
      <c r="N4" s="13"/>
      <c r="O4" s="366"/>
      <c r="P4" s="366"/>
    </row>
    <row r="5" spans="1:16" x14ac:dyDescent="0.25">
      <c r="A5" s="158" t="s">
        <v>176</v>
      </c>
      <c r="B5" s="151"/>
      <c r="C5" s="156">
        <v>19</v>
      </c>
      <c r="M5" s="366"/>
      <c r="N5" s="13"/>
      <c r="O5" s="366"/>
      <c r="P5" s="366"/>
    </row>
    <row r="6" spans="1:16" ht="13.8" thickBot="1" x14ac:dyDescent="0.3">
      <c r="A6" s="198"/>
      <c r="B6" s="199"/>
      <c r="C6" s="199"/>
      <c r="M6" s="366"/>
      <c r="N6" s="13"/>
      <c r="O6" s="366"/>
      <c r="P6" s="366"/>
    </row>
    <row r="7" spans="1:16" ht="50.25" customHeight="1" x14ac:dyDescent="0.25">
      <c r="A7" s="502" t="s">
        <v>184</v>
      </c>
      <c r="B7" s="503"/>
      <c r="C7" s="503"/>
      <c r="D7" s="503"/>
      <c r="E7" s="503"/>
      <c r="F7" s="504"/>
      <c r="M7" s="366"/>
      <c r="N7" s="13"/>
      <c r="O7" s="366"/>
      <c r="P7" s="366"/>
    </row>
    <row r="8" spans="1:16" x14ac:dyDescent="0.25">
      <c r="A8" s="200" t="s">
        <v>178</v>
      </c>
      <c r="B8" s="34"/>
      <c r="C8" s="34"/>
      <c r="D8" s="34"/>
      <c r="E8" s="34"/>
      <c r="F8" s="201"/>
      <c r="M8" s="366"/>
      <c r="N8" s="13"/>
      <c r="O8" s="366"/>
      <c r="P8" s="366"/>
    </row>
    <row r="9" spans="1:16" ht="13.8" thickBot="1" x14ac:dyDescent="0.3">
      <c r="A9" s="202" t="s">
        <v>177</v>
      </c>
      <c r="B9" s="203"/>
      <c r="C9" s="203"/>
      <c r="D9" s="203"/>
      <c r="E9" s="203"/>
      <c r="F9" s="204"/>
      <c r="M9" s="366"/>
      <c r="N9" s="13"/>
      <c r="O9" s="366"/>
      <c r="P9" s="366"/>
    </row>
    <row r="10" spans="1:16" ht="4.5" customHeight="1" thickBot="1" x14ac:dyDescent="0.3">
      <c r="M10" s="366"/>
      <c r="N10" s="13"/>
      <c r="O10" s="366"/>
      <c r="P10" s="366"/>
    </row>
    <row r="11" spans="1:16" ht="27.75" customHeight="1" thickBot="1" x14ac:dyDescent="0.3">
      <c r="A11" s="160"/>
      <c r="B11" s="161"/>
      <c r="C11" s="162"/>
      <c r="D11" s="160"/>
      <c r="E11" s="161"/>
      <c r="F11" s="161"/>
      <c r="G11" s="162"/>
      <c r="M11" s="366"/>
      <c r="N11" s="13"/>
      <c r="O11" s="366"/>
      <c r="P11" s="366"/>
    </row>
    <row r="12" spans="1:16" ht="6.75" customHeight="1" x14ac:dyDescent="0.25">
      <c r="A12" s="159"/>
      <c r="B12" s="159"/>
      <c r="C12" s="159"/>
      <c r="D12" s="159"/>
      <c r="E12" s="159"/>
      <c r="F12" s="159"/>
      <c r="G12" s="159"/>
      <c r="M12" s="358"/>
      <c r="O12" s="358"/>
      <c r="P12" s="358"/>
    </row>
    <row r="13" spans="1:16" ht="212.4" x14ac:dyDescent="0.25">
      <c r="A13" s="3"/>
      <c r="B13" s="352" t="s">
        <v>233</v>
      </c>
      <c r="C13" s="352" t="s">
        <v>235</v>
      </c>
      <c r="D13" s="352" t="s">
        <v>237</v>
      </c>
      <c r="E13" s="352"/>
      <c r="F13" s="352" t="s">
        <v>239</v>
      </c>
      <c r="G13" s="352" t="s">
        <v>241</v>
      </c>
      <c r="H13" s="352" t="s">
        <v>243</v>
      </c>
      <c r="I13" s="352" t="s">
        <v>245</v>
      </c>
      <c r="J13" s="352" t="s">
        <v>247</v>
      </c>
      <c r="K13" s="352" t="s">
        <v>249</v>
      </c>
      <c r="L13" s="352" t="s">
        <v>251</v>
      </c>
      <c r="M13" s="352" t="s">
        <v>253</v>
      </c>
      <c r="N13" s="352" t="s">
        <v>255</v>
      </c>
      <c r="O13" s="352" t="s">
        <v>510</v>
      </c>
      <c r="P13" s="352" t="s">
        <v>511</v>
      </c>
    </row>
    <row r="14" spans="1:16" ht="30" x14ac:dyDescent="0.25">
      <c r="A14" s="3"/>
      <c r="B14" s="265" t="s">
        <v>234</v>
      </c>
      <c r="C14" s="265" t="s">
        <v>236</v>
      </c>
      <c r="D14" s="265" t="s">
        <v>238</v>
      </c>
      <c r="E14" s="265"/>
      <c r="F14" s="265" t="s">
        <v>240</v>
      </c>
      <c r="G14" s="265" t="s">
        <v>242</v>
      </c>
      <c r="H14" s="265" t="s">
        <v>244</v>
      </c>
      <c r="I14" s="357" t="s">
        <v>246</v>
      </c>
      <c r="J14" s="265" t="s">
        <v>248</v>
      </c>
      <c r="K14" s="265" t="s">
        <v>250</v>
      </c>
      <c r="L14" s="265" t="s">
        <v>252</v>
      </c>
      <c r="M14" s="357" t="s">
        <v>254</v>
      </c>
      <c r="N14" s="265" t="s">
        <v>256</v>
      </c>
      <c r="O14" s="357" t="s">
        <v>257</v>
      </c>
      <c r="P14" s="357" t="s">
        <v>257</v>
      </c>
    </row>
    <row r="15" spans="1:16" x14ac:dyDescent="0.25">
      <c r="A15" s="3" t="s">
        <v>9</v>
      </c>
      <c r="B15" s="266" t="s">
        <v>10</v>
      </c>
      <c r="C15" s="266" t="s">
        <v>10</v>
      </c>
      <c r="D15" s="266" t="s">
        <v>10</v>
      </c>
      <c r="E15" s="266"/>
      <c r="F15" s="266" t="s">
        <v>10</v>
      </c>
      <c r="G15" s="266" t="s">
        <v>10</v>
      </c>
      <c r="H15" s="265" t="s">
        <v>40</v>
      </c>
      <c r="I15" s="357" t="s">
        <v>10</v>
      </c>
      <c r="J15" s="266" t="s">
        <v>40</v>
      </c>
      <c r="K15" s="266" t="s">
        <v>10</v>
      </c>
      <c r="L15" s="266" t="s">
        <v>40</v>
      </c>
      <c r="M15" s="357" t="s">
        <v>10</v>
      </c>
      <c r="N15" s="266" t="s">
        <v>11</v>
      </c>
      <c r="O15" s="357" t="s">
        <v>10</v>
      </c>
      <c r="P15" s="357" t="s">
        <v>10</v>
      </c>
    </row>
    <row r="16" spans="1:16" ht="13.8" thickBot="1" x14ac:dyDescent="0.3">
      <c r="A16" s="3" t="s">
        <v>3</v>
      </c>
      <c r="B16" s="457" t="s">
        <v>535</v>
      </c>
      <c r="C16" s="457" t="s">
        <v>535</v>
      </c>
      <c r="D16" s="457" t="s">
        <v>258</v>
      </c>
      <c r="E16" s="338"/>
      <c r="F16" s="457" t="s">
        <v>259</v>
      </c>
      <c r="G16" s="457" t="s">
        <v>259</v>
      </c>
      <c r="H16" s="457" t="s">
        <v>259</v>
      </c>
      <c r="I16" s="457" t="s">
        <v>260</v>
      </c>
      <c r="J16" s="457" t="s">
        <v>260</v>
      </c>
      <c r="K16" s="457" t="s">
        <v>260</v>
      </c>
      <c r="L16" s="457" t="s">
        <v>260</v>
      </c>
      <c r="M16" s="457" t="s">
        <v>261</v>
      </c>
      <c r="N16" s="457" t="s">
        <v>261</v>
      </c>
      <c r="O16" s="457" t="s">
        <v>261</v>
      </c>
      <c r="P16" s="457" t="s">
        <v>261</v>
      </c>
    </row>
    <row r="17" spans="1:21" ht="13.8" thickBot="1" x14ac:dyDescent="0.3">
      <c r="A17" s="12" t="s">
        <v>0</v>
      </c>
      <c r="B17" s="354" t="s">
        <v>4</v>
      </c>
      <c r="C17" s="353"/>
      <c r="D17" s="353"/>
      <c r="E17" s="353"/>
      <c r="F17" s="353"/>
      <c r="G17" s="353"/>
      <c r="H17" s="353"/>
      <c r="I17" s="359"/>
      <c r="J17" s="353"/>
      <c r="K17" s="353"/>
      <c r="L17" s="353"/>
      <c r="M17" s="359"/>
      <c r="N17" s="353"/>
      <c r="O17" s="359"/>
      <c r="P17" s="360"/>
    </row>
    <row r="18" spans="1:21" x14ac:dyDescent="0.25">
      <c r="A18" s="355">
        <v>1</v>
      </c>
      <c r="B18" s="358">
        <v>0</v>
      </c>
      <c r="C18" s="358">
        <v>1.1635611789660905</v>
      </c>
      <c r="D18" s="358">
        <v>12.864532158643614</v>
      </c>
      <c r="E18" s="358"/>
      <c r="F18" s="358">
        <v>7.6779149999999996</v>
      </c>
      <c r="G18" s="358">
        <v>318.81317162905145</v>
      </c>
      <c r="H18" s="9">
        <v>14</v>
      </c>
      <c r="I18" s="358">
        <v>12.864532158643614</v>
      </c>
      <c r="J18" s="9">
        <v>90</v>
      </c>
      <c r="K18" s="358">
        <v>20.542447158643615</v>
      </c>
      <c r="L18" s="9">
        <v>40</v>
      </c>
      <c r="M18" s="358">
        <v>7.6779149999999996</v>
      </c>
      <c r="N18" s="9">
        <v>2</v>
      </c>
      <c r="O18" s="358">
        <v>259.66327562615271</v>
      </c>
      <c r="P18" s="358">
        <v>59.149896002898721</v>
      </c>
      <c r="S18" s="2">
        <v>0</v>
      </c>
      <c r="T18" s="2" t="s">
        <v>11</v>
      </c>
      <c r="U18" s="2">
        <v>0</v>
      </c>
    </row>
    <row r="19" spans="1:21" x14ac:dyDescent="0.25">
      <c r="A19" s="356">
        <v>2</v>
      </c>
      <c r="B19" s="357">
        <v>0</v>
      </c>
      <c r="C19" s="357">
        <v>0.84144657499999997</v>
      </c>
      <c r="D19" s="357">
        <v>0</v>
      </c>
      <c r="E19" s="357"/>
      <c r="F19" s="357">
        <v>7.6578629999999999</v>
      </c>
      <c r="G19" s="357">
        <v>344.69811444887358</v>
      </c>
      <c r="H19" s="337">
        <v>14</v>
      </c>
      <c r="I19" s="357">
        <v>0</v>
      </c>
      <c r="J19" s="337">
        <v>90</v>
      </c>
      <c r="K19" s="357">
        <v>0</v>
      </c>
      <c r="L19" s="337">
        <v>40</v>
      </c>
      <c r="M19" s="357">
        <v>7.6578629999999999</v>
      </c>
      <c r="N19" s="337">
        <v>2</v>
      </c>
      <c r="O19" s="357">
        <v>284.51315914654731</v>
      </c>
      <c r="P19" s="357">
        <v>60.184955302326287</v>
      </c>
      <c r="S19" s="2">
        <v>1</v>
      </c>
      <c r="T19" s="2" t="s">
        <v>11</v>
      </c>
      <c r="U19" s="2">
        <v>0</v>
      </c>
    </row>
    <row r="20" spans="1:21" x14ac:dyDescent="0.25">
      <c r="A20" s="356">
        <v>3</v>
      </c>
      <c r="B20" s="357">
        <v>0</v>
      </c>
      <c r="C20" s="357">
        <v>0.841458225</v>
      </c>
      <c r="D20" s="357">
        <v>0</v>
      </c>
      <c r="E20" s="357"/>
      <c r="F20" s="357">
        <v>7.6583290000000002</v>
      </c>
      <c r="G20" s="357">
        <v>354.38611055993402</v>
      </c>
      <c r="H20" s="337">
        <v>14</v>
      </c>
      <c r="I20" s="357">
        <v>0</v>
      </c>
      <c r="J20" s="337">
        <v>90</v>
      </c>
      <c r="K20" s="357">
        <v>0</v>
      </c>
      <c r="L20" s="337">
        <v>40</v>
      </c>
      <c r="M20" s="357">
        <v>7.6583290000000002</v>
      </c>
      <c r="N20" s="337">
        <v>2</v>
      </c>
      <c r="O20" s="357">
        <v>293.88823459120437</v>
      </c>
      <c r="P20" s="357">
        <v>60.497875968729652</v>
      </c>
      <c r="S20" s="2">
        <v>1</v>
      </c>
      <c r="T20" s="2" t="s">
        <v>11</v>
      </c>
      <c r="U20" s="2">
        <v>0</v>
      </c>
    </row>
    <row r="21" spans="1:21" x14ac:dyDescent="0.25">
      <c r="A21" s="356">
        <v>4</v>
      </c>
      <c r="B21" s="357">
        <v>0</v>
      </c>
      <c r="C21" s="357">
        <v>0.84138072500000005</v>
      </c>
      <c r="D21" s="357">
        <v>0</v>
      </c>
      <c r="E21" s="357"/>
      <c r="F21" s="357">
        <v>7.6552290000000003</v>
      </c>
      <c r="G21" s="357">
        <v>354.38611055993402</v>
      </c>
      <c r="H21" s="337">
        <v>14</v>
      </c>
      <c r="I21" s="357">
        <v>0</v>
      </c>
      <c r="J21" s="337">
        <v>90</v>
      </c>
      <c r="K21" s="357">
        <v>0</v>
      </c>
      <c r="L21" s="337">
        <v>40</v>
      </c>
      <c r="M21" s="357">
        <v>7.6552290000000003</v>
      </c>
      <c r="N21" s="337">
        <v>2</v>
      </c>
      <c r="O21" s="357">
        <v>293.88823459120437</v>
      </c>
      <c r="P21" s="357">
        <v>60.497875968729652</v>
      </c>
      <c r="S21" s="2">
        <v>1</v>
      </c>
      <c r="T21" s="2" t="s">
        <v>11</v>
      </c>
      <c r="U21" s="2">
        <v>0</v>
      </c>
    </row>
    <row r="22" spans="1:21" x14ac:dyDescent="0.25">
      <c r="A22" s="356">
        <v>5</v>
      </c>
      <c r="B22" s="357">
        <v>0</v>
      </c>
      <c r="C22" s="357">
        <v>0.84139222499999999</v>
      </c>
      <c r="D22" s="357">
        <v>0</v>
      </c>
      <c r="E22" s="357"/>
      <c r="F22" s="357">
        <v>7.6556890000000006</v>
      </c>
      <c r="G22" s="357">
        <v>354.38611055993402</v>
      </c>
      <c r="H22" s="337">
        <v>14</v>
      </c>
      <c r="I22" s="357">
        <v>0</v>
      </c>
      <c r="J22" s="337">
        <v>90</v>
      </c>
      <c r="K22" s="357">
        <v>0</v>
      </c>
      <c r="L22" s="337">
        <v>40</v>
      </c>
      <c r="M22" s="357">
        <v>7.6556890000000006</v>
      </c>
      <c r="N22" s="337">
        <v>2</v>
      </c>
      <c r="O22" s="357">
        <v>293.88823459120437</v>
      </c>
      <c r="P22" s="357">
        <v>60.497875968729652</v>
      </c>
      <c r="S22" s="2">
        <v>1</v>
      </c>
      <c r="T22" s="2" t="s">
        <v>11</v>
      </c>
      <c r="U22" s="2">
        <v>0</v>
      </c>
    </row>
    <row r="23" spans="1:21" x14ac:dyDescent="0.25">
      <c r="A23" s="356">
        <v>6</v>
      </c>
      <c r="B23" s="357">
        <v>0</v>
      </c>
      <c r="C23" s="357">
        <v>1.1676307419931526</v>
      </c>
      <c r="D23" s="357">
        <v>13.02465167972611</v>
      </c>
      <c r="E23" s="357"/>
      <c r="F23" s="357">
        <v>7.6805780000000006</v>
      </c>
      <c r="G23" s="357">
        <v>303.8185790769237</v>
      </c>
      <c r="H23" s="337">
        <v>14</v>
      </c>
      <c r="I23" s="357">
        <v>13.02465167972611</v>
      </c>
      <c r="J23" s="337">
        <v>90</v>
      </c>
      <c r="K23" s="357">
        <v>20.705229679726109</v>
      </c>
      <c r="L23" s="337">
        <v>40</v>
      </c>
      <c r="M23" s="357">
        <v>7.6805780000000006</v>
      </c>
      <c r="N23" s="337">
        <v>2</v>
      </c>
      <c r="O23" s="357">
        <v>245.37558342662751</v>
      </c>
      <c r="P23" s="357">
        <v>58.442995650296197</v>
      </c>
      <c r="S23" s="2">
        <v>0</v>
      </c>
      <c r="T23" s="2" t="s">
        <v>11</v>
      </c>
      <c r="U23" s="2">
        <v>0</v>
      </c>
    </row>
    <row r="24" spans="1:21" x14ac:dyDescent="0.25">
      <c r="A24" s="356">
        <v>7</v>
      </c>
      <c r="B24" s="357">
        <v>0</v>
      </c>
      <c r="C24" s="357">
        <v>2.3869425550448855</v>
      </c>
      <c r="D24" s="357">
        <v>44.533992201795414</v>
      </c>
      <c r="E24" s="357"/>
      <c r="F24" s="357">
        <v>24.943709999999996</v>
      </c>
      <c r="G24" s="357">
        <v>250.75210709136277</v>
      </c>
      <c r="H24" s="337">
        <v>14</v>
      </c>
      <c r="I24" s="357">
        <v>44.533992201795414</v>
      </c>
      <c r="J24" s="337">
        <v>90</v>
      </c>
      <c r="K24" s="357">
        <v>69.47770220179541</v>
      </c>
      <c r="L24" s="337">
        <v>40</v>
      </c>
      <c r="M24" s="357">
        <v>24.943709999999999</v>
      </c>
      <c r="N24" s="337">
        <v>2</v>
      </c>
      <c r="O24" s="357">
        <v>195.24173960468968</v>
      </c>
      <c r="P24" s="357">
        <v>55.51036748667309</v>
      </c>
      <c r="S24" s="2">
        <v>0</v>
      </c>
      <c r="T24" s="2" t="s">
        <v>11</v>
      </c>
      <c r="U24" s="2">
        <v>0</v>
      </c>
    </row>
    <row r="25" spans="1:21" x14ac:dyDescent="0.25">
      <c r="A25" s="356">
        <v>8</v>
      </c>
      <c r="B25" s="357">
        <v>0</v>
      </c>
      <c r="C25" s="357">
        <v>1.2367581345831209</v>
      </c>
      <c r="D25" s="357">
        <v>15.233012383324832</v>
      </c>
      <c r="E25" s="357"/>
      <c r="F25" s="357">
        <v>8.2373130000000003</v>
      </c>
      <c r="G25" s="357">
        <v>219.73779266040214</v>
      </c>
      <c r="H25" s="337">
        <v>14</v>
      </c>
      <c r="I25" s="357">
        <v>15.233012383324832</v>
      </c>
      <c r="J25" s="337">
        <v>90</v>
      </c>
      <c r="K25" s="357">
        <v>23.470325383324834</v>
      </c>
      <c r="L25" s="337">
        <v>40</v>
      </c>
      <c r="M25" s="357">
        <v>8.2373130000000003</v>
      </c>
      <c r="N25" s="337">
        <v>2</v>
      </c>
      <c r="O25" s="357">
        <v>166.14523845409875</v>
      </c>
      <c r="P25" s="357">
        <v>53.592554206303376</v>
      </c>
      <c r="S25" s="2">
        <v>0</v>
      </c>
      <c r="T25" s="2" t="s">
        <v>11</v>
      </c>
      <c r="U25" s="2">
        <v>0</v>
      </c>
    </row>
    <row r="26" spans="1:21" x14ac:dyDescent="0.25">
      <c r="A26" s="356">
        <v>9</v>
      </c>
      <c r="B26" s="357">
        <v>0</v>
      </c>
      <c r="C26" s="357">
        <v>3.0216046528342888</v>
      </c>
      <c r="D26" s="357">
        <v>62.058716113371553</v>
      </c>
      <c r="E26" s="357"/>
      <c r="F26" s="357">
        <v>32.80547</v>
      </c>
      <c r="G26" s="357">
        <v>201.00189186172173</v>
      </c>
      <c r="H26" s="337">
        <v>14</v>
      </c>
      <c r="I26" s="357">
        <v>62.058716113371553</v>
      </c>
      <c r="J26" s="337">
        <v>90</v>
      </c>
      <c r="K26" s="357">
        <v>94.864186113371545</v>
      </c>
      <c r="L26" s="337">
        <v>40</v>
      </c>
      <c r="M26" s="357">
        <v>32.80547</v>
      </c>
      <c r="N26" s="337">
        <v>2</v>
      </c>
      <c r="O26" s="357">
        <v>148.61192060709536</v>
      </c>
      <c r="P26" s="357">
        <v>52.389971254626367</v>
      </c>
      <c r="S26" s="2">
        <v>0</v>
      </c>
      <c r="T26" s="2" t="s">
        <v>11</v>
      </c>
      <c r="U26" s="2">
        <v>0</v>
      </c>
    </row>
    <row r="27" spans="1:21" x14ac:dyDescent="0.25">
      <c r="A27" s="356">
        <v>10</v>
      </c>
      <c r="B27" s="357">
        <v>0</v>
      </c>
      <c r="C27" s="357">
        <v>5.5784425073935031</v>
      </c>
      <c r="D27" s="357">
        <v>94.578854163439516</v>
      </c>
      <c r="E27" s="357"/>
      <c r="F27" s="357">
        <v>54.28304</v>
      </c>
      <c r="G27" s="357">
        <v>274.33851594655533</v>
      </c>
      <c r="H27" s="337">
        <v>14</v>
      </c>
      <c r="I27" s="357">
        <v>94.578854163439516</v>
      </c>
      <c r="J27" s="337">
        <v>90</v>
      </c>
      <c r="K27" s="357">
        <v>148.8618941634395</v>
      </c>
      <c r="L27" s="337">
        <v>40</v>
      </c>
      <c r="M27" s="357">
        <v>54.28304</v>
      </c>
      <c r="N27" s="337">
        <v>2</v>
      </c>
      <c r="O27" s="357">
        <v>217.45652411094767</v>
      </c>
      <c r="P27" s="357">
        <v>56.88199183560765</v>
      </c>
      <c r="S27" s="2">
        <v>0</v>
      </c>
      <c r="T27" s="2">
        <v>1</v>
      </c>
      <c r="U27" s="2" t="s">
        <v>11</v>
      </c>
    </row>
    <row r="28" spans="1:21" x14ac:dyDescent="0.25">
      <c r="A28" s="356">
        <v>11</v>
      </c>
      <c r="B28" s="357">
        <v>4.5948775712538303</v>
      </c>
      <c r="C28" s="357">
        <v>6.844858553482684</v>
      </c>
      <c r="D28" s="357">
        <v>99.107080413069951</v>
      </c>
      <c r="E28" s="357"/>
      <c r="F28" s="357">
        <v>83.536179999999987</v>
      </c>
      <c r="G28" s="357">
        <v>260.25489455652979</v>
      </c>
      <c r="H28" s="337">
        <v>14</v>
      </c>
      <c r="I28" s="357">
        <v>99.107080413069951</v>
      </c>
      <c r="J28" s="337">
        <v>90</v>
      </c>
      <c r="K28" s="357">
        <v>187.23813798432377</v>
      </c>
      <c r="L28" s="337">
        <v>40</v>
      </c>
      <c r="M28" s="357">
        <v>83.536179999999987</v>
      </c>
      <c r="N28" s="337">
        <v>2</v>
      </c>
      <c r="O28" s="357">
        <v>204.18114241339811</v>
      </c>
      <c r="P28" s="357">
        <v>56.073752143131678</v>
      </c>
      <c r="S28" s="2">
        <v>0</v>
      </c>
      <c r="T28" s="2">
        <v>1</v>
      </c>
      <c r="U28" s="2" t="s">
        <v>11</v>
      </c>
    </row>
    <row r="29" spans="1:21" x14ac:dyDescent="0.25">
      <c r="A29" s="356">
        <v>12</v>
      </c>
      <c r="B29" s="357">
        <v>10.38070407345417</v>
      </c>
      <c r="C29" s="357">
        <v>8.2827789880552967</v>
      </c>
      <c r="D29" s="357">
        <v>99.107080413069966</v>
      </c>
      <c r="E29" s="357"/>
      <c r="F29" s="357">
        <v>121.3237</v>
      </c>
      <c r="G29" s="357">
        <v>249.24735764139336</v>
      </c>
      <c r="H29" s="337">
        <v>14</v>
      </c>
      <c r="I29" s="357">
        <v>99.107080413069966</v>
      </c>
      <c r="J29" s="337">
        <v>90</v>
      </c>
      <c r="K29" s="357">
        <v>230.81148448652414</v>
      </c>
      <c r="L29" s="337">
        <v>40</v>
      </c>
      <c r="M29" s="357">
        <v>121.3237</v>
      </c>
      <c r="N29" s="337">
        <v>2</v>
      </c>
      <c r="O29" s="357">
        <v>193.82738999495493</v>
      </c>
      <c r="P29" s="357">
        <v>55.419967646438423</v>
      </c>
      <c r="S29" s="2">
        <v>0</v>
      </c>
      <c r="T29" s="2">
        <v>1</v>
      </c>
      <c r="U29" s="2" t="s">
        <v>11</v>
      </c>
    </row>
    <row r="30" spans="1:21" x14ac:dyDescent="0.25">
      <c r="A30" s="355">
        <v>13</v>
      </c>
      <c r="B30" s="357">
        <v>4.9147471155689262</v>
      </c>
      <c r="C30" s="357">
        <v>6.8686931184450835</v>
      </c>
      <c r="D30" s="357">
        <v>99.107080413069966</v>
      </c>
      <c r="E30" s="357"/>
      <c r="F30" s="357">
        <v>83.938570000000013</v>
      </c>
      <c r="G30" s="357">
        <v>253.82741809575776</v>
      </c>
      <c r="H30" s="337">
        <v>14</v>
      </c>
      <c r="I30" s="357">
        <v>99.107080413069966</v>
      </c>
      <c r="J30" s="337">
        <v>90</v>
      </c>
      <c r="K30" s="357">
        <v>187.96039752863891</v>
      </c>
      <c r="L30" s="337">
        <v>40</v>
      </c>
      <c r="M30" s="357">
        <v>83.938570000000013</v>
      </c>
      <c r="N30" s="337">
        <v>2</v>
      </c>
      <c r="O30" s="357">
        <v>198.13327856857114</v>
      </c>
      <c r="P30" s="357">
        <v>55.694139527186607</v>
      </c>
      <c r="S30" s="2">
        <v>0</v>
      </c>
      <c r="T30" s="2">
        <v>1</v>
      </c>
      <c r="U30" s="2" t="s">
        <v>11</v>
      </c>
    </row>
    <row r="31" spans="1:21" x14ac:dyDescent="0.25">
      <c r="A31" s="356">
        <v>14</v>
      </c>
      <c r="B31" s="357">
        <v>6.7871715740141028</v>
      </c>
      <c r="C31" s="357">
        <v>7.3495963255737742</v>
      </c>
      <c r="D31" s="357">
        <v>99.107080413069951</v>
      </c>
      <c r="E31" s="357"/>
      <c r="F31" s="357">
        <v>96.63897</v>
      </c>
      <c r="G31" s="357">
        <v>260.25489455652979</v>
      </c>
      <c r="H31" s="337">
        <v>14</v>
      </c>
      <c r="I31" s="357">
        <v>99.107080413069951</v>
      </c>
      <c r="J31" s="337">
        <v>90</v>
      </c>
      <c r="K31" s="357">
        <v>202.53322198708406</v>
      </c>
      <c r="L31" s="337">
        <v>40</v>
      </c>
      <c r="M31" s="357">
        <v>96.63897</v>
      </c>
      <c r="N31" s="337">
        <v>2</v>
      </c>
      <c r="O31" s="357">
        <v>204.18114241339811</v>
      </c>
      <c r="P31" s="357">
        <v>56.073752143131678</v>
      </c>
      <c r="S31" s="2">
        <v>0</v>
      </c>
      <c r="T31" s="2">
        <v>1</v>
      </c>
      <c r="U31" s="2" t="s">
        <v>11</v>
      </c>
    </row>
    <row r="32" spans="1:21" x14ac:dyDescent="0.25">
      <c r="A32" s="356">
        <v>15</v>
      </c>
      <c r="B32" s="357">
        <v>9.921132642611024</v>
      </c>
      <c r="C32" s="357">
        <v>8.4504925308374723</v>
      </c>
      <c r="D32" s="357">
        <v>99.107080413069966</v>
      </c>
      <c r="E32" s="357"/>
      <c r="F32" s="357">
        <v>126.8655</v>
      </c>
      <c r="G32" s="357">
        <v>268.85200866709351</v>
      </c>
      <c r="H32" s="337">
        <v>14</v>
      </c>
      <c r="I32" s="357">
        <v>99.107080413069966</v>
      </c>
      <c r="J32" s="337">
        <v>90</v>
      </c>
      <c r="K32" s="357">
        <v>235.89371305568099</v>
      </c>
      <c r="L32" s="337">
        <v>40</v>
      </c>
      <c r="M32" s="357">
        <v>126.8655</v>
      </c>
      <c r="N32" s="337">
        <v>2</v>
      </c>
      <c r="O32" s="357">
        <v>212.28077379578536</v>
      </c>
      <c r="P32" s="357">
        <v>56.571234871308164</v>
      </c>
      <c r="S32" s="2">
        <v>0</v>
      </c>
      <c r="T32" s="2">
        <v>1</v>
      </c>
      <c r="U32" s="2" t="s">
        <v>11</v>
      </c>
    </row>
    <row r="33" spans="1:21" x14ac:dyDescent="0.25">
      <c r="A33" s="356">
        <v>16</v>
      </c>
      <c r="B33" s="357">
        <v>4.3195572707867491</v>
      </c>
      <c r="C33" s="357">
        <v>6.8300349435672718</v>
      </c>
      <c r="D33" s="357">
        <v>99.107080413069966</v>
      </c>
      <c r="E33" s="357"/>
      <c r="F33" s="357">
        <v>83.362300000000005</v>
      </c>
      <c r="G33" s="357">
        <v>267.07953154437178</v>
      </c>
      <c r="H33" s="337">
        <v>14</v>
      </c>
      <c r="I33" s="357">
        <v>99.107080413069966</v>
      </c>
      <c r="J33" s="337">
        <v>90</v>
      </c>
      <c r="K33" s="357">
        <v>186.78893768385672</v>
      </c>
      <c r="L33" s="337">
        <v>40</v>
      </c>
      <c r="M33" s="357">
        <v>83.362300000000005</v>
      </c>
      <c r="N33" s="337">
        <v>2</v>
      </c>
      <c r="O33" s="357">
        <v>210.60984368034968</v>
      </c>
      <c r="P33" s="357">
        <v>56.469687864022113</v>
      </c>
      <c r="S33" s="2">
        <v>0</v>
      </c>
      <c r="T33" s="2">
        <v>1</v>
      </c>
      <c r="U33" s="2" t="s">
        <v>11</v>
      </c>
    </row>
    <row r="34" spans="1:21" x14ac:dyDescent="0.25">
      <c r="A34" s="356">
        <v>17</v>
      </c>
      <c r="B34" s="357">
        <v>1.3254790304955923</v>
      </c>
      <c r="C34" s="357">
        <v>6.1223123816376628</v>
      </c>
      <c r="D34" s="357">
        <v>99.107080413069966</v>
      </c>
      <c r="E34" s="357"/>
      <c r="F34" s="357">
        <v>64.910240000000002</v>
      </c>
      <c r="G34" s="357">
        <v>268.85200866709351</v>
      </c>
      <c r="H34" s="337">
        <v>14</v>
      </c>
      <c r="I34" s="357">
        <v>99.107080413069966</v>
      </c>
      <c r="J34" s="337">
        <v>90</v>
      </c>
      <c r="K34" s="357">
        <v>165.34279944356555</v>
      </c>
      <c r="L34" s="337">
        <v>40</v>
      </c>
      <c r="M34" s="357">
        <v>64.910240000000002</v>
      </c>
      <c r="N34" s="337">
        <v>2</v>
      </c>
      <c r="O34" s="357">
        <v>212.28077379578536</v>
      </c>
      <c r="P34" s="357">
        <v>56.571234871308164</v>
      </c>
      <c r="S34" s="2">
        <v>0</v>
      </c>
      <c r="T34" s="2">
        <v>1</v>
      </c>
      <c r="U34" s="2" t="s">
        <v>11</v>
      </c>
    </row>
    <row r="35" spans="1:21" x14ac:dyDescent="0.25">
      <c r="A35" s="356">
        <v>18</v>
      </c>
      <c r="B35" s="357">
        <v>0</v>
      </c>
      <c r="C35" s="357">
        <v>5.0676019592465238</v>
      </c>
      <c r="D35" s="357">
        <v>85.740707552924974</v>
      </c>
      <c r="E35" s="357"/>
      <c r="F35" s="357">
        <v>47.641169999999995</v>
      </c>
      <c r="G35" s="357">
        <v>243.43722785383505</v>
      </c>
      <c r="H35" s="337">
        <v>14</v>
      </c>
      <c r="I35" s="357">
        <v>85.740707552924974</v>
      </c>
      <c r="J35" s="337">
        <v>90</v>
      </c>
      <c r="K35" s="357">
        <v>133.38187755292498</v>
      </c>
      <c r="L35" s="337">
        <v>40</v>
      </c>
      <c r="M35" s="357">
        <v>47.641169999999995</v>
      </c>
      <c r="N35" s="337">
        <v>2</v>
      </c>
      <c r="O35" s="357">
        <v>188.36913475175447</v>
      </c>
      <c r="P35" s="357">
        <v>55.068093102080574</v>
      </c>
      <c r="S35" s="2">
        <v>0</v>
      </c>
      <c r="T35" s="2">
        <v>1</v>
      </c>
      <c r="U35" s="2" t="s">
        <v>11</v>
      </c>
    </row>
    <row r="36" spans="1:21" x14ac:dyDescent="0.25">
      <c r="A36" s="356">
        <v>19</v>
      </c>
      <c r="B36" s="357">
        <v>0</v>
      </c>
      <c r="C36" s="357">
        <v>4.1642513672990775</v>
      </c>
      <c r="D36" s="357">
        <v>68.067127190881138</v>
      </c>
      <c r="E36" s="357"/>
      <c r="F36" s="357">
        <v>37.940489999999997</v>
      </c>
      <c r="G36" s="357">
        <v>246.30138909015704</v>
      </c>
      <c r="H36" s="337">
        <v>14</v>
      </c>
      <c r="I36" s="357">
        <v>68.067127190881138</v>
      </c>
      <c r="J36" s="337">
        <v>90</v>
      </c>
      <c r="K36" s="357">
        <v>106.00761719088113</v>
      </c>
      <c r="L36" s="337">
        <v>40</v>
      </c>
      <c r="M36" s="357">
        <v>37.940489999999997</v>
      </c>
      <c r="N36" s="337">
        <v>2</v>
      </c>
      <c r="O36" s="357">
        <v>191.05928694007511</v>
      </c>
      <c r="P36" s="357">
        <v>55.242102150081948</v>
      </c>
      <c r="S36" s="2">
        <v>0</v>
      </c>
      <c r="T36" s="2">
        <v>1</v>
      </c>
      <c r="U36" s="2" t="s">
        <v>11</v>
      </c>
    </row>
    <row r="37" spans="1:21" x14ac:dyDescent="0.25">
      <c r="A37" s="356">
        <v>20</v>
      </c>
      <c r="B37" s="357">
        <v>0</v>
      </c>
      <c r="C37" s="357">
        <v>1.4652164041867695</v>
      </c>
      <c r="D37" s="357">
        <v>15.486534914750589</v>
      </c>
      <c r="E37" s="357"/>
      <c r="F37" s="357">
        <v>8.7321439999999999</v>
      </c>
      <c r="G37" s="357">
        <v>256.99367220030194</v>
      </c>
      <c r="H37" s="337">
        <v>14</v>
      </c>
      <c r="I37" s="357">
        <v>15.486534914750589</v>
      </c>
      <c r="J37" s="337">
        <v>90</v>
      </c>
      <c r="K37" s="357">
        <v>24.218678914750591</v>
      </c>
      <c r="L37" s="337">
        <v>40</v>
      </c>
      <c r="M37" s="357">
        <v>8.7321439999999999</v>
      </c>
      <c r="N37" s="337">
        <v>2</v>
      </c>
      <c r="O37" s="357">
        <v>201.11175269084376</v>
      </c>
      <c r="P37" s="357">
        <v>55.881919509458193</v>
      </c>
      <c r="S37" s="2">
        <v>0</v>
      </c>
      <c r="T37" s="2">
        <v>1</v>
      </c>
      <c r="U37" s="2" t="s">
        <v>11</v>
      </c>
    </row>
    <row r="38" spans="1:21" x14ac:dyDescent="0.25">
      <c r="A38" s="356">
        <v>21</v>
      </c>
      <c r="B38" s="357">
        <v>0</v>
      </c>
      <c r="C38" s="357">
        <v>1.2373838189592195</v>
      </c>
      <c r="D38" s="357">
        <v>15.322028758368772</v>
      </c>
      <c r="E38" s="357"/>
      <c r="F38" s="357">
        <v>8.1733239999999991</v>
      </c>
      <c r="G38" s="357">
        <v>208.38965534939362</v>
      </c>
      <c r="H38" s="337">
        <v>14</v>
      </c>
      <c r="I38" s="357">
        <v>15.322028758368772</v>
      </c>
      <c r="J38" s="337">
        <v>90</v>
      </c>
      <c r="K38" s="357">
        <v>23.495352758368771</v>
      </c>
      <c r="L38" s="337">
        <v>40</v>
      </c>
      <c r="M38" s="357">
        <v>8.1733239999999991</v>
      </c>
      <c r="N38" s="337">
        <v>2</v>
      </c>
      <c r="O38" s="357">
        <v>155.52235613696783</v>
      </c>
      <c r="P38" s="357">
        <v>52.867299212425785</v>
      </c>
      <c r="S38" s="2">
        <v>0</v>
      </c>
      <c r="T38" s="2" t="s">
        <v>11</v>
      </c>
      <c r="U38" s="2">
        <v>0</v>
      </c>
    </row>
    <row r="39" spans="1:21" x14ac:dyDescent="0.25">
      <c r="A39" s="356">
        <v>22</v>
      </c>
      <c r="B39" s="357">
        <v>0</v>
      </c>
      <c r="C39" s="357">
        <v>1.2118760600651446</v>
      </c>
      <c r="D39" s="357">
        <v>14.531460402605775</v>
      </c>
      <c r="E39" s="357"/>
      <c r="F39" s="357">
        <v>7.9435820000000001</v>
      </c>
      <c r="G39" s="357">
        <v>229.00671023783912</v>
      </c>
      <c r="H39" s="337">
        <v>14</v>
      </c>
      <c r="I39" s="357">
        <v>14.531460402605775</v>
      </c>
      <c r="J39" s="337">
        <v>90</v>
      </c>
      <c r="K39" s="357">
        <v>22.475042402605776</v>
      </c>
      <c r="L39" s="337">
        <v>40</v>
      </c>
      <c r="M39" s="357">
        <v>7.9435820000000001</v>
      </c>
      <c r="N39" s="337">
        <v>2</v>
      </c>
      <c r="O39" s="357">
        <v>174.83010319147212</v>
      </c>
      <c r="P39" s="357">
        <v>54.176607046366996</v>
      </c>
      <c r="S39" s="2">
        <v>0</v>
      </c>
      <c r="T39" s="2" t="s">
        <v>11</v>
      </c>
      <c r="U39" s="2">
        <v>0</v>
      </c>
    </row>
    <row r="40" spans="1:21" x14ac:dyDescent="0.25">
      <c r="A40" s="356">
        <v>23</v>
      </c>
      <c r="B40" s="357">
        <v>0</v>
      </c>
      <c r="C40" s="357">
        <v>1.1935385205878839</v>
      </c>
      <c r="D40" s="357">
        <v>13.975924823515356</v>
      </c>
      <c r="E40" s="357"/>
      <c r="F40" s="357">
        <v>7.7656159999999996</v>
      </c>
      <c r="G40" s="357">
        <v>243.43722785383505</v>
      </c>
      <c r="H40" s="337">
        <v>14</v>
      </c>
      <c r="I40" s="357">
        <v>13.975924823515356</v>
      </c>
      <c r="J40" s="337">
        <v>90</v>
      </c>
      <c r="K40" s="357">
        <v>21.741540823515358</v>
      </c>
      <c r="L40" s="337">
        <v>40</v>
      </c>
      <c r="M40" s="357">
        <v>7.7656159999999996</v>
      </c>
      <c r="N40" s="337">
        <v>2</v>
      </c>
      <c r="O40" s="357">
        <v>188.36913475175447</v>
      </c>
      <c r="P40" s="357">
        <v>55.068093102080574</v>
      </c>
      <c r="S40" s="2">
        <v>0</v>
      </c>
      <c r="T40" s="2" t="s">
        <v>11</v>
      </c>
      <c r="U40" s="2">
        <v>0</v>
      </c>
    </row>
    <row r="41" spans="1:21" x14ac:dyDescent="0.25">
      <c r="A41" s="356">
        <v>24</v>
      </c>
      <c r="B41" s="357">
        <v>0</v>
      </c>
      <c r="C41" s="357">
        <v>1.1844276289918461</v>
      </c>
      <c r="D41" s="357">
        <v>13.652604159673837</v>
      </c>
      <c r="E41" s="357"/>
      <c r="F41" s="357">
        <v>7.7245010000000001</v>
      </c>
      <c r="G41" s="357">
        <v>260.25489455652979</v>
      </c>
      <c r="H41" s="337">
        <v>14</v>
      </c>
      <c r="I41" s="357">
        <v>13.652604159673837</v>
      </c>
      <c r="J41" s="337">
        <v>90</v>
      </c>
      <c r="K41" s="357">
        <v>21.377105159673839</v>
      </c>
      <c r="L41" s="337">
        <v>40</v>
      </c>
      <c r="M41" s="357">
        <v>7.7245010000000001</v>
      </c>
      <c r="N41" s="337">
        <v>2</v>
      </c>
      <c r="O41" s="357">
        <v>204.18114241339811</v>
      </c>
      <c r="P41" s="357">
        <v>56.073752143131678</v>
      </c>
      <c r="S41" s="2">
        <v>0</v>
      </c>
      <c r="T41" s="2" t="s">
        <v>11</v>
      </c>
      <c r="U41" s="2">
        <v>0</v>
      </c>
    </row>
    <row r="42" spans="1:21" x14ac:dyDescent="0.25">
      <c r="A42" s="355">
        <v>25</v>
      </c>
      <c r="B42" s="357">
        <v>0</v>
      </c>
      <c r="C42" s="357">
        <v>1.1872425107852509</v>
      </c>
      <c r="D42" s="357">
        <v>13.78258043141004</v>
      </c>
      <c r="E42" s="357"/>
      <c r="F42" s="357">
        <v>7.7071199999999997</v>
      </c>
      <c r="G42" s="357">
        <v>249.24735764139336</v>
      </c>
      <c r="H42" s="337">
        <v>14</v>
      </c>
      <c r="I42" s="357">
        <v>13.78258043141004</v>
      </c>
      <c r="J42" s="337">
        <v>90</v>
      </c>
      <c r="K42" s="357">
        <v>21.489700431410039</v>
      </c>
      <c r="L42" s="337">
        <v>40</v>
      </c>
      <c r="M42" s="357">
        <v>7.7071199999999997</v>
      </c>
      <c r="N42" s="337">
        <v>2</v>
      </c>
      <c r="O42" s="357">
        <v>193.82738999495493</v>
      </c>
      <c r="P42" s="357">
        <v>55.419967646438423</v>
      </c>
      <c r="S42" s="2">
        <v>0</v>
      </c>
      <c r="T42" s="2" t="s">
        <v>11</v>
      </c>
      <c r="U42" s="2">
        <v>0</v>
      </c>
    </row>
    <row r="43" spans="1:21" x14ac:dyDescent="0.25">
      <c r="A43" s="356">
        <v>26</v>
      </c>
      <c r="B43" s="357">
        <v>0</v>
      </c>
      <c r="C43" s="357">
        <v>1.1832222698168913</v>
      </c>
      <c r="D43" s="357">
        <v>13.621811792675652</v>
      </c>
      <c r="E43" s="357"/>
      <c r="F43" s="357">
        <v>7.7070789999999993</v>
      </c>
      <c r="G43" s="357">
        <v>260.25489455652979</v>
      </c>
      <c r="H43" s="337">
        <v>14</v>
      </c>
      <c r="I43" s="357">
        <v>13.621811792675652</v>
      </c>
      <c r="J43" s="337">
        <v>90</v>
      </c>
      <c r="K43" s="357">
        <v>21.328890792675651</v>
      </c>
      <c r="L43" s="337">
        <v>40</v>
      </c>
      <c r="M43" s="357">
        <v>7.7070789999999993</v>
      </c>
      <c r="N43" s="337">
        <v>2</v>
      </c>
      <c r="O43" s="357">
        <v>204.18114241339811</v>
      </c>
      <c r="P43" s="357">
        <v>56.073752143131678</v>
      </c>
      <c r="S43" s="2">
        <v>0</v>
      </c>
      <c r="T43" s="2" t="s">
        <v>11</v>
      </c>
      <c r="U43" s="2">
        <v>0</v>
      </c>
    </row>
    <row r="44" spans="1:21" x14ac:dyDescent="0.25">
      <c r="A44" s="356">
        <v>27</v>
      </c>
      <c r="B44" s="357">
        <v>0</v>
      </c>
      <c r="C44" s="357">
        <v>1.180097638717124</v>
      </c>
      <c r="D44" s="357">
        <v>13.507525548684956</v>
      </c>
      <c r="E44" s="357"/>
      <c r="F44" s="357">
        <v>7.6963800000000004</v>
      </c>
      <c r="G44" s="357">
        <v>267.07953154437178</v>
      </c>
      <c r="H44" s="337">
        <v>14</v>
      </c>
      <c r="I44" s="357">
        <v>13.507525548684956</v>
      </c>
      <c r="J44" s="337">
        <v>90</v>
      </c>
      <c r="K44" s="357">
        <v>21.203905548684958</v>
      </c>
      <c r="L44" s="337">
        <v>40</v>
      </c>
      <c r="M44" s="357">
        <v>7.6963800000000004</v>
      </c>
      <c r="N44" s="337">
        <v>2</v>
      </c>
      <c r="O44" s="357">
        <v>210.60984368034968</v>
      </c>
      <c r="P44" s="357">
        <v>56.469687864022113</v>
      </c>
      <c r="S44" s="2">
        <v>0</v>
      </c>
      <c r="T44" s="2" t="s">
        <v>11</v>
      </c>
      <c r="U44" s="2">
        <v>0</v>
      </c>
    </row>
    <row r="45" spans="1:21" x14ac:dyDescent="0.25">
      <c r="A45" s="356">
        <v>28</v>
      </c>
      <c r="B45" s="357">
        <v>0</v>
      </c>
      <c r="C45" s="357">
        <v>1.1772826705332731</v>
      </c>
      <c r="D45" s="357">
        <v>13.40028382133092</v>
      </c>
      <c r="E45" s="357"/>
      <c r="F45" s="357">
        <v>7.6910230000000004</v>
      </c>
      <c r="G45" s="357">
        <v>274.33851594655533</v>
      </c>
      <c r="H45" s="337">
        <v>14</v>
      </c>
      <c r="I45" s="357">
        <v>13.40028382133092</v>
      </c>
      <c r="J45" s="337">
        <v>90</v>
      </c>
      <c r="K45" s="357">
        <v>21.091306821330921</v>
      </c>
      <c r="L45" s="337">
        <v>40</v>
      </c>
      <c r="M45" s="357">
        <v>7.6910230000000004</v>
      </c>
      <c r="N45" s="337">
        <v>2</v>
      </c>
      <c r="O45" s="357">
        <v>217.45652411094767</v>
      </c>
      <c r="P45" s="357">
        <v>56.88199183560765</v>
      </c>
      <c r="S45" s="2">
        <v>0</v>
      </c>
      <c r="T45" s="2" t="s">
        <v>11</v>
      </c>
      <c r="U45" s="2">
        <v>0</v>
      </c>
    </row>
    <row r="46" spans="1:21" x14ac:dyDescent="0.25">
      <c r="A46" s="356">
        <v>29</v>
      </c>
      <c r="B46" s="357">
        <v>0</v>
      </c>
      <c r="C46" s="357">
        <v>1.1745953960206781</v>
      </c>
      <c r="D46" s="357">
        <v>13.295481840827124</v>
      </c>
      <c r="E46" s="357"/>
      <c r="F46" s="357">
        <v>7.6883340000000002</v>
      </c>
      <c r="G46" s="357">
        <v>282.07363875870811</v>
      </c>
      <c r="H46" s="337">
        <v>14</v>
      </c>
      <c r="I46" s="357">
        <v>13.295481840827124</v>
      </c>
      <c r="J46" s="337">
        <v>90</v>
      </c>
      <c r="K46" s="357">
        <v>20.983815840827123</v>
      </c>
      <c r="L46" s="337">
        <v>40</v>
      </c>
      <c r="M46" s="357">
        <v>7.6883340000000002</v>
      </c>
      <c r="N46" s="337">
        <v>2</v>
      </c>
      <c r="O46" s="357">
        <v>224.7633174704097</v>
      </c>
      <c r="P46" s="357">
        <v>57.310321288298425</v>
      </c>
      <c r="S46" s="2">
        <v>0</v>
      </c>
      <c r="T46" s="2" t="s">
        <v>11</v>
      </c>
      <c r="U46" s="2">
        <v>0</v>
      </c>
    </row>
    <row r="47" spans="1:21" x14ac:dyDescent="0.25">
      <c r="A47" s="356">
        <v>30</v>
      </c>
      <c r="B47" s="357">
        <v>0</v>
      </c>
      <c r="C47" s="357">
        <v>1.1804952611926662</v>
      </c>
      <c r="D47" s="357">
        <v>13.517657447706645</v>
      </c>
      <c r="E47" s="357"/>
      <c r="F47" s="357">
        <v>7.702153</v>
      </c>
      <c r="G47" s="357">
        <v>267.07953154437178</v>
      </c>
      <c r="H47" s="337">
        <v>14</v>
      </c>
      <c r="I47" s="357">
        <v>13.517657447706645</v>
      </c>
      <c r="J47" s="337">
        <v>90</v>
      </c>
      <c r="K47" s="357">
        <v>21.219810447706646</v>
      </c>
      <c r="L47" s="337">
        <v>40</v>
      </c>
      <c r="M47" s="357">
        <v>7.702153</v>
      </c>
      <c r="N47" s="337">
        <v>2</v>
      </c>
      <c r="O47" s="357">
        <v>210.60984368034968</v>
      </c>
      <c r="P47" s="357">
        <v>56.469687864022113</v>
      </c>
      <c r="S47" s="2">
        <v>0</v>
      </c>
      <c r="T47" s="2" t="s">
        <v>11</v>
      </c>
      <c r="U47" s="2">
        <v>0</v>
      </c>
    </row>
    <row r="48" spans="1:21" x14ac:dyDescent="0.25">
      <c r="A48" s="356">
        <v>31</v>
      </c>
      <c r="B48" s="357">
        <v>0</v>
      </c>
      <c r="C48" s="357">
        <v>1.8480326591802176</v>
      </c>
      <c r="D48" s="357">
        <v>30.904986367208704</v>
      </c>
      <c r="E48" s="357"/>
      <c r="F48" s="357">
        <v>17.01632</v>
      </c>
      <c r="G48" s="357">
        <v>235.30326009550814</v>
      </c>
      <c r="H48" s="337">
        <v>14</v>
      </c>
      <c r="I48" s="357">
        <v>30.904986367208704</v>
      </c>
      <c r="J48" s="337">
        <v>90</v>
      </c>
      <c r="K48" s="357">
        <v>47.9213063672087</v>
      </c>
      <c r="L48" s="337">
        <v>40</v>
      </c>
      <c r="M48" s="357">
        <v>17.01632</v>
      </c>
      <c r="N48" s="337">
        <v>2</v>
      </c>
      <c r="O48" s="357">
        <v>180.73479096445874</v>
      </c>
      <c r="P48" s="357">
        <v>54.568469131049405</v>
      </c>
      <c r="S48" s="2">
        <v>0</v>
      </c>
      <c r="T48" s="2" t="s">
        <v>11</v>
      </c>
      <c r="U48" s="2">
        <v>0</v>
      </c>
    </row>
    <row r="49" spans="1:21" x14ac:dyDescent="0.25">
      <c r="A49" s="356">
        <v>32</v>
      </c>
      <c r="B49" s="357">
        <v>0</v>
      </c>
      <c r="C49" s="357">
        <v>1.2984786597834579</v>
      </c>
      <c r="D49" s="357">
        <v>16.922587391338315</v>
      </c>
      <c r="E49" s="357"/>
      <c r="F49" s="357">
        <v>9.0165589999999991</v>
      </c>
      <c r="G49" s="357">
        <v>207.42905858673873</v>
      </c>
      <c r="H49" s="337">
        <v>14</v>
      </c>
      <c r="I49" s="357">
        <v>16.922587391338315</v>
      </c>
      <c r="J49" s="337">
        <v>90</v>
      </c>
      <c r="K49" s="357">
        <v>25.939146391338312</v>
      </c>
      <c r="L49" s="337">
        <v>40</v>
      </c>
      <c r="M49" s="357">
        <v>9.0165589999999991</v>
      </c>
      <c r="N49" s="337">
        <v>2</v>
      </c>
      <c r="O49" s="357">
        <v>154.62360885275928</v>
      </c>
      <c r="P49" s="357">
        <v>52.805449733979444</v>
      </c>
      <c r="S49" s="2">
        <v>0</v>
      </c>
      <c r="T49" s="2" t="s">
        <v>11</v>
      </c>
      <c r="U49" s="2">
        <v>0</v>
      </c>
    </row>
    <row r="50" spans="1:21" x14ac:dyDescent="0.25">
      <c r="A50" s="356">
        <v>33</v>
      </c>
      <c r="B50" s="357">
        <v>0</v>
      </c>
      <c r="C50" s="357">
        <v>3.5586208627216758</v>
      </c>
      <c r="D50" s="357">
        <v>56.784857658232582</v>
      </c>
      <c r="E50" s="357"/>
      <c r="F50" s="357">
        <v>30.87032</v>
      </c>
      <c r="G50" s="357">
        <v>224.25529033698717</v>
      </c>
      <c r="H50" s="337">
        <v>14</v>
      </c>
      <c r="I50" s="357">
        <v>56.784857658232582</v>
      </c>
      <c r="J50" s="337">
        <v>90</v>
      </c>
      <c r="K50" s="357">
        <v>87.655177658232589</v>
      </c>
      <c r="L50" s="337">
        <v>40</v>
      </c>
      <c r="M50" s="357">
        <v>30.87032</v>
      </c>
      <c r="N50" s="337">
        <v>2</v>
      </c>
      <c r="O50" s="357">
        <v>170.37706623310683</v>
      </c>
      <c r="P50" s="357">
        <v>53.878224103880356</v>
      </c>
      <c r="S50" s="2">
        <v>0</v>
      </c>
      <c r="T50" s="2">
        <v>1</v>
      </c>
      <c r="U50" s="2" t="s">
        <v>11</v>
      </c>
    </row>
    <row r="51" spans="1:21" x14ac:dyDescent="0.25">
      <c r="A51" s="356">
        <v>34</v>
      </c>
      <c r="B51" s="357">
        <v>0</v>
      </c>
      <c r="C51" s="357">
        <v>5.588895509347509</v>
      </c>
      <c r="D51" s="357">
        <v>96.952831798409377</v>
      </c>
      <c r="E51" s="357"/>
      <c r="F51" s="357">
        <v>52.225819999999999</v>
      </c>
      <c r="G51" s="357">
        <v>216.49305620291304</v>
      </c>
      <c r="H51" s="337">
        <v>14</v>
      </c>
      <c r="I51" s="357">
        <v>96.952831798409377</v>
      </c>
      <c r="J51" s="337">
        <v>90</v>
      </c>
      <c r="K51" s="357">
        <v>149.17865179840936</v>
      </c>
      <c r="L51" s="337">
        <v>40</v>
      </c>
      <c r="M51" s="357">
        <v>52.225819999999999</v>
      </c>
      <c r="N51" s="337">
        <v>2</v>
      </c>
      <c r="O51" s="357">
        <v>163.10680181128592</v>
      </c>
      <c r="P51" s="357">
        <v>53.386254391627112</v>
      </c>
      <c r="S51" s="2">
        <v>0</v>
      </c>
      <c r="T51" s="2">
        <v>1</v>
      </c>
      <c r="U51" s="2" t="s">
        <v>11</v>
      </c>
    </row>
    <row r="52" spans="1:21" x14ac:dyDescent="0.25">
      <c r="A52" s="356">
        <v>35</v>
      </c>
      <c r="B52" s="357">
        <v>7.416033704032845</v>
      </c>
      <c r="C52" s="357">
        <v>6.9823212458643926</v>
      </c>
      <c r="D52" s="357">
        <v>99.107080413069966</v>
      </c>
      <c r="E52" s="357"/>
      <c r="F52" s="357">
        <v>84.880560000000003</v>
      </c>
      <c r="G52" s="357">
        <v>210.34451972028967</v>
      </c>
      <c r="H52" s="337">
        <v>14</v>
      </c>
      <c r="I52" s="357">
        <v>99.107080413069966</v>
      </c>
      <c r="J52" s="337">
        <v>90</v>
      </c>
      <c r="K52" s="357">
        <v>191.40367411710281</v>
      </c>
      <c r="L52" s="337">
        <v>40</v>
      </c>
      <c r="M52" s="357">
        <v>84.880560000000003</v>
      </c>
      <c r="N52" s="337">
        <v>2</v>
      </c>
      <c r="O52" s="357">
        <v>157.35156308718533</v>
      </c>
      <c r="P52" s="357">
        <v>52.992956633104349</v>
      </c>
      <c r="S52" s="2">
        <v>0</v>
      </c>
      <c r="T52" s="2">
        <v>1</v>
      </c>
      <c r="U52" s="2" t="s">
        <v>11</v>
      </c>
    </row>
    <row r="53" spans="1:21" x14ac:dyDescent="0.25">
      <c r="A53" s="356">
        <v>36</v>
      </c>
      <c r="B53" s="357">
        <v>14.036878902792399</v>
      </c>
      <c r="C53" s="357">
        <v>8.5672975574234584</v>
      </c>
      <c r="D53" s="357">
        <v>99.107080413069966</v>
      </c>
      <c r="E53" s="357"/>
      <c r="F53" s="357">
        <v>126.2893</v>
      </c>
      <c r="G53" s="357">
        <v>209.3614109439097</v>
      </c>
      <c r="H53" s="337">
        <v>14</v>
      </c>
      <c r="I53" s="357">
        <v>99.107080413069966</v>
      </c>
      <c r="J53" s="337">
        <v>90</v>
      </c>
      <c r="K53" s="357">
        <v>239.43325931586236</v>
      </c>
      <c r="L53" s="337">
        <v>40</v>
      </c>
      <c r="M53" s="357">
        <v>126.2893</v>
      </c>
      <c r="N53" s="337">
        <v>2</v>
      </c>
      <c r="O53" s="357">
        <v>156.43161241331515</v>
      </c>
      <c r="P53" s="357">
        <v>52.929798530594546</v>
      </c>
      <c r="S53" s="2">
        <v>0</v>
      </c>
      <c r="T53" s="2">
        <v>1</v>
      </c>
      <c r="U53" s="2" t="s">
        <v>11</v>
      </c>
    </row>
    <row r="54" spans="1:21" x14ac:dyDescent="0.25">
      <c r="A54" s="355">
        <v>37</v>
      </c>
      <c r="B54" s="357">
        <v>8.9671468449560994</v>
      </c>
      <c r="C54" s="357">
        <v>7.2098028895148607</v>
      </c>
      <c r="D54" s="357">
        <v>99.10708041306998</v>
      </c>
      <c r="E54" s="357"/>
      <c r="F54" s="357">
        <v>90.222830000000002</v>
      </c>
      <c r="G54" s="357">
        <v>206.47943067912698</v>
      </c>
      <c r="H54" s="337">
        <v>14</v>
      </c>
      <c r="I54" s="357">
        <v>99.10708041306998</v>
      </c>
      <c r="J54" s="337">
        <v>90</v>
      </c>
      <c r="K54" s="357">
        <v>198.29705725802609</v>
      </c>
      <c r="L54" s="337">
        <v>40</v>
      </c>
      <c r="M54" s="357">
        <v>90.222830000000002</v>
      </c>
      <c r="N54" s="337">
        <v>2</v>
      </c>
      <c r="O54" s="357">
        <v>153.73518941643314</v>
      </c>
      <c r="P54" s="357">
        <v>52.744241262693841</v>
      </c>
      <c r="S54" s="2">
        <v>0</v>
      </c>
      <c r="T54" s="2">
        <v>1</v>
      </c>
      <c r="U54" s="2" t="s">
        <v>11</v>
      </c>
    </row>
    <row r="55" spans="1:21" x14ac:dyDescent="0.25">
      <c r="A55" s="356">
        <v>38</v>
      </c>
      <c r="B55" s="357">
        <v>10.498981614141382</v>
      </c>
      <c r="C55" s="357">
        <v>7.6860029468979754</v>
      </c>
      <c r="D55" s="357">
        <v>99.107080413069966</v>
      </c>
      <c r="E55" s="357"/>
      <c r="F55" s="357">
        <v>103.12130000000001</v>
      </c>
      <c r="G55" s="357">
        <v>210.34451972028967</v>
      </c>
      <c r="H55" s="337">
        <v>14</v>
      </c>
      <c r="I55" s="357">
        <v>99.107080413069966</v>
      </c>
      <c r="J55" s="337">
        <v>90</v>
      </c>
      <c r="K55" s="357">
        <v>212.72736202721137</v>
      </c>
      <c r="L55" s="337">
        <v>40</v>
      </c>
      <c r="M55" s="357">
        <v>103.12130000000001</v>
      </c>
      <c r="N55" s="337">
        <v>2</v>
      </c>
      <c r="O55" s="357">
        <v>157.35156308718533</v>
      </c>
      <c r="P55" s="357">
        <v>52.992956633104349</v>
      </c>
      <c r="S55" s="2">
        <v>0</v>
      </c>
      <c r="T55" s="2">
        <v>1</v>
      </c>
      <c r="U55" s="2" t="s">
        <v>11</v>
      </c>
    </row>
    <row r="56" spans="1:21" x14ac:dyDescent="0.25">
      <c r="A56" s="356">
        <v>39</v>
      </c>
      <c r="B56" s="357">
        <v>14.099697643796739</v>
      </c>
      <c r="C56" s="357">
        <v>8.5814782758766022</v>
      </c>
      <c r="D56" s="357">
        <v>99.107080413069966</v>
      </c>
      <c r="E56" s="357"/>
      <c r="F56" s="357">
        <v>126.65620000000001</v>
      </c>
      <c r="G56" s="357">
        <v>209.3614109439097</v>
      </c>
      <c r="H56" s="337">
        <v>14</v>
      </c>
      <c r="I56" s="357">
        <v>99.107080413069966</v>
      </c>
      <c r="J56" s="337">
        <v>90</v>
      </c>
      <c r="K56" s="357">
        <v>239.86297805686672</v>
      </c>
      <c r="L56" s="337">
        <v>40</v>
      </c>
      <c r="M56" s="357">
        <v>126.6562</v>
      </c>
      <c r="N56" s="337">
        <v>2</v>
      </c>
      <c r="O56" s="357">
        <v>156.43161241331515</v>
      </c>
      <c r="P56" s="357">
        <v>52.929798530594546</v>
      </c>
      <c r="S56" s="2">
        <v>0</v>
      </c>
      <c r="T56" s="2">
        <v>1</v>
      </c>
      <c r="U56" s="2" t="s">
        <v>11</v>
      </c>
    </row>
    <row r="57" spans="1:21" x14ac:dyDescent="0.25">
      <c r="A57" s="356">
        <v>40</v>
      </c>
      <c r="B57" s="357">
        <v>7.0638361972898895</v>
      </c>
      <c r="C57" s="357">
        <v>6.9492200181418751</v>
      </c>
      <c r="D57" s="357">
        <v>99.107080413069966</v>
      </c>
      <c r="E57" s="357"/>
      <c r="F57" s="357">
        <v>84.229690000000005</v>
      </c>
      <c r="G57" s="357">
        <v>213.36397689124237</v>
      </c>
      <c r="H57" s="337">
        <v>14</v>
      </c>
      <c r="I57" s="357">
        <v>99.107080413069966</v>
      </c>
      <c r="J57" s="337">
        <v>90</v>
      </c>
      <c r="K57" s="357">
        <v>190.40060661035986</v>
      </c>
      <c r="L57" s="337">
        <v>40</v>
      </c>
      <c r="M57" s="357">
        <v>84.229690000000005</v>
      </c>
      <c r="N57" s="337">
        <v>2</v>
      </c>
      <c r="O57" s="357">
        <v>160.17750214314987</v>
      </c>
      <c r="P57" s="357">
        <v>53.186474748092522</v>
      </c>
      <c r="S57" s="2">
        <v>0</v>
      </c>
      <c r="T57" s="2">
        <v>1</v>
      </c>
      <c r="U57" s="2" t="s">
        <v>11</v>
      </c>
    </row>
    <row r="58" spans="1:21" x14ac:dyDescent="0.25">
      <c r="A58" s="356">
        <v>41</v>
      </c>
      <c r="B58" s="357">
        <v>2.8106006336705303</v>
      </c>
      <c r="C58" s="357">
        <v>6.2078286345424365</v>
      </c>
      <c r="D58" s="357">
        <v>99.107080413069966</v>
      </c>
      <c r="E58" s="357"/>
      <c r="F58" s="357">
        <v>66.01652</v>
      </c>
      <c r="G58" s="357">
        <v>216.49305620291304</v>
      </c>
      <c r="H58" s="337">
        <v>14</v>
      </c>
      <c r="I58" s="357">
        <v>99.107080413069966</v>
      </c>
      <c r="J58" s="337">
        <v>90</v>
      </c>
      <c r="K58" s="357">
        <v>167.9342010467405</v>
      </c>
      <c r="L58" s="337">
        <v>40</v>
      </c>
      <c r="M58" s="357">
        <v>66.01652</v>
      </c>
      <c r="N58" s="337">
        <v>2</v>
      </c>
      <c r="O58" s="357">
        <v>163.10680181128592</v>
      </c>
      <c r="P58" s="357">
        <v>53.386254391627112</v>
      </c>
      <c r="S58" s="2">
        <v>0</v>
      </c>
      <c r="T58" s="2">
        <v>1</v>
      </c>
      <c r="U58" s="2" t="s">
        <v>11</v>
      </c>
    </row>
    <row r="59" spans="1:21" x14ac:dyDescent="0.25">
      <c r="A59" s="356">
        <v>42</v>
      </c>
      <c r="B59" s="357">
        <v>0</v>
      </c>
      <c r="C59" s="357">
        <v>5.1451568461076125</v>
      </c>
      <c r="D59" s="357">
        <v>88.827235639624618</v>
      </c>
      <c r="E59" s="357"/>
      <c r="F59" s="357">
        <v>46.904789999999998</v>
      </c>
      <c r="G59" s="357">
        <v>200.12406951633915</v>
      </c>
      <c r="H59" s="337">
        <v>14</v>
      </c>
      <c r="I59" s="357">
        <v>88.827235639624618</v>
      </c>
      <c r="J59" s="337">
        <v>90</v>
      </c>
      <c r="K59" s="357">
        <v>135.73202563962462</v>
      </c>
      <c r="L59" s="337">
        <v>40</v>
      </c>
      <c r="M59" s="357">
        <v>46.904789999999998</v>
      </c>
      <c r="N59" s="337">
        <v>2</v>
      </c>
      <c r="O59" s="357">
        <v>147.79105745292551</v>
      </c>
      <c r="P59" s="357">
        <v>52.333012063413619</v>
      </c>
      <c r="S59" s="2">
        <v>0</v>
      </c>
      <c r="T59" s="2">
        <v>1</v>
      </c>
      <c r="U59" s="2" t="s">
        <v>11</v>
      </c>
    </row>
    <row r="60" spans="1:21" x14ac:dyDescent="0.25">
      <c r="A60" s="356">
        <v>43</v>
      </c>
      <c r="B60" s="357">
        <v>0</v>
      </c>
      <c r="C60" s="357">
        <v>3.6383312896512288</v>
      </c>
      <c r="D60" s="357">
        <v>58.639785140946323</v>
      </c>
      <c r="E60" s="357"/>
      <c r="F60" s="357">
        <v>31.430859999999999</v>
      </c>
      <c r="G60" s="357">
        <v>212.34559683825961</v>
      </c>
      <c r="H60" s="337">
        <v>14</v>
      </c>
      <c r="I60" s="357">
        <v>58.639785140946323</v>
      </c>
      <c r="J60" s="337">
        <v>90</v>
      </c>
      <c r="K60" s="357">
        <v>90.070645140946326</v>
      </c>
      <c r="L60" s="337">
        <v>40</v>
      </c>
      <c r="M60" s="357">
        <v>31.430859999999999</v>
      </c>
      <c r="N60" s="337">
        <v>2</v>
      </c>
      <c r="O60" s="357">
        <v>159.22431131538985</v>
      </c>
      <c r="P60" s="357">
        <v>53.121285522869741</v>
      </c>
      <c r="S60" s="2">
        <v>0</v>
      </c>
      <c r="T60" s="2">
        <v>1</v>
      </c>
      <c r="U60" s="2" t="s">
        <v>11</v>
      </c>
    </row>
    <row r="61" spans="1:21" x14ac:dyDescent="0.25">
      <c r="A61" s="356">
        <v>44</v>
      </c>
      <c r="B61" s="357">
        <v>0</v>
      </c>
      <c r="C61" s="357">
        <v>1.4610891609134031</v>
      </c>
      <c r="D61" s="357">
        <v>15.651717936769794</v>
      </c>
      <c r="E61" s="357"/>
      <c r="F61" s="357">
        <v>8.4418930000000003</v>
      </c>
      <c r="G61" s="357">
        <v>217.5614737299359</v>
      </c>
      <c r="H61" s="337">
        <v>14</v>
      </c>
      <c r="I61" s="357">
        <v>15.651717936769794</v>
      </c>
      <c r="J61" s="337">
        <v>90</v>
      </c>
      <c r="K61" s="357">
        <v>24.093610936769792</v>
      </c>
      <c r="L61" s="337">
        <v>40</v>
      </c>
      <c r="M61" s="357">
        <v>8.4418930000000003</v>
      </c>
      <c r="N61" s="337">
        <v>2</v>
      </c>
      <c r="O61" s="357">
        <v>164.10719019572849</v>
      </c>
      <c r="P61" s="357">
        <v>53.454283534207413</v>
      </c>
      <c r="S61" s="2">
        <v>0</v>
      </c>
      <c r="T61" s="2">
        <v>1</v>
      </c>
      <c r="U61" s="2" t="s">
        <v>11</v>
      </c>
    </row>
    <row r="62" spans="1:21" x14ac:dyDescent="0.25">
      <c r="A62" s="356">
        <v>45</v>
      </c>
      <c r="B62" s="357">
        <v>0</v>
      </c>
      <c r="C62" s="357">
        <v>1.4258280182426843</v>
      </c>
      <c r="D62" s="357">
        <v>14.901762461899528</v>
      </c>
      <c r="E62" s="357"/>
      <c r="F62" s="357">
        <v>8.123329</v>
      </c>
      <c r="G62" s="357">
        <v>226.60064886961004</v>
      </c>
      <c r="H62" s="337">
        <v>14</v>
      </c>
      <c r="I62" s="357">
        <v>14.901762461899528</v>
      </c>
      <c r="J62" s="337">
        <v>90</v>
      </c>
      <c r="K62" s="357">
        <v>23.025091461899528</v>
      </c>
      <c r="L62" s="337">
        <v>40</v>
      </c>
      <c r="M62" s="357">
        <v>8.123329</v>
      </c>
      <c r="N62" s="337">
        <v>2</v>
      </c>
      <c r="O62" s="357">
        <v>172.57486349803193</v>
      </c>
      <c r="P62" s="357">
        <v>54.025785371578102</v>
      </c>
      <c r="S62" s="2">
        <v>0</v>
      </c>
      <c r="T62" s="2">
        <v>1</v>
      </c>
      <c r="U62" s="2" t="s">
        <v>11</v>
      </c>
    </row>
    <row r="63" spans="1:21" x14ac:dyDescent="0.25">
      <c r="A63" s="356">
        <v>46</v>
      </c>
      <c r="B63" s="357">
        <v>0</v>
      </c>
      <c r="C63" s="357">
        <v>1.2161059749778875</v>
      </c>
      <c r="D63" s="357">
        <v>14.773003999115499</v>
      </c>
      <c r="E63" s="357"/>
      <c r="F63" s="357">
        <v>7.8712349999999995</v>
      </c>
      <c r="G63" s="357">
        <v>207.42905858673873</v>
      </c>
      <c r="H63" s="337">
        <v>14</v>
      </c>
      <c r="I63" s="357">
        <v>14.773003999115499</v>
      </c>
      <c r="J63" s="337">
        <v>90</v>
      </c>
      <c r="K63" s="357">
        <v>22.644238999115498</v>
      </c>
      <c r="L63" s="337">
        <v>40</v>
      </c>
      <c r="M63" s="357">
        <v>7.8712349999999995</v>
      </c>
      <c r="N63" s="337">
        <v>2</v>
      </c>
      <c r="O63" s="357">
        <v>154.62360885275928</v>
      </c>
      <c r="P63" s="357">
        <v>52.805449733979444</v>
      </c>
      <c r="S63" s="2">
        <v>0</v>
      </c>
      <c r="T63" s="2" t="s">
        <v>11</v>
      </c>
      <c r="U63" s="2">
        <v>0</v>
      </c>
    </row>
    <row r="64" spans="1:21" x14ac:dyDescent="0.25">
      <c r="A64" s="356">
        <v>47</v>
      </c>
      <c r="B64" s="357">
        <v>0</v>
      </c>
      <c r="C64" s="357">
        <v>1.201927206922957</v>
      </c>
      <c r="D64" s="357">
        <v>14.341742276918279</v>
      </c>
      <c r="E64" s="357"/>
      <c r="F64" s="357">
        <v>7.7353459999999998</v>
      </c>
      <c r="G64" s="357">
        <v>217.5614737299359</v>
      </c>
      <c r="H64" s="337">
        <v>14</v>
      </c>
      <c r="I64" s="357">
        <v>14.341742276918279</v>
      </c>
      <c r="J64" s="337">
        <v>90</v>
      </c>
      <c r="K64" s="357">
        <v>22.077088276918278</v>
      </c>
      <c r="L64" s="337">
        <v>40</v>
      </c>
      <c r="M64" s="357">
        <v>7.7353459999999998</v>
      </c>
      <c r="N64" s="337">
        <v>2</v>
      </c>
      <c r="O64" s="357">
        <v>164.10719019572849</v>
      </c>
      <c r="P64" s="357">
        <v>53.454283534207413</v>
      </c>
      <c r="S64" s="2">
        <v>0</v>
      </c>
      <c r="T64" s="2" t="s">
        <v>11</v>
      </c>
      <c r="U64" s="2">
        <v>0</v>
      </c>
    </row>
    <row r="65" spans="1:21" x14ac:dyDescent="0.25">
      <c r="A65" s="356">
        <v>48</v>
      </c>
      <c r="B65" s="357">
        <v>0</v>
      </c>
      <c r="C65" s="357">
        <v>1.1970141781421062</v>
      </c>
      <c r="D65" s="357">
        <v>14.161030125684247</v>
      </c>
      <c r="E65" s="357"/>
      <c r="F65" s="357">
        <v>7.7195369999999999</v>
      </c>
      <c r="G65" s="357">
        <v>226.60064886961004</v>
      </c>
      <c r="H65" s="337">
        <v>14</v>
      </c>
      <c r="I65" s="357">
        <v>14.161030125684247</v>
      </c>
      <c r="J65" s="337">
        <v>90</v>
      </c>
      <c r="K65" s="357">
        <v>21.880567125684248</v>
      </c>
      <c r="L65" s="337">
        <v>40</v>
      </c>
      <c r="M65" s="357">
        <v>7.7195369999999999</v>
      </c>
      <c r="N65" s="337">
        <v>2</v>
      </c>
      <c r="O65" s="357">
        <v>172.57486349803193</v>
      </c>
      <c r="P65" s="357">
        <v>54.025785371578102</v>
      </c>
      <c r="S65" s="2">
        <v>0</v>
      </c>
      <c r="T65" s="2" t="s">
        <v>11</v>
      </c>
      <c r="U65" s="2">
        <v>0</v>
      </c>
    </row>
    <row r="66" spans="1:21" x14ac:dyDescent="0.25">
      <c r="A66" s="355">
        <v>49</v>
      </c>
      <c r="B66" s="357">
        <v>0</v>
      </c>
      <c r="C66" s="357">
        <v>1.1826046983345697</v>
      </c>
      <c r="D66" s="357">
        <v>13.655611933382788</v>
      </c>
      <c r="E66" s="357"/>
      <c r="F66" s="357">
        <v>7.6485760000000003</v>
      </c>
      <c r="G66" s="357">
        <v>250.75210709136277</v>
      </c>
      <c r="H66" s="337">
        <v>14</v>
      </c>
      <c r="I66" s="357">
        <v>13.655611933382788</v>
      </c>
      <c r="J66" s="337">
        <v>90</v>
      </c>
      <c r="K66" s="357">
        <v>21.304187933382789</v>
      </c>
      <c r="L66" s="337">
        <v>40</v>
      </c>
      <c r="M66" s="357">
        <v>7.6485760000000003</v>
      </c>
      <c r="N66" s="337">
        <v>2</v>
      </c>
      <c r="O66" s="357">
        <v>195.24173960468968</v>
      </c>
      <c r="P66" s="357">
        <v>55.51036748667309</v>
      </c>
      <c r="S66" s="2">
        <v>0</v>
      </c>
      <c r="T66" s="2" t="s">
        <v>11</v>
      </c>
      <c r="U66" s="2">
        <v>0</v>
      </c>
    </row>
    <row r="67" spans="1:21" x14ac:dyDescent="0.25">
      <c r="A67" s="356">
        <v>50</v>
      </c>
      <c r="B67" s="357">
        <v>0</v>
      </c>
      <c r="C67" s="357">
        <v>1.1804868161112765</v>
      </c>
      <c r="D67" s="357">
        <v>13.576973644451058</v>
      </c>
      <c r="E67" s="357"/>
      <c r="F67" s="357">
        <v>7.642498999999999</v>
      </c>
      <c r="G67" s="357">
        <v>255.39893099177883</v>
      </c>
      <c r="H67" s="337">
        <v>14</v>
      </c>
      <c r="I67" s="357">
        <v>13.576973644451058</v>
      </c>
      <c r="J67" s="337">
        <v>90</v>
      </c>
      <c r="K67" s="357">
        <v>21.219472644451059</v>
      </c>
      <c r="L67" s="337">
        <v>40</v>
      </c>
      <c r="M67" s="357">
        <v>7.6424989999999999</v>
      </c>
      <c r="N67" s="337">
        <v>2</v>
      </c>
      <c r="O67" s="357">
        <v>199.61140552513197</v>
      </c>
      <c r="P67" s="357">
        <v>55.787525466646862</v>
      </c>
      <c r="S67" s="2">
        <v>0</v>
      </c>
      <c r="T67" s="2" t="s">
        <v>11</v>
      </c>
      <c r="U67" s="2">
        <v>0</v>
      </c>
    </row>
    <row r="68" spans="1:21" x14ac:dyDescent="0.25">
      <c r="A68" s="356">
        <v>51</v>
      </c>
      <c r="B68" s="357">
        <v>0</v>
      </c>
      <c r="C68" s="357">
        <v>1.1751576508355783</v>
      </c>
      <c r="D68" s="357">
        <v>13.372920033423137</v>
      </c>
      <c r="E68" s="357"/>
      <c r="F68" s="357">
        <v>7.6333860000000007</v>
      </c>
      <c r="G68" s="357">
        <v>268.85200866709351</v>
      </c>
      <c r="H68" s="337">
        <v>14</v>
      </c>
      <c r="I68" s="357">
        <v>13.372920033423137</v>
      </c>
      <c r="J68" s="337">
        <v>90</v>
      </c>
      <c r="K68" s="357">
        <v>21.006306033423137</v>
      </c>
      <c r="L68" s="337">
        <v>40</v>
      </c>
      <c r="M68" s="357">
        <v>7.6333860000000007</v>
      </c>
      <c r="N68" s="337">
        <v>2</v>
      </c>
      <c r="O68" s="357">
        <v>212.28077379578536</v>
      </c>
      <c r="P68" s="357">
        <v>56.571234871308164</v>
      </c>
      <c r="S68" s="2">
        <v>0</v>
      </c>
      <c r="T68" s="2" t="s">
        <v>11</v>
      </c>
      <c r="U68" s="2">
        <v>0</v>
      </c>
    </row>
    <row r="69" spans="1:21" x14ac:dyDescent="0.25">
      <c r="A69" s="356">
        <v>52</v>
      </c>
      <c r="B69" s="357">
        <v>0</v>
      </c>
      <c r="C69" s="357">
        <v>1.1704649326071332</v>
      </c>
      <c r="D69" s="357">
        <v>13.190798304285336</v>
      </c>
      <c r="E69" s="357"/>
      <c r="F69" s="357">
        <v>7.6277989999999996</v>
      </c>
      <c r="G69" s="357">
        <v>282.07363875870811</v>
      </c>
      <c r="H69" s="337">
        <v>14</v>
      </c>
      <c r="I69" s="357">
        <v>13.190798304285336</v>
      </c>
      <c r="J69" s="337">
        <v>90</v>
      </c>
      <c r="K69" s="357">
        <v>20.818597304285333</v>
      </c>
      <c r="L69" s="337">
        <v>40</v>
      </c>
      <c r="M69" s="357">
        <v>7.6277989999999996</v>
      </c>
      <c r="N69" s="337">
        <v>2</v>
      </c>
      <c r="O69" s="357">
        <v>224.7633174704097</v>
      </c>
      <c r="P69" s="357">
        <v>57.310321288298425</v>
      </c>
      <c r="S69" s="2">
        <v>0</v>
      </c>
      <c r="T69" s="2" t="s">
        <v>11</v>
      </c>
      <c r="U69" s="2">
        <v>0</v>
      </c>
    </row>
    <row r="70" spans="1:21" x14ac:dyDescent="0.25">
      <c r="A70" s="356">
        <v>53</v>
      </c>
      <c r="B70" s="357">
        <v>0</v>
      </c>
      <c r="C70" s="357">
        <v>1.1655963792651209</v>
      </c>
      <c r="D70" s="357">
        <v>13.011649170604837</v>
      </c>
      <c r="E70" s="357"/>
      <c r="F70" s="357">
        <v>7.6122060000000005</v>
      </c>
      <c r="G70" s="357">
        <v>294.67368478271584</v>
      </c>
      <c r="H70" s="337">
        <v>14</v>
      </c>
      <c r="I70" s="357">
        <v>13.011649170604837</v>
      </c>
      <c r="J70" s="337">
        <v>90</v>
      </c>
      <c r="K70" s="357">
        <v>20.623855170604838</v>
      </c>
      <c r="L70" s="337">
        <v>40</v>
      </c>
      <c r="M70" s="357">
        <v>7.6122060000000005</v>
      </c>
      <c r="N70" s="337">
        <v>2</v>
      </c>
      <c r="O70" s="357">
        <v>236.69306278230076</v>
      </c>
      <c r="P70" s="357">
        <v>57.980622000415103</v>
      </c>
      <c r="S70" s="2">
        <v>0</v>
      </c>
      <c r="T70" s="2" t="s">
        <v>11</v>
      </c>
      <c r="U70" s="2">
        <v>0</v>
      </c>
    </row>
    <row r="71" spans="1:21" x14ac:dyDescent="0.25">
      <c r="A71" s="356">
        <v>54</v>
      </c>
      <c r="B71" s="357">
        <v>0</v>
      </c>
      <c r="C71" s="357">
        <v>1.1596085329399641</v>
      </c>
      <c r="D71" s="357">
        <v>12.78462031759857</v>
      </c>
      <c r="E71" s="357"/>
      <c r="F71" s="357">
        <v>7.5997209999999997</v>
      </c>
      <c r="G71" s="357">
        <v>313.63281115092133</v>
      </c>
      <c r="H71" s="337">
        <v>14</v>
      </c>
      <c r="I71" s="357">
        <v>12.78462031759857</v>
      </c>
      <c r="J71" s="337">
        <v>90</v>
      </c>
      <c r="K71" s="357">
        <v>20.384341317598569</v>
      </c>
      <c r="L71" s="337">
        <v>40</v>
      </c>
      <c r="M71" s="357">
        <v>7.5997209999999997</v>
      </c>
      <c r="N71" s="337">
        <v>2</v>
      </c>
      <c r="O71" s="357">
        <v>254.71935564320447</v>
      </c>
      <c r="P71" s="357">
        <v>58.913455507716868</v>
      </c>
      <c r="S71" s="2">
        <v>0</v>
      </c>
      <c r="T71" s="2" t="s">
        <v>11</v>
      </c>
      <c r="U71" s="2">
        <v>0</v>
      </c>
    </row>
    <row r="72" spans="1:21" x14ac:dyDescent="0.25">
      <c r="A72" s="356">
        <v>55</v>
      </c>
      <c r="B72" s="357">
        <v>0</v>
      </c>
      <c r="C72" s="357">
        <v>1.0208863241480195</v>
      </c>
      <c r="D72" s="357">
        <v>9.3114349659207729</v>
      </c>
      <c r="E72" s="357"/>
      <c r="F72" s="357">
        <v>5.5240179999999999</v>
      </c>
      <c r="G72" s="357">
        <v>311.11270154411727</v>
      </c>
      <c r="H72" s="337">
        <v>14</v>
      </c>
      <c r="I72" s="357">
        <v>9.3114349659207729</v>
      </c>
      <c r="J72" s="337">
        <v>90</v>
      </c>
      <c r="K72" s="357">
        <v>14.835452965920773</v>
      </c>
      <c r="L72" s="337">
        <v>40</v>
      </c>
      <c r="M72" s="357">
        <v>5.5240179999999999</v>
      </c>
      <c r="N72" s="337">
        <v>2</v>
      </c>
      <c r="O72" s="357">
        <v>252.31732809921357</v>
      </c>
      <c r="P72" s="357">
        <v>58.795373444903696</v>
      </c>
      <c r="S72" s="2">
        <v>0</v>
      </c>
      <c r="T72" s="2" t="s">
        <v>11</v>
      </c>
      <c r="U72" s="2">
        <v>0</v>
      </c>
    </row>
    <row r="73" spans="1:21" x14ac:dyDescent="0.25">
      <c r="A73" s="356">
        <v>56</v>
      </c>
      <c r="B73" s="357">
        <v>0</v>
      </c>
      <c r="C73" s="357">
        <v>1.0314768196151325</v>
      </c>
      <c r="D73" s="357">
        <v>9.7013007846052979</v>
      </c>
      <c r="E73" s="357"/>
      <c r="F73" s="357">
        <v>5.5577719999999999</v>
      </c>
      <c r="G73" s="357">
        <v>272.48084903797053</v>
      </c>
      <c r="H73" s="337">
        <v>14</v>
      </c>
      <c r="I73" s="357">
        <v>9.7013007846052979</v>
      </c>
      <c r="J73" s="337">
        <v>90</v>
      </c>
      <c r="K73" s="357">
        <v>15.259072784605298</v>
      </c>
      <c r="L73" s="337">
        <v>40</v>
      </c>
      <c r="M73" s="357">
        <v>5.5577719999999999</v>
      </c>
      <c r="N73" s="337">
        <v>2</v>
      </c>
      <c r="O73" s="357">
        <v>215.70345714475354</v>
      </c>
      <c r="P73" s="357">
        <v>56.777391893217008</v>
      </c>
      <c r="S73" s="2">
        <v>0</v>
      </c>
      <c r="T73" s="2" t="s">
        <v>11</v>
      </c>
      <c r="U73" s="2">
        <v>0</v>
      </c>
    </row>
    <row r="74" spans="1:21" x14ac:dyDescent="0.25">
      <c r="A74" s="356">
        <v>57</v>
      </c>
      <c r="B74" s="357">
        <v>0</v>
      </c>
      <c r="C74" s="357">
        <v>1.0401992133348275</v>
      </c>
      <c r="D74" s="357">
        <v>10.016083533393093</v>
      </c>
      <c r="E74" s="357"/>
      <c r="F74" s="357">
        <v>5.5918850000000004</v>
      </c>
      <c r="G74" s="357">
        <v>247.76393293887105</v>
      </c>
      <c r="H74" s="337">
        <v>14</v>
      </c>
      <c r="I74" s="357">
        <v>10.016083533393093</v>
      </c>
      <c r="J74" s="337">
        <v>90</v>
      </c>
      <c r="K74" s="357">
        <v>15.607968533393095</v>
      </c>
      <c r="L74" s="337">
        <v>40</v>
      </c>
      <c r="M74" s="357">
        <v>5.5918850000000004</v>
      </c>
      <c r="N74" s="337">
        <v>2</v>
      </c>
      <c r="O74" s="357">
        <v>192.43338437585422</v>
      </c>
      <c r="P74" s="357">
        <v>55.330548563016833</v>
      </c>
      <c r="S74" s="2">
        <v>0</v>
      </c>
      <c r="T74" s="2" t="s">
        <v>11</v>
      </c>
      <c r="U74" s="2">
        <v>0</v>
      </c>
    </row>
    <row r="75" spans="1:21" x14ac:dyDescent="0.25">
      <c r="A75" s="356">
        <v>58</v>
      </c>
      <c r="B75" s="357">
        <v>0</v>
      </c>
      <c r="C75" s="357">
        <v>1.0789595271783714</v>
      </c>
      <c r="D75" s="357">
        <v>11.082774087134849</v>
      </c>
      <c r="E75" s="357"/>
      <c r="F75" s="357">
        <v>6.0756069999999998</v>
      </c>
      <c r="G75" s="357">
        <v>231.47583908752856</v>
      </c>
      <c r="H75" s="337">
        <v>14</v>
      </c>
      <c r="I75" s="357">
        <v>11.082774087134849</v>
      </c>
      <c r="J75" s="337">
        <v>90</v>
      </c>
      <c r="K75" s="357">
        <v>17.158381087134849</v>
      </c>
      <c r="L75" s="337">
        <v>40</v>
      </c>
      <c r="M75" s="357">
        <v>6.0756069999999998</v>
      </c>
      <c r="N75" s="337">
        <v>2</v>
      </c>
      <c r="O75" s="357">
        <v>177.14506713701263</v>
      </c>
      <c r="P75" s="357">
        <v>54.330771950515917</v>
      </c>
      <c r="S75" s="2">
        <v>0</v>
      </c>
      <c r="T75" s="2" t="s">
        <v>11</v>
      </c>
      <c r="U75" s="2">
        <v>0</v>
      </c>
    </row>
    <row r="76" spans="1:21" x14ac:dyDescent="0.25">
      <c r="A76" s="356">
        <v>59</v>
      </c>
      <c r="B76" s="357">
        <v>0</v>
      </c>
      <c r="C76" s="357">
        <v>1.2878320426130587</v>
      </c>
      <c r="D76" s="357">
        <v>16.595931704522339</v>
      </c>
      <c r="E76" s="357"/>
      <c r="F76" s="357">
        <v>8.9173500000000008</v>
      </c>
      <c r="G76" s="357">
        <v>214.39453382046116</v>
      </c>
      <c r="H76" s="337">
        <v>14</v>
      </c>
      <c r="I76" s="357">
        <v>16.595931704522339</v>
      </c>
      <c r="J76" s="337">
        <v>90</v>
      </c>
      <c r="K76" s="357">
        <v>25.513281704522342</v>
      </c>
      <c r="L76" s="337">
        <v>40</v>
      </c>
      <c r="M76" s="357">
        <v>8.9173500000000008</v>
      </c>
      <c r="N76" s="337">
        <v>2</v>
      </c>
      <c r="O76" s="357">
        <v>161.14217419062103</v>
      </c>
      <c r="P76" s="357">
        <v>53.252359629840143</v>
      </c>
      <c r="S76" s="2">
        <v>0</v>
      </c>
      <c r="T76" s="2" t="s">
        <v>11</v>
      </c>
      <c r="U76" s="2">
        <v>0</v>
      </c>
    </row>
    <row r="77" spans="1:21" x14ac:dyDescent="0.25">
      <c r="A77" s="356">
        <v>60</v>
      </c>
      <c r="B77" s="357">
        <v>0</v>
      </c>
      <c r="C77" s="357">
        <v>1.9605326086230397</v>
      </c>
      <c r="D77" s="357">
        <v>34.280204344921586</v>
      </c>
      <c r="E77" s="357"/>
      <c r="F77" s="357">
        <v>18.141099999999998</v>
      </c>
      <c r="G77" s="357">
        <v>201.88946599858679</v>
      </c>
      <c r="H77" s="337">
        <v>14</v>
      </c>
      <c r="I77" s="357">
        <v>34.280204344921586</v>
      </c>
      <c r="J77" s="337">
        <v>90</v>
      </c>
      <c r="K77" s="357">
        <v>52.42130434492158</v>
      </c>
      <c r="L77" s="337">
        <v>40</v>
      </c>
      <c r="M77" s="357">
        <v>18.141099999999998</v>
      </c>
      <c r="N77" s="337">
        <v>2</v>
      </c>
      <c r="O77" s="357">
        <v>149.44195318940794</v>
      </c>
      <c r="P77" s="357">
        <v>52.447512809178853</v>
      </c>
      <c r="S77" s="2">
        <v>0</v>
      </c>
      <c r="T77" s="2" t="s">
        <v>11</v>
      </c>
      <c r="U77" s="2">
        <v>0</v>
      </c>
    </row>
    <row r="78" spans="1:21" x14ac:dyDescent="0.25">
      <c r="A78" s="355">
        <v>61</v>
      </c>
      <c r="B78" s="357">
        <v>0</v>
      </c>
      <c r="C78" s="357">
        <v>1.9897461988626275</v>
      </c>
      <c r="D78" s="357">
        <v>25.536851177655372</v>
      </c>
      <c r="E78" s="357"/>
      <c r="F78" s="357">
        <v>14.57667</v>
      </c>
      <c r="G78" s="357">
        <v>268.85200866709351</v>
      </c>
      <c r="H78" s="337">
        <v>14</v>
      </c>
      <c r="I78" s="357">
        <v>25.536851177655372</v>
      </c>
      <c r="J78" s="337">
        <v>90</v>
      </c>
      <c r="K78" s="357">
        <v>40.113521177655372</v>
      </c>
      <c r="L78" s="337">
        <v>40</v>
      </c>
      <c r="M78" s="357">
        <v>14.57667</v>
      </c>
      <c r="N78" s="337">
        <v>2</v>
      </c>
      <c r="O78" s="357">
        <v>212.28077379578536</v>
      </c>
      <c r="P78" s="357">
        <v>56.571234871308164</v>
      </c>
      <c r="S78" s="2">
        <v>0</v>
      </c>
      <c r="T78" s="2">
        <v>1</v>
      </c>
      <c r="U78" s="2" t="s">
        <v>11</v>
      </c>
    </row>
    <row r="79" spans="1:21" x14ac:dyDescent="0.25">
      <c r="A79" s="356">
        <v>62</v>
      </c>
      <c r="B79" s="357">
        <v>0</v>
      </c>
      <c r="C79" s="357">
        <v>2.2675435598569331</v>
      </c>
      <c r="D79" s="357">
        <v>30.975533025967668</v>
      </c>
      <c r="E79" s="357"/>
      <c r="F79" s="357">
        <v>17.556090000000001</v>
      </c>
      <c r="G79" s="357">
        <v>261.922440263628</v>
      </c>
      <c r="H79" s="337">
        <v>14</v>
      </c>
      <c r="I79" s="357">
        <v>30.975533025967668</v>
      </c>
      <c r="J79" s="337">
        <v>90</v>
      </c>
      <c r="K79" s="357">
        <v>48.531623025967669</v>
      </c>
      <c r="L79" s="337">
        <v>40</v>
      </c>
      <c r="M79" s="357">
        <v>17.556090000000001</v>
      </c>
      <c r="N79" s="337">
        <v>2</v>
      </c>
      <c r="O79" s="357">
        <v>205.75124146906785</v>
      </c>
      <c r="P79" s="357">
        <v>56.171198794560162</v>
      </c>
      <c r="S79" s="2">
        <v>0</v>
      </c>
      <c r="T79" s="2">
        <v>1</v>
      </c>
      <c r="U79" s="2" t="s">
        <v>11</v>
      </c>
    </row>
    <row r="80" spans="1:21" x14ac:dyDescent="0.25">
      <c r="A80" s="356">
        <v>63</v>
      </c>
      <c r="B80" s="357">
        <v>0</v>
      </c>
      <c r="C80" s="357">
        <v>3.1454795720875919</v>
      </c>
      <c r="D80" s="357">
        <v>47.925344608714909</v>
      </c>
      <c r="E80" s="357"/>
      <c r="F80" s="357">
        <v>27.2104</v>
      </c>
      <c r="G80" s="357">
        <v>263.61534442457122</v>
      </c>
      <c r="H80" s="337">
        <v>14</v>
      </c>
      <c r="I80" s="357">
        <v>47.925344608714909</v>
      </c>
      <c r="J80" s="337">
        <v>90</v>
      </c>
      <c r="K80" s="357">
        <v>75.135744608714901</v>
      </c>
      <c r="L80" s="337">
        <v>40</v>
      </c>
      <c r="M80" s="357">
        <v>27.2104</v>
      </c>
      <c r="N80" s="337">
        <v>2</v>
      </c>
      <c r="O80" s="357">
        <v>207.34567494406397</v>
      </c>
      <c r="P80" s="357">
        <v>56.269669480507261</v>
      </c>
      <c r="S80" s="2">
        <v>0</v>
      </c>
      <c r="T80" s="2">
        <v>1</v>
      </c>
      <c r="U80" s="2" t="s">
        <v>11</v>
      </c>
    </row>
    <row r="81" spans="1:21" x14ac:dyDescent="0.25">
      <c r="A81" s="356">
        <v>64</v>
      </c>
      <c r="B81" s="357">
        <v>0</v>
      </c>
      <c r="C81" s="357">
        <v>1.9125314595821075</v>
      </c>
      <c r="D81" s="357">
        <v>24.062970593397193</v>
      </c>
      <c r="E81" s="357"/>
      <c r="F81" s="357">
        <v>13.710709999999999</v>
      </c>
      <c r="G81" s="357">
        <v>267.07953154437178</v>
      </c>
      <c r="H81" s="337">
        <v>14</v>
      </c>
      <c r="I81" s="357">
        <v>24.062970593397193</v>
      </c>
      <c r="J81" s="337">
        <v>90</v>
      </c>
      <c r="K81" s="357">
        <v>37.773680593397188</v>
      </c>
      <c r="L81" s="337">
        <v>40</v>
      </c>
      <c r="M81" s="357">
        <v>13.710709999999999</v>
      </c>
      <c r="N81" s="337">
        <v>2</v>
      </c>
      <c r="O81" s="357">
        <v>210.60984368034968</v>
      </c>
      <c r="P81" s="357">
        <v>56.469687864022113</v>
      </c>
      <c r="S81" s="2">
        <v>0</v>
      </c>
      <c r="T81" s="2">
        <v>1</v>
      </c>
      <c r="U81" s="2" t="s">
        <v>11</v>
      </c>
    </row>
    <row r="82" spans="1:21" x14ac:dyDescent="0.25">
      <c r="A82" s="356">
        <v>65</v>
      </c>
      <c r="B82" s="357">
        <v>0</v>
      </c>
      <c r="C82" s="357">
        <v>1.440905537995137</v>
      </c>
      <c r="D82" s="357">
        <v>14.919192999852637</v>
      </c>
      <c r="E82" s="357"/>
      <c r="F82" s="357">
        <v>8.5627929999999992</v>
      </c>
      <c r="G82" s="357">
        <v>274.33851594655533</v>
      </c>
      <c r="H82" s="337">
        <v>14</v>
      </c>
      <c r="I82" s="357">
        <v>14.919192999852637</v>
      </c>
      <c r="J82" s="337">
        <v>90</v>
      </c>
      <c r="K82" s="357">
        <v>23.481985999852636</v>
      </c>
      <c r="L82" s="337">
        <v>40</v>
      </c>
      <c r="M82" s="357">
        <v>8.5627929999999992</v>
      </c>
      <c r="N82" s="337">
        <v>2</v>
      </c>
      <c r="O82" s="357">
        <v>217.45652411094767</v>
      </c>
      <c r="P82" s="357">
        <v>56.88199183560765</v>
      </c>
      <c r="S82" s="2">
        <v>0</v>
      </c>
      <c r="T82" s="2">
        <v>1</v>
      </c>
      <c r="U82" s="2" t="s">
        <v>11</v>
      </c>
    </row>
    <row r="83" spans="1:21" x14ac:dyDescent="0.25">
      <c r="A83" s="356">
        <v>66</v>
      </c>
      <c r="B83" s="357">
        <v>0</v>
      </c>
      <c r="C83" s="357">
        <v>1.0798361042780416</v>
      </c>
      <c r="D83" s="357">
        <v>11.111034171121657</v>
      </c>
      <c r="E83" s="357"/>
      <c r="F83" s="357">
        <v>6.0824099999999994</v>
      </c>
      <c r="G83" s="357">
        <v>230.23323873873866</v>
      </c>
      <c r="H83" s="337">
        <v>14</v>
      </c>
      <c r="I83" s="357">
        <v>11.111034171121657</v>
      </c>
      <c r="J83" s="337">
        <v>90</v>
      </c>
      <c r="K83" s="357">
        <v>17.193444171121655</v>
      </c>
      <c r="L83" s="337">
        <v>40</v>
      </c>
      <c r="M83" s="357">
        <v>6.0824099999999994</v>
      </c>
      <c r="N83" s="337">
        <v>2</v>
      </c>
      <c r="O83" s="357">
        <v>175.97997232884811</v>
      </c>
      <c r="P83" s="357">
        <v>54.253266409890557</v>
      </c>
      <c r="S83" s="2">
        <v>0</v>
      </c>
      <c r="T83" s="2" t="s">
        <v>11</v>
      </c>
      <c r="U83" s="2">
        <v>0</v>
      </c>
    </row>
    <row r="84" spans="1:21" x14ac:dyDescent="0.25">
      <c r="A84" s="356">
        <v>67</v>
      </c>
      <c r="B84" s="357">
        <v>0</v>
      </c>
      <c r="C84" s="357">
        <v>1.0340755325976208</v>
      </c>
      <c r="D84" s="357">
        <v>9.773883303904821</v>
      </c>
      <c r="E84" s="357"/>
      <c r="F84" s="357">
        <v>5.5891380000000002</v>
      </c>
      <c r="G84" s="357">
        <v>270.65223375518229</v>
      </c>
      <c r="H84" s="337">
        <v>14</v>
      </c>
      <c r="I84" s="357">
        <v>9.773883303904821</v>
      </c>
      <c r="J84" s="337">
        <v>90</v>
      </c>
      <c r="K84" s="357">
        <v>15.363021303904821</v>
      </c>
      <c r="L84" s="337">
        <v>40</v>
      </c>
      <c r="M84" s="357">
        <v>5.5891380000000002</v>
      </c>
      <c r="N84" s="337">
        <v>2</v>
      </c>
      <c r="O84" s="357">
        <v>213.97842949721209</v>
      </c>
      <c r="P84" s="357">
        <v>56.673804257970218</v>
      </c>
      <c r="S84" s="2">
        <v>0</v>
      </c>
      <c r="T84" s="2" t="s">
        <v>11</v>
      </c>
      <c r="U84" s="2">
        <v>0</v>
      </c>
    </row>
    <row r="85" spans="1:21" x14ac:dyDescent="0.25">
      <c r="A85" s="356">
        <v>68</v>
      </c>
      <c r="B85" s="357">
        <v>0</v>
      </c>
      <c r="C85" s="357">
        <v>1.1680932412159373</v>
      </c>
      <c r="D85" s="357">
        <v>13.065129648637486</v>
      </c>
      <c r="E85" s="357"/>
      <c r="F85" s="357">
        <v>7.6586000000000007</v>
      </c>
      <c r="G85" s="357">
        <v>296.90078633822719</v>
      </c>
      <c r="H85" s="337">
        <v>14</v>
      </c>
      <c r="I85" s="357">
        <v>13.065129648637486</v>
      </c>
      <c r="J85" s="337">
        <v>90</v>
      </c>
      <c r="K85" s="357">
        <v>20.723729648637487</v>
      </c>
      <c r="L85" s="337">
        <v>40</v>
      </c>
      <c r="M85" s="357">
        <v>7.6586000000000007</v>
      </c>
      <c r="N85" s="337">
        <v>2</v>
      </c>
      <c r="O85" s="357">
        <v>238.80557362591452</v>
      </c>
      <c r="P85" s="357">
        <v>58.095212712312673</v>
      </c>
      <c r="S85" s="2">
        <v>0</v>
      </c>
      <c r="T85" s="2" t="s">
        <v>11</v>
      </c>
      <c r="U85" s="2">
        <v>0</v>
      </c>
    </row>
    <row r="86" spans="1:21" x14ac:dyDescent="0.25">
      <c r="A86" s="356">
        <v>69</v>
      </c>
      <c r="B86" s="357">
        <v>0</v>
      </c>
      <c r="C86" s="357">
        <v>1.1610637214503949</v>
      </c>
      <c r="D86" s="357">
        <v>12.792425858015797</v>
      </c>
      <c r="E86" s="357"/>
      <c r="F86" s="357">
        <v>7.6501229999999998</v>
      </c>
      <c r="G86" s="357">
        <v>321.47589836857532</v>
      </c>
      <c r="H86" s="337">
        <v>14</v>
      </c>
      <c r="I86" s="357">
        <v>12.792425858015797</v>
      </c>
      <c r="J86" s="337">
        <v>90</v>
      </c>
      <c r="K86" s="357">
        <v>20.442548858015797</v>
      </c>
      <c r="L86" s="337">
        <v>40</v>
      </c>
      <c r="M86" s="357">
        <v>7.6501229999999998</v>
      </c>
      <c r="N86" s="337">
        <v>2</v>
      </c>
      <c r="O86" s="357">
        <v>262.2079093455398</v>
      </c>
      <c r="P86" s="357">
        <v>59.267989023035518</v>
      </c>
      <c r="S86" s="2">
        <v>0</v>
      </c>
      <c r="T86" s="2" t="s">
        <v>11</v>
      </c>
      <c r="U86" s="2">
        <v>0</v>
      </c>
    </row>
    <row r="87" spans="1:21" x14ac:dyDescent="0.25">
      <c r="A87" s="356">
        <v>70</v>
      </c>
      <c r="B87" s="357">
        <v>0</v>
      </c>
      <c r="C87" s="357">
        <v>1.154710668150104</v>
      </c>
      <c r="D87" s="357">
        <v>12.552226726004163</v>
      </c>
      <c r="E87" s="357"/>
      <c r="F87" s="357">
        <v>7.6361999999999997</v>
      </c>
      <c r="G87" s="357">
        <v>347.86322067523469</v>
      </c>
      <c r="H87" s="337">
        <v>14</v>
      </c>
      <c r="I87" s="357">
        <v>12.552226726004163</v>
      </c>
      <c r="J87" s="337">
        <v>90</v>
      </c>
      <c r="K87" s="357">
        <v>20.188426726004163</v>
      </c>
      <c r="L87" s="337">
        <v>40</v>
      </c>
      <c r="M87" s="357">
        <v>7.6361999999999997</v>
      </c>
      <c r="N87" s="337">
        <v>2</v>
      </c>
      <c r="O87" s="357">
        <v>287.57101085700089</v>
      </c>
      <c r="P87" s="357">
        <v>60.292209818233793</v>
      </c>
      <c r="S87" s="2">
        <v>0</v>
      </c>
      <c r="T87" s="2" t="s">
        <v>11</v>
      </c>
      <c r="U87" s="2">
        <v>0</v>
      </c>
    </row>
    <row r="88" spans="1:21" x14ac:dyDescent="0.25">
      <c r="A88" s="356">
        <v>71</v>
      </c>
      <c r="B88" s="357">
        <v>0</v>
      </c>
      <c r="C88" s="357">
        <v>0.84067837499999998</v>
      </c>
      <c r="D88" s="357">
        <v>0</v>
      </c>
      <c r="E88" s="357"/>
      <c r="F88" s="357">
        <v>7.627135</v>
      </c>
      <c r="G88" s="357">
        <v>354.38611055993402</v>
      </c>
      <c r="H88" s="337">
        <v>14</v>
      </c>
      <c r="I88" s="357">
        <v>0</v>
      </c>
      <c r="J88" s="337">
        <v>90</v>
      </c>
      <c r="K88" s="357">
        <v>0</v>
      </c>
      <c r="L88" s="337">
        <v>40</v>
      </c>
      <c r="M88" s="357">
        <v>7.627135</v>
      </c>
      <c r="N88" s="337">
        <v>2</v>
      </c>
      <c r="O88" s="357">
        <v>293.88823459120437</v>
      </c>
      <c r="P88" s="357">
        <v>60.497875968729652</v>
      </c>
      <c r="S88" s="2">
        <v>1</v>
      </c>
      <c r="T88" s="2" t="s">
        <v>11</v>
      </c>
      <c r="U88" s="2">
        <v>0</v>
      </c>
    </row>
    <row r="89" spans="1:21" x14ac:dyDescent="0.25">
      <c r="A89" s="356">
        <v>72</v>
      </c>
      <c r="B89" s="357">
        <v>0</v>
      </c>
      <c r="C89" s="357">
        <v>0.84051929999999997</v>
      </c>
      <c r="D89" s="357">
        <v>0</v>
      </c>
      <c r="E89" s="357"/>
      <c r="F89" s="357">
        <v>7.6207719999999997</v>
      </c>
      <c r="G89" s="357">
        <v>354.38611055993402</v>
      </c>
      <c r="H89" s="337">
        <v>14</v>
      </c>
      <c r="I89" s="357">
        <v>0</v>
      </c>
      <c r="J89" s="337">
        <v>90</v>
      </c>
      <c r="K89" s="357">
        <v>0</v>
      </c>
      <c r="L89" s="337">
        <v>40</v>
      </c>
      <c r="M89" s="357">
        <v>7.6207719999999997</v>
      </c>
      <c r="N89" s="337">
        <v>2</v>
      </c>
      <c r="O89" s="357">
        <v>293.88823459120437</v>
      </c>
      <c r="P89" s="357">
        <v>60.497875968729652</v>
      </c>
      <c r="S89" s="2">
        <v>1</v>
      </c>
      <c r="T89" s="2" t="s">
        <v>11</v>
      </c>
      <c r="U89" s="2">
        <v>0</v>
      </c>
    </row>
  </sheetData>
  <mergeCells count="2">
    <mergeCell ref="A7:F7"/>
    <mergeCell ref="A1:G1"/>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601980</xdr:colOff>
                    <xdr:row>10</xdr:row>
                    <xdr:rowOff>45720</xdr:rowOff>
                  </from>
                  <to>
                    <xdr:col>2</xdr:col>
                    <xdr:colOff>502920</xdr:colOff>
                    <xdr:row>10</xdr:row>
                    <xdr:rowOff>297180</xdr:rowOff>
                  </to>
                </anchor>
              </controlPr>
            </control>
          </mc:Choice>
        </mc:AlternateContent>
        <mc:AlternateContent xmlns:mc="http://schemas.openxmlformats.org/markup-compatibility/2006">
          <mc:Choice Requires="x14">
            <control shapeId="1029" r:id="rId5" name="Button 5">
              <controlPr defaultSize="0" print="0" autoFill="0" autoPict="0" macro="[0]!Clear_results">
                <anchor moveWithCells="1" sizeWithCells="1">
                  <from>
                    <xdr:col>3</xdr:col>
                    <xdr:colOff>449580</xdr:colOff>
                    <xdr:row>10</xdr:row>
                    <xdr:rowOff>45720</xdr:rowOff>
                  </from>
                  <to>
                    <xdr:col>6</xdr:col>
                    <xdr:colOff>304800</xdr:colOff>
                    <xdr:row>10</xdr:row>
                    <xdr:rowOff>297180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2:A22"/>
  <sheetViews>
    <sheetView zoomScale="60" zoomScaleNormal="60" workbookViewId="0">
      <selection activeCell="V12" sqref="V12"/>
    </sheetView>
  </sheetViews>
  <sheetFormatPr baseColWidth="10" defaultRowHeight="13.2" x14ac:dyDescent="0.25"/>
  <cols>
    <col min="1" max="16384" width="11.5546875" style="371"/>
  </cols>
  <sheetData>
    <row r="2" spans="1:1" ht="22.8" x14ac:dyDescent="0.4">
      <c r="A2" s="370" t="s">
        <v>112</v>
      </c>
    </row>
    <row r="22" spans="1:1" ht="22.8" x14ac:dyDescent="0.4">
      <c r="A22" s="370" t="s">
        <v>191</v>
      </c>
    </row>
  </sheetData>
  <pageMargins left="0.7" right="0.7" top="0.78740157499999996" bottom="0.78740157499999996"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C23" sqref="C23"/>
    </sheetView>
  </sheetViews>
  <sheetFormatPr baseColWidth="10" defaultColWidth="8.88671875" defaultRowHeight="13.2" x14ac:dyDescent="0.25"/>
  <cols>
    <col min="2" max="2" width="12.44140625" style="179" customWidth="1"/>
    <col min="3" max="3" width="27.5546875" customWidth="1"/>
    <col min="4" max="4" width="36.5546875" style="180" customWidth="1"/>
  </cols>
  <sheetData>
    <row r="1" spans="2:4" ht="13.8" thickBot="1" x14ac:dyDescent="0.3"/>
    <row r="2" spans="2:4" ht="13.8" thickBot="1" x14ac:dyDescent="0.3">
      <c r="B2" s="182" t="s">
        <v>168</v>
      </c>
      <c r="C2" s="183" t="s">
        <v>169</v>
      </c>
      <c r="D2" s="184" t="s">
        <v>170</v>
      </c>
    </row>
    <row r="3" spans="2:4" x14ac:dyDescent="0.25">
      <c r="B3" s="185"/>
      <c r="C3" s="181"/>
      <c r="D3" s="186"/>
    </row>
    <row r="4" spans="2:4" x14ac:dyDescent="0.25">
      <c r="B4" s="187">
        <v>41926</v>
      </c>
      <c r="C4" s="361" t="s">
        <v>520</v>
      </c>
      <c r="D4" s="188"/>
    </row>
    <row r="5" spans="2:4" x14ac:dyDescent="0.25">
      <c r="B5" s="189"/>
      <c r="C5" s="99"/>
      <c r="D5" s="188"/>
    </row>
    <row r="6" spans="2:4" x14ac:dyDescent="0.25">
      <c r="B6" s="189">
        <v>41936</v>
      </c>
      <c r="C6" s="99"/>
      <c r="D6" s="372" t="s">
        <v>525</v>
      </c>
    </row>
    <row r="7" spans="2:4" x14ac:dyDescent="0.25">
      <c r="B7" s="189">
        <v>42048</v>
      </c>
      <c r="C7" s="99"/>
      <c r="D7" s="372" t="s">
        <v>534</v>
      </c>
    </row>
    <row r="8" spans="2:4" x14ac:dyDescent="0.25">
      <c r="B8" s="189">
        <v>42319</v>
      </c>
      <c r="C8" s="361" t="s">
        <v>626</v>
      </c>
      <c r="D8" s="188"/>
    </row>
    <row r="9" spans="2:4" x14ac:dyDescent="0.25">
      <c r="B9" s="190"/>
      <c r="C9" s="361" t="s">
        <v>627</v>
      </c>
      <c r="D9" s="188"/>
    </row>
    <row r="10" spans="2:4" x14ac:dyDescent="0.25">
      <c r="B10" s="190"/>
      <c r="C10" s="99"/>
      <c r="D10" s="188"/>
    </row>
    <row r="11" spans="2:4" x14ac:dyDescent="0.25">
      <c r="B11" s="190"/>
      <c r="C11" s="99"/>
      <c r="D11" s="188"/>
    </row>
    <row r="12" spans="2:4" x14ac:dyDescent="0.25">
      <c r="B12" s="190"/>
      <c r="C12" s="99"/>
      <c r="D12" s="188"/>
    </row>
    <row r="13" spans="2:4" x14ac:dyDescent="0.25">
      <c r="B13" s="190"/>
      <c r="C13" s="99"/>
      <c r="D13" s="188"/>
    </row>
    <row r="14" spans="2:4" x14ac:dyDescent="0.25">
      <c r="B14" s="190"/>
      <c r="C14" s="99"/>
      <c r="D14" s="188"/>
    </row>
    <row r="15" spans="2:4" x14ac:dyDescent="0.25">
      <c r="B15" s="190"/>
      <c r="C15" s="99"/>
      <c r="D15" s="188"/>
    </row>
    <row r="16" spans="2:4" x14ac:dyDescent="0.25">
      <c r="B16" s="190"/>
      <c r="C16" s="99"/>
      <c r="D16" s="188"/>
    </row>
    <row r="17" spans="2:4" x14ac:dyDescent="0.25">
      <c r="B17" s="190"/>
      <c r="C17" s="99"/>
      <c r="D17" s="188"/>
    </row>
    <row r="18" spans="2:4" ht="13.8" thickBot="1" x14ac:dyDescent="0.3">
      <c r="B18" s="191"/>
      <c r="C18" s="192"/>
      <c r="D18" s="193"/>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10</vt:i4>
      </vt:variant>
    </vt:vector>
  </HeadingPairs>
  <TitlesOfParts>
    <vt:vector size="23" baseType="lpstr">
      <vt:lpstr>INFO</vt:lpstr>
      <vt:lpstr>Simplified_input_correlation</vt:lpstr>
      <vt:lpstr>Product_descriptive_data</vt:lpstr>
      <vt:lpstr>Product_tech_data</vt:lpstr>
      <vt:lpstr>Process_design_data</vt:lpstr>
      <vt:lpstr>Data_catalogue_example</vt:lpstr>
      <vt:lpstr>Input_series</vt:lpstr>
      <vt:lpstr>Method_input</vt:lpstr>
      <vt:lpstr>Method_calculation</vt:lpstr>
      <vt:lpstr>Method_output</vt:lpstr>
      <vt:lpstr>Output_series</vt:lpstr>
      <vt:lpstr>Graphs</vt:lpstr>
      <vt:lpstr>History</vt:lpstr>
      <vt:lpstr>A</vt:lpstr>
      <vt:lpstr>B</vt:lpstr>
      <vt:lpstr>DATA_IN_COUNT</vt:lpstr>
      <vt:lpstr>DATA_OUT_COUNT</vt:lpstr>
      <vt:lpstr>First_data_in</vt:lpstr>
      <vt:lpstr>First_data_out</vt:lpstr>
      <vt:lpstr>Simplified_input_correlation!Method_in</vt:lpstr>
      <vt:lpstr>Method_in</vt:lpstr>
      <vt:lpstr>Right_side</vt:lpstr>
      <vt:lpstr>TIME_STEPS_COUNT</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Zweifel Gerhard HSLU T&amp;A</cp:lastModifiedBy>
  <dcterms:created xsi:type="dcterms:W3CDTF">2011-05-24T04:21:57Z</dcterms:created>
  <dcterms:modified xsi:type="dcterms:W3CDTF">2016-02-03T14:32:45Z</dcterms:modified>
</cp:coreProperties>
</file>