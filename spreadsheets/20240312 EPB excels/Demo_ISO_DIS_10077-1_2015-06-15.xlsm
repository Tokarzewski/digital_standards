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8045" windowHeight="12435"/>
  </bookViews>
  <sheets>
    <sheet name="INFO" sheetId="17" r:id="rId1"/>
    <sheet name="Method_input" sheetId="2" r:id="rId2"/>
    <sheet name="Method_calculation" sheetId="4" r:id="rId3"/>
    <sheet name="Method_output" sheetId="5" r:id="rId4"/>
    <sheet name="History" sheetId="11" r:id="rId5"/>
  </sheets>
  <definedNames>
    <definedName name="A_d">Method_input!$E$16</definedName>
    <definedName name="A_f">Method_input!$E$11</definedName>
    <definedName name="A_f_door">Method_input!$E$12</definedName>
    <definedName name="A_g">Method_input!$E$13</definedName>
    <definedName name="A_p">Method_input!$E$14</definedName>
    <definedName name="A_w">Method_input!$E$15</definedName>
    <definedName name="b_d">Method_input!$E$8</definedName>
    <definedName name="b_f">Method_input!$E$10</definedName>
    <definedName name="b_w">Method_input!$E$6</definedName>
    <definedName name="delta_R">Method_input!$E$31</definedName>
    <definedName name="h_d">Method_input!$E$9</definedName>
    <definedName name="h_w">Method_input!$E$7</definedName>
    <definedName name="l_g">Method_input!$E$17</definedName>
    <definedName name="l_gb">Method_input!$E$19</definedName>
    <definedName name="l_p">Method_input!$E$18</definedName>
    <definedName name="Method_in">Method_input!$E$11</definedName>
    <definedName name="psi_fg">Method_input!$E$27</definedName>
    <definedName name="psi_fp">Method_input!$E$28</definedName>
    <definedName name="psi_gb">Method_input!$E$29</definedName>
    <definedName name="R_s">Method_input!$E$30</definedName>
    <definedName name="r_se">Method_input!$E$37</definedName>
    <definedName name="r_si">Method_input!$E$38</definedName>
    <definedName name="U_f">Method_input!$E$23</definedName>
    <definedName name="U_g" localSheetId="2">Method_input!$E$24</definedName>
    <definedName name="U_p">Method_input!$E$25</definedName>
    <definedName name="U_w">Method_calculation!$D$8</definedName>
    <definedName name="U_w_n">Method_input!$E$26</definedName>
    <definedName name="W__m2K">Method_input!$E$24</definedName>
  </definedNames>
  <calcPr calcId="145621"/>
</workbook>
</file>

<file path=xl/calcChain.xml><?xml version="1.0" encoding="utf-8"?>
<calcChain xmlns="http://schemas.openxmlformats.org/spreadsheetml/2006/main">
  <c r="E8" i="5" l="1"/>
  <c r="E7" i="5"/>
  <c r="E6" i="5"/>
  <c r="I10" i="4"/>
  <c r="D10" i="4"/>
  <c r="D9" i="4"/>
  <c r="D8" i="4" l="1"/>
  <c r="D11" i="4" s="1"/>
  <c r="D12" i="4"/>
  <c r="E19" i="2"/>
  <c r="E18" i="2"/>
  <c r="E17" i="2"/>
  <c r="E12" i="2"/>
  <c r="E14" i="2"/>
  <c r="E13" i="2"/>
  <c r="E16" i="2"/>
  <c r="E15" i="2"/>
  <c r="E11" i="2" s="1"/>
</calcChain>
</file>

<file path=xl/comments1.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2.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sharedStrings.xml><?xml version="1.0" encoding="utf-8"?>
<sst xmlns="http://schemas.openxmlformats.org/spreadsheetml/2006/main" count="313" uniqueCount="191">
  <si>
    <t>Unit</t>
  </si>
  <si>
    <t>Origin</t>
  </si>
  <si>
    <t>Name</t>
  </si>
  <si>
    <t>Value</t>
  </si>
  <si>
    <t>Description</t>
  </si>
  <si>
    <t>Notes</t>
  </si>
  <si>
    <t>Symbol</t>
  </si>
  <si>
    <t>Range</t>
  </si>
  <si>
    <t>Varying</t>
  </si>
  <si>
    <t>Formula</t>
  </si>
  <si>
    <t>Formula ref</t>
  </si>
  <si>
    <t>Intended destination</t>
  </si>
  <si>
    <t>Date</t>
  </si>
  <si>
    <t>Version scope</t>
  </si>
  <si>
    <t>Changes, notes</t>
  </si>
  <si>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</si>
  <si>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</si>
  <si>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</si>
  <si>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</si>
  <si>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</si>
  <si>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</si>
  <si>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</si>
  <si>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Software name</t>
  </si>
  <si>
    <t>What is the origin of the value?</t>
  </si>
  <si>
    <t>N/A</t>
  </si>
  <si>
    <t>Value given in national annex? Index sk is not defined at OA level. What is the origin of the value? Climate standard or national annex?</t>
  </si>
  <si>
    <t>alpha</t>
  </si>
  <si>
    <t>Origin needs to be checked for all inputs</t>
  </si>
  <si>
    <t>m</t>
  </si>
  <si>
    <t>A_f</t>
  </si>
  <si>
    <t>Operating and boundary conditions</t>
  </si>
  <si>
    <t>index sky not defined on OA level</t>
  </si>
  <si>
    <t>Thermal Transmittance</t>
  </si>
  <si>
    <r>
      <t>W/(m</t>
    </r>
    <r>
      <rPr>
        <vertAlign val="superscript"/>
        <sz val="10"/>
        <rFont val="Arial"/>
        <family val="2"/>
      </rPr>
      <t>2</t>
    </r>
    <r>
      <rPr>
        <sz val="10"/>
        <rFont val="Arial"/>
        <family val="2"/>
      </rPr>
      <t>K)</t>
    </r>
  </si>
  <si>
    <t>0..10</t>
  </si>
  <si>
    <t>Thermal trasmittance window</t>
  </si>
  <si>
    <t>Thermal trasmittance door</t>
  </si>
  <si>
    <r>
      <t>U</t>
    </r>
    <r>
      <rPr>
        <i/>
        <vertAlign val="subscript"/>
        <sz val="10"/>
        <rFont val="Arial"/>
        <family val="2"/>
      </rPr>
      <t>D</t>
    </r>
  </si>
  <si>
    <r>
      <t>U</t>
    </r>
    <r>
      <rPr>
        <i/>
        <vertAlign val="subscript"/>
        <sz val="10"/>
        <rFont val="Arial"/>
        <family val="2"/>
      </rPr>
      <t>W</t>
    </r>
  </si>
  <si>
    <t>U_W</t>
  </si>
  <si>
    <t>U_D</t>
  </si>
  <si>
    <t>Thermal trasmittance window with shutter</t>
  </si>
  <si>
    <r>
      <t>U</t>
    </r>
    <r>
      <rPr>
        <i/>
        <vertAlign val="subscript"/>
        <sz val="10"/>
        <rFont val="Arial"/>
        <family val="2"/>
      </rPr>
      <t>WS</t>
    </r>
  </si>
  <si>
    <t>No</t>
  </si>
  <si>
    <t>Glass Area</t>
  </si>
  <si>
    <t>A_g</t>
  </si>
  <si>
    <t>Panel Area</t>
  </si>
  <si>
    <t>Ap</t>
  </si>
  <si>
    <t>A_p</t>
  </si>
  <si>
    <t>Window Area</t>
  </si>
  <si>
    <t>A_w</t>
  </si>
  <si>
    <t>Door Area</t>
  </si>
  <si>
    <t>A_d</t>
  </si>
  <si>
    <t>Visible length perimeter glass</t>
  </si>
  <si>
    <t>l_g</t>
  </si>
  <si>
    <t>Visible length perimeter panel</t>
  </si>
  <si>
    <t>l_p</t>
  </si>
  <si>
    <r>
      <t>A</t>
    </r>
    <r>
      <rPr>
        <i/>
        <vertAlign val="subscript"/>
        <sz val="10"/>
        <rFont val="Arial"/>
        <family val="2"/>
      </rPr>
      <t>f</t>
    </r>
  </si>
  <si>
    <r>
      <t>A</t>
    </r>
    <r>
      <rPr>
        <i/>
        <vertAlign val="subscript"/>
        <sz val="10"/>
        <rFont val="Arial"/>
        <family val="2"/>
      </rPr>
      <t>g</t>
    </r>
  </si>
  <si>
    <t>Geometrial characteristics of the product</t>
  </si>
  <si>
    <r>
      <t>l</t>
    </r>
    <r>
      <rPr>
        <i/>
        <vertAlign val="subscript"/>
        <sz val="10"/>
        <rFont val="Arial"/>
        <family val="2"/>
      </rPr>
      <t>gb</t>
    </r>
  </si>
  <si>
    <t>l_gb</t>
  </si>
  <si>
    <t>Thermal characteristics of the componentes</t>
  </si>
  <si>
    <t>Thermal transmittance frame</t>
  </si>
  <si>
    <t>Thermal transmittance glas</t>
  </si>
  <si>
    <t>Thermal transmittance panel</t>
  </si>
  <si>
    <t>Linear thermal transmittance frame/glas</t>
  </si>
  <si>
    <t>Linear thermal transmittance frame/panel</t>
  </si>
  <si>
    <t>Linear thermal transmittance georgian bar</t>
  </si>
  <si>
    <t>Thermal resistance of the cavity</t>
  </si>
  <si>
    <t>Double Windows and coupled windows</t>
  </si>
  <si>
    <t>Thermal transmittance window number n</t>
  </si>
  <si>
    <t>psi_fg</t>
  </si>
  <si>
    <t>psi_fp</t>
  </si>
  <si>
    <t>R_s</t>
  </si>
  <si>
    <t>delta_r</t>
  </si>
  <si>
    <t>Additional thermal resistance  of shutter (incl. Cavity)</t>
  </si>
  <si>
    <t>U_f</t>
  </si>
  <si>
    <t>U_g</t>
  </si>
  <si>
    <t>U_p</t>
  </si>
  <si>
    <t>U_w1, U_w2</t>
  </si>
  <si>
    <r>
      <rPr>
        <i/>
        <sz val="10"/>
        <rFont val="Symbol"/>
        <family val="1"/>
        <charset val="2"/>
      </rPr>
      <t>Y</t>
    </r>
    <r>
      <rPr>
        <i/>
        <vertAlign val="subscript"/>
        <sz val="10"/>
        <rFont val="Arial"/>
        <family val="2"/>
      </rPr>
      <t>fg</t>
    </r>
  </si>
  <si>
    <r>
      <rPr>
        <i/>
        <sz val="10"/>
        <rFont val="Symbol"/>
        <family val="1"/>
        <charset val="2"/>
      </rPr>
      <t>Y</t>
    </r>
    <r>
      <rPr>
        <i/>
        <vertAlign val="subscript"/>
        <sz val="10"/>
        <rFont val="Arial"/>
        <family val="2"/>
      </rPr>
      <t>fp</t>
    </r>
  </si>
  <si>
    <r>
      <rPr>
        <i/>
        <sz val="10"/>
        <rFont val="Symbol"/>
        <family val="1"/>
        <charset val="2"/>
      </rPr>
      <t>Y</t>
    </r>
    <r>
      <rPr>
        <i/>
        <vertAlign val="subscript"/>
        <sz val="10"/>
        <rFont val="Arial"/>
        <family val="2"/>
      </rPr>
      <t>gb</t>
    </r>
  </si>
  <si>
    <t>psi_gb</t>
  </si>
  <si>
    <t>W/(m K)</t>
  </si>
  <si>
    <r>
      <t>(m</t>
    </r>
    <r>
      <rPr>
        <vertAlign val="superscript"/>
        <sz val="10"/>
        <rFont val="Arial"/>
        <family val="2"/>
      </rPr>
      <t>2</t>
    </r>
    <r>
      <rPr>
        <sz val="10"/>
        <rFont val="Arial"/>
        <family val="2"/>
      </rPr>
      <t>K)/W</t>
    </r>
  </si>
  <si>
    <t>Thermal conductivity glas</t>
  </si>
  <si>
    <t>lambda_g</t>
  </si>
  <si>
    <t>0..20</t>
  </si>
  <si>
    <t>0..50</t>
  </si>
  <si>
    <t>External surface thermal resistance (vertical-30° inclination)</t>
  </si>
  <si>
    <t>Internal surface thermal resistance (vertical-30° inclination)</t>
  </si>
  <si>
    <t>External surface thermal resistance (more than 30° inclination)</t>
  </si>
  <si>
    <t>Internal surface thermal resistance (more than 30° inclination)</t>
  </si>
  <si>
    <t>r_se</t>
  </si>
  <si>
    <t>r_si</t>
  </si>
  <si>
    <t>EN ISO 10077-2 or EN 12412-2 or EN 10077-1 Annex</t>
  </si>
  <si>
    <t>EN ISO 6946 or EN ISO 10211</t>
  </si>
  <si>
    <t>EN ISO 10077-1 or EN ISO 12567-1</t>
  </si>
  <si>
    <t>EN ISO 10077-1 or EN ISO 10077-2</t>
  </si>
  <si>
    <t>Inclination of the window</t>
  </si>
  <si>
    <r>
      <rPr>
        <i/>
        <sz val="10"/>
        <rFont val="Symbol"/>
        <family val="1"/>
        <charset val="2"/>
      </rPr>
      <t>D</t>
    </r>
    <r>
      <rPr>
        <i/>
        <sz val="10"/>
        <rFont val="Arial"/>
        <family val="2"/>
      </rPr>
      <t>R</t>
    </r>
  </si>
  <si>
    <t>°</t>
  </si>
  <si>
    <t>a</t>
  </si>
  <si>
    <r>
      <t>A</t>
    </r>
    <r>
      <rPr>
        <i/>
        <vertAlign val="subscript"/>
        <sz val="10"/>
        <rFont val="Arial"/>
        <family val="2"/>
      </rPr>
      <t>W</t>
    </r>
  </si>
  <si>
    <r>
      <t>A</t>
    </r>
    <r>
      <rPr>
        <i/>
        <vertAlign val="subscript"/>
        <sz val="10"/>
        <rFont val="Arial"/>
        <family val="2"/>
      </rPr>
      <t>D</t>
    </r>
  </si>
  <si>
    <r>
      <t>l</t>
    </r>
    <r>
      <rPr>
        <i/>
        <vertAlign val="subscript"/>
        <sz val="10"/>
        <rFont val="Arial"/>
        <family val="2"/>
      </rPr>
      <t>g</t>
    </r>
  </si>
  <si>
    <r>
      <t>l</t>
    </r>
    <r>
      <rPr>
        <i/>
        <vertAlign val="subscript"/>
        <sz val="10"/>
        <rFont val="Arial"/>
        <family val="2"/>
      </rPr>
      <t>p</t>
    </r>
  </si>
  <si>
    <r>
      <t>U</t>
    </r>
    <r>
      <rPr>
        <i/>
        <vertAlign val="subscript"/>
        <sz val="10"/>
        <rFont val="Arial"/>
        <family val="2"/>
      </rPr>
      <t>f</t>
    </r>
  </si>
  <si>
    <r>
      <t>U</t>
    </r>
    <r>
      <rPr>
        <i/>
        <vertAlign val="subscript"/>
        <sz val="10"/>
        <rFont val="Arial"/>
        <family val="2"/>
      </rPr>
      <t>g</t>
    </r>
  </si>
  <si>
    <r>
      <t>U</t>
    </r>
    <r>
      <rPr>
        <i/>
        <vertAlign val="subscript"/>
        <sz val="10"/>
        <rFont val="Arial"/>
        <family val="2"/>
      </rPr>
      <t>p</t>
    </r>
  </si>
  <si>
    <r>
      <t>U</t>
    </r>
    <r>
      <rPr>
        <i/>
        <vertAlign val="subscript"/>
        <sz val="10"/>
        <rFont val="Arial"/>
        <family val="2"/>
      </rPr>
      <t>wn</t>
    </r>
  </si>
  <si>
    <r>
      <t>R</t>
    </r>
    <r>
      <rPr>
        <i/>
        <vertAlign val="subscript"/>
        <sz val="10"/>
        <rFont val="Arial"/>
        <family val="2"/>
      </rPr>
      <t>s</t>
    </r>
  </si>
  <si>
    <r>
      <t>R</t>
    </r>
    <r>
      <rPr>
        <i/>
        <vertAlign val="subscript"/>
        <sz val="10"/>
        <rFont val="Arial"/>
        <family val="2"/>
      </rPr>
      <t>se</t>
    </r>
  </si>
  <si>
    <r>
      <t>R</t>
    </r>
    <r>
      <rPr>
        <i/>
        <vertAlign val="subscript"/>
        <sz val="10"/>
        <rFont val="Arial"/>
        <family val="2"/>
      </rPr>
      <t>si</t>
    </r>
  </si>
  <si>
    <t>Source/Origin standard</t>
  </si>
  <si>
    <t xml:space="preserve">EN ISO 10077-2  </t>
  </si>
  <si>
    <t>EN ISO 10077-1 Annex</t>
  </si>
  <si>
    <r>
      <t>l</t>
    </r>
    <r>
      <rPr>
        <i/>
        <vertAlign val="subscript"/>
        <sz val="10"/>
        <rFont val="Calibri"/>
        <family val="2"/>
        <scheme val="minor"/>
      </rPr>
      <t>g</t>
    </r>
  </si>
  <si>
    <t>U_WS</t>
  </si>
  <si>
    <t>Input, output variables</t>
  </si>
  <si>
    <t xml:space="preserve">Draft spreadsheet, according to template for all EPB standards </t>
  </si>
  <si>
    <t>Concerns EPB standard:</t>
  </si>
  <si>
    <t>Produced by the Project Leader for the preparation of this standard</t>
  </si>
  <si>
    <t>DISCLAIMER:</t>
  </si>
  <si>
    <r>
      <t>·</t>
    </r>
    <r>
      <rPr>
        <sz val="7"/>
        <rFont val="Times New Roman"/>
        <family val="1"/>
      </rPr>
      <t xml:space="preserve">         </t>
    </r>
    <r>
      <rPr>
        <sz val="10"/>
        <rFont val="Arial"/>
        <family val="2"/>
      </rPr>
      <t xml:space="preserve">This spreadsheet has been developed in the framework of the preparation and revision of the set of EN or ISO standards on the energy performance of buildings, to support the European "Energy Performance of Buildings Directive" recast (EPBD-recast, directive 2010/31/EU). </t>
    </r>
  </si>
  <si>
    <r>
      <t>·</t>
    </r>
    <r>
      <rPr>
        <sz val="7"/>
        <rFont val="Times New Roman"/>
        <family val="1"/>
      </rPr>
      <t xml:space="preserve">         </t>
    </r>
    <r>
      <rPr>
        <sz val="10"/>
        <rFont val="Arial"/>
        <family val="2"/>
      </rPr>
      <t>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t>
    </r>
  </si>
  <si>
    <r>
      <t>·</t>
    </r>
    <r>
      <rPr>
        <sz val="7"/>
        <rFont val="Times New Roman"/>
        <family val="1"/>
      </rPr>
      <t xml:space="preserve">         </t>
    </r>
    <r>
      <rPr>
        <sz val="10"/>
        <rFont val="Arial"/>
        <family val="2"/>
      </rPr>
      <t>The spreadsheet supports the expert user of the standards, in particular those who want to review the content of the standard and those who want to translate the standard to a software, to understand the correct interpretation of the equations and calculation steps in the standard.</t>
    </r>
  </si>
  <si>
    <r>
      <t>·</t>
    </r>
    <r>
      <rPr>
        <sz val="7"/>
        <rFont val="Times New Roman"/>
        <family val="1"/>
      </rPr>
      <t xml:space="preserve">         </t>
    </r>
    <r>
      <rPr>
        <sz val="10"/>
        <rFont val="Arial"/>
        <family val="2"/>
      </rPr>
      <t>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r>
  </si>
  <si>
    <t>DRAFT VERSION:</t>
  </si>
  <si>
    <r>
      <t>·</t>
    </r>
    <r>
      <rPr>
        <sz val="7"/>
        <rFont val="Times New Roman"/>
        <family val="1"/>
      </rPr>
      <t xml:space="preserve">         </t>
    </r>
    <r>
      <rPr>
        <sz val="10"/>
        <rFont val="Arial"/>
        <family val="2"/>
      </rPr>
      <t>As long as the associated EPB standard or any of the other EPB standards to which it is directly linked are in a draft stage, this spreadsheet is also a draft version only.</t>
    </r>
  </si>
  <si>
    <t xml:space="preserve">WARNINGS: </t>
  </si>
  <si>
    <r>
      <t>·</t>
    </r>
    <r>
      <rPr>
        <sz val="7"/>
        <rFont val="Times New Roman"/>
        <family val="1"/>
      </rPr>
      <t xml:space="preserve">         </t>
    </r>
    <r>
      <rPr>
        <sz val="10"/>
        <rFont val="Arial"/>
        <family val="2"/>
      </rPr>
      <t xml:space="preserve">Note that the spreadsheet may not allow testing all calculation options that are possible according to the standard to which it applies. This remark applies in particular but not only to limitations on the number instances of a variable that can be considered. </t>
    </r>
  </si>
  <si>
    <r>
      <t>·</t>
    </r>
    <r>
      <rPr>
        <sz val="7"/>
        <rFont val="Times New Roman"/>
        <family val="1"/>
      </rPr>
      <t xml:space="preserve">         </t>
    </r>
    <r>
      <rPr>
        <sz val="10"/>
        <rFont val="Arial"/>
        <family val="2"/>
      </rPr>
      <t>In case of differences, the standard should be regarded as the reference, not the spreadsheet. However, during the standard's drafting phase, shortcomings in the draft standard may have been detected and dealt with in the spreadsheets (ideally, such differences are marked).</t>
    </r>
  </si>
  <si>
    <r>
      <t>·</t>
    </r>
    <r>
      <rPr>
        <sz val="7"/>
        <rFont val="Times New Roman"/>
        <family val="1"/>
      </rPr>
      <t xml:space="preserve">         </t>
    </r>
    <r>
      <rPr>
        <sz val="10"/>
        <rFont val="Arial"/>
        <family val="2"/>
      </rPr>
      <t xml:space="preserve">Note also that these spreadsheets are purely intended for testing and demonstration and therefore not aiming to be user friendly or to be protected against wrong or improper use. </t>
    </r>
  </si>
  <si>
    <t>TERMS OF USE:</t>
  </si>
  <si>
    <r>
      <t>·</t>
    </r>
    <r>
      <rPr>
        <sz val="7"/>
        <rFont val="Times New Roman"/>
        <family val="1"/>
      </rPr>
      <t xml:space="preserve">         </t>
    </r>
    <r>
      <rPr>
        <sz val="10"/>
        <rFont val="Arial"/>
        <family val="2"/>
      </rPr>
      <t>The user is not allowed to redistribute a modified version of this spreadsheet.</t>
    </r>
  </si>
  <si>
    <r>
      <t>·</t>
    </r>
    <r>
      <rPr>
        <sz val="7"/>
        <rFont val="Times New Roman"/>
        <family val="1"/>
      </rPr>
      <t xml:space="preserve">         </t>
    </r>
    <r>
      <rPr>
        <sz val="10"/>
        <rFont val="Arial"/>
        <family val="2"/>
      </rPr>
      <t>The author(s) would appreciate your feed back on the spreadsheet via the comment sheets for the associated draft standard to be prepared by the national standards bodies during enquiry of the draft standard(s),</t>
    </r>
  </si>
  <si>
    <r>
      <rPr>
        <b/>
        <sz val="10"/>
        <rFont val="Arial"/>
        <family val="2"/>
      </rPr>
      <t>Why an Excel spreadsheet?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</si>
  <si>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ISO/DIS 10077-1, Thermal performance of windows, doors and shutters — Calculation of thermal transmittance — Part 1: General</t>
  </si>
  <si>
    <t>Technical drawing</t>
  </si>
  <si>
    <t>Visible length glazing bar (Georgian bar)</t>
  </si>
  <si>
    <t>Width of the window</t>
  </si>
  <si>
    <t>Heigth of the window</t>
  </si>
  <si>
    <t>Witdth of the frame</t>
  </si>
  <si>
    <r>
      <t>This is not a characteristic used in ISO 10077-1. It is defined in this spreadsheet for the calculation of A</t>
    </r>
    <r>
      <rPr>
        <vertAlign val="subscript"/>
        <sz val="10"/>
        <rFont val="Arial"/>
        <family val="2"/>
      </rPr>
      <t>W</t>
    </r>
    <r>
      <rPr>
        <sz val="10"/>
        <rFont val="Arial"/>
        <family val="2"/>
      </rPr>
      <t>.</t>
    </r>
  </si>
  <si>
    <r>
      <t>b</t>
    </r>
    <r>
      <rPr>
        <vertAlign val="subscript"/>
        <sz val="10"/>
        <rFont val="Arial"/>
        <family val="2"/>
      </rPr>
      <t>W</t>
    </r>
  </si>
  <si>
    <r>
      <t>h</t>
    </r>
    <r>
      <rPr>
        <vertAlign val="subscript"/>
        <sz val="10"/>
        <rFont val="Arial"/>
        <family val="2"/>
      </rPr>
      <t>W</t>
    </r>
  </si>
  <si>
    <r>
      <t>b</t>
    </r>
    <r>
      <rPr>
        <vertAlign val="subscript"/>
        <sz val="10"/>
        <rFont val="Arial"/>
        <family val="2"/>
      </rPr>
      <t>f</t>
    </r>
  </si>
  <si>
    <t>b_w</t>
  </si>
  <si>
    <t>h_w</t>
  </si>
  <si>
    <t>b_f</t>
  </si>
  <si>
    <r>
      <t>b</t>
    </r>
    <r>
      <rPr>
        <vertAlign val="subscript"/>
        <sz val="10"/>
        <rFont val="Arial"/>
        <family val="2"/>
      </rPr>
      <t>D</t>
    </r>
  </si>
  <si>
    <r>
      <t>h</t>
    </r>
    <r>
      <rPr>
        <vertAlign val="subscript"/>
        <sz val="10"/>
        <rFont val="Arial"/>
        <family val="2"/>
      </rPr>
      <t>D</t>
    </r>
  </si>
  <si>
    <t>Width of the door</t>
  </si>
  <si>
    <t>Heigth of the door</t>
  </si>
  <si>
    <t>b_d</t>
  </si>
  <si>
    <t>h_d</t>
  </si>
  <si>
    <r>
      <t>m</t>
    </r>
    <r>
      <rPr>
        <vertAlign val="superscript"/>
        <sz val="10"/>
        <rFont val="Arial"/>
        <family val="2"/>
      </rPr>
      <t>2</t>
    </r>
  </si>
  <si>
    <t>Frame Area (window)</t>
  </si>
  <si>
    <t>Frame Area (door)</t>
  </si>
  <si>
    <t>A single cross is assumed for the calcualtion</t>
  </si>
  <si>
    <t>It is assumed a door with only a panel</t>
  </si>
  <si>
    <t>It is assumed a window with only a glazing</t>
  </si>
  <si>
    <r>
      <t>This is not a characteristic used in ISO 10077-1. It is defined in this spreadsheet for the calculation of A</t>
    </r>
    <r>
      <rPr>
        <vertAlign val="subscript"/>
        <sz val="10"/>
        <rFont val="Arial"/>
        <family val="2"/>
      </rPr>
      <t>D</t>
    </r>
    <r>
      <rPr>
        <sz val="10"/>
        <rFont val="Arial"/>
        <family val="2"/>
      </rPr>
      <t>.</t>
    </r>
  </si>
  <si>
    <r>
      <t>This is not a characteristic used in ISO 10077-1. It is defined in this spreadsheet for the calculation of A</t>
    </r>
    <r>
      <rPr>
        <vertAlign val="subscript"/>
        <sz val="10"/>
        <rFont val="Arial"/>
        <family val="2"/>
      </rPr>
      <t xml:space="preserve">f </t>
    </r>
    <r>
      <rPr>
        <sz val="10"/>
        <rFont val="Arial"/>
        <family val="2"/>
      </rPr>
      <t>and l</t>
    </r>
    <r>
      <rPr>
        <vertAlign val="subscript"/>
        <sz val="10"/>
        <rFont val="Arial"/>
        <family val="2"/>
      </rPr>
      <t>g</t>
    </r>
    <r>
      <rPr>
        <sz val="10"/>
        <rFont val="Arial"/>
        <family val="2"/>
      </rPr>
      <t>, l</t>
    </r>
    <r>
      <rPr>
        <vertAlign val="subscript"/>
        <sz val="10"/>
        <rFont val="Arial"/>
        <family val="2"/>
      </rPr>
      <t>p</t>
    </r>
    <r>
      <rPr>
        <sz val="10"/>
        <rFont val="Arial"/>
        <family val="2"/>
      </rPr>
      <t>, l</t>
    </r>
    <r>
      <rPr>
        <vertAlign val="subscript"/>
        <sz val="10"/>
        <rFont val="Arial"/>
        <family val="2"/>
      </rPr>
      <t>gb</t>
    </r>
    <r>
      <rPr>
        <sz val="10"/>
        <rFont val="Arial"/>
        <family val="2"/>
      </rPr>
      <t>.</t>
    </r>
  </si>
  <si>
    <t>(1)</t>
  </si>
  <si>
    <t>(3)</t>
  </si>
  <si>
    <t>Only used for the calculation of the design value of inclined windows</t>
  </si>
  <si>
    <t>Table C.1 in ISO 10077-1</t>
  </si>
  <si>
    <t>(7)</t>
  </si>
  <si>
    <t>(5)</t>
  </si>
  <si>
    <t>Window with shutter</t>
  </si>
  <si>
    <t>Thermal transmittance of a single window</t>
  </si>
  <si>
    <t>Thermal transmittance of a double window</t>
  </si>
  <si>
    <t>Thermal transmittance of the transparent part of a coupled window</t>
  </si>
  <si>
    <t>Calculation of the Ug of a coupled window with two individual IGU.</t>
  </si>
  <si>
    <t>Thermal transmittance of a window with a closed shutter</t>
  </si>
  <si>
    <t>Thermal transmittance of a door</t>
  </si>
  <si>
    <t>(4)</t>
  </si>
  <si>
    <r>
      <t>Calculation of a double window consisting of two indiviual windows.For the example it is assumed that the two windows have the same U</t>
    </r>
    <r>
      <rPr>
        <vertAlign val="subscript"/>
        <sz val="10"/>
        <rFont val="Arial"/>
        <family val="2"/>
      </rPr>
      <t>W</t>
    </r>
    <r>
      <rPr>
        <sz val="10"/>
        <rFont val="Arial"/>
        <family val="2"/>
      </rPr>
      <t xml:space="preserve"> value</t>
    </r>
  </si>
  <si>
    <t>Thermal transmittance of a window with a transparent filling only.</t>
  </si>
  <si>
    <r>
      <t>For this example A</t>
    </r>
    <r>
      <rPr>
        <vertAlign val="subscript"/>
        <sz val="10"/>
        <rFont val="Arial"/>
        <family val="2"/>
      </rPr>
      <t>g</t>
    </r>
    <r>
      <rPr>
        <sz val="10"/>
        <rFont val="Arial"/>
        <family val="2"/>
      </rPr>
      <t>=0 and l</t>
    </r>
    <r>
      <rPr>
        <vertAlign val="subscript"/>
        <sz val="10"/>
        <rFont val="Arial"/>
        <family val="2"/>
      </rPr>
      <t>g</t>
    </r>
    <r>
      <rPr>
        <sz val="10"/>
        <rFont val="Arial"/>
        <family val="2"/>
      </rPr>
      <t xml:space="preserve"> is assumed (only opaque panel)</t>
    </r>
  </si>
  <si>
    <t>Caluclation method added</t>
  </si>
  <si>
    <t>SCOPE OF THIS SPREADSHEET:</t>
  </si>
  <si>
    <t>For those responsible for the drafting of this spreadsheet on the accompanying EPB standard</t>
  </si>
  <si>
    <r>
      <rPr>
        <b/>
        <sz val="11"/>
        <rFont val="Arial"/>
        <family val="2"/>
      </rPr>
      <t>Intended use of this document</t>
    </r>
    <r>
      <rPr>
        <sz val="10"/>
        <rFont val="Arial"/>
        <family val="2"/>
      </rPr>
      <t xml:space="preserve">
Those responsible for the drafting of actual individual EPB standards shall
-  read and understand the following documents
   - EN/TS 16628 Basic Principles (in short "BP")
   - EN/TS 16629 Detailed Technical Rules (in short "DTR")
   - Most recent draft of ISO 52000-1 cq EN 15603 ("Overarching Standard", in short "OA"))
   - Most recent draft of ISO/TR 52000-2 cq EN/TR 15615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</si>
  <si>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t>THIS SPREADSHEET PROVIDES ONE CALCULATION EXAMPLE</t>
  </si>
  <si>
    <t>Final draft accompanying the draft FDIS, ready for distribution as CEN TEC 89 N document and for public distribution</t>
  </si>
  <si>
    <t>EN 14351-1
ISO 52016-1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</si>
</sst>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22" x14ac:knownFonts="1">
    <font>
      <sz val="10"/>
      <name val="Arial"/>
    </font>
    <font>
      <sz val="8"/>
      <color indexed="81"/>
      <name val="Tahoma"/>
      <family val="2"/>
    </font>
    <font>
      <b/>
      <sz val="8"/>
      <color indexed="81"/>
      <name val="Tahoma"/>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b/>
      <sz val="10"/>
      <color rgb="FFFF0000"/>
      <name val="Arial"/>
      <family val="2"/>
    </font>
    <font>
      <i/>
      <vertAlign val="subscript"/>
      <sz val="10"/>
      <name val="Arial"/>
      <family val="2"/>
    </font>
    <font>
      <sz val="10"/>
      <color rgb="FFFF0000"/>
      <name val="Arial"/>
      <family val="2"/>
    </font>
    <font>
      <vertAlign val="superscript"/>
      <sz val="10"/>
      <name val="Arial"/>
      <family val="2"/>
    </font>
    <font>
      <sz val="9"/>
      <name val="Arial"/>
      <family val="2"/>
    </font>
    <font>
      <i/>
      <vertAlign val="subscript"/>
      <sz val="10"/>
      <name val="Calibri"/>
      <family val="2"/>
      <scheme val="minor"/>
    </font>
    <font>
      <b/>
      <sz val="12"/>
      <name val="Arial"/>
      <family val="2"/>
    </font>
    <font>
      <sz val="7"/>
      <name val="Times New Roman"/>
      <family val="1"/>
    </font>
    <font>
      <sz val="14"/>
      <color rgb="FF0000FF"/>
      <name val="Arial"/>
      <family val="2"/>
    </font>
    <font>
      <vertAlign val="subscript"/>
      <sz val="10"/>
      <name val="Arial"/>
      <family val="2"/>
    </font>
  </fonts>
  <fills count="7">
    <fill>
      <patternFill patternType="none"/>
    </fill>
    <fill>
      <patternFill patternType="gray125"/>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3" fillId="0" borderId="0"/>
    <xf numFmtId="0" fontId="3" fillId="0" borderId="0"/>
  </cellStyleXfs>
  <cellXfs count="141">
    <xf numFmtId="0" fontId="0" fillId="0" borderId="0" xfId="0"/>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3" fontId="0" fillId="0" borderId="1" xfId="0" applyNumberFormat="1" applyBorder="1" applyAlignment="1">
      <alignment horizontal="center" vertical="center" wrapText="1"/>
    </xf>
    <xf numFmtId="0" fontId="4" fillId="0" borderId="1" xfId="0" applyFont="1" applyBorder="1" applyAlignment="1">
      <alignment horizontal="center" vertical="center" wrapText="1"/>
    </xf>
    <xf numFmtId="0" fontId="5" fillId="0" borderId="1" xfId="0"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wrapText="1"/>
    </xf>
    <xf numFmtId="0" fontId="4" fillId="0" borderId="1" xfId="0" applyFont="1" applyBorder="1" applyAlignment="1">
      <alignment horizontal="left" vertical="center" wrapText="1"/>
    </xf>
    <xf numFmtId="0" fontId="4"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4" fillId="0" borderId="1" xfId="0" quotePrefix="1" applyFont="1" applyBorder="1" applyAlignment="1">
      <alignment horizontal="center" vertical="center" wrapText="1"/>
    </xf>
    <xf numFmtId="0" fontId="4" fillId="0" borderId="1" xfId="0" applyFont="1" applyBorder="1" applyAlignment="1">
      <alignment horizontal="justify" vertical="center"/>
    </xf>
    <xf numFmtId="0" fontId="5" fillId="0" borderId="1" xfId="0" applyFont="1" applyBorder="1" applyAlignment="1">
      <alignment horizontal="center"/>
    </xf>
    <xf numFmtId="0" fontId="4" fillId="0" borderId="7" xfId="0" applyFont="1" applyBorder="1" applyAlignment="1">
      <alignment horizontal="center" vertical="center" wrapText="1"/>
    </xf>
    <xf numFmtId="0" fontId="0" fillId="0" borderId="0" xfId="0" applyAlignment="1">
      <alignment vertical="center" wrapText="1"/>
    </xf>
    <xf numFmtId="0" fontId="0" fillId="0" borderId="1" xfId="0" applyBorder="1"/>
    <xf numFmtId="0" fontId="4" fillId="0" borderId="10"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7" xfId="0" applyBorder="1"/>
    <xf numFmtId="0" fontId="7" fillId="0" borderId="14" xfId="0" applyFont="1" applyBorder="1" applyAlignment="1">
      <alignment horizontal="center"/>
    </xf>
    <xf numFmtId="0" fontId="7" fillId="0" borderId="15" xfId="0" applyFont="1" applyBorder="1" applyAlignment="1">
      <alignment horizontal="center"/>
    </xf>
    <xf numFmtId="0" fontId="7" fillId="0" borderId="16" xfId="0" applyFont="1" applyBorder="1" applyAlignment="1">
      <alignment horizontal="center" wrapText="1"/>
    </xf>
    <xf numFmtId="0" fontId="0" fillId="0" borderId="18" xfId="0" applyBorder="1" applyAlignment="1">
      <alignment wrapText="1"/>
    </xf>
    <xf numFmtId="14" fontId="4" fillId="0" borderId="2" xfId="0" applyNumberFormat="1" applyFont="1" applyBorder="1" applyAlignment="1">
      <alignment horizontal="center"/>
    </xf>
    <xf numFmtId="0" fontId="0" fillId="0" borderId="5" xfId="0" applyBorder="1" applyAlignment="1">
      <alignment wrapText="1"/>
    </xf>
    <xf numFmtId="14" fontId="0" fillId="0" borderId="2"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xf numFmtId="0" fontId="0" fillId="0" borderId="6" xfId="0" applyBorder="1" applyAlignment="1">
      <alignment wrapText="1"/>
    </xf>
    <xf numFmtId="0" fontId="9" fillId="0" borderId="14" xfId="0" applyFont="1" applyBorder="1" applyAlignment="1">
      <alignment horizontal="center" vertical="center" wrapText="1"/>
    </xf>
    <xf numFmtId="0" fontId="9" fillId="0" borderId="15" xfId="0" applyFont="1" applyBorder="1" applyAlignment="1">
      <alignment horizontal="center" vertical="center" wrapText="1"/>
    </xf>
    <xf numFmtId="0" fontId="9" fillId="0" borderId="16" xfId="0" applyFont="1" applyBorder="1" applyAlignment="1">
      <alignment horizontal="center" vertical="center" wrapText="1"/>
    </xf>
    <xf numFmtId="0" fontId="4" fillId="0" borderId="10" xfId="0" quotePrefix="1" applyFont="1" applyBorder="1" applyAlignment="1">
      <alignment horizontal="center" vertical="center" wrapText="1"/>
    </xf>
    <xf numFmtId="0" fontId="4" fillId="0" borderId="9" xfId="0" applyFont="1" applyBorder="1" applyAlignment="1">
      <alignment horizontal="center" vertical="center" wrapText="1"/>
    </xf>
    <xf numFmtId="0" fontId="10" fillId="0" borderId="13" xfId="0" applyFont="1" applyBorder="1" applyAlignment="1">
      <alignment horizontal="left" vertical="center" wrapText="1"/>
    </xf>
    <xf numFmtId="0" fontId="3" fillId="0" borderId="1" xfId="0" applyFont="1" applyBorder="1" applyAlignment="1">
      <alignment horizontal="center" vertical="center" wrapText="1"/>
    </xf>
    <xf numFmtId="0" fontId="4" fillId="0" borderId="5"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4" fillId="0" borderId="1" xfId="0" applyFont="1" applyBorder="1" applyAlignment="1">
      <alignment horizontal="center" vertical="center"/>
    </xf>
    <xf numFmtId="0" fontId="8" fillId="0" borderId="1" xfId="0" applyFont="1" applyBorder="1" applyAlignment="1">
      <alignment horizontal="center" vertical="center"/>
    </xf>
    <xf numFmtId="0" fontId="0" fillId="0" borderId="0" xfId="0" applyAlignment="1">
      <alignment horizontal="center" vertical="center" wrapText="1"/>
    </xf>
    <xf numFmtId="0" fontId="4" fillId="0" borderId="1" xfId="0" applyFont="1" applyBorder="1" applyAlignment="1">
      <alignment horizontal="center" vertical="center" wrapText="1"/>
    </xf>
    <xf numFmtId="0" fontId="3" fillId="0" borderId="9" xfId="0" applyFont="1" applyBorder="1" applyAlignment="1">
      <alignment horizontal="center" vertical="center" wrapText="1"/>
    </xf>
    <xf numFmtId="0" fontId="3" fillId="0" borderId="1" xfId="0" applyFont="1" applyBorder="1" applyAlignment="1">
      <alignment vertical="center" wrapText="1"/>
    </xf>
    <xf numFmtId="0" fontId="3" fillId="0" borderId="4" xfId="0" applyFont="1" applyBorder="1" applyAlignment="1">
      <alignment horizontal="center" vertical="center" wrapText="1"/>
    </xf>
    <xf numFmtId="0" fontId="3" fillId="0" borderId="3" xfId="0" applyFont="1" applyBorder="1" applyAlignment="1">
      <alignment vertical="center" wrapText="1"/>
    </xf>
    <xf numFmtId="3" fontId="11" fillId="0" borderId="4" xfId="0" applyNumberFormat="1" applyFont="1" applyBorder="1" applyAlignment="1">
      <alignment horizontal="center" vertical="center" wrapText="1"/>
    </xf>
    <xf numFmtId="0" fontId="3" fillId="0" borderId="6" xfId="0" applyFont="1" applyBorder="1" applyAlignment="1">
      <alignment horizontal="center" vertical="center" wrapText="1"/>
    </xf>
    <xf numFmtId="3" fontId="3" fillId="0" borderId="4" xfId="0" applyNumberFormat="1" applyFont="1" applyBorder="1" applyAlignment="1">
      <alignment horizontal="center" vertical="center" wrapText="1"/>
    </xf>
    <xf numFmtId="0" fontId="4" fillId="0" borderId="1" xfId="0" applyFont="1" applyBorder="1" applyAlignment="1">
      <alignment horizontal="left" vertical="center" wrapText="1" indent="2"/>
    </xf>
    <xf numFmtId="0" fontId="3" fillId="0" borderId="1" xfId="0" applyFont="1" applyBorder="1" applyAlignment="1">
      <alignment horizontal="left" vertical="center" wrapText="1" indent="2"/>
    </xf>
    <xf numFmtId="0" fontId="3" fillId="0" borderId="1" xfId="0" applyFont="1" applyBorder="1" applyAlignment="1">
      <alignment horizontal="left" indent="2"/>
    </xf>
    <xf numFmtId="0" fontId="3" fillId="0" borderId="5" xfId="0" applyFont="1" applyBorder="1" applyAlignment="1">
      <alignment horizontal="center" vertical="center" wrapText="1"/>
    </xf>
    <xf numFmtId="0" fontId="0" fillId="0" borderId="0" xfId="0" applyAlignment="1">
      <alignment horizontal="center" vertical="center" wrapText="1"/>
    </xf>
    <xf numFmtId="0" fontId="4" fillId="0" borderId="1" xfId="0" applyFont="1" applyBorder="1" applyAlignment="1">
      <alignment horizontal="center" vertical="center" wrapText="1"/>
    </xf>
    <xf numFmtId="0" fontId="0" fillId="0" borderId="1" xfId="0" applyBorder="1" applyAlignment="1">
      <alignment horizontal="center" vertical="center" wrapText="1"/>
    </xf>
    <xf numFmtId="0" fontId="3" fillId="0" borderId="1" xfId="0" applyFont="1" applyBorder="1"/>
    <xf numFmtId="0" fontId="3" fillId="0" borderId="5" xfId="0" applyFont="1" applyBorder="1" applyAlignment="1">
      <alignment wrapText="1"/>
    </xf>
    <xf numFmtId="0" fontId="5" fillId="0" borderId="10" xfId="0" applyFont="1" applyBorder="1" applyAlignment="1">
      <alignment horizontal="center" vertical="center"/>
    </xf>
    <xf numFmtId="0" fontId="5" fillId="0" borderId="10" xfId="0" applyFont="1" applyBorder="1" applyAlignment="1">
      <alignment horizontal="center"/>
    </xf>
    <xf numFmtId="0" fontId="3" fillId="0" borderId="1" xfId="0" applyFont="1" applyBorder="1" applyAlignment="1">
      <alignment horizontal="center" vertical="center"/>
    </xf>
    <xf numFmtId="0" fontId="4" fillId="0" borderId="1" xfId="0" applyFont="1" applyFill="1" applyBorder="1" applyAlignment="1">
      <alignment vertical="center" wrapText="1"/>
    </xf>
    <xf numFmtId="0" fontId="3" fillId="0" borderId="1" xfId="0" applyFont="1" applyFill="1" applyBorder="1" applyAlignment="1">
      <alignment horizontal="center" vertical="center" wrapText="1"/>
    </xf>
    <xf numFmtId="0" fontId="4" fillId="0" borderId="1" xfId="0" applyFont="1" applyFill="1" applyBorder="1" applyAlignment="1">
      <alignment horizontal="center" vertical="center" wrapText="1"/>
    </xf>
    <xf numFmtId="164" fontId="0" fillId="0" borderId="1" xfId="0" applyNumberFormat="1" applyFill="1" applyBorder="1" applyAlignment="1">
      <alignment horizontal="center" vertical="center" wrapText="1"/>
    </xf>
    <xf numFmtId="0" fontId="0" fillId="0" borderId="1" xfId="0" applyFill="1" applyBorder="1" applyAlignment="1">
      <alignment horizontal="center" vertical="center" wrapText="1"/>
    </xf>
    <xf numFmtId="0" fontId="4" fillId="0" borderId="1" xfId="0" applyFont="1" applyFill="1" applyBorder="1" applyAlignment="1">
      <alignment horizontal="left" vertical="center" wrapText="1"/>
    </xf>
    <xf numFmtId="0" fontId="5" fillId="0" borderId="1" xfId="0" applyFont="1" applyFill="1" applyBorder="1" applyAlignment="1">
      <alignment horizontal="center" vertical="center"/>
    </xf>
    <xf numFmtId="0" fontId="4" fillId="0" borderId="1" xfId="0" applyFont="1" applyFill="1" applyBorder="1" applyAlignment="1">
      <alignment vertical="center"/>
    </xf>
    <xf numFmtId="0" fontId="3" fillId="0" borderId="1" xfId="0" applyFont="1" applyFill="1" applyBorder="1" applyAlignment="1">
      <alignment horizontal="center" vertical="center"/>
    </xf>
    <xf numFmtId="3" fontId="0" fillId="0" borderId="1" xfId="0" applyNumberFormat="1" applyFill="1" applyBorder="1" applyAlignment="1">
      <alignment horizontal="center" vertical="center" wrapText="1"/>
    </xf>
    <xf numFmtId="0" fontId="0" fillId="0" borderId="0" xfId="0" applyFill="1" applyAlignment="1">
      <alignment horizontal="center" vertical="center" wrapText="1"/>
    </xf>
    <xf numFmtId="0" fontId="3" fillId="0" borderId="1" xfId="0" applyFont="1" applyFill="1" applyBorder="1" applyAlignment="1">
      <alignment vertical="center"/>
    </xf>
    <xf numFmtId="0" fontId="3" fillId="0" borderId="0" xfId="0" applyFont="1" applyBorder="1" applyAlignment="1">
      <alignment horizontal="center" vertical="center" wrapText="1"/>
    </xf>
    <xf numFmtId="0" fontId="3" fillId="0" borderId="0" xfId="0" applyFont="1" applyAlignment="1">
      <alignment horizontal="center" vertical="center"/>
    </xf>
    <xf numFmtId="0" fontId="3" fillId="0" borderId="0" xfId="0" applyFont="1" applyAlignment="1">
      <alignment horizontal="left" vertical="center"/>
    </xf>
    <xf numFmtId="0" fontId="14" fillId="5" borderId="0" xfId="0" applyFont="1" applyFill="1" applyAlignment="1">
      <alignment horizontal="left" vertical="center"/>
    </xf>
    <xf numFmtId="0" fontId="0" fillId="5" borderId="0" xfId="0" applyFill="1" applyAlignment="1">
      <alignment horizontal="center" vertical="center" wrapText="1"/>
    </xf>
    <xf numFmtId="0" fontId="3" fillId="0" borderId="1" xfId="0" applyFont="1" applyBorder="1" applyAlignment="1">
      <alignment vertical="center"/>
    </xf>
    <xf numFmtId="0" fontId="5" fillId="0" borderId="4" xfId="0" applyFont="1" applyBorder="1" applyAlignment="1">
      <alignment horizontal="center" vertical="center" wrapText="1"/>
    </xf>
    <xf numFmtId="0" fontId="3" fillId="0" borderId="4" xfId="0" applyFont="1" applyBorder="1" applyAlignment="1">
      <alignment horizontal="center" vertical="center"/>
    </xf>
    <xf numFmtId="0" fontId="11" fillId="0" borderId="1" xfId="0" applyFont="1" applyFill="1" applyBorder="1" applyAlignment="1">
      <alignment horizontal="center" vertical="center" wrapText="1"/>
    </xf>
    <xf numFmtId="2" fontId="0" fillId="0" borderId="1" xfId="0" applyNumberFormat="1" applyFill="1" applyBorder="1" applyAlignment="1">
      <alignment horizontal="center" vertical="center" wrapText="1"/>
    </xf>
    <xf numFmtId="0" fontId="3" fillId="0" borderId="1" xfId="0" applyFont="1" applyBorder="1" applyAlignment="1">
      <alignment horizontal="left"/>
    </xf>
    <xf numFmtId="0" fontId="3" fillId="0" borderId="1" xfId="0" applyFont="1" applyBorder="1" applyAlignment="1">
      <alignment horizontal="left" vertical="center"/>
    </xf>
    <xf numFmtId="0" fontId="7" fillId="0" borderId="1" xfId="0" applyFont="1" applyBorder="1" applyAlignment="1">
      <alignment horizontal="left" vertical="center"/>
    </xf>
    <xf numFmtId="0" fontId="7" fillId="0" borderId="7" xfId="0" applyFont="1" applyBorder="1" applyAlignment="1">
      <alignment horizontal="left" vertical="center" wrapText="1"/>
    </xf>
    <xf numFmtId="0" fontId="16" fillId="0" borderId="1" xfId="0" applyFont="1" applyBorder="1"/>
    <xf numFmtId="0" fontId="3"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3" fillId="0" borderId="1" xfId="0" quotePrefix="1" applyFont="1" applyBorder="1" applyAlignment="1">
      <alignment horizontal="center" vertical="center" wrapText="1"/>
    </xf>
    <xf numFmtId="0" fontId="16" fillId="0" borderId="1" xfId="0" applyFont="1" applyBorder="1" applyAlignment="1">
      <alignment vertical="center"/>
    </xf>
    <xf numFmtId="0" fontId="3" fillId="0" borderId="10" xfId="0" quotePrefix="1" applyFont="1" applyBorder="1" applyAlignment="1">
      <alignment horizontal="center" vertical="center" wrapText="1"/>
    </xf>
    <xf numFmtId="0" fontId="3" fillId="0" borderId="1" xfId="0" applyFont="1" applyBorder="1" applyAlignment="1">
      <alignment horizontal="left" vertical="center" wrapText="1"/>
    </xf>
    <xf numFmtId="0" fontId="7" fillId="0" borderId="0" xfId="0" applyFont="1" applyAlignment="1">
      <alignment horizontal="center" vertical="center" wrapText="1"/>
    </xf>
    <xf numFmtId="0" fontId="3" fillId="0" borderId="0" xfId="0" applyFont="1" applyAlignment="1">
      <alignment horizontal="center" vertical="center" wrapText="1"/>
    </xf>
    <xf numFmtId="14" fontId="0" fillId="0" borderId="17" xfId="0" applyNumberFormat="1" applyBorder="1" applyAlignment="1">
      <alignment horizontal="center"/>
    </xf>
    <xf numFmtId="0" fontId="18" fillId="5" borderId="1" xfId="1" applyFont="1" applyFill="1" applyBorder="1" applyAlignment="1">
      <alignment vertical="center"/>
    </xf>
    <xf numFmtId="0" fontId="3" fillId="0" borderId="0" xfId="1"/>
    <xf numFmtId="0" fontId="7" fillId="0" borderId="1" xfId="1" applyFont="1" applyFill="1" applyBorder="1" applyAlignment="1">
      <alignment vertical="center"/>
    </xf>
    <xf numFmtId="0" fontId="18" fillId="6" borderId="1" xfId="1" applyFont="1" applyFill="1" applyBorder="1" applyAlignment="1">
      <alignment vertical="center" wrapText="1"/>
    </xf>
    <xf numFmtId="0" fontId="3" fillId="0" borderId="0" xfId="1" applyFont="1" applyAlignment="1">
      <alignment vertical="center"/>
    </xf>
    <xf numFmtId="0" fontId="18" fillId="5" borderId="21" xfId="1" applyFont="1" applyFill="1" applyBorder="1" applyAlignment="1">
      <alignment vertical="center"/>
    </xf>
    <xf numFmtId="0" fontId="20" fillId="0" borderId="0" xfId="1" applyFont="1"/>
    <xf numFmtId="0" fontId="7" fillId="0" borderId="22" xfId="1" applyFont="1" applyBorder="1" applyAlignment="1">
      <alignment vertical="center"/>
    </xf>
    <xf numFmtId="0" fontId="8" fillId="0" borderId="7" xfId="1" applyFont="1" applyBorder="1" applyAlignment="1">
      <alignment horizontal="left" vertical="center" wrapText="1" indent="4"/>
    </xf>
    <xf numFmtId="0" fontId="8" fillId="0" borderId="0" xfId="1" applyFont="1" applyAlignment="1">
      <alignment horizontal="left" vertical="center" wrapText="1" indent="4"/>
    </xf>
    <xf numFmtId="0" fontId="3" fillId="0" borderId="7" xfId="0" applyFont="1" applyBorder="1" applyAlignment="1">
      <alignment horizontal="left" vertical="center" wrapText="1"/>
    </xf>
    <xf numFmtId="0" fontId="3" fillId="0" borderId="7" xfId="0" applyFont="1" applyBorder="1" applyAlignment="1">
      <alignment horizontal="center" vertical="center" wrapText="1"/>
    </xf>
    <xf numFmtId="0" fontId="0" fillId="0" borderId="7" xfId="0" applyBorder="1" applyAlignment="1" applyProtection="1">
      <alignment horizontal="center" vertical="center" wrapText="1"/>
      <protection locked="0"/>
    </xf>
    <xf numFmtId="0" fontId="3" fillId="3" borderId="1" xfId="0" applyFont="1" applyFill="1" applyBorder="1" applyAlignment="1" applyProtection="1">
      <alignment horizontal="center" vertical="center" wrapText="1"/>
      <protection locked="0"/>
    </xf>
    <xf numFmtId="49" fontId="3" fillId="0" borderId="1" xfId="0" applyNumberFormat="1" applyFont="1" applyBorder="1" applyAlignment="1">
      <alignment horizontal="center" vertical="center" wrapText="1"/>
    </xf>
    <xf numFmtId="165" fontId="0" fillId="0" borderId="1" xfId="0" applyNumberFormat="1" applyBorder="1" applyAlignment="1">
      <alignment horizontal="center" vertical="center" wrapText="1"/>
    </xf>
    <xf numFmtId="0" fontId="3" fillId="4" borderId="11" xfId="0" applyFont="1" applyFill="1" applyBorder="1" applyAlignment="1">
      <alignment horizontal="center" vertical="center" wrapText="1"/>
    </xf>
    <xf numFmtId="0" fontId="0" fillId="4" borderId="8" xfId="0" applyFill="1" applyBorder="1" applyAlignment="1">
      <alignment horizontal="center" vertical="center" wrapText="1"/>
    </xf>
    <xf numFmtId="0" fontId="0" fillId="4" borderId="12" xfId="0" applyFill="1" applyBorder="1" applyAlignment="1">
      <alignment horizontal="center" vertical="center" wrapText="1"/>
    </xf>
    <xf numFmtId="0" fontId="4" fillId="4" borderId="8"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3" fillId="4" borderId="0" xfId="0" applyFont="1" applyFill="1" applyAlignment="1">
      <alignment horizontal="center" vertical="center" wrapText="1"/>
    </xf>
    <xf numFmtId="0" fontId="0" fillId="4" borderId="0" xfId="0" applyFill="1" applyAlignment="1">
      <alignment horizontal="center" vertical="center" wrapText="1"/>
    </xf>
    <xf numFmtId="0" fontId="8" fillId="0" borderId="22" xfId="2" applyFont="1" applyBorder="1" applyAlignment="1">
      <alignment horizontal="left" vertical="center" wrapText="1" indent="4"/>
    </xf>
    <xf numFmtId="0" fontId="7" fillId="5" borderId="0" xfId="0" applyFont="1" applyFill="1" applyAlignment="1">
      <alignment vertical="center"/>
    </xf>
    <xf numFmtId="0" fontId="3" fillId="5" borderId="0" xfId="0" applyFont="1" applyFill="1" applyAlignment="1">
      <alignment vertical="center"/>
    </xf>
    <xf numFmtId="0" fontId="3" fillId="0" borderId="0" xfId="0" quotePrefix="1" applyFont="1" applyFill="1" applyAlignment="1">
      <alignment vertical="center"/>
    </xf>
    <xf numFmtId="0" fontId="8" fillId="0" borderId="0" xfId="2" applyFont="1" applyAlignment="1">
      <alignment horizontal="left" vertical="center" wrapText="1" indent="4"/>
    </xf>
    <xf numFmtId="0" fontId="7" fillId="5" borderId="0" xfId="2" applyFont="1" applyFill="1" applyAlignment="1">
      <alignment vertical="center"/>
    </xf>
    <xf numFmtId="0" fontId="3" fillId="0" borderId="0" xfId="2" applyFont="1" applyAlignment="1">
      <alignment vertical="center" wrapText="1"/>
    </xf>
    <xf numFmtId="0" fontId="3" fillId="2" borderId="0" xfId="2" applyFont="1" applyFill="1" applyAlignment="1">
      <alignment vertical="center" wrapText="1"/>
    </xf>
    <xf numFmtId="49" fontId="3" fillId="0" borderId="1" xfId="0" applyNumberFormat="1" applyFont="1" applyBorder="1" applyAlignment="1">
      <alignment wrapText="1"/>
    </xf>
  </cellXfs>
  <cellStyles count="3">
    <cellStyle name="Normal 3" xfId="2"/>
    <cellStyle name="Standard" xfId="0" builtinId="0"/>
    <cellStyle name="Standard 2" xfId="1"/>
  </cellStyles>
  <dxfs count="0"/>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 Id="rId5" Type="http://schemas.openxmlformats.org/officeDocument/2006/relationships/image" Target="../media/image5.wmf"/><Relationship Id="rId4" Type="http://schemas.openxmlformats.org/officeDocument/2006/relationships/image" Target="../media/image4.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7</xdr:row>
          <xdr:rowOff>0</xdr:rowOff>
        </xdr:from>
        <xdr:to>
          <xdr:col>5</xdr:col>
          <xdr:colOff>3009900</xdr:colOff>
          <xdr:row>8</xdr:row>
          <xdr:rowOff>0</xdr:rowOff>
        </xdr:to>
        <xdr:sp macro="" textlink="">
          <xdr:nvSpPr>
            <xdr:cNvPr id="9217" name="Object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438150</xdr:colOff>
          <xdr:row>8</xdr:row>
          <xdr:rowOff>209550</xdr:rowOff>
        </xdr:from>
        <xdr:to>
          <xdr:col>5</xdr:col>
          <xdr:colOff>2619375</xdr:colOff>
          <xdr:row>8</xdr:row>
          <xdr:rowOff>590550</xdr:rowOff>
        </xdr:to>
        <xdr:sp macro="" textlink="">
          <xdr:nvSpPr>
            <xdr:cNvPr id="9219" name="Object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5</xdr:col>
          <xdr:colOff>2066925</xdr:colOff>
          <xdr:row>9</xdr:row>
          <xdr:rowOff>409575</xdr:rowOff>
        </xdr:to>
        <xdr:sp macro="" textlink="">
          <xdr:nvSpPr>
            <xdr:cNvPr id="9220" name="Object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5</xdr:col>
          <xdr:colOff>3038475</xdr:colOff>
          <xdr:row>11</xdr:row>
          <xdr:rowOff>419100</xdr:rowOff>
        </xdr:to>
        <xdr:sp macro="" textlink="">
          <xdr:nvSpPr>
            <xdr:cNvPr id="9222" name="Object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0</xdr:rowOff>
        </xdr:from>
        <xdr:to>
          <xdr:col>5</xdr:col>
          <xdr:colOff>895350</xdr:colOff>
          <xdr:row>10</xdr:row>
          <xdr:rowOff>323850</xdr:rowOff>
        </xdr:to>
        <xdr:sp macro="" textlink="">
          <xdr:nvSpPr>
            <xdr:cNvPr id="9224" name="Object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3" Type="http://schemas.openxmlformats.org/officeDocument/2006/relationships/vmlDrawing" Target="../drawings/vmlDrawing2.vml"/><Relationship Id="rId7" Type="http://schemas.openxmlformats.org/officeDocument/2006/relationships/image" Target="../media/image2.wmf"/><Relationship Id="rId12" Type="http://schemas.openxmlformats.org/officeDocument/2006/relationships/oleObject" Target="../embeddings/oleObject5.bin"/><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4.wmf"/><Relationship Id="rId5" Type="http://schemas.openxmlformats.org/officeDocument/2006/relationships/image" Target="../media/image1.w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wmf"/></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4"/>
  <sheetViews>
    <sheetView tabSelected="1" workbookViewId="0">
      <selection activeCell="F3" sqref="F3"/>
    </sheetView>
  </sheetViews>
  <sheetFormatPr baseColWidth="10" defaultRowHeight="12.75" x14ac:dyDescent="0.2"/>
  <cols>
    <col min="1" max="1" width="86" style="110" customWidth="1"/>
    <col min="2" max="16384" width="11.42578125" style="110"/>
  </cols>
  <sheetData>
    <row r="1" spans="1:7" ht="15.75" x14ac:dyDescent="0.2">
      <c r="A1" s="109" t="s">
        <v>122</v>
      </c>
    </row>
    <row r="2" spans="1:7" x14ac:dyDescent="0.2">
      <c r="A2" s="111" t="s">
        <v>123</v>
      </c>
    </row>
    <row r="3" spans="1:7" ht="69" customHeight="1" x14ac:dyDescent="0.2">
      <c r="A3" s="112" t="s">
        <v>140</v>
      </c>
    </row>
    <row r="4" spans="1:7" x14ac:dyDescent="0.2">
      <c r="A4" s="113" t="s">
        <v>124</v>
      </c>
    </row>
    <row r="5" spans="1:7" x14ac:dyDescent="0.2">
      <c r="A5" s="113"/>
    </row>
    <row r="6" spans="1:7" ht="15.75" x14ac:dyDescent="0.2">
      <c r="A6" s="114" t="s">
        <v>125</v>
      </c>
    </row>
    <row r="7" spans="1:7" ht="56.25" customHeight="1" x14ac:dyDescent="0.25">
      <c r="A7" s="132" t="s">
        <v>126</v>
      </c>
      <c r="G7" s="115"/>
    </row>
    <row r="8" spans="1:7" ht="49.5" customHeight="1" x14ac:dyDescent="0.2">
      <c r="A8" s="132" t="s">
        <v>127</v>
      </c>
    </row>
    <row r="9" spans="1:7" ht="57.75" customHeight="1" x14ac:dyDescent="0.2">
      <c r="A9" s="132" t="s">
        <v>128</v>
      </c>
    </row>
    <row r="10" spans="1:7" ht="99" customHeight="1" x14ac:dyDescent="0.2">
      <c r="A10" s="132" t="s">
        <v>129</v>
      </c>
    </row>
    <row r="11" spans="1:7" ht="16.5" customHeight="1" x14ac:dyDescent="0.2">
      <c r="A11" s="116" t="s">
        <v>130</v>
      </c>
    </row>
    <row r="12" spans="1:7" ht="59.25" customHeight="1" x14ac:dyDescent="0.2">
      <c r="A12" s="132" t="s">
        <v>131</v>
      </c>
    </row>
    <row r="13" spans="1:7" x14ac:dyDescent="0.2">
      <c r="A13" s="116" t="s">
        <v>132</v>
      </c>
    </row>
    <row r="14" spans="1:7" ht="42" customHeight="1" x14ac:dyDescent="0.2">
      <c r="A14" s="132" t="s">
        <v>133</v>
      </c>
    </row>
    <row r="15" spans="1:7" ht="56.25" customHeight="1" x14ac:dyDescent="0.2">
      <c r="A15" s="132" t="s">
        <v>134</v>
      </c>
    </row>
    <row r="16" spans="1:7" ht="65.25" customHeight="1" x14ac:dyDescent="0.2">
      <c r="A16" s="132" t="s">
        <v>135</v>
      </c>
    </row>
    <row r="17" spans="1:1" x14ac:dyDescent="0.2">
      <c r="A17" s="116" t="s">
        <v>136</v>
      </c>
    </row>
    <row r="18" spans="1:1" ht="21" customHeight="1" x14ac:dyDescent="0.2">
      <c r="A18" s="132" t="s">
        <v>137</v>
      </c>
    </row>
    <row r="19" spans="1:1" ht="42" customHeight="1" x14ac:dyDescent="0.2">
      <c r="A19" s="132" t="s">
        <v>138</v>
      </c>
    </row>
    <row r="20" spans="1:1" x14ac:dyDescent="0.2">
      <c r="A20" s="117"/>
    </row>
    <row r="21" spans="1:1" x14ac:dyDescent="0.2">
      <c r="A21" s="118"/>
    </row>
    <row r="22" spans="1:1" ht="11.25" customHeight="1" x14ac:dyDescent="0.2">
      <c r="A22" s="133" t="s">
        <v>185</v>
      </c>
    </row>
    <row r="23" spans="1:1" x14ac:dyDescent="0.2">
      <c r="A23" s="134" t="s">
        <v>188</v>
      </c>
    </row>
    <row r="24" spans="1:1" x14ac:dyDescent="0.2">
      <c r="A24" s="135"/>
    </row>
    <row r="25" spans="1:1" x14ac:dyDescent="0.2">
      <c r="A25" s="135"/>
    </row>
    <row r="26" spans="1:1" x14ac:dyDescent="0.2">
      <c r="A26" s="135"/>
    </row>
    <row r="27" spans="1:1" x14ac:dyDescent="0.2">
      <c r="A27" s="135"/>
    </row>
    <row r="28" spans="1:1" x14ac:dyDescent="0.2">
      <c r="A28" s="136"/>
    </row>
    <row r="29" spans="1:1" x14ac:dyDescent="0.2">
      <c r="A29" s="137" t="s">
        <v>186</v>
      </c>
    </row>
    <row r="30" spans="1:1" ht="180.75" x14ac:dyDescent="0.2">
      <c r="A30" s="138" t="s">
        <v>187</v>
      </c>
    </row>
    <row r="31" spans="1:1" ht="89.25" x14ac:dyDescent="0.2">
      <c r="A31" s="138" t="s">
        <v>139</v>
      </c>
    </row>
    <row r="32" spans="1:1" ht="38.25" x14ac:dyDescent="0.2">
      <c r="A32" s="139" t="s">
        <v>19</v>
      </c>
    </row>
    <row r="33" spans="1:1" ht="51" x14ac:dyDescent="0.2">
      <c r="A33" s="139" t="s">
        <v>20</v>
      </c>
    </row>
    <row r="34" spans="1:1" ht="38.25" x14ac:dyDescent="0.2">
      <c r="A34" s="139" t="s">
        <v>21</v>
      </c>
    </row>
  </sheetData>
  <sheetProtection password="CE72" sheet="1" objects="1" scenario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O55"/>
  <sheetViews>
    <sheetView workbookViewId="0">
      <selection activeCell="E24" sqref="E24"/>
    </sheetView>
  </sheetViews>
  <sheetFormatPr baseColWidth="10" defaultColWidth="9.140625" defaultRowHeight="12.75" x14ac:dyDescent="0.2"/>
  <cols>
    <col min="1" max="1" width="50.85546875" style="4" bestFit="1" customWidth="1"/>
    <col min="2" max="2" width="12.7109375" style="1" customWidth="1"/>
    <col min="3" max="3" width="16.85546875" style="65" customWidth="1"/>
    <col min="4" max="4" width="9.140625" style="1"/>
    <col min="5" max="5" width="14" style="1" customWidth="1"/>
    <col min="6" max="6" width="12.28515625" style="1" customWidth="1"/>
    <col min="7" max="8" width="9.140625" style="1"/>
    <col min="9" max="9" width="39.28515625" style="1" customWidth="1"/>
    <col min="10" max="10" width="80.42578125" style="1" customWidth="1"/>
    <col min="12" max="16384" width="9.140625" style="1"/>
  </cols>
  <sheetData>
    <row r="1" spans="1:15" ht="76.5" customHeight="1" thickBot="1" x14ac:dyDescent="0.25">
      <c r="A1" s="125" t="s">
        <v>16</v>
      </c>
      <c r="B1" s="126"/>
      <c r="C1" s="126"/>
      <c r="D1" s="126"/>
      <c r="E1" s="126"/>
      <c r="F1" s="126"/>
      <c r="G1" s="126"/>
      <c r="H1" s="126"/>
      <c r="I1" s="127"/>
    </row>
    <row r="2" spans="1:15" x14ac:dyDescent="0.2">
      <c r="A2" s="1"/>
    </row>
    <row r="3" spans="1:15" ht="13.5" thickBot="1" x14ac:dyDescent="0.25"/>
    <row r="4" spans="1:15" ht="23.25" customHeight="1" thickBot="1" x14ac:dyDescent="0.25">
      <c r="A4" s="37" t="s">
        <v>2</v>
      </c>
      <c r="B4" s="38" t="s">
        <v>6</v>
      </c>
      <c r="C4" s="38" t="s">
        <v>22</v>
      </c>
      <c r="D4" s="38" t="s">
        <v>0</v>
      </c>
      <c r="E4" s="38" t="s">
        <v>3</v>
      </c>
      <c r="F4" s="38" t="s">
        <v>7</v>
      </c>
      <c r="G4" s="38" t="s">
        <v>1</v>
      </c>
      <c r="H4" s="38" t="s">
        <v>8</v>
      </c>
      <c r="I4" s="39" t="s">
        <v>5</v>
      </c>
      <c r="J4" s="106" t="s">
        <v>116</v>
      </c>
      <c r="L4" s="88" t="s">
        <v>27</v>
      </c>
      <c r="M4" s="89"/>
      <c r="N4" s="89"/>
      <c r="O4" s="89"/>
    </row>
    <row r="5" spans="1:15" ht="19.5" customHeight="1" x14ac:dyDescent="0.2">
      <c r="A5" s="98" t="s">
        <v>59</v>
      </c>
      <c r="B5" s="5"/>
      <c r="C5" s="5"/>
      <c r="D5" s="5"/>
      <c r="E5" s="5"/>
      <c r="F5" s="5"/>
      <c r="G5" s="5"/>
      <c r="H5" s="19"/>
      <c r="I5" s="5"/>
    </row>
    <row r="6" spans="1:15" s="65" customFormat="1" ht="41.25" x14ac:dyDescent="0.2">
      <c r="A6" s="119" t="s">
        <v>143</v>
      </c>
      <c r="B6" s="120" t="s">
        <v>147</v>
      </c>
      <c r="C6" s="120" t="s">
        <v>150</v>
      </c>
      <c r="D6" s="120" t="s">
        <v>28</v>
      </c>
      <c r="E6" s="121">
        <v>1.23</v>
      </c>
      <c r="F6" s="5"/>
      <c r="G6" s="5"/>
      <c r="H6" s="19"/>
      <c r="I6" s="120" t="s">
        <v>146</v>
      </c>
      <c r="K6"/>
    </row>
    <row r="7" spans="1:15" s="65" customFormat="1" ht="41.25" x14ac:dyDescent="0.2">
      <c r="A7" s="119" t="s">
        <v>144</v>
      </c>
      <c r="B7" s="120" t="s">
        <v>148</v>
      </c>
      <c r="C7" s="120" t="s">
        <v>151</v>
      </c>
      <c r="D7" s="120" t="s">
        <v>28</v>
      </c>
      <c r="E7" s="121">
        <v>1.48</v>
      </c>
      <c r="F7" s="5"/>
      <c r="G7" s="5"/>
      <c r="H7" s="19"/>
      <c r="I7" s="120" t="s">
        <v>146</v>
      </c>
      <c r="K7"/>
    </row>
    <row r="8" spans="1:15" s="65" customFormat="1" ht="41.25" x14ac:dyDescent="0.2">
      <c r="A8" s="119" t="s">
        <v>155</v>
      </c>
      <c r="B8" s="120" t="s">
        <v>153</v>
      </c>
      <c r="C8" s="120" t="s">
        <v>157</v>
      </c>
      <c r="D8" s="120" t="s">
        <v>28</v>
      </c>
      <c r="E8" s="121">
        <v>1.48</v>
      </c>
      <c r="F8" s="5"/>
      <c r="G8" s="5"/>
      <c r="H8" s="19"/>
      <c r="I8" s="120" t="s">
        <v>165</v>
      </c>
      <c r="K8"/>
    </row>
    <row r="9" spans="1:15" s="65" customFormat="1" ht="41.25" x14ac:dyDescent="0.2">
      <c r="A9" s="119" t="s">
        <v>156</v>
      </c>
      <c r="B9" s="120" t="s">
        <v>154</v>
      </c>
      <c r="C9" s="120" t="s">
        <v>158</v>
      </c>
      <c r="D9" s="120" t="s">
        <v>28</v>
      </c>
      <c r="E9" s="121">
        <v>2.13</v>
      </c>
      <c r="F9" s="5"/>
      <c r="G9" s="5"/>
      <c r="H9" s="19"/>
      <c r="I9" s="120" t="s">
        <v>165</v>
      </c>
      <c r="K9"/>
    </row>
    <row r="10" spans="1:15" s="65" customFormat="1" ht="41.25" x14ac:dyDescent="0.2">
      <c r="A10" s="119" t="s">
        <v>145</v>
      </c>
      <c r="B10" s="120" t="s">
        <v>149</v>
      </c>
      <c r="C10" s="120" t="s">
        <v>152</v>
      </c>
      <c r="D10" s="120" t="s">
        <v>28</v>
      </c>
      <c r="E10" s="121">
        <v>0.11</v>
      </c>
      <c r="F10" s="5"/>
      <c r="G10" s="5"/>
      <c r="H10" s="19"/>
      <c r="I10" s="120" t="s">
        <v>166</v>
      </c>
      <c r="K10"/>
    </row>
    <row r="11" spans="1:15" ht="15.75" x14ac:dyDescent="0.2">
      <c r="A11" s="96" t="s">
        <v>160</v>
      </c>
      <c r="B11" s="9" t="s">
        <v>57</v>
      </c>
      <c r="C11" s="9" t="s">
        <v>29</v>
      </c>
      <c r="D11" s="72" t="s">
        <v>159</v>
      </c>
      <c r="E11" s="100">
        <f>A_w-A_g</f>
        <v>0.54780000000000006</v>
      </c>
      <c r="F11" s="72" t="s">
        <v>89</v>
      </c>
      <c r="G11" s="72"/>
      <c r="H11" s="43" t="s">
        <v>43</v>
      </c>
      <c r="I11" s="43"/>
      <c r="J11" s="85" t="s">
        <v>141</v>
      </c>
      <c r="L11" s="87"/>
    </row>
    <row r="12" spans="1:15" s="65" customFormat="1" ht="15.75" x14ac:dyDescent="0.2">
      <c r="A12" s="96" t="s">
        <v>161</v>
      </c>
      <c r="B12" s="9" t="s">
        <v>57</v>
      </c>
      <c r="C12" s="9" t="s">
        <v>29</v>
      </c>
      <c r="D12" s="72" t="s">
        <v>159</v>
      </c>
      <c r="E12" s="100">
        <f>A_d-A_p</f>
        <v>0.74579999999999957</v>
      </c>
      <c r="F12" s="72" t="s">
        <v>89</v>
      </c>
      <c r="G12" s="72"/>
      <c r="H12" s="43" t="s">
        <v>43</v>
      </c>
      <c r="I12" s="43"/>
      <c r="J12" s="85" t="s">
        <v>141</v>
      </c>
      <c r="K12"/>
      <c r="L12" s="87"/>
    </row>
    <row r="13" spans="1:15" ht="15.75" x14ac:dyDescent="0.2">
      <c r="A13" s="68" t="s">
        <v>44</v>
      </c>
      <c r="B13" s="9" t="s">
        <v>58</v>
      </c>
      <c r="C13" s="9" t="s">
        <v>45</v>
      </c>
      <c r="D13" s="72" t="s">
        <v>159</v>
      </c>
      <c r="E13" s="100">
        <f>(b_w-2*b_f)*(h_w-2*b_f)</f>
        <v>1.2726</v>
      </c>
      <c r="F13" s="72" t="s">
        <v>89</v>
      </c>
      <c r="G13" s="72"/>
      <c r="H13" s="43" t="s">
        <v>43</v>
      </c>
      <c r="I13" s="2"/>
      <c r="J13" s="85" t="s">
        <v>141</v>
      </c>
      <c r="L13" s="87"/>
    </row>
    <row r="14" spans="1:15" ht="14.25" x14ac:dyDescent="0.2">
      <c r="A14" s="68" t="s">
        <v>46</v>
      </c>
      <c r="B14" s="9" t="s">
        <v>47</v>
      </c>
      <c r="C14" s="9" t="s">
        <v>48</v>
      </c>
      <c r="D14" s="72" t="s">
        <v>159</v>
      </c>
      <c r="E14" s="100">
        <f>(b_d-2*b_f)*(h_d-2*b_f)</f>
        <v>2.4066000000000001</v>
      </c>
      <c r="F14" s="72" t="s">
        <v>89</v>
      </c>
      <c r="G14" s="72"/>
      <c r="H14" s="43" t="s">
        <v>43</v>
      </c>
      <c r="I14" s="2"/>
      <c r="J14" s="85" t="s">
        <v>141</v>
      </c>
    </row>
    <row r="15" spans="1:15" s="65" customFormat="1" ht="15.75" x14ac:dyDescent="0.2">
      <c r="A15" s="68" t="s">
        <v>49</v>
      </c>
      <c r="B15" s="9" t="s">
        <v>105</v>
      </c>
      <c r="C15" s="9" t="s">
        <v>50</v>
      </c>
      <c r="D15" s="72" t="s">
        <v>159</v>
      </c>
      <c r="E15" s="100">
        <f>b_w*h_w</f>
        <v>1.8204</v>
      </c>
      <c r="F15" s="72" t="s">
        <v>89</v>
      </c>
      <c r="G15" s="72"/>
      <c r="H15" s="43" t="s">
        <v>43</v>
      </c>
      <c r="I15" s="67"/>
      <c r="J15" s="85" t="s">
        <v>141</v>
      </c>
      <c r="K15"/>
    </row>
    <row r="16" spans="1:15" ht="15.75" x14ac:dyDescent="0.2">
      <c r="A16" s="90" t="s">
        <v>51</v>
      </c>
      <c r="B16" s="9" t="s">
        <v>106</v>
      </c>
      <c r="C16" s="9" t="s">
        <v>52</v>
      </c>
      <c r="D16" s="72" t="s">
        <v>159</v>
      </c>
      <c r="E16" s="100">
        <f>b_d*h_d</f>
        <v>3.1523999999999996</v>
      </c>
      <c r="F16" s="72" t="s">
        <v>89</v>
      </c>
      <c r="G16" s="43"/>
      <c r="H16" s="43" t="s">
        <v>43</v>
      </c>
      <c r="I16" s="43"/>
      <c r="J16" s="85" t="s">
        <v>141</v>
      </c>
      <c r="L16" s="87"/>
    </row>
    <row r="17" spans="1:12" ht="15.75" x14ac:dyDescent="0.2">
      <c r="A17" s="68" t="s">
        <v>53</v>
      </c>
      <c r="B17" s="9" t="s">
        <v>107</v>
      </c>
      <c r="C17" s="9" t="s">
        <v>54</v>
      </c>
      <c r="D17" s="72" t="s">
        <v>28</v>
      </c>
      <c r="E17" s="100">
        <f>2*(b_w-2*b_f)+2*(h_w-2*b_f)</f>
        <v>4.54</v>
      </c>
      <c r="F17" s="72" t="s">
        <v>90</v>
      </c>
      <c r="G17" s="43"/>
      <c r="H17" s="43" t="s">
        <v>43</v>
      </c>
      <c r="I17" s="43" t="s">
        <v>164</v>
      </c>
      <c r="J17" s="85" t="s">
        <v>141</v>
      </c>
    </row>
    <row r="18" spans="1:12" ht="15.75" x14ac:dyDescent="0.2">
      <c r="A18" s="68" t="s">
        <v>55</v>
      </c>
      <c r="B18" s="9" t="s">
        <v>108</v>
      </c>
      <c r="C18" s="9" t="s">
        <v>56</v>
      </c>
      <c r="D18" s="72" t="s">
        <v>28</v>
      </c>
      <c r="E18" s="100">
        <f>2*(b_d-2*b_f)+2*(h_d-2*b_f)</f>
        <v>6.34</v>
      </c>
      <c r="F18" s="72" t="s">
        <v>90</v>
      </c>
      <c r="G18" s="72"/>
      <c r="H18" s="43" t="s">
        <v>43</v>
      </c>
      <c r="I18" s="43" t="s">
        <v>163</v>
      </c>
      <c r="J18" s="85" t="s">
        <v>141</v>
      </c>
      <c r="L18" s="87"/>
    </row>
    <row r="19" spans="1:12" ht="15" customHeight="1" x14ac:dyDescent="0.2">
      <c r="A19" s="99" t="s">
        <v>142</v>
      </c>
      <c r="B19" s="9" t="s">
        <v>60</v>
      </c>
      <c r="C19" s="101" t="s">
        <v>61</v>
      </c>
      <c r="D19" s="43" t="s">
        <v>28</v>
      </c>
      <c r="E19" s="100">
        <f>(b_w-2*b_f)+(h_w-2*b_f)</f>
        <v>2.27</v>
      </c>
      <c r="F19" s="72" t="s">
        <v>90</v>
      </c>
      <c r="G19" s="72"/>
      <c r="H19" s="43" t="s">
        <v>43</v>
      </c>
      <c r="I19" s="43" t="s">
        <v>162</v>
      </c>
      <c r="J19" s="85" t="s">
        <v>141</v>
      </c>
      <c r="L19" s="87"/>
    </row>
    <row r="20" spans="1:12" x14ac:dyDescent="0.2">
      <c r="A20" s="103"/>
      <c r="B20" s="10"/>
      <c r="C20" s="101"/>
      <c r="D20" s="102"/>
      <c r="E20" s="100"/>
      <c r="F20" s="72"/>
      <c r="G20" s="43"/>
      <c r="H20" s="43" t="s">
        <v>43</v>
      </c>
      <c r="I20" s="2"/>
      <c r="J20" s="107"/>
      <c r="L20" s="87"/>
    </row>
    <row r="21" spans="1:12" x14ac:dyDescent="0.2">
      <c r="A21" s="62"/>
      <c r="B21" s="9"/>
      <c r="C21" s="70"/>
      <c r="D21" s="22"/>
      <c r="E21" s="93"/>
      <c r="F21" s="54"/>
      <c r="G21" s="43"/>
      <c r="H21" s="43" t="s">
        <v>43</v>
      </c>
      <c r="I21" s="2"/>
    </row>
    <row r="22" spans="1:12" x14ac:dyDescent="0.2">
      <c r="A22" s="98" t="s">
        <v>62</v>
      </c>
      <c r="B22" s="9"/>
      <c r="C22" s="70"/>
      <c r="D22" s="22"/>
      <c r="E22" s="93"/>
      <c r="F22" s="41"/>
      <c r="G22" s="8"/>
      <c r="H22" s="43" t="s">
        <v>43</v>
      </c>
      <c r="I22" s="2"/>
    </row>
    <row r="23" spans="1:12" ht="15.75" x14ac:dyDescent="0.2">
      <c r="A23" s="68" t="s">
        <v>63</v>
      </c>
      <c r="B23" s="9" t="s">
        <v>109</v>
      </c>
      <c r="C23" s="9" t="s">
        <v>77</v>
      </c>
      <c r="D23" s="72" t="s">
        <v>33</v>
      </c>
      <c r="E23" s="122">
        <v>1.8</v>
      </c>
      <c r="F23" s="72" t="s">
        <v>34</v>
      </c>
      <c r="G23" s="72"/>
      <c r="H23" s="43" t="s">
        <v>43</v>
      </c>
      <c r="I23" s="43"/>
      <c r="J23" s="107" t="s">
        <v>97</v>
      </c>
    </row>
    <row r="24" spans="1:12" ht="15.75" x14ac:dyDescent="0.2">
      <c r="A24" s="99" t="s">
        <v>64</v>
      </c>
      <c r="B24" s="9" t="s">
        <v>110</v>
      </c>
      <c r="C24" s="9" t="s">
        <v>78</v>
      </c>
      <c r="D24" s="72" t="s">
        <v>33</v>
      </c>
      <c r="E24" s="122">
        <v>1.2</v>
      </c>
      <c r="F24" s="72" t="s">
        <v>34</v>
      </c>
      <c r="G24" s="43"/>
      <c r="H24" s="43" t="s">
        <v>43</v>
      </c>
      <c r="I24" s="43"/>
      <c r="J24" s="107" t="s">
        <v>170</v>
      </c>
      <c r="L24" s="87"/>
    </row>
    <row r="25" spans="1:12" ht="15.75" x14ac:dyDescent="0.2">
      <c r="A25" s="99" t="s">
        <v>65</v>
      </c>
      <c r="B25" s="9" t="s">
        <v>111</v>
      </c>
      <c r="C25" s="9" t="s">
        <v>79</v>
      </c>
      <c r="D25" s="72" t="s">
        <v>33</v>
      </c>
      <c r="E25" s="122">
        <v>0.8</v>
      </c>
      <c r="F25" s="72" t="s">
        <v>34</v>
      </c>
      <c r="G25" s="72"/>
      <c r="H25" s="43" t="s">
        <v>43</v>
      </c>
      <c r="I25" s="43"/>
      <c r="J25" s="107" t="s">
        <v>98</v>
      </c>
      <c r="L25" s="87"/>
    </row>
    <row r="26" spans="1:12" s="65" customFormat="1" ht="15.75" x14ac:dyDescent="0.2">
      <c r="A26" s="99" t="s">
        <v>71</v>
      </c>
      <c r="B26" s="9" t="s">
        <v>112</v>
      </c>
      <c r="C26" s="9" t="s">
        <v>80</v>
      </c>
      <c r="D26" s="72" t="s">
        <v>33</v>
      </c>
      <c r="E26" s="122">
        <v>1.5</v>
      </c>
      <c r="F26" s="72" t="s">
        <v>34</v>
      </c>
      <c r="G26" s="72"/>
      <c r="H26" s="43" t="s">
        <v>43</v>
      </c>
      <c r="I26" s="43"/>
      <c r="J26" s="107" t="s">
        <v>99</v>
      </c>
      <c r="K26"/>
      <c r="L26" s="87"/>
    </row>
    <row r="27" spans="1:12" ht="15.75" x14ac:dyDescent="0.2">
      <c r="A27" s="105" t="s">
        <v>66</v>
      </c>
      <c r="B27" s="9" t="s">
        <v>81</v>
      </c>
      <c r="C27" s="9" t="s">
        <v>72</v>
      </c>
      <c r="D27" s="72" t="s">
        <v>85</v>
      </c>
      <c r="E27" s="122">
        <v>0.04</v>
      </c>
      <c r="F27" s="72" t="s">
        <v>34</v>
      </c>
      <c r="G27" s="43"/>
      <c r="H27" s="43" t="s">
        <v>43</v>
      </c>
      <c r="I27" s="43"/>
      <c r="J27" s="107" t="s">
        <v>100</v>
      </c>
    </row>
    <row r="28" spans="1:12" ht="15.75" x14ac:dyDescent="0.2">
      <c r="A28" s="105" t="s">
        <v>67</v>
      </c>
      <c r="B28" s="9" t="s">
        <v>82</v>
      </c>
      <c r="C28" s="9" t="s">
        <v>73</v>
      </c>
      <c r="D28" s="72" t="s">
        <v>85</v>
      </c>
      <c r="E28" s="122">
        <v>0.1</v>
      </c>
      <c r="F28" s="72" t="s">
        <v>34</v>
      </c>
      <c r="G28" s="43"/>
      <c r="H28" s="43" t="s">
        <v>43</v>
      </c>
      <c r="I28" s="43"/>
      <c r="J28" s="107" t="s">
        <v>117</v>
      </c>
      <c r="L28" s="87"/>
    </row>
    <row r="29" spans="1:12" s="65" customFormat="1" ht="15.75" x14ac:dyDescent="0.2">
      <c r="A29" s="105" t="s">
        <v>68</v>
      </c>
      <c r="B29" s="9" t="s">
        <v>83</v>
      </c>
      <c r="C29" s="9" t="s">
        <v>84</v>
      </c>
      <c r="D29" s="72" t="s">
        <v>85</v>
      </c>
      <c r="E29" s="122">
        <v>0.03</v>
      </c>
      <c r="F29" s="72" t="s">
        <v>34</v>
      </c>
      <c r="G29" s="43"/>
      <c r="H29" s="43" t="s">
        <v>43</v>
      </c>
      <c r="I29" s="43"/>
      <c r="J29" s="107" t="s">
        <v>117</v>
      </c>
      <c r="K29"/>
      <c r="L29" s="87"/>
    </row>
    <row r="30" spans="1:12" s="65" customFormat="1" ht="15.75" x14ac:dyDescent="0.2">
      <c r="A30" s="105" t="s">
        <v>69</v>
      </c>
      <c r="B30" s="9" t="s">
        <v>113</v>
      </c>
      <c r="C30" s="9" t="s">
        <v>74</v>
      </c>
      <c r="D30" s="72" t="s">
        <v>86</v>
      </c>
      <c r="E30" s="122">
        <v>0.17</v>
      </c>
      <c r="F30" s="72" t="s">
        <v>34</v>
      </c>
      <c r="G30" s="43"/>
      <c r="H30" s="43" t="s">
        <v>43</v>
      </c>
      <c r="I30" s="43" t="s">
        <v>70</v>
      </c>
      <c r="J30" s="107" t="s">
        <v>118</v>
      </c>
      <c r="K30"/>
      <c r="L30" s="87"/>
    </row>
    <row r="31" spans="1:12" s="65" customFormat="1" ht="14.25" x14ac:dyDescent="0.2">
      <c r="A31" s="105" t="s">
        <v>76</v>
      </c>
      <c r="B31" s="9" t="s">
        <v>102</v>
      </c>
      <c r="C31" s="9" t="s">
        <v>75</v>
      </c>
      <c r="D31" s="72" t="s">
        <v>86</v>
      </c>
      <c r="E31" s="122">
        <v>0.17</v>
      </c>
      <c r="F31" s="72" t="s">
        <v>34</v>
      </c>
      <c r="G31" s="43"/>
      <c r="H31" s="43" t="s">
        <v>43</v>
      </c>
      <c r="I31" s="43"/>
      <c r="J31" s="107" t="s">
        <v>170</v>
      </c>
      <c r="K31"/>
      <c r="L31" s="87"/>
    </row>
    <row r="32" spans="1:12" s="65" customFormat="1" x14ac:dyDescent="0.2">
      <c r="A32" s="105"/>
      <c r="B32" s="10"/>
      <c r="C32" s="9"/>
      <c r="D32" s="72"/>
      <c r="E32" s="100"/>
      <c r="F32" s="72"/>
      <c r="G32" s="43"/>
      <c r="H32" s="43" t="s">
        <v>43</v>
      </c>
      <c r="I32" s="67"/>
      <c r="K32"/>
      <c r="L32" s="87"/>
    </row>
    <row r="33" spans="1:12" s="65" customFormat="1" x14ac:dyDescent="0.2">
      <c r="A33" s="105"/>
      <c r="B33" s="9"/>
      <c r="C33" s="9"/>
      <c r="D33" s="102"/>
      <c r="E33" s="100"/>
      <c r="F33" s="72"/>
      <c r="G33" s="43"/>
      <c r="H33" s="43" t="s">
        <v>43</v>
      </c>
      <c r="I33" s="67"/>
      <c r="K33"/>
      <c r="L33" s="87"/>
    </row>
    <row r="34" spans="1:12" x14ac:dyDescent="0.2">
      <c r="A34" s="61"/>
      <c r="B34" s="9"/>
      <c r="C34" s="9"/>
      <c r="D34" s="66"/>
      <c r="E34" s="94"/>
      <c r="F34" s="66"/>
      <c r="G34" s="8"/>
      <c r="H34" s="43" t="s">
        <v>43</v>
      </c>
      <c r="I34" s="2"/>
    </row>
    <row r="35" spans="1:12" x14ac:dyDescent="0.2">
      <c r="A35" s="61"/>
      <c r="B35" s="9"/>
      <c r="C35" s="70"/>
      <c r="D35" s="22"/>
      <c r="E35" s="94"/>
      <c r="F35" s="41"/>
      <c r="G35" s="8"/>
      <c r="H35" s="43" t="s">
        <v>43</v>
      </c>
      <c r="I35" s="2"/>
    </row>
    <row r="36" spans="1:12" x14ac:dyDescent="0.2">
      <c r="A36" s="98" t="s">
        <v>30</v>
      </c>
      <c r="B36" s="9"/>
      <c r="C36" s="70"/>
      <c r="D36" s="22"/>
      <c r="E36" s="94"/>
      <c r="F36" s="41"/>
      <c r="G36" s="8"/>
      <c r="H36" s="43" t="s">
        <v>43</v>
      </c>
      <c r="I36" s="2"/>
    </row>
    <row r="37" spans="1:12" ht="15.75" x14ac:dyDescent="0.2">
      <c r="A37" s="99" t="s">
        <v>91</v>
      </c>
      <c r="B37" s="9" t="s">
        <v>114</v>
      </c>
      <c r="C37" s="9" t="s">
        <v>95</v>
      </c>
      <c r="D37" s="72" t="s">
        <v>86</v>
      </c>
      <c r="E37" s="100">
        <v>0.04</v>
      </c>
      <c r="F37" s="43"/>
      <c r="G37" s="43"/>
      <c r="H37" s="43" t="s">
        <v>43</v>
      </c>
      <c r="I37" s="2"/>
      <c r="J37" s="107"/>
    </row>
    <row r="38" spans="1:12" ht="15.75" x14ac:dyDescent="0.2">
      <c r="A38" s="99" t="s">
        <v>92</v>
      </c>
      <c r="B38" s="9" t="s">
        <v>115</v>
      </c>
      <c r="C38" s="9" t="s">
        <v>96</v>
      </c>
      <c r="D38" s="72" t="s">
        <v>86</v>
      </c>
      <c r="E38" s="100">
        <v>0.13</v>
      </c>
      <c r="F38" s="43"/>
      <c r="G38" s="43"/>
      <c r="H38" s="43" t="s">
        <v>43</v>
      </c>
      <c r="I38" s="2"/>
      <c r="L38" s="87"/>
    </row>
    <row r="39" spans="1:12" ht="25.5" x14ac:dyDescent="0.2">
      <c r="A39" s="99" t="s">
        <v>93</v>
      </c>
      <c r="B39" s="9" t="s">
        <v>114</v>
      </c>
      <c r="C39" s="9" t="s">
        <v>95</v>
      </c>
      <c r="D39" s="72" t="s">
        <v>86</v>
      </c>
      <c r="E39" s="100">
        <v>0.04</v>
      </c>
      <c r="F39" s="102"/>
      <c r="G39" s="43"/>
      <c r="H39" s="43" t="s">
        <v>43</v>
      </c>
      <c r="I39" s="43" t="s">
        <v>169</v>
      </c>
      <c r="J39" s="107"/>
      <c r="L39" s="87"/>
    </row>
    <row r="40" spans="1:12" ht="25.5" x14ac:dyDescent="0.2">
      <c r="A40" s="99" t="s">
        <v>94</v>
      </c>
      <c r="B40" s="9" t="s">
        <v>115</v>
      </c>
      <c r="C40" s="9" t="s">
        <v>96</v>
      </c>
      <c r="D40" s="72" t="s">
        <v>86</v>
      </c>
      <c r="E40" s="100">
        <v>0.1</v>
      </c>
      <c r="F40" s="72"/>
      <c r="G40" s="43"/>
      <c r="H40" s="43" t="s">
        <v>43</v>
      </c>
      <c r="I40" s="43" t="s">
        <v>169</v>
      </c>
      <c r="J40" s="107"/>
    </row>
    <row r="41" spans="1:12" x14ac:dyDescent="0.2">
      <c r="A41" s="96" t="s">
        <v>101</v>
      </c>
      <c r="B41" s="10" t="s">
        <v>104</v>
      </c>
      <c r="C41" s="70" t="s">
        <v>26</v>
      </c>
      <c r="D41" s="72" t="s">
        <v>103</v>
      </c>
      <c r="E41" s="100"/>
      <c r="F41" s="102"/>
      <c r="G41" s="43"/>
      <c r="H41" s="43"/>
      <c r="I41" s="2"/>
      <c r="J41" s="107"/>
      <c r="L41" s="87" t="s">
        <v>31</v>
      </c>
    </row>
    <row r="42" spans="1:12" x14ac:dyDescent="0.2">
      <c r="A42" s="68"/>
      <c r="B42" s="9"/>
      <c r="C42" s="70"/>
      <c r="D42" s="104"/>
      <c r="E42" s="100"/>
      <c r="F42" s="41"/>
      <c r="G42" s="8"/>
      <c r="H42" s="43"/>
      <c r="I42" s="2"/>
      <c r="L42" s="87" t="s">
        <v>31</v>
      </c>
    </row>
    <row r="43" spans="1:12" x14ac:dyDescent="0.2">
      <c r="A43" s="68"/>
      <c r="B43" s="9"/>
      <c r="C43" s="70"/>
      <c r="D43" s="40"/>
      <c r="E43" s="100"/>
      <c r="F43" s="41"/>
      <c r="G43" s="8"/>
      <c r="H43" s="43"/>
      <c r="I43" s="2"/>
    </row>
    <row r="44" spans="1:12" x14ac:dyDescent="0.2">
      <c r="A44" s="99"/>
      <c r="B44" s="9"/>
      <c r="C44" s="70"/>
      <c r="D44" s="104"/>
      <c r="E44" s="100"/>
      <c r="F44" s="6"/>
      <c r="G44" s="43"/>
      <c r="H44" s="43"/>
      <c r="I44" s="2"/>
      <c r="J44" s="107"/>
    </row>
    <row r="45" spans="1:12" x14ac:dyDescent="0.2">
      <c r="A45" s="61"/>
      <c r="B45" s="9"/>
      <c r="C45" s="70"/>
      <c r="D45" s="22"/>
      <c r="E45" s="77"/>
      <c r="F45" s="41"/>
      <c r="G45" s="8"/>
      <c r="H45" s="8"/>
      <c r="I45" s="2"/>
    </row>
    <row r="46" spans="1:12" x14ac:dyDescent="0.2">
      <c r="A46" s="61"/>
      <c r="B46" s="9"/>
      <c r="C46" s="70"/>
      <c r="D46" s="22"/>
      <c r="E46" s="77"/>
      <c r="F46" s="41"/>
      <c r="G46" s="8"/>
      <c r="H46" s="8"/>
      <c r="I46" s="2"/>
    </row>
    <row r="47" spans="1:12" x14ac:dyDescent="0.2">
      <c r="A47" s="61"/>
      <c r="B47" s="18"/>
      <c r="C47" s="71"/>
      <c r="D47" s="22"/>
      <c r="E47" s="77"/>
      <c r="F47" s="41"/>
      <c r="G47" s="8"/>
      <c r="H47" s="8"/>
      <c r="I47" s="2"/>
    </row>
    <row r="48" spans="1:12" x14ac:dyDescent="0.2">
      <c r="A48" s="63"/>
      <c r="B48" s="9"/>
      <c r="C48" s="9"/>
      <c r="D48" s="8"/>
      <c r="E48" s="2"/>
      <c r="F48" s="2"/>
      <c r="G48" s="2"/>
      <c r="H48" s="2"/>
      <c r="I48" s="2"/>
    </row>
    <row r="49" spans="1:12" s="65" customFormat="1" x14ac:dyDescent="0.2">
      <c r="A49" s="97" t="s">
        <v>17</v>
      </c>
      <c r="B49" s="9"/>
      <c r="C49" s="9"/>
      <c r="D49" s="66"/>
      <c r="E49" s="67"/>
      <c r="F49" s="67"/>
      <c r="G49" s="67"/>
      <c r="H49" s="67"/>
      <c r="I49" s="67"/>
    </row>
    <row r="50" spans="1:12" s="65" customFormat="1" ht="14.25" x14ac:dyDescent="0.2">
      <c r="A50" s="105" t="s">
        <v>87</v>
      </c>
      <c r="B50" s="10" t="s">
        <v>119</v>
      </c>
      <c r="C50" s="9" t="s">
        <v>88</v>
      </c>
      <c r="D50" s="72" t="s">
        <v>85</v>
      </c>
      <c r="E50" s="100">
        <v>1</v>
      </c>
      <c r="F50" s="43" t="s">
        <v>24</v>
      </c>
      <c r="G50" s="43"/>
      <c r="H50" s="43"/>
      <c r="I50" s="67"/>
      <c r="L50" s="87" t="s">
        <v>23</v>
      </c>
    </row>
    <row r="51" spans="1:12" x14ac:dyDescent="0.2">
      <c r="A51" s="95"/>
      <c r="B51" s="9"/>
      <c r="C51" s="9"/>
      <c r="D51" s="72"/>
      <c r="E51" s="2"/>
      <c r="F51" s="43"/>
      <c r="G51" s="43"/>
      <c r="H51" s="43"/>
      <c r="I51" s="2"/>
      <c r="L51" s="87" t="s">
        <v>23</v>
      </c>
    </row>
    <row r="52" spans="1:12" x14ac:dyDescent="0.2">
      <c r="A52" s="95"/>
      <c r="B52" s="10"/>
      <c r="C52" s="9"/>
      <c r="D52" s="72"/>
      <c r="E52" s="86"/>
      <c r="F52" s="43"/>
      <c r="G52" s="43"/>
      <c r="H52" s="43"/>
      <c r="I52" s="2"/>
      <c r="L52" s="87" t="s">
        <v>23</v>
      </c>
    </row>
    <row r="53" spans="1:12" x14ac:dyDescent="0.2">
      <c r="A53" s="96"/>
      <c r="B53" s="9"/>
      <c r="C53" s="9"/>
      <c r="D53" s="43"/>
      <c r="E53" s="43"/>
      <c r="F53" s="43"/>
      <c r="G53" s="43"/>
      <c r="H53" s="43"/>
      <c r="I53" s="2"/>
      <c r="L53" s="87" t="s">
        <v>25</v>
      </c>
    </row>
    <row r="54" spans="1:12" x14ac:dyDescent="0.2">
      <c r="A54" s="17"/>
      <c r="B54" s="10"/>
      <c r="C54" s="10"/>
      <c r="D54" s="8"/>
      <c r="E54" s="2"/>
      <c r="F54" s="16"/>
      <c r="G54" s="8"/>
      <c r="H54" s="8"/>
      <c r="I54" s="2"/>
    </row>
    <row r="55" spans="1:12" x14ac:dyDescent="0.2">
      <c r="A55" s="13"/>
      <c r="B55" s="18"/>
      <c r="C55" s="18"/>
      <c r="D55" s="16"/>
      <c r="E55" s="2"/>
      <c r="F55" s="8"/>
      <c r="G55" s="8"/>
      <c r="H55" s="8"/>
      <c r="I55" s="2"/>
    </row>
  </sheetData>
  <mergeCells count="1">
    <mergeCell ref="A1:I1"/>
  </mergeCells>
  <phoneticPr fontId="0" type="noConversion"/>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39"/>
  <sheetViews>
    <sheetView zoomScaleNormal="100" workbookViewId="0">
      <selection activeCell="G13" sqref="G13"/>
    </sheetView>
  </sheetViews>
  <sheetFormatPr baseColWidth="10" defaultColWidth="9.140625" defaultRowHeight="12.75" x14ac:dyDescent="0.2"/>
  <cols>
    <col min="1" max="1" width="30.42578125" style="1" customWidth="1"/>
    <col min="2" max="2" width="12.42578125" style="1" customWidth="1"/>
    <col min="3" max="3" width="9.140625" style="1"/>
    <col min="4" max="4" width="11" style="1" customWidth="1"/>
    <col min="5" max="5" width="14" style="1" customWidth="1"/>
    <col min="6" max="6" width="47.7109375" style="1" customWidth="1"/>
    <col min="7" max="7" width="29.42578125" style="1" customWidth="1"/>
    <col min="8" max="16384" width="9.140625" style="1"/>
  </cols>
  <sheetData>
    <row r="1" spans="1:11" ht="86.25" customHeight="1" thickBot="1" x14ac:dyDescent="0.25">
      <c r="A1" s="125" t="s">
        <v>18</v>
      </c>
      <c r="B1" s="128"/>
      <c r="C1" s="128"/>
      <c r="D1" s="128"/>
      <c r="E1" s="128"/>
      <c r="F1" s="128"/>
      <c r="G1" s="129"/>
      <c r="H1" s="20"/>
      <c r="I1" s="20"/>
      <c r="J1" s="20"/>
      <c r="K1" s="20"/>
    </row>
    <row r="3" spans="1:11" x14ac:dyDescent="0.2">
      <c r="A3" s="11" t="s">
        <v>4</v>
      </c>
      <c r="B3" s="11" t="s">
        <v>6</v>
      </c>
      <c r="C3" s="11" t="s">
        <v>0</v>
      </c>
      <c r="D3" s="11" t="s">
        <v>3</v>
      </c>
      <c r="E3" s="11" t="s">
        <v>10</v>
      </c>
      <c r="F3" s="11" t="s">
        <v>9</v>
      </c>
      <c r="G3" s="11" t="s">
        <v>5</v>
      </c>
    </row>
    <row r="4" spans="1:11" x14ac:dyDescent="0.2">
      <c r="A4" s="2"/>
      <c r="B4" s="2"/>
      <c r="C4" s="2"/>
      <c r="D4" s="2"/>
      <c r="E4" s="2"/>
      <c r="F4" s="2"/>
      <c r="G4" s="2"/>
    </row>
    <row r="5" spans="1:11" ht="43.5" customHeight="1" x14ac:dyDescent="0.2">
      <c r="A5" s="12"/>
      <c r="B5" s="72"/>
      <c r="C5" s="8"/>
      <c r="D5" s="14"/>
      <c r="E5" s="8"/>
      <c r="F5"/>
      <c r="G5" s="2"/>
    </row>
    <row r="6" spans="1:11" x14ac:dyDescent="0.2">
      <c r="A6" s="12"/>
      <c r="B6" s="50"/>
      <c r="C6" s="2"/>
      <c r="D6" s="2"/>
      <c r="E6" s="8"/>
      <c r="F6" s="8"/>
      <c r="G6" s="2"/>
    </row>
    <row r="7" spans="1:11" x14ac:dyDescent="0.2">
      <c r="A7" s="11"/>
      <c r="B7" s="2"/>
      <c r="C7" s="2"/>
      <c r="D7" s="2"/>
      <c r="E7" s="2"/>
      <c r="F7" s="2"/>
      <c r="G7" s="2"/>
    </row>
    <row r="8" spans="1:11" ht="41.25" customHeight="1" x14ac:dyDescent="0.2">
      <c r="A8" s="105" t="s">
        <v>174</v>
      </c>
      <c r="B8" s="9" t="s">
        <v>38</v>
      </c>
      <c r="C8" s="72" t="s">
        <v>33</v>
      </c>
      <c r="D8" s="14">
        <f>(A_g*Method_calculation!U_g+A_f*U_f+l_g*psi_fg+l_gb*psi_gb)/(A_f+A_g)</f>
        <v>1.5177213799165017</v>
      </c>
      <c r="E8" s="123" t="s">
        <v>167</v>
      </c>
      <c r="F8"/>
      <c r="G8" s="43" t="s">
        <v>182</v>
      </c>
    </row>
    <row r="9" spans="1:11" ht="66.75" x14ac:dyDescent="0.2">
      <c r="A9" s="105" t="s">
        <v>175</v>
      </c>
      <c r="B9" s="9" t="s">
        <v>38</v>
      </c>
      <c r="C9" s="72" t="s">
        <v>33</v>
      </c>
      <c r="D9" s="15">
        <f>1/(1/U_w_n-r_si+R_s-r_se+1/U_w_n)</f>
        <v>0.75</v>
      </c>
      <c r="E9" s="123" t="s">
        <v>168</v>
      </c>
      <c r="F9" s="21"/>
      <c r="G9" s="43" t="s">
        <v>181</v>
      </c>
    </row>
    <row r="10" spans="1:11" ht="40.5" customHeight="1" x14ac:dyDescent="0.2">
      <c r="A10" s="105" t="s">
        <v>176</v>
      </c>
      <c r="B10" s="9" t="s">
        <v>110</v>
      </c>
      <c r="C10" s="72" t="s">
        <v>33</v>
      </c>
      <c r="D10" s="15">
        <f>1/(1/Method_calculation!U_g-r_si+R_s-r_se+1/Method_calculation!U_g)</f>
        <v>0.6</v>
      </c>
      <c r="E10" s="123" t="s">
        <v>180</v>
      </c>
      <c r="F10"/>
      <c r="G10" s="43" t="s">
        <v>177</v>
      </c>
      <c r="I10" s="1">
        <f>Method_calculation!U_g</f>
        <v>1.2</v>
      </c>
    </row>
    <row r="11" spans="1:11" ht="34.5" customHeight="1" x14ac:dyDescent="0.2">
      <c r="A11" s="105" t="s">
        <v>178</v>
      </c>
      <c r="B11" s="9" t="s">
        <v>42</v>
      </c>
      <c r="C11" s="72" t="s">
        <v>33</v>
      </c>
      <c r="D11" s="14">
        <f>1/(1/U_w+delta_R)</f>
        <v>1.2064436701116314</v>
      </c>
      <c r="E11" s="123" t="s">
        <v>172</v>
      </c>
      <c r="F11" s="66"/>
      <c r="G11" s="43" t="s">
        <v>173</v>
      </c>
    </row>
    <row r="12" spans="1:11" ht="34.5" customHeight="1" x14ac:dyDescent="0.2">
      <c r="A12" s="105" t="s">
        <v>179</v>
      </c>
      <c r="B12" s="9" t="s">
        <v>37</v>
      </c>
      <c r="C12" s="72" t="s">
        <v>33</v>
      </c>
      <c r="D12" s="14">
        <f>(A_p*U_p+A_f_door*U_f+l_p*psi_fp)/(A_f_door+A_p)</f>
        <v>1.2376982616419234</v>
      </c>
      <c r="E12" s="123" t="s">
        <v>171</v>
      </c>
      <c r="F12"/>
      <c r="G12" s="43" t="s">
        <v>183</v>
      </c>
    </row>
    <row r="13" spans="1:11" ht="50.25" customHeight="1" x14ac:dyDescent="0.2">
      <c r="A13" s="12"/>
      <c r="B13" s="51"/>
      <c r="C13" s="8"/>
      <c r="D13" s="15"/>
      <c r="E13" s="8"/>
      <c r="F13" s="21"/>
      <c r="G13" s="2"/>
    </row>
    <row r="14" spans="1:11" ht="34.5" customHeight="1" x14ac:dyDescent="0.2">
      <c r="A14" s="12"/>
      <c r="B14" s="9"/>
      <c r="C14" s="8"/>
      <c r="D14" s="14"/>
      <c r="E14" s="8"/>
      <c r="F14" s="21"/>
      <c r="G14" s="2"/>
    </row>
    <row r="15" spans="1:11" ht="34.5" customHeight="1" x14ac:dyDescent="0.2">
      <c r="A15" s="12"/>
      <c r="B15" s="9"/>
      <c r="C15" s="8"/>
      <c r="D15" s="14"/>
      <c r="E15" s="8"/>
      <c r="F15" s="8"/>
      <c r="G15" s="2"/>
    </row>
    <row r="16" spans="1:11" ht="34.5" customHeight="1" x14ac:dyDescent="0.2">
      <c r="A16" s="12"/>
      <c r="B16" s="2"/>
      <c r="C16" s="2"/>
      <c r="D16" s="2"/>
      <c r="E16" s="8"/>
      <c r="F16" s="8"/>
      <c r="G16" s="8"/>
    </row>
    <row r="17" spans="1:7" ht="34.5" customHeight="1" x14ac:dyDescent="0.2">
      <c r="A17" s="12"/>
      <c r="B17" s="2"/>
      <c r="C17" s="2"/>
      <c r="D17" s="2"/>
      <c r="E17" s="2"/>
      <c r="F17" s="2"/>
      <c r="G17" s="2"/>
    </row>
    <row r="18" spans="1:7" ht="34.5" customHeight="1" x14ac:dyDescent="0.2">
      <c r="A18" s="12"/>
      <c r="B18" s="10"/>
      <c r="C18" s="8"/>
      <c r="D18" s="15"/>
      <c r="E18" s="8"/>
      <c r="F18" s="21"/>
      <c r="G18" s="2"/>
    </row>
    <row r="19" spans="1:7" ht="34.5" customHeight="1" x14ac:dyDescent="0.2">
      <c r="A19" s="12"/>
      <c r="B19" s="2"/>
      <c r="C19" s="2"/>
      <c r="D19" s="2"/>
      <c r="E19" s="2"/>
      <c r="F19" s="2"/>
      <c r="G19" s="2"/>
    </row>
    <row r="20" spans="1:7" ht="34.5" customHeight="1" x14ac:dyDescent="0.2">
      <c r="A20" s="12"/>
      <c r="B20" s="10"/>
      <c r="C20" s="8"/>
      <c r="D20" s="15"/>
      <c r="E20" s="8"/>
      <c r="F20" s="21"/>
      <c r="G20" s="2"/>
    </row>
    <row r="21" spans="1:7" ht="34.5" customHeight="1" x14ac:dyDescent="0.2">
      <c r="A21" s="12"/>
      <c r="B21" s="10"/>
      <c r="C21" s="2"/>
      <c r="D21" s="15"/>
      <c r="E21" s="2"/>
      <c r="F21" s="2"/>
      <c r="G21" s="8"/>
    </row>
    <row r="22" spans="1:7" ht="34.5" customHeight="1" x14ac:dyDescent="0.2">
      <c r="A22" s="2"/>
      <c r="B22" s="2"/>
      <c r="C22" s="2"/>
      <c r="D22" s="2"/>
      <c r="E22" s="2"/>
      <c r="F22" s="2"/>
      <c r="G22" s="2"/>
    </row>
    <row r="23" spans="1:7" ht="34.5" customHeight="1" x14ac:dyDescent="0.2">
      <c r="A23" s="3"/>
      <c r="B23" s="9"/>
      <c r="C23" s="8"/>
      <c r="D23" s="7"/>
      <c r="E23" s="8"/>
      <c r="F23"/>
      <c r="G23" s="2"/>
    </row>
    <row r="24" spans="1:7" ht="34.5" customHeight="1" x14ac:dyDescent="0.2">
      <c r="A24" s="2"/>
      <c r="B24" s="2"/>
      <c r="C24" s="2"/>
      <c r="D24" s="2"/>
      <c r="E24" s="2"/>
      <c r="F24" s="2"/>
      <c r="G24" s="2"/>
    </row>
    <row r="25" spans="1:7" ht="34.5" customHeight="1" x14ac:dyDescent="0.2">
      <c r="A25" s="12"/>
      <c r="B25" s="2"/>
      <c r="C25" s="2"/>
      <c r="D25" s="2"/>
      <c r="E25" s="8"/>
      <c r="F25" s="8"/>
      <c r="G25" s="2"/>
    </row>
    <row r="26" spans="1:7" ht="34.5" customHeight="1" x14ac:dyDescent="0.2">
      <c r="A26" s="12"/>
      <c r="B26" s="2"/>
      <c r="C26" s="2"/>
      <c r="D26" s="2"/>
      <c r="E26" s="2"/>
      <c r="F26" s="2"/>
      <c r="G26" s="2"/>
    </row>
    <row r="27" spans="1:7" ht="34.5" customHeight="1" x14ac:dyDescent="0.2">
      <c r="A27" s="12"/>
      <c r="B27" s="9"/>
      <c r="C27" s="8"/>
      <c r="D27" s="15"/>
      <c r="E27" s="8"/>
      <c r="F27"/>
      <c r="G27" s="2"/>
    </row>
    <row r="28" spans="1:7" ht="34.5" customHeight="1" x14ac:dyDescent="0.2">
      <c r="A28" s="12"/>
      <c r="B28" s="2"/>
      <c r="C28" s="2"/>
      <c r="D28" s="2"/>
      <c r="E28" s="2"/>
      <c r="F28" s="2"/>
      <c r="G28" s="2"/>
    </row>
    <row r="29" spans="1:7" ht="34.5" customHeight="1" x14ac:dyDescent="0.2">
      <c r="A29" s="12"/>
      <c r="B29" s="9"/>
      <c r="C29" s="8"/>
      <c r="D29" s="15"/>
      <c r="E29" s="8"/>
      <c r="F29"/>
      <c r="G29" s="2"/>
    </row>
    <row r="30" spans="1:7" ht="34.5" customHeight="1" x14ac:dyDescent="0.2">
      <c r="A30" s="12"/>
      <c r="B30" s="9"/>
      <c r="C30" s="8"/>
      <c r="D30" s="15"/>
      <c r="E30" s="2"/>
      <c r="F30" s="2"/>
      <c r="G30" s="2"/>
    </row>
    <row r="31" spans="1:7" ht="34.5" customHeight="1" x14ac:dyDescent="0.2">
      <c r="A31" s="73"/>
      <c r="B31" s="74"/>
      <c r="C31" s="75"/>
      <c r="D31" s="76"/>
      <c r="E31" s="75"/>
      <c r="F31"/>
      <c r="G31" s="8"/>
    </row>
    <row r="32" spans="1:7" ht="34.5" customHeight="1" x14ac:dyDescent="0.2">
      <c r="A32" s="77"/>
      <c r="B32" s="77"/>
      <c r="C32" s="77"/>
      <c r="D32" s="77"/>
      <c r="E32" s="77"/>
      <c r="F32" s="2"/>
      <c r="G32" s="2"/>
    </row>
    <row r="33" spans="1:7" ht="34.5" customHeight="1" x14ac:dyDescent="0.2">
      <c r="A33" s="78"/>
      <c r="B33" s="79"/>
      <c r="C33" s="75"/>
      <c r="D33" s="76"/>
      <c r="E33" s="75"/>
      <c r="F33" s="21"/>
      <c r="G33" s="2"/>
    </row>
    <row r="34" spans="1:7" ht="34.5" customHeight="1" x14ac:dyDescent="0.2">
      <c r="A34" s="73"/>
      <c r="B34" s="79"/>
      <c r="C34" s="75"/>
      <c r="D34" s="76"/>
      <c r="E34" s="75"/>
      <c r="F34" s="21"/>
      <c r="G34" s="2"/>
    </row>
    <row r="35" spans="1:7" ht="34.5" customHeight="1" x14ac:dyDescent="0.2">
      <c r="A35" s="80"/>
      <c r="B35" s="81"/>
      <c r="C35" s="75"/>
      <c r="D35" s="76"/>
      <c r="E35" s="75"/>
      <c r="F35" s="21"/>
      <c r="G35" s="2"/>
    </row>
    <row r="36" spans="1:7" ht="34.5" customHeight="1" x14ac:dyDescent="0.2">
      <c r="A36" s="73"/>
      <c r="B36" s="79"/>
      <c r="C36" s="75"/>
      <c r="D36" s="76"/>
      <c r="E36" s="75"/>
      <c r="F36" s="21"/>
      <c r="G36" s="8"/>
    </row>
    <row r="37" spans="1:7" ht="34.5" customHeight="1" x14ac:dyDescent="0.2">
      <c r="A37" s="80"/>
      <c r="B37" s="79"/>
      <c r="C37" s="75"/>
      <c r="D37" s="82"/>
      <c r="E37" s="75"/>
      <c r="F37" s="21"/>
      <c r="G37" s="8"/>
    </row>
    <row r="38" spans="1:7" ht="18.75" customHeight="1" x14ac:dyDescent="0.2">
      <c r="A38" s="83"/>
      <c r="B38" s="83"/>
      <c r="C38" s="83"/>
      <c r="D38" s="83"/>
      <c r="E38" s="83"/>
    </row>
    <row r="39" spans="1:7" ht="45.75" customHeight="1" x14ac:dyDescent="0.2">
      <c r="A39" s="84"/>
      <c r="B39" s="79"/>
      <c r="C39" s="75"/>
      <c r="D39" s="82"/>
      <c r="E39" s="74"/>
      <c r="F39" s="55"/>
      <c r="G39" s="53"/>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17" r:id="rId4">
          <objectPr defaultSize="0" autoPict="0" r:id="rId5">
            <anchor moveWithCells="1" sizeWithCells="1">
              <from>
                <xdr:col>5</xdr:col>
                <xdr:colOff>0</xdr:colOff>
                <xdr:row>7</xdr:row>
                <xdr:rowOff>0</xdr:rowOff>
              </from>
              <to>
                <xdr:col>5</xdr:col>
                <xdr:colOff>3009900</xdr:colOff>
                <xdr:row>8</xdr:row>
                <xdr:rowOff>0</xdr:rowOff>
              </to>
            </anchor>
          </objectPr>
        </oleObject>
      </mc:Choice>
      <mc:Fallback>
        <oleObject progId="Equation.3" shapeId="9217" r:id="rId4"/>
      </mc:Fallback>
    </mc:AlternateContent>
    <mc:AlternateContent xmlns:mc="http://schemas.openxmlformats.org/markup-compatibility/2006">
      <mc:Choice Requires="x14">
        <oleObject progId="Equation.DSMT4" shapeId="9219" r:id="rId6">
          <objectPr defaultSize="0" autoPict="0" r:id="rId7">
            <anchor moveWithCells="1" sizeWithCells="1">
              <from>
                <xdr:col>5</xdr:col>
                <xdr:colOff>438150</xdr:colOff>
                <xdr:row>8</xdr:row>
                <xdr:rowOff>209550</xdr:rowOff>
              </from>
              <to>
                <xdr:col>5</xdr:col>
                <xdr:colOff>2619375</xdr:colOff>
                <xdr:row>8</xdr:row>
                <xdr:rowOff>590550</xdr:rowOff>
              </to>
            </anchor>
          </objectPr>
        </oleObject>
      </mc:Choice>
      <mc:Fallback>
        <oleObject progId="Equation.DSMT4" shapeId="9219" r:id="rId6"/>
      </mc:Fallback>
    </mc:AlternateContent>
    <mc:AlternateContent xmlns:mc="http://schemas.openxmlformats.org/markup-compatibility/2006">
      <mc:Choice Requires="x14">
        <oleObject progId="Equation.DSMT4" shapeId="9220" r:id="rId8">
          <objectPr defaultSize="0" autoPict="0" r:id="rId9">
            <anchor moveWithCells="1" sizeWithCells="1">
              <from>
                <xdr:col>5</xdr:col>
                <xdr:colOff>0</xdr:colOff>
                <xdr:row>9</xdr:row>
                <xdr:rowOff>0</xdr:rowOff>
              </from>
              <to>
                <xdr:col>5</xdr:col>
                <xdr:colOff>2066925</xdr:colOff>
                <xdr:row>9</xdr:row>
                <xdr:rowOff>409575</xdr:rowOff>
              </to>
            </anchor>
          </objectPr>
        </oleObject>
      </mc:Choice>
      <mc:Fallback>
        <oleObject progId="Equation.DSMT4" shapeId="9220" r:id="rId8"/>
      </mc:Fallback>
    </mc:AlternateContent>
    <mc:AlternateContent xmlns:mc="http://schemas.openxmlformats.org/markup-compatibility/2006">
      <mc:Choice Requires="x14">
        <oleObject progId="Equation.DSMT4" shapeId="9222" r:id="rId10">
          <objectPr defaultSize="0" autoPict="0" r:id="rId11">
            <anchor moveWithCells="1" sizeWithCells="1">
              <from>
                <xdr:col>5</xdr:col>
                <xdr:colOff>0</xdr:colOff>
                <xdr:row>11</xdr:row>
                <xdr:rowOff>0</xdr:rowOff>
              </from>
              <to>
                <xdr:col>5</xdr:col>
                <xdr:colOff>3038475</xdr:colOff>
                <xdr:row>11</xdr:row>
                <xdr:rowOff>419100</xdr:rowOff>
              </to>
            </anchor>
          </objectPr>
        </oleObject>
      </mc:Choice>
      <mc:Fallback>
        <oleObject progId="Equation.DSMT4" shapeId="9222" r:id="rId10"/>
      </mc:Fallback>
    </mc:AlternateContent>
    <mc:AlternateContent xmlns:mc="http://schemas.openxmlformats.org/markup-compatibility/2006">
      <mc:Choice Requires="x14">
        <oleObject progId="Equation.DSMT4" shapeId="9224" r:id="rId12">
          <objectPr defaultSize="0" autoPict="0" r:id="rId13">
            <anchor moveWithCells="1" sizeWithCells="1">
              <from>
                <xdr:col>5</xdr:col>
                <xdr:colOff>0</xdr:colOff>
                <xdr:row>10</xdr:row>
                <xdr:rowOff>0</xdr:rowOff>
              </from>
              <to>
                <xdr:col>5</xdr:col>
                <xdr:colOff>895350</xdr:colOff>
                <xdr:row>10</xdr:row>
                <xdr:rowOff>323850</xdr:rowOff>
              </to>
            </anchor>
          </objectPr>
        </oleObject>
      </mc:Choice>
      <mc:Fallback>
        <oleObject progId="Equation.DSMT4" shapeId="9224" r:id="rId12"/>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P9"/>
  <sheetViews>
    <sheetView zoomScale="85" zoomScaleNormal="85" workbookViewId="0">
      <selection activeCell="G13" sqref="G13"/>
    </sheetView>
  </sheetViews>
  <sheetFormatPr baseColWidth="10" defaultColWidth="9.140625" defaultRowHeight="12.75" x14ac:dyDescent="0.2"/>
  <cols>
    <col min="1" max="1" width="35.7109375" style="52" bestFit="1" customWidth="1"/>
    <col min="2" max="2" width="12.140625" style="52" customWidth="1"/>
    <col min="3" max="3" width="16.5703125" style="52" customWidth="1"/>
    <col min="4" max="4" width="8.140625" style="52" bestFit="1" customWidth="1"/>
    <col min="5" max="5" width="14" style="52" customWidth="1"/>
    <col min="6" max="6" width="8.85546875" style="52" customWidth="1"/>
    <col min="7" max="7" width="15.42578125" style="52" customWidth="1"/>
    <col min="8" max="8" width="9.140625" style="52"/>
    <col min="9" max="9" width="28.5703125" style="52" customWidth="1"/>
    <col min="10" max="10" width="11.28515625" style="52" customWidth="1"/>
    <col min="11" max="11" width="9.140625" style="65"/>
    <col min="12" max="16384" width="9.140625" style="52"/>
  </cols>
  <sheetData>
    <row r="1" spans="1:16" ht="62.25" customHeight="1" x14ac:dyDescent="0.2">
      <c r="A1" s="130" t="s">
        <v>15</v>
      </c>
      <c r="B1" s="131"/>
      <c r="C1" s="131"/>
      <c r="D1" s="131"/>
      <c r="E1" s="131"/>
      <c r="F1" s="131"/>
      <c r="G1" s="131"/>
      <c r="H1" s="131"/>
      <c r="I1" s="131"/>
    </row>
    <row r="2" spans="1:16" x14ac:dyDescent="0.2">
      <c r="L2" s="65"/>
      <c r="M2" s="65"/>
      <c r="N2" s="65"/>
      <c r="O2" s="65"/>
      <c r="P2" s="65"/>
    </row>
    <row r="3" spans="1:16" ht="13.5" thickBot="1" x14ac:dyDescent="0.25"/>
    <row r="4" spans="1:16" ht="26.25" thickBot="1" x14ac:dyDescent="0.25">
      <c r="A4" s="45" t="s">
        <v>2</v>
      </c>
      <c r="B4" s="46" t="s">
        <v>6</v>
      </c>
      <c r="C4" s="38" t="s">
        <v>22</v>
      </c>
      <c r="D4" s="46" t="s">
        <v>0</v>
      </c>
      <c r="E4" s="46" t="s">
        <v>3</v>
      </c>
      <c r="F4" s="38" t="s">
        <v>7</v>
      </c>
      <c r="G4" s="46" t="s">
        <v>11</v>
      </c>
      <c r="H4" s="38" t="s">
        <v>8</v>
      </c>
      <c r="I4" s="47" t="s">
        <v>5</v>
      </c>
      <c r="J4" s="107"/>
      <c r="K4" s="107"/>
    </row>
    <row r="5" spans="1:16" x14ac:dyDescent="0.2">
      <c r="A5" s="42" t="s">
        <v>32</v>
      </c>
      <c r="B5" s="48"/>
      <c r="D5" s="48"/>
      <c r="E5" s="48"/>
      <c r="G5" s="48"/>
      <c r="I5" s="49"/>
    </row>
    <row r="6" spans="1:16" ht="25.5" x14ac:dyDescent="0.2">
      <c r="A6" s="68" t="s">
        <v>35</v>
      </c>
      <c r="B6" s="9" t="s">
        <v>38</v>
      </c>
      <c r="C6" s="9" t="s">
        <v>39</v>
      </c>
      <c r="D6" s="72" t="s">
        <v>33</v>
      </c>
      <c r="E6" s="124">
        <f>U_w</f>
        <v>1.5177213799165017</v>
      </c>
      <c r="F6" s="43" t="s">
        <v>34</v>
      </c>
      <c r="G6" s="43" t="s">
        <v>190</v>
      </c>
      <c r="H6" s="43" t="s">
        <v>43</v>
      </c>
      <c r="I6" s="44"/>
      <c r="J6" s="107"/>
      <c r="L6" s="87"/>
      <c r="M6" s="83"/>
      <c r="N6" s="83"/>
      <c r="O6" s="83"/>
      <c r="P6" s="83"/>
    </row>
    <row r="7" spans="1:16" ht="25.5" x14ac:dyDescent="0.2">
      <c r="A7" s="68" t="s">
        <v>41</v>
      </c>
      <c r="B7" s="9" t="s">
        <v>42</v>
      </c>
      <c r="C7" s="9" t="s">
        <v>120</v>
      </c>
      <c r="D7" s="72" t="s">
        <v>33</v>
      </c>
      <c r="E7" s="124">
        <f>Method_calculation!D11</f>
        <v>1.2064436701116314</v>
      </c>
      <c r="F7" s="43" t="s">
        <v>34</v>
      </c>
      <c r="G7" s="43" t="s">
        <v>190</v>
      </c>
      <c r="H7" s="43" t="s">
        <v>43</v>
      </c>
      <c r="I7" s="44"/>
      <c r="J7" s="107"/>
      <c r="L7" s="87"/>
      <c r="M7" s="83"/>
      <c r="N7" s="83"/>
      <c r="O7" s="83"/>
      <c r="P7" s="83"/>
    </row>
    <row r="8" spans="1:16" ht="25.5" x14ac:dyDescent="0.2">
      <c r="A8" s="68" t="s">
        <v>36</v>
      </c>
      <c r="B8" s="9" t="s">
        <v>37</v>
      </c>
      <c r="C8" s="9" t="s">
        <v>40</v>
      </c>
      <c r="D8" s="72" t="s">
        <v>33</v>
      </c>
      <c r="E8" s="124">
        <f>Method_calculation!D12</f>
        <v>1.2376982616419234</v>
      </c>
      <c r="F8" s="43" t="s">
        <v>34</v>
      </c>
      <c r="G8" s="43" t="s">
        <v>190</v>
      </c>
      <c r="H8" s="43" t="s">
        <v>43</v>
      </c>
      <c r="I8" s="64"/>
      <c r="J8" s="107"/>
      <c r="L8" s="87"/>
    </row>
    <row r="9" spans="1:16" ht="13.5" thickBot="1" x14ac:dyDescent="0.25">
      <c r="A9" s="57"/>
      <c r="B9" s="56"/>
      <c r="C9" s="91"/>
      <c r="D9" s="56"/>
      <c r="E9" s="58"/>
      <c r="F9" s="92"/>
      <c r="G9" s="60"/>
      <c r="H9" s="60"/>
      <c r="I9" s="59"/>
      <c r="J9" s="107"/>
      <c r="L9" s="87"/>
    </row>
  </sheetData>
  <mergeCells count="1">
    <mergeCell ref="A1:I1"/>
  </mergeCells>
  <phoneticPr fontId="0" type="noConversion"/>
  <pageMargins left="0.75" right="0.75" top="1" bottom="1" header="0.5" footer="0.5"/>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5" sqref="B5:C5"/>
    </sheetView>
  </sheetViews>
  <sheetFormatPr baseColWidth="10" defaultColWidth="9.140625" defaultRowHeight="12.75" x14ac:dyDescent="0.2"/>
  <cols>
    <col min="2" max="2" width="12.42578125" style="23" customWidth="1"/>
    <col min="3" max="3" width="27.5703125" customWidth="1"/>
    <col min="4" max="4" width="36.5703125" style="24" customWidth="1"/>
  </cols>
  <sheetData>
    <row r="1" spans="2:4" ht="13.5" thickBot="1" x14ac:dyDescent="0.25"/>
    <row r="2" spans="2:4" ht="13.5" thickBot="1" x14ac:dyDescent="0.25">
      <c r="B2" s="26" t="s">
        <v>12</v>
      </c>
      <c r="C2" s="27" t="s">
        <v>13</v>
      </c>
      <c r="D2" s="28" t="s">
        <v>14</v>
      </c>
    </row>
    <row r="3" spans="2:4" x14ac:dyDescent="0.2">
      <c r="B3" s="108">
        <v>41774</v>
      </c>
      <c r="C3" s="25" t="s">
        <v>121</v>
      </c>
      <c r="D3" s="29"/>
    </row>
    <row r="4" spans="2:4" x14ac:dyDescent="0.2">
      <c r="B4" s="30">
        <v>42139</v>
      </c>
      <c r="C4" s="68" t="s">
        <v>184</v>
      </c>
      <c r="D4" s="31"/>
    </row>
    <row r="5" spans="2:4" ht="51" x14ac:dyDescent="0.2">
      <c r="B5" s="32">
        <v>42170</v>
      </c>
      <c r="C5" s="140" t="s">
        <v>189</v>
      </c>
      <c r="D5" s="31"/>
    </row>
    <row r="6" spans="2:4" x14ac:dyDescent="0.2">
      <c r="B6" s="32"/>
      <c r="C6" s="21"/>
      <c r="D6" s="31"/>
    </row>
    <row r="7" spans="2:4" x14ac:dyDescent="0.2">
      <c r="B7" s="32"/>
      <c r="C7" s="68"/>
      <c r="D7" s="31"/>
    </row>
    <row r="8" spans="2:4" x14ac:dyDescent="0.2">
      <c r="B8" s="32"/>
      <c r="C8" s="68"/>
      <c r="D8" s="69"/>
    </row>
    <row r="9" spans="2:4" x14ac:dyDescent="0.2">
      <c r="B9" s="33"/>
      <c r="C9" s="21"/>
      <c r="D9" s="31"/>
    </row>
    <row r="10" spans="2:4" x14ac:dyDescent="0.2">
      <c r="B10" s="33"/>
      <c r="C10" s="21"/>
      <c r="D10" s="31"/>
    </row>
    <row r="11" spans="2:4" x14ac:dyDescent="0.2">
      <c r="B11" s="33"/>
      <c r="C11" s="21"/>
      <c r="D11" s="31"/>
    </row>
    <row r="12" spans="2:4" x14ac:dyDescent="0.2">
      <c r="B12" s="33"/>
      <c r="C12" s="21"/>
      <c r="D12" s="31"/>
    </row>
    <row r="13" spans="2:4" x14ac:dyDescent="0.2">
      <c r="B13" s="33"/>
      <c r="C13" s="21"/>
      <c r="D13" s="31"/>
    </row>
    <row r="14" spans="2:4" x14ac:dyDescent="0.2">
      <c r="B14" s="33"/>
      <c r="C14" s="21"/>
      <c r="D14" s="31"/>
    </row>
    <row r="15" spans="2:4" x14ac:dyDescent="0.2">
      <c r="B15" s="33"/>
      <c r="C15" s="21"/>
      <c r="D15" s="31"/>
    </row>
    <row r="16" spans="2:4" x14ac:dyDescent="0.2">
      <c r="B16" s="33"/>
      <c r="C16" s="21"/>
      <c r="D16" s="31"/>
    </row>
    <row r="17" spans="2:4" x14ac:dyDescent="0.2">
      <c r="B17" s="33"/>
      <c r="C17" s="21"/>
      <c r="D17" s="31"/>
    </row>
    <row r="18" spans="2:4" ht="13.5" thickBot="1" x14ac:dyDescent="0.25">
      <c r="B18" s="34"/>
      <c r="C18" s="35"/>
      <c r="D18" s="36"/>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28</vt:i4>
      </vt:variant>
    </vt:vector>
  </HeadingPairs>
  <TitlesOfParts>
    <vt:vector size="33" baseType="lpstr">
      <vt:lpstr>INFO</vt:lpstr>
      <vt:lpstr>Method_input</vt:lpstr>
      <vt:lpstr>Method_calculation</vt:lpstr>
      <vt:lpstr>Method_output</vt:lpstr>
      <vt:lpstr>History</vt:lpstr>
      <vt:lpstr>A_d</vt:lpstr>
      <vt:lpstr>A_f</vt:lpstr>
      <vt:lpstr>A_f_door</vt:lpstr>
      <vt:lpstr>A_g</vt:lpstr>
      <vt:lpstr>A_p</vt:lpstr>
      <vt:lpstr>A_w</vt:lpstr>
      <vt:lpstr>b_d</vt:lpstr>
      <vt:lpstr>b_f</vt:lpstr>
      <vt:lpstr>b_w</vt:lpstr>
      <vt:lpstr>delta_R</vt:lpstr>
      <vt:lpstr>h_d</vt:lpstr>
      <vt:lpstr>h_w</vt:lpstr>
      <vt:lpstr>l_g</vt:lpstr>
      <vt:lpstr>l_gb</vt:lpstr>
      <vt:lpstr>l_p</vt:lpstr>
      <vt:lpstr>Method_in</vt:lpstr>
      <vt:lpstr>psi_fg</vt:lpstr>
      <vt:lpstr>psi_fp</vt:lpstr>
      <vt:lpstr>psi_gb</vt:lpstr>
      <vt:lpstr>R_s</vt:lpstr>
      <vt:lpstr>r_se</vt:lpstr>
      <vt:lpstr>r_si</vt:lpstr>
      <vt:lpstr>U_f</vt:lpstr>
      <vt:lpstr>Method_calculation!U_g</vt:lpstr>
      <vt:lpstr>U_p</vt:lpstr>
      <vt:lpstr>U_w</vt:lpstr>
      <vt:lpstr>U_w_n</vt:lpstr>
      <vt:lpstr>W__m2K</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Sack Norbert</cp:lastModifiedBy>
  <dcterms:created xsi:type="dcterms:W3CDTF">2011-05-24T04:21:57Z</dcterms:created>
  <dcterms:modified xsi:type="dcterms:W3CDTF">2015-06-09T08:45:51Z</dcterms:modified>
</cp:coreProperties>
</file>