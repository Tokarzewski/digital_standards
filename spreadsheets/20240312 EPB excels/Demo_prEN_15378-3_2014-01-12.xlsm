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96" yWindow="300" windowWidth="16536" windowHeight="5556"/>
  </bookViews>
  <sheets>
    <sheet name="Disclaimer" sheetId="19" r:id="rId1"/>
    <sheet name="INFO" sheetId="16" r:id="rId2"/>
    <sheet name="Measured_data_report_1" sheetId="17" r:id="rId3"/>
    <sheet name="Method_input" sheetId="2" r:id="rId4"/>
    <sheet name="Method_calculation" sheetId="4" r:id="rId5"/>
    <sheet name="Method_output" sheetId="5" r:id="rId6"/>
    <sheet name="History" sheetId="11" r:id="rId7"/>
    <sheet name="Foglio2" sheetId="18" r:id="rId8"/>
  </sheets>
  <definedNames>
    <definedName name="DATA_IN_COUNT">#REF!</definedName>
    <definedName name="DATA_OUT_COUNT">#REF!</definedName>
    <definedName name="First_data_in">#REF!</definedName>
    <definedName name="First_data_out">#REF!</definedName>
    <definedName name="Method_in">Method_input!$E$6</definedName>
    <definedName name="Method_out">Method_output!$E$6</definedName>
    <definedName name="TIME_STEPS_COUNT">#REF!</definedName>
    <definedName name="_xlnm.Print_Area" localSheetId="2">Measured_data_report_1!$B$3:$M$55</definedName>
  </definedNames>
  <calcPr calcId="145621"/>
</workbook>
</file>

<file path=xl/calcChain.xml><?xml version="1.0" encoding="utf-8"?>
<calcChain xmlns="http://schemas.openxmlformats.org/spreadsheetml/2006/main">
  <c r="D48" i="4" l="1"/>
  <c r="D50" i="4" s="1"/>
  <c r="D42" i="4"/>
  <c r="D44" i="4" s="1"/>
  <c r="D37" i="4" l="1"/>
  <c r="D39" i="4" s="1"/>
  <c r="I21" i="18"/>
  <c r="M19" i="18"/>
  <c r="S19" i="18"/>
  <c r="S21" i="18" s="1"/>
  <c r="U21" i="18"/>
  <c r="T21" i="18"/>
  <c r="K21" i="18"/>
  <c r="L21" i="18"/>
  <c r="M21" i="18"/>
  <c r="J21" i="18"/>
  <c r="E17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K19" i="2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I27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I23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J20" i="4"/>
  <c r="J21" i="4" s="1"/>
  <c r="K20" i="4"/>
  <c r="K21" i="4" s="1"/>
  <c r="L20" i="4"/>
  <c r="L21" i="4" s="1"/>
  <c r="M20" i="4"/>
  <c r="M21" i="4" s="1"/>
  <c r="N20" i="4"/>
  <c r="N21" i="4" s="1"/>
  <c r="O20" i="4"/>
  <c r="O21" i="4" s="1"/>
  <c r="P20" i="4"/>
  <c r="P21" i="4" s="1"/>
  <c r="Q20" i="4"/>
  <c r="Q21" i="4" s="1"/>
  <c r="R20" i="4"/>
  <c r="R21" i="4" s="1"/>
  <c r="S20" i="4"/>
  <c r="S21" i="4" s="1"/>
  <c r="T20" i="4"/>
  <c r="T21" i="4" s="1"/>
  <c r="U20" i="4"/>
  <c r="U21" i="4" s="1"/>
  <c r="V20" i="4"/>
  <c r="V21" i="4" s="1"/>
  <c r="W20" i="4"/>
  <c r="W21" i="4" s="1"/>
  <c r="X20" i="4"/>
  <c r="X21" i="4" s="1"/>
  <c r="Y20" i="4"/>
  <c r="Y21" i="4" s="1"/>
  <c r="Z20" i="4"/>
  <c r="Z21" i="4" s="1"/>
  <c r="AA20" i="4"/>
  <c r="AA21" i="4" s="1"/>
  <c r="AB20" i="4"/>
  <c r="AB21" i="4" s="1"/>
  <c r="AC20" i="4"/>
  <c r="AC21" i="4" s="1"/>
  <c r="AD20" i="4"/>
  <c r="AD21" i="4" s="1"/>
  <c r="AE20" i="4"/>
  <c r="AE21" i="4" s="1"/>
  <c r="AF20" i="4"/>
  <c r="AF21" i="4" s="1"/>
  <c r="AG20" i="4"/>
  <c r="AG21" i="4" s="1"/>
  <c r="AH20" i="4"/>
  <c r="AH21" i="4" s="1"/>
  <c r="AI20" i="4"/>
  <c r="AI21" i="4" s="1"/>
  <c r="AJ20" i="4"/>
  <c r="AJ21" i="4" s="1"/>
  <c r="AK20" i="4"/>
  <c r="AK21" i="4" s="1"/>
  <c r="AL20" i="4"/>
  <c r="AL21" i="4" s="1"/>
  <c r="AM20" i="4"/>
  <c r="AM21" i="4" s="1"/>
  <c r="AN20" i="4"/>
  <c r="AN21" i="4" s="1"/>
  <c r="AO20" i="4"/>
  <c r="AO21" i="4" s="1"/>
  <c r="AP20" i="4"/>
  <c r="AP21" i="4" s="1"/>
  <c r="AQ20" i="4"/>
  <c r="AQ21" i="4" s="1"/>
  <c r="AR20" i="4"/>
  <c r="AR21" i="4" s="1"/>
  <c r="AS20" i="4"/>
  <c r="AS21" i="4" s="1"/>
  <c r="AT20" i="4"/>
  <c r="AT21" i="4" s="1"/>
  <c r="AU20" i="4"/>
  <c r="AU21" i="4" s="1"/>
  <c r="AV20" i="4"/>
  <c r="AV21" i="4" s="1"/>
  <c r="AW20" i="4"/>
  <c r="AW21" i="4" s="1"/>
  <c r="AX20" i="4"/>
  <c r="AX21" i="4" s="1"/>
  <c r="AY20" i="4"/>
  <c r="AY21" i="4" s="1"/>
  <c r="AZ20" i="4"/>
  <c r="AZ21" i="4" s="1"/>
  <c r="BA20" i="4"/>
  <c r="BA21" i="4" s="1"/>
  <c r="BB20" i="4"/>
  <c r="BB21" i="4" s="1"/>
  <c r="BC20" i="4"/>
  <c r="BC21" i="4" s="1"/>
  <c r="BD20" i="4"/>
  <c r="BD21" i="4" s="1"/>
  <c r="BE20" i="4"/>
  <c r="BE21" i="4" s="1"/>
  <c r="I20" i="4"/>
  <c r="I19" i="4"/>
  <c r="D1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BE7" i="4"/>
  <c r="J8" i="4"/>
  <c r="J10" i="4" s="1"/>
  <c r="K8" i="4"/>
  <c r="K10" i="4" s="1"/>
  <c r="L8" i="4"/>
  <c r="L10" i="4" s="1"/>
  <c r="M8" i="4"/>
  <c r="M10" i="4" s="1"/>
  <c r="N8" i="4"/>
  <c r="N10" i="4" s="1"/>
  <c r="O8" i="4"/>
  <c r="O10" i="4" s="1"/>
  <c r="P8" i="4"/>
  <c r="P10" i="4" s="1"/>
  <c r="Q8" i="4"/>
  <c r="Q10" i="4" s="1"/>
  <c r="R8" i="4"/>
  <c r="R10" i="4" s="1"/>
  <c r="S8" i="4"/>
  <c r="S10" i="4" s="1"/>
  <c r="T8" i="4"/>
  <c r="T10" i="4" s="1"/>
  <c r="U8" i="4"/>
  <c r="U10" i="4" s="1"/>
  <c r="V8" i="4"/>
  <c r="V10" i="4" s="1"/>
  <c r="W8" i="4"/>
  <c r="W10" i="4" s="1"/>
  <c r="X8" i="4"/>
  <c r="X10" i="4" s="1"/>
  <c r="Y8" i="4"/>
  <c r="Y10" i="4" s="1"/>
  <c r="Z8" i="4"/>
  <c r="Z10" i="4" s="1"/>
  <c r="AA8" i="4"/>
  <c r="AA10" i="4" s="1"/>
  <c r="AB8" i="4"/>
  <c r="AB10" i="4" s="1"/>
  <c r="AC8" i="4"/>
  <c r="AC10" i="4" s="1"/>
  <c r="AD8" i="4"/>
  <c r="AD10" i="4" s="1"/>
  <c r="AE8" i="4"/>
  <c r="AE10" i="4" s="1"/>
  <c r="AF8" i="4"/>
  <c r="AF10" i="4" s="1"/>
  <c r="AG8" i="4"/>
  <c r="AG10" i="4" s="1"/>
  <c r="AH8" i="4"/>
  <c r="AH10" i="4" s="1"/>
  <c r="AI8" i="4"/>
  <c r="AI10" i="4" s="1"/>
  <c r="AJ8" i="4"/>
  <c r="AJ10" i="4" s="1"/>
  <c r="AK8" i="4"/>
  <c r="AK10" i="4" s="1"/>
  <c r="AL8" i="4"/>
  <c r="AL10" i="4" s="1"/>
  <c r="AM8" i="4"/>
  <c r="AM10" i="4" s="1"/>
  <c r="AN8" i="4"/>
  <c r="AN10" i="4" s="1"/>
  <c r="AO8" i="4"/>
  <c r="AO10" i="4" s="1"/>
  <c r="AP8" i="4"/>
  <c r="AP10" i="4" s="1"/>
  <c r="AQ8" i="4"/>
  <c r="AQ10" i="4" s="1"/>
  <c r="AR8" i="4"/>
  <c r="AR10" i="4" s="1"/>
  <c r="AS8" i="4"/>
  <c r="AS10" i="4" s="1"/>
  <c r="AT8" i="4"/>
  <c r="AT10" i="4" s="1"/>
  <c r="AU8" i="4"/>
  <c r="AU10" i="4" s="1"/>
  <c r="AV8" i="4"/>
  <c r="AV10" i="4" s="1"/>
  <c r="AW8" i="4"/>
  <c r="AW10" i="4" s="1"/>
  <c r="AX8" i="4"/>
  <c r="AX10" i="4" s="1"/>
  <c r="AY8" i="4"/>
  <c r="AY10" i="4" s="1"/>
  <c r="AZ8" i="4"/>
  <c r="AZ10" i="4" s="1"/>
  <c r="BA8" i="4"/>
  <c r="BA10" i="4" s="1"/>
  <c r="BB8" i="4"/>
  <c r="BB10" i="4" s="1"/>
  <c r="BC8" i="4"/>
  <c r="BC10" i="4" s="1"/>
  <c r="BD8" i="4"/>
  <c r="BD10" i="4" s="1"/>
  <c r="BE8" i="4"/>
  <c r="BE10" i="4" s="1"/>
  <c r="I8" i="4"/>
  <c r="I7" i="4"/>
  <c r="D13" i="4"/>
  <c r="D11" i="4"/>
  <c r="E50" i="2"/>
  <c r="D14" i="4" s="1"/>
  <c r="E24" i="2"/>
  <c r="D12" i="4" s="1"/>
  <c r="E21" i="2"/>
  <c r="D23" i="4" s="1"/>
  <c r="E20" i="2"/>
  <c r="E18" i="2"/>
  <c r="E16" i="2"/>
  <c r="D9" i="4" s="1"/>
  <c r="E15" i="2"/>
  <c r="E14" i="2"/>
  <c r="E13" i="2"/>
  <c r="D8" i="4" s="1"/>
  <c r="E12" i="2"/>
  <c r="D7" i="4" s="1"/>
  <c r="E11" i="2"/>
  <c r="D20" i="4" s="1"/>
  <c r="E10" i="2"/>
  <c r="D19" i="4" s="1"/>
  <c r="E21" i="5"/>
  <c r="D45" i="4" l="1"/>
  <c r="I28" i="4"/>
  <c r="I32" i="4"/>
  <c r="BD28" i="4"/>
  <c r="BD32" i="4"/>
  <c r="BB28" i="4"/>
  <c r="BB32" i="4"/>
  <c r="AZ28" i="4"/>
  <c r="AZ32" i="4"/>
  <c r="AX28" i="4"/>
  <c r="AX32" i="4"/>
  <c r="AV28" i="4"/>
  <c r="AV32" i="4"/>
  <c r="AT28" i="4"/>
  <c r="AT32" i="4"/>
  <c r="AR28" i="4"/>
  <c r="AR32" i="4"/>
  <c r="AP28" i="4"/>
  <c r="AP32" i="4"/>
  <c r="AN28" i="4"/>
  <c r="AN32" i="4"/>
  <c r="AL28" i="4"/>
  <c r="AL32" i="4"/>
  <c r="AJ28" i="4"/>
  <c r="AJ32" i="4"/>
  <c r="AH28" i="4"/>
  <c r="AH32" i="4"/>
  <c r="AF28" i="4"/>
  <c r="AF32" i="4"/>
  <c r="AD28" i="4"/>
  <c r="AD32" i="4"/>
  <c r="AB28" i="4"/>
  <c r="AB32" i="4"/>
  <c r="Z28" i="4"/>
  <c r="Z32" i="4"/>
  <c r="X28" i="4"/>
  <c r="X32" i="4"/>
  <c r="V28" i="4"/>
  <c r="V32" i="4"/>
  <c r="T28" i="4"/>
  <c r="T32" i="4"/>
  <c r="R28" i="4"/>
  <c r="R32" i="4"/>
  <c r="P28" i="4"/>
  <c r="P32" i="4"/>
  <c r="N28" i="4"/>
  <c r="N32" i="4"/>
  <c r="L28" i="4"/>
  <c r="L32" i="4"/>
  <c r="J28" i="4"/>
  <c r="J32" i="4"/>
  <c r="BE28" i="4"/>
  <c r="BE32" i="4"/>
  <c r="BC28" i="4"/>
  <c r="BC32" i="4"/>
  <c r="BA28" i="4"/>
  <c r="BA32" i="4"/>
  <c r="AY28" i="4"/>
  <c r="AY32" i="4"/>
  <c r="AW28" i="4"/>
  <c r="AW32" i="4"/>
  <c r="AU28" i="4"/>
  <c r="AU32" i="4"/>
  <c r="AS28" i="4"/>
  <c r="AS32" i="4"/>
  <c r="AQ28" i="4"/>
  <c r="AQ32" i="4"/>
  <c r="AO28" i="4"/>
  <c r="AO32" i="4"/>
  <c r="AM28" i="4"/>
  <c r="AM32" i="4"/>
  <c r="AK28" i="4"/>
  <c r="AK32" i="4"/>
  <c r="AI28" i="4"/>
  <c r="AI32" i="4"/>
  <c r="AG28" i="4"/>
  <c r="AG32" i="4"/>
  <c r="AE25" i="4"/>
  <c r="AE32" i="4"/>
  <c r="AC28" i="4"/>
  <c r="AC32" i="4"/>
  <c r="AA25" i="4"/>
  <c r="AA32" i="4"/>
  <c r="Y28" i="4"/>
  <c r="Y32" i="4"/>
  <c r="W28" i="4"/>
  <c r="W32" i="4"/>
  <c r="U28" i="4"/>
  <c r="U32" i="4"/>
  <c r="S28" i="4"/>
  <c r="S32" i="4"/>
  <c r="Q28" i="4"/>
  <c r="Q32" i="4"/>
  <c r="O28" i="4"/>
  <c r="O32" i="4"/>
  <c r="M28" i="4"/>
  <c r="M32" i="4"/>
  <c r="K28" i="4"/>
  <c r="K32" i="4"/>
  <c r="AE28" i="4"/>
  <c r="AA28" i="4"/>
  <c r="I21" i="4"/>
  <c r="D21" i="4"/>
  <c r="D15" i="4"/>
  <c r="D16" i="4" s="1"/>
  <c r="X18" i="4" s="1"/>
  <c r="X22" i="4" s="1"/>
  <c r="I10" i="4"/>
  <c r="BD24" i="4"/>
  <c r="BB24" i="4"/>
  <c r="AV24" i="4"/>
  <c r="AT24" i="4"/>
  <c r="AR24" i="4"/>
  <c r="AP24" i="4"/>
  <c r="AL24" i="4"/>
  <c r="AJ24" i="4"/>
  <c r="AH24" i="4"/>
  <c r="AF24" i="4"/>
  <c r="AF25" i="4"/>
  <c r="AD25" i="4"/>
  <c r="AB24" i="4"/>
  <c r="AB25" i="4"/>
  <c r="Z24" i="4"/>
  <c r="Z25" i="4"/>
  <c r="X24" i="4"/>
  <c r="X25" i="4"/>
  <c r="V24" i="4"/>
  <c r="V25" i="4"/>
  <c r="T25" i="4"/>
  <c r="R25" i="4"/>
  <c r="P24" i="4"/>
  <c r="P25" i="4"/>
  <c r="N24" i="4"/>
  <c r="N25" i="4"/>
  <c r="L24" i="4"/>
  <c r="L25" i="4"/>
  <c r="J24" i="4"/>
  <c r="J25" i="4"/>
  <c r="BD25" i="4"/>
  <c r="BB25" i="4"/>
  <c r="AZ25" i="4"/>
  <c r="AX25" i="4"/>
  <c r="AV25" i="4"/>
  <c r="AT25" i="4"/>
  <c r="AR25" i="4"/>
  <c r="AP25" i="4"/>
  <c r="AN25" i="4"/>
  <c r="AL25" i="4"/>
  <c r="AJ25" i="4"/>
  <c r="AH25" i="4"/>
  <c r="BE24" i="4"/>
  <c r="BC24" i="4"/>
  <c r="BA24" i="4"/>
  <c r="AW24" i="4"/>
  <c r="AU24" i="4"/>
  <c r="AS24" i="4"/>
  <c r="AQ24" i="4"/>
  <c r="AK24" i="4"/>
  <c r="AI24" i="4"/>
  <c r="AG24" i="4"/>
  <c r="AE24" i="4"/>
  <c r="AA24" i="4"/>
  <c r="Y24" i="4"/>
  <c r="W24" i="4"/>
  <c r="W25" i="4"/>
  <c r="U24" i="4"/>
  <c r="U25" i="4"/>
  <c r="S25" i="4"/>
  <c r="Q24" i="4"/>
  <c r="Q25" i="4"/>
  <c r="O24" i="4"/>
  <c r="O25" i="4"/>
  <c r="M24" i="4"/>
  <c r="M25" i="4"/>
  <c r="K24" i="4"/>
  <c r="K25" i="4"/>
  <c r="I25" i="4"/>
  <c r="BE25" i="4"/>
  <c r="BC25" i="4"/>
  <c r="BA25" i="4"/>
  <c r="AY25" i="4"/>
  <c r="AW25" i="4"/>
  <c r="AU25" i="4"/>
  <c r="AS25" i="4"/>
  <c r="AQ25" i="4"/>
  <c r="AO25" i="4"/>
  <c r="AM25" i="4"/>
  <c r="AK25" i="4"/>
  <c r="AI25" i="4"/>
  <c r="AG25" i="4"/>
  <c r="AC25" i="4"/>
  <c r="Y25" i="4"/>
  <c r="AH18" i="4"/>
  <c r="AH22" i="4" s="1"/>
  <c r="AJ18" i="4"/>
  <c r="AJ22" i="4" s="1"/>
  <c r="W18" i="4"/>
  <c r="W22" i="4" s="1"/>
  <c r="BC18" i="4"/>
  <c r="BC22" i="4" s="1"/>
  <c r="D10" i="4"/>
  <c r="M40" i="4" l="1"/>
  <c r="L40" i="4"/>
  <c r="AA30" i="4"/>
  <c r="K33" i="4"/>
  <c r="K34" i="4"/>
  <c r="M33" i="4"/>
  <c r="M34" i="4"/>
  <c r="O33" i="4"/>
  <c r="O34" i="4"/>
  <c r="Q33" i="4"/>
  <c r="Q34" i="4"/>
  <c r="S34" i="4"/>
  <c r="U33" i="4"/>
  <c r="U34" i="4"/>
  <c r="W33" i="4"/>
  <c r="W34" i="4"/>
  <c r="Y33" i="4"/>
  <c r="Y34" i="4"/>
  <c r="AA33" i="4"/>
  <c r="AA34" i="4"/>
  <c r="AC34" i="4"/>
  <c r="AE33" i="4"/>
  <c r="AE34" i="4"/>
  <c r="AG33" i="4"/>
  <c r="AG34" i="4"/>
  <c r="AI33" i="4"/>
  <c r="AI34" i="4"/>
  <c r="AK33" i="4"/>
  <c r="AK34" i="4"/>
  <c r="AM34" i="4"/>
  <c r="AO34" i="4"/>
  <c r="AQ33" i="4"/>
  <c r="AQ34" i="4"/>
  <c r="AS33" i="4"/>
  <c r="AS34" i="4"/>
  <c r="AU33" i="4"/>
  <c r="AU34" i="4"/>
  <c r="AW33" i="4"/>
  <c r="AW34" i="4"/>
  <c r="AY34" i="4"/>
  <c r="BA33" i="4"/>
  <c r="BA34" i="4"/>
  <c r="BC33" i="4"/>
  <c r="BC34" i="4"/>
  <c r="BE33" i="4"/>
  <c r="BE34" i="4"/>
  <c r="J33" i="4"/>
  <c r="J34" i="4"/>
  <c r="L33" i="4"/>
  <c r="L34" i="4"/>
  <c r="N33" i="4"/>
  <c r="N34" i="4"/>
  <c r="P33" i="4"/>
  <c r="P34" i="4"/>
  <c r="R34" i="4"/>
  <c r="T34" i="4"/>
  <c r="V33" i="4"/>
  <c r="V34" i="4"/>
  <c r="X33" i="4"/>
  <c r="X34" i="4"/>
  <c r="Z33" i="4"/>
  <c r="Z34" i="4"/>
  <c r="AB33" i="4"/>
  <c r="AB34" i="4"/>
  <c r="AD34" i="4"/>
  <c r="AF33" i="4"/>
  <c r="AF34" i="4"/>
  <c r="AH33" i="4"/>
  <c r="AH34" i="4"/>
  <c r="AJ33" i="4"/>
  <c r="AJ34" i="4"/>
  <c r="AL33" i="4"/>
  <c r="AL34" i="4"/>
  <c r="AN34" i="4"/>
  <c r="AP33" i="4"/>
  <c r="AP34" i="4"/>
  <c r="AR33" i="4"/>
  <c r="AR34" i="4"/>
  <c r="AT33" i="4"/>
  <c r="AT34" i="4"/>
  <c r="AV33" i="4"/>
  <c r="AV34" i="4"/>
  <c r="AX34" i="4"/>
  <c r="AZ34" i="4"/>
  <c r="BB33" i="4"/>
  <c r="BB34" i="4"/>
  <c r="BD33" i="4"/>
  <c r="BD34" i="4"/>
  <c r="I34" i="4"/>
  <c r="AE29" i="4"/>
  <c r="AE30" i="4"/>
  <c r="K30" i="4"/>
  <c r="M30" i="4"/>
  <c r="O30" i="4"/>
  <c r="Q29" i="4"/>
  <c r="Q30" i="4"/>
  <c r="S29" i="4"/>
  <c r="S30" i="4"/>
  <c r="U29" i="4"/>
  <c r="U30" i="4"/>
  <c r="W30" i="4"/>
  <c r="Y30" i="4"/>
  <c r="AC29" i="4"/>
  <c r="AC30" i="4"/>
  <c r="AG30" i="4"/>
  <c r="AI30" i="4"/>
  <c r="AK30" i="4"/>
  <c r="AM29" i="4"/>
  <c r="AM30" i="4"/>
  <c r="AO29" i="4"/>
  <c r="AO30" i="4"/>
  <c r="AQ30" i="4"/>
  <c r="AS30" i="4"/>
  <c r="AU30" i="4"/>
  <c r="AW29" i="4"/>
  <c r="AW30" i="4"/>
  <c r="AY29" i="4"/>
  <c r="AY30" i="4"/>
  <c r="BA29" i="4"/>
  <c r="BA30" i="4"/>
  <c r="BC30" i="4"/>
  <c r="BE29" i="4"/>
  <c r="BE30" i="4"/>
  <c r="J29" i="4"/>
  <c r="J30" i="4"/>
  <c r="L30" i="4"/>
  <c r="N30" i="4"/>
  <c r="P30" i="4"/>
  <c r="R29" i="4"/>
  <c r="R30" i="4"/>
  <c r="T29" i="4"/>
  <c r="T30" i="4"/>
  <c r="V30" i="4"/>
  <c r="X30" i="4"/>
  <c r="Z30" i="4"/>
  <c r="AB29" i="4"/>
  <c r="AB30" i="4"/>
  <c r="AD29" i="4"/>
  <c r="AD30" i="4"/>
  <c r="AF30" i="4"/>
  <c r="AH30" i="4"/>
  <c r="AJ30" i="4"/>
  <c r="AL29" i="4"/>
  <c r="AL30" i="4"/>
  <c r="AN29" i="4"/>
  <c r="AN30" i="4"/>
  <c r="AP29" i="4"/>
  <c r="AP30" i="4"/>
  <c r="AR30" i="4"/>
  <c r="AT30" i="4"/>
  <c r="AV29" i="4"/>
  <c r="AV30" i="4"/>
  <c r="AX29" i="4"/>
  <c r="AX30" i="4"/>
  <c r="AZ29" i="4"/>
  <c r="AZ30" i="4"/>
  <c r="BB30" i="4"/>
  <c r="BD30" i="4"/>
  <c r="I30" i="4"/>
  <c r="I29" i="4"/>
  <c r="AM18" i="4"/>
  <c r="AM22" i="4" s="1"/>
  <c r="AM24" i="4" s="1"/>
  <c r="BE18" i="4"/>
  <c r="BE22" i="4" s="1"/>
  <c r="AZ18" i="4"/>
  <c r="AZ22" i="4" s="1"/>
  <c r="AZ24" i="4" s="1"/>
  <c r="AU18" i="4"/>
  <c r="AU22" i="4" s="1"/>
  <c r="AE18" i="4"/>
  <c r="AE22" i="4" s="1"/>
  <c r="O18" i="4"/>
  <c r="O22" i="4" s="1"/>
  <c r="Z18" i="4"/>
  <c r="Z22" i="4" s="1"/>
  <c r="AR18" i="4"/>
  <c r="AR22" i="4" s="1"/>
  <c r="N18" i="4"/>
  <c r="N22" i="4" s="1"/>
  <c r="AY18" i="4"/>
  <c r="AY22" i="4" s="1"/>
  <c r="AY24" i="4" s="1"/>
  <c r="AQ18" i="4"/>
  <c r="AQ22" i="4" s="1"/>
  <c r="AI18" i="4"/>
  <c r="AI22" i="4" s="1"/>
  <c r="AA18" i="4"/>
  <c r="AA22" i="4" s="1"/>
  <c r="S18" i="4"/>
  <c r="S22" i="4" s="1"/>
  <c r="S24" i="4" s="1"/>
  <c r="K18" i="4"/>
  <c r="K22" i="4" s="1"/>
  <c r="R18" i="4"/>
  <c r="R22" i="4" s="1"/>
  <c r="R24" i="4" s="1"/>
  <c r="AD18" i="4"/>
  <c r="AD22" i="4" s="1"/>
  <c r="AD24" i="4" s="1"/>
  <c r="AN18" i="4"/>
  <c r="AN22" i="4" s="1"/>
  <c r="AN24" i="4" s="1"/>
  <c r="AV18" i="4"/>
  <c r="AV22" i="4" s="1"/>
  <c r="BD18" i="4"/>
  <c r="BD22" i="4" s="1"/>
  <c r="T18" i="4"/>
  <c r="T22" i="4" s="1"/>
  <c r="T24" i="4" s="1"/>
  <c r="D18" i="4"/>
  <c r="D22" i="4" s="1"/>
  <c r="BA18" i="4"/>
  <c r="BA22" i="4" s="1"/>
  <c r="AW18" i="4"/>
  <c r="AW22" i="4" s="1"/>
  <c r="AS18" i="4"/>
  <c r="AS22" i="4" s="1"/>
  <c r="AO18" i="4"/>
  <c r="AO22" i="4" s="1"/>
  <c r="AO24" i="4" s="1"/>
  <c r="AK18" i="4"/>
  <c r="AK22" i="4" s="1"/>
  <c r="AG18" i="4"/>
  <c r="AG22" i="4" s="1"/>
  <c r="AC18" i="4"/>
  <c r="AC22" i="4" s="1"/>
  <c r="AC24" i="4" s="1"/>
  <c r="Y18" i="4"/>
  <c r="Y22" i="4" s="1"/>
  <c r="U18" i="4"/>
  <c r="U22" i="4" s="1"/>
  <c r="Q18" i="4"/>
  <c r="Q22" i="4" s="1"/>
  <c r="M18" i="4"/>
  <c r="M22" i="4" s="1"/>
  <c r="I18" i="4"/>
  <c r="I22" i="4" s="1"/>
  <c r="L18" i="4"/>
  <c r="L22" i="4" s="1"/>
  <c r="V18" i="4"/>
  <c r="V22" i="4" s="1"/>
  <c r="AB18" i="4"/>
  <c r="AB22" i="4" s="1"/>
  <c r="AF18" i="4"/>
  <c r="AF22" i="4" s="1"/>
  <c r="AL18" i="4"/>
  <c r="AL22" i="4" s="1"/>
  <c r="AP18" i="4"/>
  <c r="AP22" i="4" s="1"/>
  <c r="AT18" i="4"/>
  <c r="AT22" i="4" s="1"/>
  <c r="AX18" i="4"/>
  <c r="AX22" i="4" s="1"/>
  <c r="AX24" i="4" s="1"/>
  <c r="BB18" i="4"/>
  <c r="BB22" i="4" s="1"/>
  <c r="J18" i="4"/>
  <c r="J22" i="4" s="1"/>
  <c r="P18" i="4"/>
  <c r="P22" i="4" s="1"/>
  <c r="I24" i="4" l="1"/>
  <c r="D26" i="4" s="1"/>
  <c r="W29" i="4" s="1"/>
  <c r="M39" i="4"/>
  <c r="V29" i="4"/>
  <c r="AI29" i="4"/>
  <c r="O29" i="4"/>
  <c r="P29" i="4"/>
  <c r="AT29" i="4"/>
  <c r="M29" i="4"/>
  <c r="AS29" i="4"/>
  <c r="AA29" i="4"/>
  <c r="N29" i="4"/>
  <c r="Z29" i="4"/>
  <c r="I33" i="4"/>
  <c r="AJ29" i="4"/>
  <c r="AH29" i="4"/>
  <c r="X29" i="4"/>
  <c r="BC29" i="4"/>
  <c r="AZ33" i="4"/>
  <c r="AX33" i="4"/>
  <c r="AN33" i="4"/>
  <c r="AD33" i="4"/>
  <c r="T33" i="4"/>
  <c r="R33" i="4"/>
  <c r="AY33" i="4"/>
  <c r="AO33" i="4"/>
  <c r="AM33" i="4"/>
  <c r="AC33" i="4"/>
  <c r="S33" i="4"/>
  <c r="E7" i="5"/>
  <c r="AG29" i="4" l="1"/>
  <c r="AQ29" i="4"/>
  <c r="K29" i="4"/>
  <c r="AK29" i="4"/>
  <c r="L29" i="4"/>
  <c r="BB29" i="4"/>
  <c r="AU29" i="4"/>
  <c r="AR29" i="4"/>
  <c r="BD29" i="4"/>
  <c r="Y29" i="4"/>
  <c r="AF29" i="4"/>
</calcChain>
</file>

<file path=xl/comments1.xml><?xml version="1.0" encoding="utf-8"?>
<comments xmlns="http://schemas.openxmlformats.org/spreadsheetml/2006/main">
  <authors>
    <author>Laurent</author>
  </authors>
  <commentList>
    <comment ref="C4" authorId="0">
      <text>
        <r>
          <rPr>
            <b/>
            <sz val="8"/>
            <color indexed="81"/>
            <rFont val="Tahoma"/>
            <family val="2"/>
          </rPr>
          <t>Laurent:</t>
        </r>
        <r>
          <rPr>
            <sz val="8"/>
            <color indexed="81"/>
            <rFont val="Tahoma"/>
            <family val="2"/>
          </rPr>
          <t xml:space="preserve">
See sheet "soft_name" for the translation of the greek letters into plain text.</t>
        </r>
      </text>
    </comment>
    <comment ref="E4" authorId="0">
      <text>
        <r>
          <rPr>
            <b/>
            <sz val="8"/>
            <color indexed="81"/>
            <rFont val="Tahoma"/>
            <family val="2"/>
          </rPr>
          <t>Laurent:</t>
        </r>
        <r>
          <rPr>
            <sz val="8"/>
            <color indexed="81"/>
            <rFont val="Tahoma"/>
            <family val="2"/>
          </rPr>
          <t xml:space="preserve">
Actual value in this calculation step</t>
        </r>
      </text>
    </comment>
    <comment ref="F4" authorId="0">
      <text>
        <r>
          <rPr>
            <b/>
            <sz val="8"/>
            <color indexed="81"/>
            <rFont val="Tahoma"/>
            <family val="2"/>
          </rPr>
          <t>Laurent:</t>
        </r>
        <r>
          <rPr>
            <sz val="8"/>
            <color indexed="81"/>
            <rFont val="Tahoma"/>
            <family val="2"/>
          </rPr>
          <t xml:space="preserve">
Indicate the correct range for this value. This information can be used for input validation.</t>
        </r>
      </text>
    </comment>
    <comment ref="G4" authorId="0">
      <text>
        <r>
          <rPr>
            <b/>
            <sz val="8"/>
            <color indexed="81"/>
            <rFont val="Tahoma"/>
            <family val="2"/>
          </rPr>
          <t>Laurent:</t>
        </r>
        <r>
          <rPr>
            <sz val="8"/>
            <color indexed="81"/>
            <rFont val="Tahoma"/>
            <family val="2"/>
          </rPr>
          <t xml:space="preserve">
Mandatory to indicate either "local" or the code of the originating module or standard </t>
        </r>
      </text>
    </comment>
    <comment ref="H4" authorId="0">
      <text>
        <r>
          <rPr>
            <b/>
            <sz val="8"/>
            <color indexed="81"/>
            <rFont val="Tahoma"/>
            <family val="2"/>
          </rPr>
          <t>Laurent:</t>
        </r>
        <r>
          <rPr>
            <sz val="8"/>
            <color indexed="81"/>
            <rFont val="Tahoma"/>
            <family val="2"/>
          </rPr>
          <t xml:space="preserve">
Means if this value changes from one time-step to the other </t>
        </r>
      </text>
    </comment>
  </commentList>
</comments>
</file>

<file path=xl/comments2.xml><?xml version="1.0" encoding="utf-8"?>
<comments xmlns="http://schemas.openxmlformats.org/spreadsheetml/2006/main">
  <authors>
    <author>Laurent</author>
  </authors>
  <commentList>
    <comment ref="C4" authorId="0">
      <text>
        <r>
          <rPr>
            <b/>
            <sz val="8"/>
            <color indexed="81"/>
            <rFont val="Tahoma"/>
            <family val="2"/>
          </rPr>
          <t>Laurent:</t>
        </r>
        <r>
          <rPr>
            <sz val="8"/>
            <color indexed="81"/>
            <rFont val="Tahoma"/>
            <family val="2"/>
          </rPr>
          <t xml:space="preserve">
See sheet "soft_name" for the translation of the greek letters into plain text.</t>
        </r>
      </text>
    </comment>
    <comment ref="F4" authorId="0">
      <text>
        <r>
          <rPr>
            <b/>
            <sz val="8"/>
            <color indexed="81"/>
            <rFont val="Tahoma"/>
            <family val="2"/>
          </rPr>
          <t>Laurent:</t>
        </r>
        <r>
          <rPr>
            <sz val="8"/>
            <color indexed="81"/>
            <rFont val="Tahoma"/>
            <family val="2"/>
          </rPr>
          <t xml:space="preserve">
Indicate the correct range for this value. This information can be used for input validation.</t>
        </r>
      </text>
    </comment>
    <comment ref="G4" authorId="0">
      <text>
        <r>
          <rPr>
            <b/>
            <sz val="8"/>
            <color indexed="81"/>
            <rFont val="Tahoma"/>
            <family val="2"/>
          </rPr>
          <t>Laurent:</t>
        </r>
        <r>
          <rPr>
            <sz val="8"/>
            <color indexed="81"/>
            <rFont val="Tahoma"/>
            <family val="2"/>
          </rPr>
          <t xml:space="preserve">
Intended destination of calculated output</t>
        </r>
      </text>
    </comment>
    <comment ref="H4" authorId="0">
      <text>
        <r>
          <rPr>
            <b/>
            <sz val="8"/>
            <color indexed="81"/>
            <rFont val="Tahoma"/>
            <family val="2"/>
          </rPr>
          <t>Laurent:</t>
        </r>
        <r>
          <rPr>
            <sz val="8"/>
            <color indexed="81"/>
            <rFont val="Tahoma"/>
            <family val="2"/>
          </rPr>
          <t xml:space="preserve">
Kept for consistency
Obviously result will often vary from time to time...</t>
        </r>
      </text>
    </comment>
  </commentList>
</comments>
</file>

<file path=xl/sharedStrings.xml><?xml version="1.0" encoding="utf-8"?>
<sst xmlns="http://schemas.openxmlformats.org/spreadsheetml/2006/main" count="785" uniqueCount="228">
  <si>
    <t>Unit</t>
  </si>
  <si>
    <t>Origin</t>
  </si>
  <si>
    <t>Name</t>
  </si>
  <si>
    <t>Value</t>
  </si>
  <si>
    <t>Description</t>
  </si>
  <si>
    <t>Notes</t>
  </si>
  <si>
    <t>Symbol</t>
  </si>
  <si>
    <t>kWh</t>
  </si>
  <si>
    <t>-</t>
  </si>
  <si>
    <t>Recoverable heat</t>
  </si>
  <si>
    <t>generator efficiency at full load;</t>
  </si>
  <si>
    <t>kW</t>
  </si>
  <si>
    <t>°C</t>
  </si>
  <si>
    <r>
      <t>b</t>
    </r>
    <r>
      <rPr>
        <vertAlign val="subscript"/>
        <sz val="10"/>
        <rFont val="Arial"/>
        <family val="2"/>
      </rPr>
      <t>brm</t>
    </r>
  </si>
  <si>
    <t>h</t>
  </si>
  <si>
    <t>%</t>
  </si>
  <si>
    <t>calculation interval</t>
  </si>
  <si>
    <r>
      <t>t</t>
    </r>
    <r>
      <rPr>
        <vertAlign val="subscript"/>
        <sz val="10"/>
        <rFont val="Arial"/>
        <family val="2"/>
      </rPr>
      <t>ci</t>
    </r>
    <r>
      <rPr>
        <sz val="10"/>
        <rFont val="Arial"/>
        <family val="2"/>
      </rPr>
      <t xml:space="preserve"> </t>
    </r>
  </si>
  <si>
    <t>Temperature reduction factor of boiler room</t>
  </si>
  <si>
    <t>Range</t>
  </si>
  <si>
    <r>
      <t>0...</t>
    </r>
    <r>
      <rPr>
        <sz val="10"/>
        <rFont val="Calibri"/>
        <family val="2"/>
      </rPr>
      <t>∞</t>
    </r>
  </si>
  <si>
    <t>Varying</t>
  </si>
  <si>
    <t>Yes</t>
  </si>
  <si>
    <t>NO</t>
  </si>
  <si>
    <t>System design data</t>
  </si>
  <si>
    <t>Formula</t>
  </si>
  <si>
    <t>0…8760</t>
  </si>
  <si>
    <t>Local</t>
  </si>
  <si>
    <t xml:space="preserve">Total auxiliary energy </t>
  </si>
  <si>
    <t>Product data</t>
  </si>
  <si>
    <t>0…120%</t>
  </si>
  <si>
    <t>0…1</t>
  </si>
  <si>
    <t>Formula ref</t>
  </si>
  <si>
    <t>Method output</t>
  </si>
  <si>
    <t>Energy flow data</t>
  </si>
  <si>
    <t>Operating condition data</t>
  </si>
  <si>
    <t>Other data</t>
  </si>
  <si>
    <t>Flow rate</t>
  </si>
  <si>
    <t>Temperature 1</t>
  </si>
  <si>
    <t>Temperature 2</t>
  </si>
  <si>
    <t>BLR_FUEL</t>
  </si>
  <si>
    <t>Fuel type</t>
  </si>
  <si>
    <t>Intended destination</t>
  </si>
  <si>
    <t>Date</t>
  </si>
  <si>
    <t>Version scope</t>
  </si>
  <si>
    <t>Changes, notes</t>
  </si>
  <si>
    <t xml:space="preserve">Product description data </t>
  </si>
  <si>
    <t xml:space="preserve">Product technical data </t>
  </si>
  <si>
    <t>Process design</t>
  </si>
  <si>
    <t>M1-9</t>
  </si>
  <si>
    <t xml:space="preserve">Recoverable heat for heating </t>
  </si>
  <si>
    <t>List</t>
  </si>
  <si>
    <t>Fuel used</t>
  </si>
  <si>
    <t>No calculation. Just pass the information to subsequent modules to appy the relevant weuighting factors for deliverd energy</t>
  </si>
  <si>
    <t>Needed to apply the right weighting factors</t>
  </si>
  <si>
    <t>M3-1</t>
  </si>
  <si>
    <t>Control type data</t>
  </si>
  <si>
    <t>Operating conditions data</t>
  </si>
  <si>
    <t>M2-2</t>
  </si>
  <si>
    <t>Boiler auxiliary energy</t>
  </si>
  <si>
    <t>Water specific heat</t>
  </si>
  <si>
    <t>Wh/kg°C</t>
  </si>
  <si>
    <r>
      <rPr>
        <b/>
        <sz val="10"/>
        <color rgb="FFFF0000"/>
        <rFont val="Arial"/>
        <family val="2"/>
      </rPr>
      <t>THIS IS A MANDATORY SHEET</t>
    </r>
    <r>
      <rPr>
        <sz val="10"/>
        <rFont val="Arial"/>
        <family val="2"/>
      </rPr>
      <t xml:space="preserve">
Output of one step calculation shall be indicated here.
Each cell in the column value shall be a reference to a single cell in the "</t>
    </r>
    <r>
      <rPr>
        <b/>
        <i/>
        <sz val="10"/>
        <rFont val="Arial"/>
        <family val="2"/>
      </rPr>
      <t>Method_calculation</t>
    </r>
    <r>
      <rPr>
        <sz val="10"/>
        <rFont val="Arial"/>
        <family val="2"/>
      </rPr>
      <t>" sheet.
The macro will take the calculation step results and fill the values table in the "</t>
    </r>
    <r>
      <rPr>
        <b/>
        <i/>
        <sz val="10"/>
        <rFont val="Arial"/>
        <family val="2"/>
      </rPr>
      <t>Output_series"</t>
    </r>
    <r>
      <rPr>
        <sz val="10"/>
        <rFont val="Arial"/>
        <family val="2"/>
      </rPr>
      <t xml:space="preserve"> sheet.</t>
    </r>
  </si>
  <si>
    <r>
      <rPr>
        <b/>
        <sz val="10"/>
        <color rgb="FFFF0000"/>
        <rFont val="Arial"/>
        <family val="2"/>
      </rPr>
      <t>THIS IS A MANDATORY SHEET</t>
    </r>
    <r>
      <rPr>
        <b/>
        <sz val="10"/>
        <rFont val="Arial"/>
        <family val="2"/>
      </rPr>
      <t xml:space="preserve">
All input data for the method shall be listed here.</t>
    </r>
    <r>
      <rPr>
        <sz val="10"/>
        <rFont val="Arial"/>
        <family val="2"/>
      </rPr>
      <t xml:space="preserve">
In the simplest version, values for data input in column D (both green and blue background) may be inserted manually.
Varying data (green background) can be fed from the "</t>
    </r>
    <r>
      <rPr>
        <b/>
        <i/>
        <sz val="10"/>
        <rFont val="Arial"/>
        <family val="2"/>
      </rPr>
      <t>input_series</t>
    </r>
    <r>
      <rPr>
        <sz val="10"/>
        <rFont val="Arial"/>
        <family val="2"/>
      </rPr>
      <t>" sheet.
In this sample data sheet, product data (blue background) is linked to a sample catalogue built in the "</t>
    </r>
    <r>
      <rPr>
        <b/>
        <i/>
        <sz val="10"/>
        <rFont val="Arial"/>
        <family val="2"/>
      </rPr>
      <t>Detailed_input</t>
    </r>
    <r>
      <rPr>
        <sz val="10"/>
        <rFont val="Arial"/>
        <family val="2"/>
      </rPr>
      <t>" sheet</t>
    </r>
  </si>
  <si>
    <r>
      <rPr>
        <b/>
        <sz val="11"/>
        <rFont val="Arial"/>
        <family val="2"/>
      </rPr>
      <t>Intended use of this document</t>
    </r>
    <r>
      <rPr>
        <sz val="10"/>
        <rFont val="Arial"/>
        <family val="2"/>
      </rPr>
      <t xml:space="preserve">
Those responsible for the drafting of actual individual EPB standards shall
-  read and understand the following documents
   - prCEN/TS 16628 Basic Principles (in short "BP")
   - prCEN/TS 16629 Detailed Technical Rules (in short "DTR")
   - prEN 15603:2013 ("Overarching Standard", in short "OA"))
   - prCEN/TR 15615:2013 Technical report to overarching standard;
- Prepare their individual EPB standard according to CEN rules, BP, DTR and OA
- Prepare the accompanying technical report using the dedicated template
- </t>
    </r>
    <r>
      <rPr>
        <b/>
        <sz val="10"/>
        <rFont val="Arial"/>
        <family val="2"/>
      </rPr>
      <t>Prepare an accompanying XLS spreadsheet, to demonstrate inputs, output and calculation chain.
This sample excel spreadsheet provides a template to help in this task.</t>
    </r>
  </si>
  <si>
    <r>
      <rPr>
        <b/>
        <sz val="10"/>
        <rFont val="Arial"/>
        <family val="2"/>
      </rPr>
      <t>Why an Excel spradsheet?</t>
    </r>
    <r>
      <rPr>
        <sz val="10"/>
        <rFont val="Arial"/>
        <family val="2"/>
      </rPr>
      <t xml:space="preserve">
To demonstrate the validity and required data I/O for the calculation procedure defined in the standard:
- list of all input needed --&gt; sheet "</t>
    </r>
    <r>
      <rPr>
        <b/>
        <i/>
        <sz val="10"/>
        <rFont val="Arial"/>
        <family val="2"/>
      </rPr>
      <t>Method_input</t>
    </r>
    <r>
      <rPr>
        <sz val="10"/>
        <rFont val="Arial"/>
        <family val="2"/>
      </rPr>
      <t>"
- list of intended output --&gt; sheet  "</t>
    </r>
    <r>
      <rPr>
        <b/>
        <i/>
        <sz val="10"/>
        <rFont val="Arial"/>
        <family val="2"/>
      </rPr>
      <t>Method_output</t>
    </r>
    <r>
      <rPr>
        <sz val="10"/>
        <rFont val="Arial"/>
        <family val="2"/>
      </rPr>
      <t>"
- calculation sequence --&gt; sheet  "</t>
    </r>
    <r>
      <rPr>
        <b/>
        <i/>
        <sz val="10"/>
        <rFont val="Arial"/>
        <family val="2"/>
      </rPr>
      <t>Method_calculation</t>
    </r>
    <r>
      <rPr>
        <sz val="10"/>
        <rFont val="Arial"/>
        <family val="2"/>
      </rPr>
      <t>"</t>
    </r>
  </si>
  <si>
    <t>Constants</t>
  </si>
  <si>
    <r>
      <rPr>
        <b/>
        <sz val="10"/>
        <color rgb="FFFF0000"/>
        <rFont val="Arial"/>
        <family val="2"/>
      </rPr>
      <t>THIS IS A MANDATORY SHEET</t>
    </r>
    <r>
      <rPr>
        <sz val="10"/>
        <rFont val="Arial"/>
        <family val="2"/>
      </rPr>
      <t xml:space="preserve">
One time step calculation shall be described here.
For each calculation step (= 1 row) data for the formula in column D shall be taken from the "</t>
    </r>
    <r>
      <rPr>
        <b/>
        <i/>
        <sz val="10"/>
        <rFont val="Arial"/>
        <family val="2"/>
      </rPr>
      <t>Method_input</t>
    </r>
    <r>
      <rPr>
        <sz val="10"/>
        <rFont val="Arial"/>
        <family val="2"/>
      </rPr>
      <t xml:space="preserve">" sheet </t>
    </r>
    <r>
      <rPr>
        <sz val="10"/>
        <rFont val="Arial"/>
        <family val="2"/>
      </rPr>
      <t>or previous calculation steps.
Include in the column "</t>
    </r>
    <r>
      <rPr>
        <b/>
        <i/>
        <sz val="10"/>
        <rFont val="Arial"/>
        <family val="2"/>
      </rPr>
      <t>Formula ref</t>
    </r>
    <r>
      <rPr>
        <sz val="10"/>
        <rFont val="Arial"/>
        <family val="2"/>
      </rPr>
      <t xml:space="preserve">" its number in the standard text. The example is based on EN 15316-4-1:2008
Copy and paste a copy of the equation into column </t>
    </r>
    <r>
      <rPr>
        <b/>
        <i/>
        <sz val="10"/>
        <rFont val="Arial"/>
        <family val="2"/>
      </rPr>
      <t>"Formula</t>
    </r>
    <r>
      <rPr>
        <sz val="10"/>
        <rFont val="Arial"/>
        <family val="2"/>
      </rPr>
      <t>"
Use the column note for information on the calculation</t>
    </r>
  </si>
  <si>
    <r>
      <rPr>
        <b/>
        <i/>
        <sz val="10"/>
        <rFont val="Arial"/>
        <family val="2"/>
      </rPr>
      <t xml:space="preserve">Method_input
</t>
    </r>
    <r>
      <rPr>
        <sz val="10"/>
        <rFont val="Arial"/>
        <family val="2"/>
      </rPr>
      <t xml:space="preserve">List in this sheet all the input required for the calculation in one time step.
</t>
    </r>
    <r>
      <rPr>
        <b/>
        <sz val="10"/>
        <color rgb="FFFF0000"/>
        <rFont val="Arial"/>
        <family val="2"/>
      </rPr>
      <t>THIS SHEET IS REQUIRED TO DEMONSTRATE THE REQUIRED DATA INPUT.</t>
    </r>
  </si>
  <si>
    <r>
      <rPr>
        <b/>
        <i/>
        <sz val="10"/>
        <rFont val="Arial"/>
        <family val="2"/>
      </rPr>
      <t xml:space="preserve">Method_calculation
</t>
    </r>
    <r>
      <rPr>
        <sz val="10"/>
        <rFont val="Arial"/>
        <family val="2"/>
      </rPr>
      <t xml:space="preserve">Detail in this sheet your calculation procedure. There should be one calculation in one cell for each equation in the standard.
</t>
    </r>
    <r>
      <rPr>
        <b/>
        <sz val="10"/>
        <color rgb="FFFF0000"/>
        <rFont val="Arial"/>
        <family val="2"/>
      </rPr>
      <t>THIS SHEET IS REQUIRED TO DEMONSTRATE THE CALCULATION PROCEDURE.</t>
    </r>
  </si>
  <si>
    <r>
      <rPr>
        <b/>
        <i/>
        <sz val="10"/>
        <rFont val="Arial"/>
        <family val="2"/>
      </rPr>
      <t xml:space="preserve">Method_output
</t>
    </r>
    <r>
      <rPr>
        <sz val="10"/>
        <rFont val="Arial"/>
        <family val="2"/>
      </rPr>
      <t xml:space="preserve">List in this sheet all the intended output of the procedure.
</t>
    </r>
    <r>
      <rPr>
        <b/>
        <sz val="10"/>
        <color rgb="FFFF0000"/>
        <rFont val="Arial"/>
        <family val="2"/>
      </rPr>
      <t>THIS SHEET IS REQUIRED TO DEMONSTRATE THE AVAILABLE DATA OUTPUT.</t>
    </r>
  </si>
  <si>
    <t>THIS IS A SIMPLIFIED VERSION INCLUDING ONLY THE MANDATORY SHEET
ONLY ONE CALCULATION EXAMPLE AT ONE TIME-STEP IS SUPPORTED</t>
  </si>
  <si>
    <t>Software name</t>
  </si>
  <si>
    <t>bbrm</t>
  </si>
  <si>
    <r>
      <t>η</t>
    </r>
    <r>
      <rPr>
        <vertAlign val="subscript"/>
        <sz val="10"/>
        <rFont val="Arial"/>
        <family val="2"/>
      </rPr>
      <t>gnr;Pn</t>
    </r>
    <r>
      <rPr>
        <sz val="10"/>
        <rFont val="Arial"/>
        <family val="2"/>
      </rPr>
      <t xml:space="preserve"> </t>
    </r>
  </si>
  <si>
    <r>
      <t>cp</t>
    </r>
    <r>
      <rPr>
        <i/>
        <sz val="8"/>
        <rFont val="Arial"/>
        <family val="2"/>
      </rPr>
      <t xml:space="preserve">w </t>
    </r>
  </si>
  <si>
    <t xml:space="preserve">cp_w </t>
  </si>
  <si>
    <t xml:space="preserve">t_ci </t>
  </si>
  <si>
    <t xml:space="preserve">eta_gnr_Pn </t>
  </si>
  <si>
    <r>
      <t>Q</t>
    </r>
    <r>
      <rPr>
        <vertAlign val="subscript"/>
        <sz val="10"/>
        <rFont val="Arial"/>
        <family val="2"/>
      </rPr>
      <t xml:space="preserve">H;gen;ls;rbl </t>
    </r>
    <r>
      <rPr>
        <sz val="10"/>
        <rFont val="Arial"/>
        <family val="2"/>
      </rPr>
      <t xml:space="preserve"> </t>
    </r>
  </si>
  <si>
    <r>
      <t>W</t>
    </r>
    <r>
      <rPr>
        <vertAlign val="subscript"/>
        <sz val="10"/>
        <rFont val="Arial"/>
        <family val="2"/>
      </rPr>
      <t>H;gen;aux</t>
    </r>
  </si>
  <si>
    <t xml:space="preserve">Q_H_gen_ls_rbl  </t>
  </si>
  <si>
    <t>W_H_gen_aux</t>
  </si>
  <si>
    <t>DATA ARRAY</t>
  </si>
  <si>
    <t>Measured data</t>
  </si>
  <si>
    <t>Initial date</t>
  </si>
  <si>
    <t>Final date</t>
  </si>
  <si>
    <t>Initial meter reading
or
 final stock</t>
  </si>
  <si>
    <t>Final meter reading 
or
initial stock</t>
  </si>
  <si>
    <t>Deliveries</t>
  </si>
  <si>
    <t>[day]</t>
  </si>
  <si>
    <t>m³ /kg/l</t>
  </si>
  <si>
    <t>nH</t>
  </si>
  <si>
    <t>HnH</t>
  </si>
  <si>
    <t>H</t>
  </si>
  <si>
    <r>
      <t>Rcr,i,t;ini
M</t>
    </r>
    <r>
      <rPr>
        <i/>
        <sz val="8"/>
        <rFont val="Arial"/>
        <family val="2"/>
      </rPr>
      <t>stock;cr,i,t;fin</t>
    </r>
  </si>
  <si>
    <r>
      <t>M</t>
    </r>
    <r>
      <rPr>
        <sz val="8"/>
        <rFont val="Arial"/>
        <family val="2"/>
      </rPr>
      <t>sup;cr,i,t</t>
    </r>
  </si>
  <si>
    <r>
      <t>D</t>
    </r>
    <r>
      <rPr>
        <i/>
        <sz val="8"/>
        <rFont val="Arial"/>
        <family val="2"/>
      </rPr>
      <t>meas,i,t;ini</t>
    </r>
  </si>
  <si>
    <r>
      <t>D</t>
    </r>
    <r>
      <rPr>
        <i/>
        <sz val="9"/>
        <rFont val="Arial"/>
        <family val="2"/>
      </rPr>
      <t>meas,i,t;ini</t>
    </r>
  </si>
  <si>
    <t>Inv</t>
  </si>
  <si>
    <t>Checked</t>
  </si>
  <si>
    <t>OK/KO</t>
  </si>
  <si>
    <t>OK</t>
  </si>
  <si>
    <t>Source of  delivered energy data</t>
  </si>
  <si>
    <t>Type of use during meas. Interval</t>
  </si>
  <si>
    <t>METEO</t>
  </si>
  <si>
    <t>USER</t>
  </si>
  <si>
    <t>Rcr,i,t;ini
Mstock;cr,i,t;fin</t>
  </si>
  <si>
    <t>Rcr,i,t;fin
Mstock;cr,i,t;ini</t>
  </si>
  <si>
    <r>
      <t>Rcr,i,t;fin
M</t>
    </r>
    <r>
      <rPr>
        <i/>
        <sz val="8"/>
        <rFont val="Arial"/>
        <family val="2"/>
      </rPr>
      <t>stock;cr,i,t;ini</t>
    </r>
  </si>
  <si>
    <t>Average ext. Temp.</t>
  </si>
  <si>
    <t>Source of ext temp.</t>
  </si>
  <si>
    <t>Indoor temp.</t>
  </si>
  <si>
    <t>Source of internal temp. data</t>
  </si>
  <si>
    <r>
      <rPr>
        <sz val="11"/>
        <rFont val="Calibri"/>
        <family val="2"/>
      </rPr>
      <t>ϑ</t>
    </r>
    <r>
      <rPr>
        <sz val="9"/>
        <rFont val="Arial"/>
        <family val="2"/>
      </rPr>
      <t>ext,t</t>
    </r>
  </si>
  <si>
    <r>
      <rPr>
        <sz val="11"/>
        <rFont val="Calibri"/>
        <family val="2"/>
      </rPr>
      <t>ϑ</t>
    </r>
    <r>
      <rPr>
        <sz val="9"/>
        <rFont val="Arial"/>
        <family val="2"/>
      </rPr>
      <t>int,t</t>
    </r>
  </si>
  <si>
    <t>Dmeas,i,t;ini</t>
  </si>
  <si>
    <t>Msup;cr,i,t</t>
  </si>
  <si>
    <t>ϑext,t</t>
  </si>
  <si>
    <t>ϑint,t</t>
  </si>
  <si>
    <t>Final meter reading or
initial stock</t>
  </si>
  <si>
    <t>Initial meter reading or
 final stock</t>
  </si>
  <si>
    <t>MEAS_TEXT_SOURCE</t>
  </si>
  <si>
    <t>MEAS_DEL_SOURCE</t>
  </si>
  <si>
    <t>MEAS_DEL_CHECKED</t>
  </si>
  <si>
    <t>MEAS_TINT_SOURCE</t>
  </si>
  <si>
    <t>MEAS_USE</t>
  </si>
  <si>
    <t>Delivered amount of fuel</t>
  </si>
  <si>
    <r>
      <t>M</t>
    </r>
    <r>
      <rPr>
        <vertAlign val="subscript"/>
        <sz val="10"/>
        <rFont val="Arial"/>
        <family val="2"/>
      </rPr>
      <t>del;cr,i,t;meas</t>
    </r>
    <r>
      <rPr>
        <sz val="10"/>
        <rFont val="Arial"/>
        <family val="2"/>
      </rPr>
      <t xml:space="preserve"> </t>
    </r>
  </si>
  <si>
    <t>(1), (3), (4)</t>
  </si>
  <si>
    <r>
      <t>R</t>
    </r>
    <r>
      <rPr>
        <i/>
        <sz val="8"/>
        <rFont val="Arial"/>
        <family val="2"/>
      </rPr>
      <t>cr,i,t;fin</t>
    </r>
    <r>
      <rPr>
        <i/>
        <sz val="10"/>
        <rFont val="Arial"/>
        <family val="2"/>
      </rPr>
      <t xml:space="preserve">
M</t>
    </r>
    <r>
      <rPr>
        <i/>
        <sz val="8"/>
        <rFont val="Arial"/>
        <family val="2"/>
      </rPr>
      <t>stock;cr,i,t;ini</t>
    </r>
  </si>
  <si>
    <r>
      <t>R</t>
    </r>
    <r>
      <rPr>
        <i/>
        <sz val="8"/>
        <rFont val="Arial"/>
        <family val="2"/>
      </rPr>
      <t>cr,i,t;ini</t>
    </r>
    <r>
      <rPr>
        <i/>
        <sz val="10"/>
        <rFont val="Arial"/>
        <family val="2"/>
      </rPr>
      <t xml:space="preserve">
M</t>
    </r>
    <r>
      <rPr>
        <i/>
        <sz val="8"/>
        <rFont val="Arial"/>
        <family val="2"/>
      </rPr>
      <t>stock;cr,i,t;fin</t>
    </r>
  </si>
  <si>
    <r>
      <t>M</t>
    </r>
    <r>
      <rPr>
        <i/>
        <sz val="8"/>
        <rFont val="Arial"/>
        <family val="2"/>
      </rPr>
      <t>sup;cr,i,t</t>
    </r>
  </si>
  <si>
    <t>Formula depends on the type of fuel</t>
  </si>
  <si>
    <t>Type of fuel</t>
  </si>
  <si>
    <t>MEAS_CARRIER</t>
  </si>
  <si>
    <t>GAS_METER</t>
  </si>
  <si>
    <t>Gas absolute temperature at measurement point</t>
  </si>
  <si>
    <t>Gas absolute pressure at measurement point</t>
  </si>
  <si>
    <t>Pa</t>
  </si>
  <si>
    <t>K</t>
  </si>
  <si>
    <r>
      <t>P</t>
    </r>
    <r>
      <rPr>
        <sz val="8"/>
        <rFont val="Arial"/>
        <family val="2"/>
      </rPr>
      <t>ref;abs</t>
    </r>
  </si>
  <si>
    <r>
      <t>T</t>
    </r>
    <r>
      <rPr>
        <sz val="8"/>
        <rFont val="Arial"/>
        <family val="2"/>
      </rPr>
      <t>meas</t>
    </r>
  </si>
  <si>
    <r>
      <t>P</t>
    </r>
    <r>
      <rPr>
        <sz val="8"/>
        <rFont val="Arial"/>
        <family val="2"/>
      </rPr>
      <t>meas;abs</t>
    </r>
  </si>
  <si>
    <r>
      <t>T</t>
    </r>
    <r>
      <rPr>
        <sz val="8"/>
        <rFont val="Arial"/>
        <family val="2"/>
      </rPr>
      <t>ref</t>
    </r>
  </si>
  <si>
    <t xml:space="preserve">Gas reference pressure </t>
  </si>
  <si>
    <t xml:space="preserve">Gas reference temperature </t>
  </si>
  <si>
    <r>
      <rPr>
        <sz val="10"/>
        <rFont val="Calibri"/>
        <family val="2"/>
      </rPr>
      <t>ρ</t>
    </r>
    <r>
      <rPr>
        <sz val="8"/>
        <rFont val="Arial"/>
        <family val="2"/>
      </rPr>
      <t>fuel</t>
    </r>
  </si>
  <si>
    <t>kg/l</t>
  </si>
  <si>
    <t>Liquid fuel density</t>
  </si>
  <si>
    <t>Correction factor for gas</t>
  </si>
  <si>
    <r>
      <t>k</t>
    </r>
    <r>
      <rPr>
        <i/>
        <sz val="8"/>
        <rFont val="Arial"/>
        <family val="2"/>
      </rPr>
      <t xml:space="preserve">meas;corr;gas </t>
    </r>
  </si>
  <si>
    <t>Input data</t>
  </si>
  <si>
    <t>(2)</t>
  </si>
  <si>
    <t xml:space="preserve">Correction factor of the reading </t>
  </si>
  <si>
    <t>Automatic selection depending on the type of fule to be implemented.</t>
  </si>
  <si>
    <r>
      <t>k</t>
    </r>
    <r>
      <rPr>
        <i/>
        <sz val="8"/>
        <rFont val="Arial"/>
        <family val="2"/>
      </rPr>
      <t>meas;corr;</t>
    </r>
  </si>
  <si>
    <t>Delivered energy</t>
  </si>
  <si>
    <r>
      <t>E</t>
    </r>
    <r>
      <rPr>
        <sz val="8"/>
        <rFont val="Arial"/>
        <family val="2"/>
      </rPr>
      <t xml:space="preserve">del;cr,i,t;meas </t>
    </r>
  </si>
  <si>
    <t>Calorific value of fuel</t>
  </si>
  <si>
    <t>Hi</t>
  </si>
  <si>
    <t>kWh/Sm³</t>
  </si>
  <si>
    <t>(7)</t>
  </si>
  <si>
    <t>Measurement interval duration</t>
  </si>
  <si>
    <t>(8)</t>
  </si>
  <si>
    <r>
      <t>t</t>
    </r>
    <r>
      <rPr>
        <i/>
        <sz val="8"/>
        <rFont val="Arial"/>
        <family val="2"/>
      </rPr>
      <t>t</t>
    </r>
  </si>
  <si>
    <r>
      <t>D</t>
    </r>
    <r>
      <rPr>
        <sz val="8"/>
        <rFont val="Arial"/>
        <family val="2"/>
      </rPr>
      <t>meas,i,t;ini</t>
    </r>
  </si>
  <si>
    <t>day</t>
  </si>
  <si>
    <t>Delivered power</t>
  </si>
  <si>
    <t>(9)</t>
  </si>
  <si>
    <r>
      <t>Φ</t>
    </r>
    <r>
      <rPr>
        <sz val="8"/>
        <rFont val="Arial"/>
        <family val="2"/>
      </rPr>
      <t xml:space="preserve">del,meas,t  </t>
    </r>
  </si>
  <si>
    <t>Input data array</t>
  </si>
  <si>
    <t>Auxiliary data: non heating intervals duration</t>
  </si>
  <si>
    <t>Auxiliary data: non heating intervals delivered energy</t>
  </si>
  <si>
    <t xml:space="preserve">Average power in non-heating measurement intervals </t>
  </si>
  <si>
    <t>(10)</t>
  </si>
  <si>
    <t>This is the source data used for this example</t>
  </si>
  <si>
    <t xml:space="preserve">Measured heating power </t>
  </si>
  <si>
    <r>
      <t>Φ</t>
    </r>
    <r>
      <rPr>
        <sz val="8"/>
        <rFont val="Arial"/>
        <family val="2"/>
      </rPr>
      <t xml:space="preserve">del,t;meas;H  </t>
    </r>
  </si>
  <si>
    <r>
      <t>Φ</t>
    </r>
    <r>
      <rPr>
        <sz val="8"/>
        <rFont val="Arial"/>
        <family val="2"/>
      </rPr>
      <t>del;meas;nH;avg</t>
    </r>
  </si>
  <si>
    <t>See array</t>
  </si>
  <si>
    <t>(11)</t>
  </si>
  <si>
    <r>
      <t>ϑ</t>
    </r>
    <r>
      <rPr>
        <sz val="8"/>
        <rFont val="Arial"/>
        <family val="2"/>
      </rPr>
      <t>ext,t</t>
    </r>
  </si>
  <si>
    <r>
      <t>η</t>
    </r>
    <r>
      <rPr>
        <sz val="8"/>
        <rFont val="Arial"/>
        <family val="2"/>
      </rPr>
      <t>H,gn</t>
    </r>
  </si>
  <si>
    <r>
      <t>γ</t>
    </r>
    <r>
      <rPr>
        <sz val="8"/>
        <rFont val="Arial"/>
        <family val="2"/>
      </rPr>
      <t>H</t>
    </r>
  </si>
  <si>
    <t>utilization factor of heat gains</t>
  </si>
  <si>
    <t>ratio of heat gains and losses</t>
  </si>
  <si>
    <t xml:space="preserve">reference internal temperature </t>
  </si>
  <si>
    <r>
      <t>ϑ</t>
    </r>
    <r>
      <rPr>
        <sz val="8"/>
        <rFont val="Arial"/>
        <family val="2"/>
      </rPr>
      <t>int,ref</t>
    </r>
  </si>
  <si>
    <t>Auxiliary data: Heating interval?</t>
  </si>
  <si>
    <t>°Cdays</t>
  </si>
  <si>
    <t>reference area</t>
  </si>
  <si>
    <r>
      <t>A</t>
    </r>
    <r>
      <rPr>
        <sz val="8"/>
        <rFont val="Arial"/>
        <family val="2"/>
      </rPr>
      <t>meas;ref</t>
    </r>
  </si>
  <si>
    <t>m²</t>
  </si>
  <si>
    <t>Normalised degree days</t>
  </si>
  <si>
    <r>
      <t>DD</t>
    </r>
    <r>
      <rPr>
        <sz val="8"/>
        <rFont val="Arial"/>
        <family val="2"/>
      </rPr>
      <t>norm</t>
    </r>
  </si>
  <si>
    <t>Temperatura media</t>
  </si>
  <si>
    <t>[°C]</t>
  </si>
  <si>
    <t>DDnorm</t>
  </si>
  <si>
    <t>Normalised deliverd energy</t>
  </si>
  <si>
    <r>
      <t>E</t>
    </r>
    <r>
      <rPr>
        <sz val="8"/>
        <rFont val="Arial"/>
        <family val="2"/>
      </rPr>
      <t>del;meas;H;seas,norm</t>
    </r>
  </si>
  <si>
    <t>Output data</t>
  </si>
  <si>
    <r>
      <t>E</t>
    </r>
    <r>
      <rPr>
        <i/>
        <sz val="8"/>
        <rFont val="Arial"/>
        <family val="2"/>
      </rPr>
      <t>del;meas;H;seas,norm</t>
    </r>
  </si>
  <si>
    <t xml:space="preserve">Issued for discussion </t>
  </si>
  <si>
    <t>Auxiliary data: Non heating interval?</t>
  </si>
  <si>
    <t xml:space="preserve">Measured non-heating power </t>
  </si>
  <si>
    <r>
      <t>Φ</t>
    </r>
    <r>
      <rPr>
        <sz val="8"/>
        <rFont val="Arial"/>
        <family val="2"/>
      </rPr>
      <t xml:space="preserve">del,t;meas;nH  </t>
    </r>
  </si>
  <si>
    <t>Corresponding temperature</t>
  </si>
  <si>
    <r>
      <rPr>
        <sz val="11"/>
        <rFont val="Arial"/>
        <family val="2"/>
      </rPr>
      <t>Δ</t>
    </r>
    <r>
      <rPr>
        <sz val="11"/>
        <rFont val="Calibri"/>
        <family val="2"/>
      </rPr>
      <t>ϑ</t>
    </r>
    <r>
      <rPr>
        <sz val="8"/>
        <rFont val="Arial"/>
        <family val="2"/>
      </rPr>
      <t>gains</t>
    </r>
  </si>
  <si>
    <r>
      <t>ϑ</t>
    </r>
    <r>
      <rPr>
        <sz val="8"/>
        <rFont val="Arial"/>
        <family val="2"/>
      </rPr>
      <t>ext;avg</t>
    </r>
  </si>
  <si>
    <t>External temperature with heating off</t>
  </si>
  <si>
    <t>Temperature increase because of gains</t>
  </si>
  <si>
    <t>Seasonal average external temperature</t>
  </si>
  <si>
    <t>Season duration</t>
  </si>
  <si>
    <r>
      <t>t</t>
    </r>
    <r>
      <rPr>
        <i/>
        <sz val="8"/>
        <rFont val="Arial"/>
        <family val="2"/>
      </rPr>
      <t>seas</t>
    </r>
  </si>
  <si>
    <t>days</t>
  </si>
  <si>
    <t>Normalised internal temperature</t>
  </si>
  <si>
    <r>
      <rPr>
        <sz val="10"/>
        <rFont val="Calibri"/>
        <family val="2"/>
      </rPr>
      <t>ϑ</t>
    </r>
    <r>
      <rPr>
        <sz val="8.5"/>
        <rFont val="Arial"/>
        <family val="2"/>
      </rPr>
      <t>int,norm</t>
    </r>
  </si>
  <si>
    <t>Expected external temperature with heating off</t>
  </si>
  <si>
    <r>
      <t>ϑ</t>
    </r>
    <r>
      <rPr>
        <sz val="8"/>
        <rFont val="Arial"/>
        <family val="2"/>
      </rPr>
      <t>ext;H;OFF,exp</t>
    </r>
  </si>
  <si>
    <r>
      <t>ϑ</t>
    </r>
    <r>
      <rPr>
        <sz val="8"/>
        <rFont val="Arial"/>
        <family val="2"/>
      </rPr>
      <t>ext;H;OFF,real</t>
    </r>
  </si>
  <si>
    <t>Correction for indoor temperature</t>
  </si>
  <si>
    <t>Corrected average external temperature</t>
  </si>
  <si>
    <r>
      <t>ϑ</t>
    </r>
    <r>
      <rPr>
        <sz val="8"/>
        <rFont val="Arial"/>
        <family val="2"/>
      </rPr>
      <t>ext;avg;corr</t>
    </r>
  </si>
  <si>
    <t>Power at corrected average external temperature</t>
  </si>
  <si>
    <t>Base power</t>
  </si>
  <si>
    <t>Average heaeting power</t>
  </si>
  <si>
    <t>See 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</si>
</sst>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#,##0.0"/>
    <numFmt numFmtId="166" formatCode="dd/mm/yy;@"/>
    <numFmt numFmtId="167" formatCode="#,##0.000"/>
  </numFmts>
  <fonts count="23" x14ac:knownFonts="1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sz val="10"/>
      <name val="Symbol"/>
      <family val="1"/>
      <charset val="2"/>
    </font>
    <font>
      <b/>
      <sz val="1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i/>
      <sz val="10"/>
      <name val="Arial"/>
      <family val="2"/>
    </font>
    <font>
      <sz val="8"/>
      <name val="Arial"/>
      <family val="2"/>
    </font>
    <font>
      <b/>
      <sz val="10"/>
      <color rgb="FFFF0000"/>
      <name val="Arial"/>
      <family val="2"/>
    </font>
    <font>
      <b/>
      <sz val="18"/>
      <name val="Arial"/>
      <family val="2"/>
    </font>
    <font>
      <i/>
      <sz val="8"/>
      <name val="Arial"/>
      <family val="2"/>
    </font>
    <font>
      <i/>
      <sz val="11"/>
      <name val="Arial"/>
      <family val="2"/>
    </font>
    <font>
      <sz val="11"/>
      <name val="Arial"/>
      <family val="2"/>
    </font>
    <font>
      <sz val="11"/>
      <name val="Calibri"/>
      <family val="2"/>
    </font>
    <font>
      <i/>
      <sz val="9"/>
      <name val="Arial"/>
      <family val="2"/>
    </font>
    <font>
      <sz val="9"/>
      <name val="Arial"/>
      <family val="2"/>
    </font>
    <font>
      <b/>
      <sz val="10"/>
      <color rgb="FF00B0F0"/>
      <name val="Courier New"/>
      <family val="3"/>
    </font>
    <font>
      <sz val="8.5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99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center" wrapText="1"/>
    </xf>
    <xf numFmtId="0" fontId="5" fillId="0" borderId="1" xfId="0" applyFont="1" applyBorder="1"/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5" fillId="0" borderId="1" xfId="0" quotePrefix="1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3" fontId="0" fillId="2" borderId="1" xfId="0" applyNumberForma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  <xf numFmtId="0" fontId="5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" xfId="0" applyBorder="1"/>
    <xf numFmtId="0" fontId="0" fillId="0" borderId="15" xfId="0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7" xfId="0" applyBorder="1"/>
    <xf numFmtId="0" fontId="8" fillId="0" borderId="17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19" xfId="0" applyFont="1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wrapText="1"/>
    </xf>
    <xf numFmtId="14" fontId="5" fillId="0" borderId="2" xfId="0" applyNumberFormat="1" applyFont="1" applyBorder="1" applyAlignment="1">
      <alignment horizontal="center"/>
    </xf>
    <xf numFmtId="0" fontId="0" fillId="0" borderId="5" xfId="0" applyBorder="1" applyAlignment="1">
      <alignment wrapText="1"/>
    </xf>
    <xf numFmtId="1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6" xfId="0" applyBorder="1" applyAlignment="1">
      <alignment wrapText="1"/>
    </xf>
    <xf numFmtId="0" fontId="10" fillId="0" borderId="7" xfId="0" applyFont="1" applyBorder="1" applyAlignment="1">
      <alignment horizontal="left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5" fillId="0" borderId="11" xfId="0" quotePrefix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9" xfId="0" quotePrefix="1" applyFont="1" applyBorder="1" applyAlignment="1">
      <alignment horizontal="center" vertical="center" wrapText="1"/>
    </xf>
    <xf numFmtId="164" fontId="0" fillId="4" borderId="10" xfId="0" applyNumberFormat="1" applyFill="1" applyBorder="1" applyAlignment="1">
      <alignment horizontal="center" vertical="center" wrapText="1"/>
    </xf>
    <xf numFmtId="0" fontId="0" fillId="4" borderId="22" xfId="0" applyFill="1" applyBorder="1" applyAlignment="1">
      <alignment horizontal="center" vertical="center" wrapText="1"/>
    </xf>
    <xf numFmtId="0" fontId="11" fillId="0" borderId="16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11" fillId="0" borderId="23" xfId="0" applyFont="1" applyBorder="1" applyAlignment="1">
      <alignment horizontal="left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4" fillId="0" borderId="4" xfId="0" applyFont="1" applyBorder="1" applyAlignment="1">
      <alignment horizontal="center" vertical="center" wrapText="1"/>
    </xf>
    <xf numFmtId="0" fontId="5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3" fontId="12" fillId="0" borderId="4" xfId="0" applyNumberFormat="1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3" fontId="4" fillId="0" borderId="4" xfId="0" applyNumberFormat="1" applyFont="1" applyBorder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center" indent="2"/>
    </xf>
    <xf numFmtId="0" fontId="5" fillId="0" borderId="1" xfId="0" applyFont="1" applyBorder="1" applyAlignment="1">
      <alignment horizontal="left" vertical="center" wrapText="1" indent="2"/>
    </xf>
    <xf numFmtId="0" fontId="5" fillId="0" borderId="1" xfId="0" applyFont="1" applyBorder="1" applyAlignment="1">
      <alignment horizontal="left" indent="2"/>
    </xf>
    <xf numFmtId="0" fontId="11" fillId="0" borderId="1" xfId="0" applyFont="1" applyBorder="1" applyAlignment="1">
      <alignment horizontal="left" vertical="center" wrapText="1" indent="1"/>
    </xf>
    <xf numFmtId="0" fontId="4" fillId="0" borderId="1" xfId="0" applyFont="1" applyBorder="1" applyAlignment="1">
      <alignment horizontal="left" vertical="center" wrapText="1" indent="2"/>
    </xf>
    <xf numFmtId="0" fontId="11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left" indent="2"/>
    </xf>
    <xf numFmtId="0" fontId="4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4" fillId="3" borderId="0" xfId="0" applyFont="1" applyFill="1" applyAlignment="1">
      <alignment vertical="center" wrapText="1"/>
    </xf>
    <xf numFmtId="0" fontId="4" fillId="0" borderId="1" xfId="0" applyFont="1" applyBorder="1"/>
    <xf numFmtId="0" fontId="4" fillId="0" borderId="5" xfId="0" applyFont="1" applyBorder="1" applyAlignment="1">
      <alignment wrapText="1"/>
    </xf>
    <xf numFmtId="0" fontId="6" fillId="0" borderId="1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/>
    </xf>
    <xf numFmtId="0" fontId="4" fillId="0" borderId="1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4" fillId="7" borderId="0" xfId="0" applyFont="1" applyFill="1" applyAlignment="1">
      <alignment vertical="center" wrapText="1"/>
    </xf>
    <xf numFmtId="0" fontId="0" fillId="8" borderId="11" xfId="0" applyFill="1" applyBorder="1" applyAlignment="1">
      <alignment horizontal="center" vertical="center" wrapText="1"/>
    </xf>
    <xf numFmtId="0" fontId="0" fillId="8" borderId="26" xfId="0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0" fontId="8" fillId="8" borderId="26" xfId="0" applyFont="1" applyFill="1" applyBorder="1" applyAlignment="1">
      <alignment horizontal="center" vertical="center"/>
    </xf>
    <xf numFmtId="14" fontId="16" fillId="0" borderId="1" xfId="0" applyNumberFormat="1" applyFont="1" applyBorder="1" applyAlignment="1" applyProtection="1">
      <alignment horizontal="center" vertical="center" wrapText="1"/>
    </xf>
    <xf numFmtId="14" fontId="17" fillId="0" borderId="1" xfId="0" applyNumberFormat="1" applyFont="1" applyBorder="1" applyAlignment="1">
      <alignment horizontal="center" vertical="center" wrapText="1"/>
    </xf>
    <xf numFmtId="0" fontId="17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21" fillId="0" borderId="1" xfId="0" applyFont="1" applyBorder="1" applyAlignment="1">
      <alignment horizontal="center"/>
    </xf>
    <xf numFmtId="14" fontId="4" fillId="9" borderId="1" xfId="0" applyNumberFormat="1" applyFont="1" applyFill="1" applyBorder="1" applyAlignment="1">
      <alignment horizontal="center" vertical="center" wrapText="1"/>
    </xf>
    <xf numFmtId="0" fontId="6" fillId="9" borderId="1" xfId="0" applyFont="1" applyFill="1" applyBorder="1" applyAlignment="1" applyProtection="1">
      <alignment horizontal="center" vertical="center" wrapText="1"/>
    </xf>
    <xf numFmtId="4" fontId="4" fillId="9" borderId="1" xfId="0" applyNumberFormat="1" applyFont="1" applyFill="1" applyBorder="1" applyAlignment="1">
      <alignment horizontal="center"/>
    </xf>
    <xf numFmtId="14" fontId="4" fillId="10" borderId="1" xfId="0" applyNumberFormat="1" applyFont="1" applyFill="1" applyBorder="1" applyAlignment="1">
      <alignment horizontal="center" vertical="center" wrapText="1"/>
    </xf>
    <xf numFmtId="0" fontId="6" fillId="10" borderId="1" xfId="0" applyFont="1" applyFill="1" applyBorder="1" applyAlignment="1" applyProtection="1">
      <alignment horizontal="center" vertical="center" wrapText="1"/>
    </xf>
    <xf numFmtId="4" fontId="4" fillId="10" borderId="1" xfId="0" applyNumberFormat="1" applyFont="1" applyFill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4" fontId="4" fillId="11" borderId="1" xfId="0" applyNumberFormat="1" applyFont="1" applyFill="1" applyBorder="1" applyAlignment="1">
      <alignment horizontal="center" vertical="center" wrapText="1"/>
    </xf>
    <xf numFmtId="0" fontId="6" fillId="11" borderId="1" xfId="0" applyFont="1" applyFill="1" applyBorder="1" applyAlignment="1" applyProtection="1">
      <alignment horizontal="center" vertical="center" wrapText="1"/>
    </xf>
    <xf numFmtId="4" fontId="4" fillId="11" borderId="1" xfId="0" applyNumberFormat="1" applyFont="1" applyFill="1" applyBorder="1" applyAlignment="1">
      <alignment horizontal="center"/>
    </xf>
    <xf numFmtId="14" fontId="4" fillId="0" borderId="1" xfId="0" applyNumberFormat="1" applyFont="1" applyFill="1" applyBorder="1" applyAlignment="1">
      <alignment vertical="center"/>
    </xf>
    <xf numFmtId="0" fontId="6" fillId="0" borderId="1" xfId="0" applyFont="1" applyFill="1" applyBorder="1" applyAlignment="1" applyProtection="1">
      <alignment horizontal="center" vertical="center" wrapText="1"/>
    </xf>
    <xf numFmtId="4" fontId="4" fillId="0" borderId="1" xfId="0" applyNumberFormat="1" applyFont="1" applyFill="1" applyBorder="1" applyAlignment="1">
      <alignment horizontal="center"/>
    </xf>
    <xf numFmtId="14" fontId="4" fillId="0" borderId="1" xfId="0" applyNumberFormat="1" applyFont="1" applyBorder="1" applyAlignment="1">
      <alignment vertical="center"/>
    </xf>
    <xf numFmtId="14" fontId="4" fillId="9" borderId="1" xfId="0" applyNumberFormat="1" applyFont="1" applyFill="1" applyBorder="1" applyAlignment="1">
      <alignment vertical="center"/>
    </xf>
    <xf numFmtId="14" fontId="4" fillId="10" borderId="1" xfId="0" applyNumberFormat="1" applyFont="1" applyFill="1" applyBorder="1" applyAlignment="1">
      <alignment vertical="center"/>
    </xf>
    <xf numFmtId="14" fontId="6" fillId="0" borderId="1" xfId="0" applyNumberFormat="1" applyFont="1" applyBorder="1" applyAlignment="1" applyProtection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center"/>
    </xf>
    <xf numFmtId="14" fontId="0" fillId="0" borderId="15" xfId="0" applyNumberForma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1" xfId="0" quotePrefix="1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wrapText="1"/>
    </xf>
    <xf numFmtId="0" fontId="4" fillId="7" borderId="1" xfId="0" applyFont="1" applyFill="1" applyBorder="1" applyAlignment="1">
      <alignment horizontal="center" vertical="center" wrapText="1"/>
    </xf>
    <xf numFmtId="2" fontId="0" fillId="7" borderId="1" xfId="0" applyNumberForma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justify" vertical="center"/>
    </xf>
    <xf numFmtId="165" fontId="0" fillId="0" borderId="1" xfId="0" applyNumberForma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66" fontId="0" fillId="0" borderId="1" xfId="0" applyNumberFormat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 wrapText="1"/>
    </xf>
    <xf numFmtId="0" fontId="8" fillId="0" borderId="0" xfId="0" applyFont="1"/>
    <xf numFmtId="0" fontId="4" fillId="0" borderId="1" xfId="0" applyFont="1" applyBorder="1" applyAlignment="1">
      <alignment horizontal="left" vertical="center" indent="2"/>
    </xf>
    <xf numFmtId="4" fontId="0" fillId="0" borderId="0" xfId="0" applyNumberForma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left" vertical="center" indent="2"/>
    </xf>
    <xf numFmtId="0" fontId="4" fillId="0" borderId="11" xfId="0" quotePrefix="1" applyFont="1" applyBorder="1" applyAlignment="1">
      <alignment horizontal="center" vertical="center" wrapText="1"/>
    </xf>
    <xf numFmtId="0" fontId="4" fillId="0" borderId="15" xfId="0" applyFont="1" applyBorder="1" applyAlignment="1">
      <alignment horizontal="left" vertical="center" wrapText="1"/>
    </xf>
    <xf numFmtId="0" fontId="6" fillId="0" borderId="15" xfId="0" applyFon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 wrapText="1"/>
    </xf>
    <xf numFmtId="0" fontId="4" fillId="0" borderId="15" xfId="0" quotePrefix="1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7" xfId="0" quotePrefix="1" applyFont="1" applyBorder="1" applyAlignment="1">
      <alignment horizontal="center" vertical="center" wrapText="1"/>
    </xf>
    <xf numFmtId="4" fontId="0" fillId="0" borderId="7" xfId="0" applyNumberFormat="1" applyBorder="1" applyAlignment="1">
      <alignment horizontal="center" vertical="center" wrapText="1"/>
    </xf>
    <xf numFmtId="4" fontId="0" fillId="0" borderId="15" xfId="0" applyNumberFormat="1" applyBorder="1" applyAlignment="1">
      <alignment horizontal="center" vertical="center" wrapText="1"/>
    </xf>
    <xf numFmtId="0" fontId="5" fillId="0" borderId="11" xfId="0" applyFont="1" applyBorder="1" applyAlignment="1">
      <alignment horizontal="left" vertical="center" indent="2"/>
    </xf>
    <xf numFmtId="0" fontId="4" fillId="0" borderId="11" xfId="0" applyFont="1" applyBorder="1" applyAlignment="1">
      <alignment horizontal="left" vertical="center" indent="2"/>
    </xf>
    <xf numFmtId="0" fontId="5" fillId="0" borderId="9" xfId="0" applyFont="1" applyBorder="1" applyAlignment="1">
      <alignment horizontal="left" vertical="center" indent="2"/>
    </xf>
    <xf numFmtId="1" fontId="5" fillId="0" borderId="15" xfId="0" applyNumberFormat="1" applyFont="1" applyBorder="1" applyAlignment="1">
      <alignment horizontal="left" vertical="center" indent="2"/>
    </xf>
    <xf numFmtId="0" fontId="4" fillId="12" borderId="1" xfId="0" applyFont="1" applyFill="1" applyBorder="1" applyAlignment="1">
      <alignment horizontal="left" vertical="center" wrapText="1"/>
    </xf>
    <xf numFmtId="0" fontId="4" fillId="12" borderId="1" xfId="0" applyFont="1" applyFill="1" applyBorder="1" applyAlignment="1">
      <alignment horizontal="center" vertical="center" wrapText="1"/>
    </xf>
    <xf numFmtId="3" fontId="0" fillId="12" borderId="1" xfId="0" applyNumberForma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 wrapText="1"/>
    </xf>
    <xf numFmtId="3" fontId="0" fillId="0" borderId="1" xfId="0" applyNumberFormat="1" applyFill="1" applyBorder="1" applyAlignment="1">
      <alignment horizontal="center" vertical="center" wrapText="1"/>
    </xf>
    <xf numFmtId="0" fontId="4" fillId="0" borderId="1" xfId="0" quotePrefix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left" vertical="center" wrapText="1"/>
    </xf>
    <xf numFmtId="0" fontId="6" fillId="13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 wrapText="1"/>
    </xf>
    <xf numFmtId="3" fontId="0" fillId="13" borderId="1" xfId="0" applyNumberFormat="1" applyFill="1" applyBorder="1" applyAlignment="1">
      <alignment horizontal="center" vertical="center" wrapText="1"/>
    </xf>
    <xf numFmtId="3" fontId="4" fillId="13" borderId="1" xfId="0" applyNumberFormat="1" applyFont="1" applyFill="1" applyBorder="1" applyAlignment="1">
      <alignment horizontal="center" vertical="center" wrapText="1"/>
    </xf>
    <xf numFmtId="0" fontId="5" fillId="13" borderId="5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vertical="center" wrapText="1"/>
    </xf>
    <xf numFmtId="0" fontId="4" fillId="13" borderId="1" xfId="0" applyFont="1" applyFill="1" applyBorder="1" applyAlignment="1">
      <alignment horizontal="center" vertical="center" wrapText="1"/>
    </xf>
    <xf numFmtId="0" fontId="4" fillId="13" borderId="5" xfId="0" applyFont="1" applyFill="1" applyBorder="1" applyAlignment="1">
      <alignment horizontal="center" vertical="center" wrapText="1"/>
    </xf>
    <xf numFmtId="0" fontId="0" fillId="13" borderId="5" xfId="0" applyFill="1" applyBorder="1" applyAlignment="1">
      <alignment horizontal="center" vertical="center" wrapText="1"/>
    </xf>
    <xf numFmtId="164" fontId="4" fillId="0" borderId="7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4" fontId="0" fillId="0" borderId="0" xfId="0" applyNumberFormat="1" applyAlignment="1">
      <alignment horizontal="center" vertical="center" wrapText="1"/>
    </xf>
    <xf numFmtId="0" fontId="4" fillId="0" borderId="7" xfId="0" applyFont="1" applyBorder="1" applyAlignment="1">
      <alignment horizontal="left" vertical="center" wrapText="1"/>
    </xf>
    <xf numFmtId="0" fontId="4" fillId="5" borderId="13" xfId="0" applyFont="1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 wrapText="1"/>
    </xf>
    <xf numFmtId="0" fontId="5" fillId="5" borderId="14" xfId="0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CC"/>
      <color rgb="FF99FF99"/>
      <color rgb="FFFFFFCC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ENERGY SIGNATURE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587928290588433"/>
          <c:y val="0.10062862644660064"/>
          <c:w val="0.82380563768796955"/>
          <c:h val="0.77967267285532527"/>
        </c:manualLayout>
      </c:layout>
      <c:scatterChart>
        <c:scatterStyle val="lineMarker"/>
        <c:varyColors val="0"/>
        <c:ser>
          <c:idx val="0"/>
          <c:order val="0"/>
          <c:tx>
            <c:v>HEATING</c:v>
          </c:tx>
          <c:spPr>
            <a:ln w="28575">
              <a:noFill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trendline>
            <c:spPr>
              <a:ln w="28575">
                <a:solidFill>
                  <a:srgbClr val="FF0000"/>
                </a:solidFill>
                <a:prstDash val="solid"/>
              </a:ln>
            </c:spPr>
            <c:trendlineType val="linear"/>
            <c:forward val="3"/>
            <c:dispRSqr val="1"/>
            <c:dispEq val="1"/>
            <c:trendlineLbl>
              <c:layout>
                <c:manualLayout>
                  <c:x val="-0.14479884030227996"/>
                  <c:y val="-0.67630605745219774"/>
                </c:manualLayout>
              </c:layout>
              <c:numFmt formatCode="General" sourceLinked="0"/>
              <c:spPr>
                <a:solidFill>
                  <a:schemeClr val="accent6">
                    <a:lumMod val="20000"/>
                    <a:lumOff val="80000"/>
                  </a:schemeClr>
                </a:solidFill>
              </c:spPr>
              <c:txPr>
                <a:bodyPr/>
                <a:lstStyle/>
                <a:p>
                  <a:pPr>
                    <a:defRPr sz="1200" b="1"/>
                  </a:pPr>
                  <a:endParaRPr lang="fr-FR"/>
                </a:p>
              </c:txPr>
            </c:trendlineLbl>
          </c:trendline>
          <c:xVal>
            <c:numRef>
              <c:f>Method_calculation!$I$30:$BE$30</c:f>
              <c:numCache>
                <c:formatCode>#,##0.00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10.7</c:v>
                </c:pt>
                <c:pt idx="3">
                  <c:v>5.8</c:v>
                </c:pt>
                <c:pt idx="4">
                  <c:v>3.3</c:v>
                </c:pt>
                <c:pt idx="5">
                  <c:v>3.35</c:v>
                </c:pt>
                <c:pt idx="6">
                  <c:v>2.67</c:v>
                </c:pt>
                <c:pt idx="7">
                  <c:v>5.85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8.9600000000000009</c:v>
                </c:pt>
                <c:pt idx="14">
                  <c:v>6.88</c:v>
                </c:pt>
                <c:pt idx="15">
                  <c:v>2.4500000000000002</c:v>
                </c:pt>
                <c:pt idx="16">
                  <c:v>3.48</c:v>
                </c:pt>
                <c:pt idx="17">
                  <c:v>6.61</c:v>
                </c:pt>
                <c:pt idx="18">
                  <c:v>9.9499999999999993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13.4</c:v>
                </c:pt>
                <c:pt idx="24">
                  <c:v>7.45</c:v>
                </c:pt>
                <c:pt idx="25">
                  <c:v>4.6500000000000004</c:v>
                </c:pt>
                <c:pt idx="26">
                  <c:v>3</c:v>
                </c:pt>
                <c:pt idx="27">
                  <c:v>2.69</c:v>
                </c:pt>
                <c:pt idx="28">
                  <c:v>7.5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5.77</c:v>
                </c:pt>
                <c:pt idx="35">
                  <c:v>1.9</c:v>
                </c:pt>
                <c:pt idx="36">
                  <c:v>3.83</c:v>
                </c:pt>
                <c:pt idx="37">
                  <c:v>2.5499999999999998</c:v>
                </c:pt>
                <c:pt idx="38">
                  <c:v>5.45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9.5</c:v>
                </c:pt>
                <c:pt idx="46">
                  <c:v>5.6</c:v>
                </c:pt>
                <c:pt idx="47">
                  <c:v>12.24</c:v>
                </c:pt>
                <c:pt idx="48">
                  <c:v>#N/A</c:v>
                </c:pt>
              </c:numCache>
            </c:numRef>
          </c:xVal>
          <c:yVal>
            <c:numRef>
              <c:f>Method_calculation!$I$29:$BE$29</c:f>
              <c:numCache>
                <c:formatCode>#,##0.00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1.3587796624331547</c:v>
                </c:pt>
                <c:pt idx="3">
                  <c:v>2.3338200719159135</c:v>
                </c:pt>
                <c:pt idx="4">
                  <c:v>3.352139037433155</c:v>
                </c:pt>
                <c:pt idx="5">
                  <c:v>3.4237299465240643</c:v>
                </c:pt>
                <c:pt idx="6">
                  <c:v>5.6583890374331549</c:v>
                </c:pt>
                <c:pt idx="7">
                  <c:v>4.1790140374331548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1.705548128342246</c:v>
                </c:pt>
                <c:pt idx="14">
                  <c:v>3.1964704327819922</c:v>
                </c:pt>
                <c:pt idx="15">
                  <c:v>3.9427640374331547</c:v>
                </c:pt>
                <c:pt idx="16">
                  <c:v>4.5333890374331549</c:v>
                </c:pt>
                <c:pt idx="17">
                  <c:v>3.6945303417809807</c:v>
                </c:pt>
                <c:pt idx="18">
                  <c:v>1.4742544220485396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0.31463903743315513</c:v>
                </c:pt>
                <c:pt idx="24">
                  <c:v>2.5892484124331552</c:v>
                </c:pt>
                <c:pt idx="25">
                  <c:v>3.2424515374331482</c:v>
                </c:pt>
                <c:pt idx="26">
                  <c:v>3.7830765374331707</c:v>
                </c:pt>
                <c:pt idx="27">
                  <c:v>4.1878533231474409</c:v>
                </c:pt>
                <c:pt idx="28">
                  <c:v>2.7009371143562317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2.9977640374331549</c:v>
                </c:pt>
                <c:pt idx="35">
                  <c:v>4.4208890374331551</c:v>
                </c:pt>
                <c:pt idx="36">
                  <c:v>3.5490140374331549</c:v>
                </c:pt>
                <c:pt idx="37">
                  <c:v>4.9886624749331547</c:v>
                </c:pt>
                <c:pt idx="38">
                  <c:v>3.7121390374331549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1.435393754414287</c:v>
                </c:pt>
                <c:pt idx="46">
                  <c:v>2.6191582682023857</c:v>
                </c:pt>
                <c:pt idx="47">
                  <c:v>0.72936361370434155</c:v>
                </c:pt>
                <c:pt idx="4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non-heating</c:v>
          </c:tx>
          <c:spPr>
            <a:ln w="28575">
              <a:noFill/>
            </a:ln>
          </c:spPr>
          <c:marker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trendline>
            <c:spPr>
              <a:ln w="25400">
                <a:solidFill>
                  <a:srgbClr val="0070C0"/>
                </a:solidFill>
              </a:ln>
            </c:spPr>
            <c:trendlineType val="linear"/>
            <c:backward val="5"/>
            <c:dispRSqr val="1"/>
            <c:dispEq val="1"/>
            <c:trendlineLbl>
              <c:layout>
                <c:manualLayout>
                  <c:x val="7.3760788443157296E-2"/>
                  <c:y val="-9.0674699607397991E-2"/>
                </c:manualLayout>
              </c:layout>
              <c:numFmt formatCode="General" sourceLinked="0"/>
              <c:spPr>
                <a:solidFill>
                  <a:schemeClr val="accent5">
                    <a:lumMod val="20000"/>
                    <a:lumOff val="80000"/>
                  </a:schemeClr>
                </a:solidFill>
              </c:spPr>
              <c:txPr>
                <a:bodyPr/>
                <a:lstStyle/>
                <a:p>
                  <a:pPr>
                    <a:defRPr sz="1400" b="1"/>
                  </a:pPr>
                  <a:endParaRPr lang="fr-FR"/>
                </a:p>
              </c:txPr>
            </c:trendlineLbl>
          </c:trendline>
          <c:xVal>
            <c:numRef>
              <c:f>Method_calculation!$I$34:$BE$34</c:f>
              <c:numCache>
                <c:formatCode>#,##0.00</c:formatCode>
                <c:ptCount val="49"/>
                <c:pt idx="0">
                  <c:v>23.25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19.3</c:v>
                </c:pt>
                <c:pt idx="10">
                  <c:v>23.7</c:v>
                </c:pt>
                <c:pt idx="11">
                  <c:v>26.8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23.6</c:v>
                </c:pt>
                <c:pt idx="21">
                  <c:v>21.01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18.760000000000002</c:v>
                </c:pt>
                <c:pt idx="31">
                  <c:v>23.3</c:v>
                </c:pt>
                <c:pt idx="32">
                  <c:v>22.8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15.8</c:v>
                </c:pt>
                <c:pt idx="42">
                  <c:v>19.3</c:v>
                </c:pt>
                <c:pt idx="43">
                  <c:v>23.9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xVal>
          <c:yVal>
            <c:numRef>
              <c:f>Method_calculation!$I$33:$BE$33</c:f>
              <c:numCache>
                <c:formatCode>#,##0.00</c:formatCode>
                <c:ptCount val="49"/>
                <c:pt idx="0">
                  <c:v>0.2095766129032258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0.19687499999999999</c:v>
                </c:pt>
                <c:pt idx="10">
                  <c:v>0.1900862068965517</c:v>
                </c:pt>
                <c:pt idx="11">
                  <c:v>0.14273437499999997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0.18593749999999998</c:v>
                </c:pt>
                <c:pt idx="21">
                  <c:v>0.19687499999999999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0.29531249999999998</c:v>
                </c:pt>
                <c:pt idx="31">
                  <c:v>0.19052419354838709</c:v>
                </c:pt>
                <c:pt idx="32">
                  <c:v>0.17499999999999999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0.27794117647058819</c:v>
                </c:pt>
                <c:pt idx="42">
                  <c:v>0.23473557692307692</c:v>
                </c:pt>
                <c:pt idx="43">
                  <c:v>0.16578947368421051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solidFill>
                <a:schemeClr val="accent3">
                  <a:lumMod val="75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Method_calculation!$L$40:$M$40</c:f>
              <c:numCache>
                <c:formatCode>0.0</c:formatCode>
                <c:ptCount val="2"/>
                <c:pt idx="0">
                  <c:v>2.9699453551912569</c:v>
                </c:pt>
                <c:pt idx="1">
                  <c:v>2.9699453551912569</c:v>
                </c:pt>
              </c:numCache>
            </c:numRef>
          </c:xVal>
          <c:yVal>
            <c:numRef>
              <c:f>Method_calculation!$L$39:$M$39</c:f>
              <c:numCache>
                <c:formatCode>#,##0.00</c:formatCode>
                <c:ptCount val="2"/>
                <c:pt idx="0" formatCode="General">
                  <c:v>0</c:v>
                </c:pt>
                <c:pt idx="1">
                  <c:v>5.85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34368"/>
        <c:axId val="94636288"/>
      </c:scatterChart>
      <c:valAx>
        <c:axId val="94634368"/>
        <c:scaling>
          <c:orientation val="minMax"/>
        </c:scaling>
        <c:delete val="0"/>
        <c:axPos val="b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EXTERNAL TEMPERATURE °C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out"/>
        <c:tickLblPos val="nextTo"/>
        <c:txPr>
          <a:bodyPr/>
          <a:lstStyle/>
          <a:p>
            <a:pPr>
              <a:defRPr sz="1400" b="1"/>
            </a:pPr>
            <a:endParaRPr lang="fr-FR"/>
          </a:p>
        </c:txPr>
        <c:crossAx val="94636288"/>
        <c:crosses val="autoZero"/>
        <c:crossBetween val="midCat"/>
        <c:majorUnit val="10"/>
        <c:minorUnit val="1"/>
      </c:valAx>
      <c:valAx>
        <c:axId val="9463628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tx1"/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POWER kW</a:t>
                </a:r>
              </a:p>
            </c:rich>
          </c:tx>
          <c:layout>
            <c:manualLayout>
              <c:xMode val="edge"/>
              <c:yMode val="edge"/>
              <c:x val="2.0844458091105824E-2"/>
              <c:y val="0.39211429051343316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fr-FR"/>
          </a:p>
        </c:txPr>
        <c:crossAx val="94634368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r"/>
      <c:layout>
        <c:manualLayout>
          <c:xMode val="edge"/>
          <c:yMode val="edge"/>
          <c:x val="0.49167537604417316"/>
          <c:y val="0.12668998790501854"/>
          <c:w val="0.40632443956830205"/>
          <c:h val="0.23002120152521427"/>
        </c:manualLayout>
      </c:layout>
      <c:overlay val="1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1100" b="1"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wmf"/><Relationship Id="rId3" Type="http://schemas.openxmlformats.org/officeDocument/2006/relationships/image" Target="../media/image4.wmf"/><Relationship Id="rId7" Type="http://schemas.openxmlformats.org/officeDocument/2006/relationships/image" Target="../media/image8.wmf"/><Relationship Id="rId2" Type="http://schemas.openxmlformats.org/officeDocument/2006/relationships/image" Target="../media/image3.wmf"/><Relationship Id="rId1" Type="http://schemas.openxmlformats.org/officeDocument/2006/relationships/image" Target="../media/image2.wmf"/><Relationship Id="rId6" Type="http://schemas.openxmlformats.org/officeDocument/2006/relationships/image" Target="../media/image7.wmf"/><Relationship Id="rId5" Type="http://schemas.openxmlformats.org/officeDocument/2006/relationships/image" Target="../media/image6.wmf"/><Relationship Id="rId4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7</xdr:col>
      <xdr:colOff>220980</xdr:colOff>
      <xdr:row>39</xdr:row>
      <xdr:rowOff>121920</xdr:rowOff>
    </xdr:to>
    <xdr:pic>
      <xdr:nvPicPr>
        <xdr:cNvPr id="3" name="Imag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7640"/>
          <a:ext cx="5768340" cy="6492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9</xdr:row>
          <xdr:rowOff>419100</xdr:rowOff>
        </xdr:from>
        <xdr:to>
          <xdr:col>5</xdr:col>
          <xdr:colOff>3093720</xdr:colOff>
          <xdr:row>9</xdr:row>
          <xdr:rowOff>655320</xdr:rowOff>
        </xdr:to>
        <xdr:sp macro="" textlink="">
          <xdr:nvSpPr>
            <xdr:cNvPr id="5145" name="Object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9</xdr:row>
          <xdr:rowOff>114300</xdr:rowOff>
        </xdr:from>
        <xdr:to>
          <xdr:col>5</xdr:col>
          <xdr:colOff>2164080</xdr:colOff>
          <xdr:row>9</xdr:row>
          <xdr:rowOff>342900</xdr:rowOff>
        </xdr:to>
        <xdr:sp macro="" textlink="">
          <xdr:nvSpPr>
            <xdr:cNvPr id="5147" name="Object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14</xdr:row>
          <xdr:rowOff>30480</xdr:rowOff>
        </xdr:from>
        <xdr:to>
          <xdr:col>5</xdr:col>
          <xdr:colOff>2141220</xdr:colOff>
          <xdr:row>14</xdr:row>
          <xdr:rowOff>487680</xdr:rowOff>
        </xdr:to>
        <xdr:sp macro="" textlink="">
          <xdr:nvSpPr>
            <xdr:cNvPr id="5148" name="Object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274320</xdr:colOff>
          <xdr:row>17</xdr:row>
          <xdr:rowOff>76200</xdr:rowOff>
        </xdr:from>
        <xdr:to>
          <xdr:col>5</xdr:col>
          <xdr:colOff>2590800</xdr:colOff>
          <xdr:row>17</xdr:row>
          <xdr:rowOff>304800</xdr:rowOff>
        </xdr:to>
        <xdr:sp macro="" textlink="">
          <xdr:nvSpPr>
            <xdr:cNvPr id="5149" name="Object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20</xdr:row>
          <xdr:rowOff>68580</xdr:rowOff>
        </xdr:from>
        <xdr:to>
          <xdr:col>5</xdr:col>
          <xdr:colOff>2430780</xdr:colOff>
          <xdr:row>20</xdr:row>
          <xdr:rowOff>304800</xdr:rowOff>
        </xdr:to>
        <xdr:sp macro="" textlink="">
          <xdr:nvSpPr>
            <xdr:cNvPr id="5150" name="Object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784860</xdr:colOff>
          <xdr:row>21</xdr:row>
          <xdr:rowOff>68580</xdr:rowOff>
        </xdr:from>
        <xdr:to>
          <xdr:col>5</xdr:col>
          <xdr:colOff>2087880</xdr:colOff>
          <xdr:row>21</xdr:row>
          <xdr:rowOff>518160</xdr:rowOff>
        </xdr:to>
        <xdr:sp macro="" textlink="">
          <xdr:nvSpPr>
            <xdr:cNvPr id="5151" name="Object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335280</xdr:colOff>
          <xdr:row>25</xdr:row>
          <xdr:rowOff>76200</xdr:rowOff>
        </xdr:from>
        <xdr:to>
          <xdr:col>5</xdr:col>
          <xdr:colOff>2545080</xdr:colOff>
          <xdr:row>25</xdr:row>
          <xdr:rowOff>655320</xdr:rowOff>
        </xdr:to>
        <xdr:sp macro="" textlink="">
          <xdr:nvSpPr>
            <xdr:cNvPr id="5154" name="Object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28</xdr:row>
          <xdr:rowOff>114300</xdr:rowOff>
        </xdr:from>
        <xdr:to>
          <xdr:col>5</xdr:col>
          <xdr:colOff>2621280</xdr:colOff>
          <xdr:row>28</xdr:row>
          <xdr:rowOff>350520</xdr:rowOff>
        </xdr:to>
        <xdr:sp macro="" textlink="">
          <xdr:nvSpPr>
            <xdr:cNvPr id="5155" name="Object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8</xdr:col>
      <xdr:colOff>50427</xdr:colOff>
      <xdr:row>34</xdr:row>
      <xdr:rowOff>225237</xdr:rowOff>
    </xdr:from>
    <xdr:to>
      <xdr:col>20</xdr:col>
      <xdr:colOff>313766</xdr:colOff>
      <xdr:row>46</xdr:row>
      <xdr:rowOff>291351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6.wmf"/><Relationship Id="rId18" Type="http://schemas.openxmlformats.org/officeDocument/2006/relationships/oleObject" Target="../embeddings/oleObject8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wmf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8.wmf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7.bin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5.wmf"/><Relationship Id="rId5" Type="http://schemas.openxmlformats.org/officeDocument/2006/relationships/image" Target="../media/image2.wmf"/><Relationship Id="rId15" Type="http://schemas.openxmlformats.org/officeDocument/2006/relationships/image" Target="../media/image7.wmf"/><Relationship Id="rId10" Type="http://schemas.openxmlformats.org/officeDocument/2006/relationships/oleObject" Target="../embeddings/oleObject4.bin"/><Relationship Id="rId19" Type="http://schemas.openxmlformats.org/officeDocument/2006/relationships/image" Target="../media/image9.w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4.wmf"/><Relationship Id="rId14" Type="http://schemas.openxmlformats.org/officeDocument/2006/relationships/oleObject" Target="../embeddings/oleObject6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C44" sqref="C44"/>
    </sheetView>
  </sheetViews>
  <sheetFormatPr baseColWidth="10" defaultRowHeight="13.2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activeCell="F2" sqref="F2"/>
    </sheetView>
  </sheetViews>
  <sheetFormatPr baseColWidth="10" defaultColWidth="8.88671875" defaultRowHeight="13.2" x14ac:dyDescent="0.25"/>
  <cols>
    <col min="1" max="1" width="92.5546875" style="92" customWidth="1"/>
  </cols>
  <sheetData>
    <row r="1" spans="1:1" ht="168.75" customHeight="1" x14ac:dyDescent="0.25">
      <c r="A1" s="91" t="s">
        <v>64</v>
      </c>
    </row>
    <row r="2" spans="1:1" ht="100.5" customHeight="1" x14ac:dyDescent="0.25">
      <c r="A2" s="91" t="s">
        <v>65</v>
      </c>
    </row>
    <row r="3" spans="1:1" ht="51.75" customHeight="1" x14ac:dyDescent="0.25">
      <c r="A3" s="93" t="s">
        <v>68</v>
      </c>
    </row>
    <row r="4" spans="1:1" ht="59.25" customHeight="1" x14ac:dyDescent="0.25">
      <c r="A4" s="93" t="s">
        <v>69</v>
      </c>
    </row>
    <row r="5" spans="1:1" ht="42" customHeight="1" x14ac:dyDescent="0.25">
      <c r="A5" s="93" t="s">
        <v>70</v>
      </c>
    </row>
    <row r="6" spans="1:1" ht="103.5" customHeight="1" x14ac:dyDescent="0.25">
      <c r="A6" s="100" t="s">
        <v>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55"/>
  <sheetViews>
    <sheetView topLeftCell="A16" workbookViewId="0">
      <selection activeCell="C2" sqref="C2"/>
    </sheetView>
  </sheetViews>
  <sheetFormatPr baseColWidth="10" defaultColWidth="8.88671875" defaultRowHeight="13.2" x14ac:dyDescent="0.25"/>
  <cols>
    <col min="2" max="3" width="11.6640625" customWidth="1"/>
    <col min="4" max="5" width="12.5546875" customWidth="1"/>
    <col min="6" max="6" width="11.33203125" customWidth="1"/>
    <col min="7" max="7" width="10.33203125" customWidth="1"/>
    <col min="8" max="13" width="10.88671875" style="30" customWidth="1"/>
    <col min="14" max="14" width="10.109375" customWidth="1"/>
  </cols>
  <sheetData>
    <row r="2" spans="2:13" ht="21.75" customHeight="1" x14ac:dyDescent="0.25">
      <c r="B2" s="147" t="s">
        <v>176</v>
      </c>
    </row>
    <row r="3" spans="2:13" ht="57.6" x14ac:dyDescent="0.25">
      <c r="B3" s="105" t="s">
        <v>85</v>
      </c>
      <c r="C3" s="105" t="s">
        <v>86</v>
      </c>
      <c r="D3" s="105" t="s">
        <v>87</v>
      </c>
      <c r="E3" s="105" t="s">
        <v>88</v>
      </c>
      <c r="F3" s="105" t="s">
        <v>103</v>
      </c>
      <c r="G3" s="105" t="s">
        <v>100</v>
      </c>
      <c r="H3" s="105" t="s">
        <v>89</v>
      </c>
      <c r="I3" s="105" t="s">
        <v>110</v>
      </c>
      <c r="J3" s="105" t="s">
        <v>111</v>
      </c>
      <c r="K3" s="105" t="s">
        <v>112</v>
      </c>
      <c r="L3" s="105" t="s">
        <v>113</v>
      </c>
      <c r="M3" s="105" t="s">
        <v>104</v>
      </c>
    </row>
    <row r="4" spans="2:13" ht="46.5" customHeight="1" x14ac:dyDescent="0.25">
      <c r="B4" s="105" t="s">
        <v>97</v>
      </c>
      <c r="C4" s="105" t="s">
        <v>98</v>
      </c>
      <c r="D4" s="130" t="s">
        <v>95</v>
      </c>
      <c r="E4" s="130" t="s">
        <v>109</v>
      </c>
      <c r="F4" s="105"/>
      <c r="G4" s="105"/>
      <c r="H4" s="107" t="s">
        <v>96</v>
      </c>
      <c r="I4" s="107" t="s">
        <v>114</v>
      </c>
      <c r="J4" s="107"/>
      <c r="K4" s="107" t="s">
        <v>115</v>
      </c>
      <c r="L4" s="108"/>
      <c r="M4" s="107"/>
    </row>
    <row r="5" spans="2:13" ht="15" customHeight="1" x14ac:dyDescent="0.25">
      <c r="B5" s="106" t="s">
        <v>90</v>
      </c>
      <c r="C5" s="106" t="s">
        <v>90</v>
      </c>
      <c r="D5" s="106" t="s">
        <v>91</v>
      </c>
      <c r="E5" s="106" t="s">
        <v>91</v>
      </c>
      <c r="F5" s="106"/>
      <c r="G5" s="106" t="s">
        <v>101</v>
      </c>
      <c r="H5" s="106" t="s">
        <v>91</v>
      </c>
      <c r="I5" s="106" t="s">
        <v>12</v>
      </c>
      <c r="J5" s="106"/>
      <c r="K5" s="106" t="s">
        <v>12</v>
      </c>
      <c r="L5" s="106"/>
      <c r="M5" s="106"/>
    </row>
    <row r="6" spans="2:13" ht="15" customHeight="1" x14ac:dyDescent="0.25"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</row>
    <row r="7" spans="2:13" ht="13.8" x14ac:dyDescent="0.3">
      <c r="B7" s="111">
        <v>37433</v>
      </c>
      <c r="C7" s="111">
        <v>37495</v>
      </c>
      <c r="D7" s="112">
        <v>10657</v>
      </c>
      <c r="E7" s="112">
        <v>10690</v>
      </c>
      <c r="F7" s="112" t="s">
        <v>99</v>
      </c>
      <c r="G7" s="112" t="s">
        <v>102</v>
      </c>
      <c r="H7" s="112">
        <v>0</v>
      </c>
      <c r="I7" s="110">
        <v>23.25</v>
      </c>
      <c r="J7" s="110" t="s">
        <v>105</v>
      </c>
      <c r="K7" s="113"/>
      <c r="L7" s="110" t="s">
        <v>106</v>
      </c>
      <c r="M7" s="109" t="s">
        <v>92</v>
      </c>
    </row>
    <row r="8" spans="2:13" ht="13.8" x14ac:dyDescent="0.3">
      <c r="B8" s="114">
        <v>37495</v>
      </c>
      <c r="C8" s="114">
        <v>37564</v>
      </c>
      <c r="D8" s="115">
        <v>10690</v>
      </c>
      <c r="E8" s="115">
        <v>10742</v>
      </c>
      <c r="F8" s="115" t="s">
        <v>99</v>
      </c>
      <c r="G8" s="115" t="s">
        <v>102</v>
      </c>
      <c r="H8" s="115">
        <v>0</v>
      </c>
      <c r="I8" s="116">
        <v>16.53</v>
      </c>
      <c r="J8" s="116" t="s">
        <v>105</v>
      </c>
      <c r="K8" s="113"/>
      <c r="L8" s="113"/>
      <c r="M8" s="109" t="s">
        <v>93</v>
      </c>
    </row>
    <row r="9" spans="2:13" x14ac:dyDescent="0.25">
      <c r="B9" s="117">
        <v>37564</v>
      </c>
      <c r="C9" s="117">
        <v>37596</v>
      </c>
      <c r="D9" s="118">
        <v>10742</v>
      </c>
      <c r="E9" s="118">
        <v>10868</v>
      </c>
      <c r="F9" s="118" t="s">
        <v>99</v>
      </c>
      <c r="G9" s="118" t="s">
        <v>102</v>
      </c>
      <c r="H9" s="118">
        <v>0</v>
      </c>
      <c r="I9" s="119">
        <v>10.7</v>
      </c>
      <c r="J9" s="119" t="s">
        <v>105</v>
      </c>
      <c r="K9" s="120">
        <v>13.6</v>
      </c>
      <c r="L9" s="120" t="s">
        <v>106</v>
      </c>
      <c r="M9" s="109" t="s">
        <v>94</v>
      </c>
    </row>
    <row r="10" spans="2:13" x14ac:dyDescent="0.25">
      <c r="B10" s="117">
        <v>37596</v>
      </c>
      <c r="C10" s="117">
        <v>37625</v>
      </c>
      <c r="D10" s="118">
        <v>10868</v>
      </c>
      <c r="E10" s="118">
        <v>11054</v>
      </c>
      <c r="F10" s="118" t="s">
        <v>99</v>
      </c>
      <c r="G10" s="118" t="s">
        <v>102</v>
      </c>
      <c r="H10" s="118">
        <v>0</v>
      </c>
      <c r="I10" s="119">
        <v>5.8</v>
      </c>
      <c r="J10" s="119" t="s">
        <v>105</v>
      </c>
      <c r="K10" s="120">
        <v>13.6</v>
      </c>
      <c r="L10" s="120" t="s">
        <v>106</v>
      </c>
      <c r="M10" s="109" t="s">
        <v>94</v>
      </c>
    </row>
    <row r="11" spans="2:13" x14ac:dyDescent="0.25">
      <c r="B11" s="117">
        <v>37625</v>
      </c>
      <c r="C11" s="117">
        <v>37631</v>
      </c>
      <c r="D11" s="118">
        <v>11054</v>
      </c>
      <c r="E11" s="118">
        <v>11108</v>
      </c>
      <c r="F11" s="118" t="s">
        <v>99</v>
      </c>
      <c r="G11" s="118" t="s">
        <v>102</v>
      </c>
      <c r="H11" s="118">
        <v>0</v>
      </c>
      <c r="I11" s="119">
        <v>3.3</v>
      </c>
      <c r="J11" s="119" t="s">
        <v>105</v>
      </c>
      <c r="K11" s="120">
        <v>13.6</v>
      </c>
      <c r="L11" s="120" t="s">
        <v>106</v>
      </c>
      <c r="M11" s="109" t="s">
        <v>94</v>
      </c>
    </row>
    <row r="12" spans="2:13" x14ac:dyDescent="0.25">
      <c r="B12" s="117">
        <v>37631</v>
      </c>
      <c r="C12" s="117">
        <v>37653</v>
      </c>
      <c r="D12" s="118">
        <v>11108</v>
      </c>
      <c r="E12" s="118">
        <v>11310</v>
      </c>
      <c r="F12" s="118" t="s">
        <v>99</v>
      </c>
      <c r="G12" s="118" t="s">
        <v>102</v>
      </c>
      <c r="H12" s="118">
        <v>0</v>
      </c>
      <c r="I12" s="119">
        <v>3.35</v>
      </c>
      <c r="J12" s="119" t="s">
        <v>105</v>
      </c>
      <c r="K12" s="120">
        <v>13.6</v>
      </c>
      <c r="L12" s="120" t="s">
        <v>106</v>
      </c>
      <c r="M12" s="109" t="s">
        <v>94</v>
      </c>
    </row>
    <row r="13" spans="2:13" x14ac:dyDescent="0.25">
      <c r="B13" s="117">
        <v>37653</v>
      </c>
      <c r="C13" s="117">
        <v>37674</v>
      </c>
      <c r="D13" s="118">
        <v>11310</v>
      </c>
      <c r="E13" s="118">
        <v>11622</v>
      </c>
      <c r="F13" s="118" t="s">
        <v>99</v>
      </c>
      <c r="G13" s="118" t="s">
        <v>102</v>
      </c>
      <c r="H13" s="118">
        <v>0</v>
      </c>
      <c r="I13" s="119">
        <v>2.67</v>
      </c>
      <c r="J13" s="119" t="s">
        <v>105</v>
      </c>
      <c r="K13" s="120">
        <v>13.6</v>
      </c>
      <c r="L13" s="120" t="s">
        <v>106</v>
      </c>
      <c r="M13" s="109" t="s">
        <v>94</v>
      </c>
    </row>
    <row r="14" spans="2:13" x14ac:dyDescent="0.25">
      <c r="B14" s="117">
        <v>37674</v>
      </c>
      <c r="C14" s="117">
        <v>37684</v>
      </c>
      <c r="D14" s="118">
        <v>11622</v>
      </c>
      <c r="E14" s="118">
        <v>11733</v>
      </c>
      <c r="F14" s="118" t="s">
        <v>99</v>
      </c>
      <c r="G14" s="118" t="s">
        <v>102</v>
      </c>
      <c r="H14" s="118">
        <v>0</v>
      </c>
      <c r="I14" s="119">
        <v>5.85</v>
      </c>
      <c r="J14" s="119" t="s">
        <v>105</v>
      </c>
      <c r="K14" s="120">
        <v>13.6</v>
      </c>
      <c r="L14" s="120" t="s">
        <v>106</v>
      </c>
      <c r="M14" s="109" t="s">
        <v>94</v>
      </c>
    </row>
    <row r="15" spans="2:13" ht="13.8" x14ac:dyDescent="0.3">
      <c r="B15" s="111">
        <v>37684</v>
      </c>
      <c r="C15" s="111">
        <v>37743</v>
      </c>
      <c r="D15" s="112">
        <v>11733</v>
      </c>
      <c r="E15" s="112">
        <v>12066</v>
      </c>
      <c r="F15" s="112" t="s">
        <v>99</v>
      </c>
      <c r="G15" s="112" t="s">
        <v>102</v>
      </c>
      <c r="H15" s="112">
        <v>0</v>
      </c>
      <c r="I15" s="110">
        <v>11.28</v>
      </c>
      <c r="J15" s="110" t="s">
        <v>105</v>
      </c>
      <c r="K15" s="113"/>
      <c r="L15" s="113"/>
      <c r="M15" s="109" t="s">
        <v>93</v>
      </c>
    </row>
    <row r="16" spans="2:13" ht="13.8" x14ac:dyDescent="0.3">
      <c r="B16" s="111">
        <v>37743</v>
      </c>
      <c r="C16" s="111">
        <v>37745</v>
      </c>
      <c r="D16" s="112">
        <v>12066</v>
      </c>
      <c r="E16" s="112">
        <v>12067</v>
      </c>
      <c r="F16" s="112" t="s">
        <v>99</v>
      </c>
      <c r="G16" s="112" t="s">
        <v>102</v>
      </c>
      <c r="H16" s="112">
        <v>0</v>
      </c>
      <c r="I16" s="110">
        <v>19.3</v>
      </c>
      <c r="J16" s="110" t="s">
        <v>105</v>
      </c>
      <c r="K16" s="113"/>
      <c r="L16" s="113"/>
      <c r="M16" s="109" t="s">
        <v>92</v>
      </c>
    </row>
    <row r="17" spans="2:13" ht="13.8" x14ac:dyDescent="0.3">
      <c r="B17" s="111">
        <v>37745</v>
      </c>
      <c r="C17" s="111">
        <v>37803</v>
      </c>
      <c r="D17" s="112">
        <v>12067</v>
      </c>
      <c r="E17" s="112">
        <v>12095</v>
      </c>
      <c r="F17" s="112" t="s">
        <v>99</v>
      </c>
      <c r="G17" s="112" t="s">
        <v>102</v>
      </c>
      <c r="H17" s="112">
        <v>0</v>
      </c>
      <c r="I17" s="110">
        <v>23.7</v>
      </c>
      <c r="J17" s="110" t="s">
        <v>105</v>
      </c>
      <c r="K17" s="113"/>
      <c r="L17" s="113"/>
      <c r="M17" s="109" t="s">
        <v>92</v>
      </c>
    </row>
    <row r="18" spans="2:13" ht="13.8" x14ac:dyDescent="0.3">
      <c r="B18" s="111">
        <v>37803</v>
      </c>
      <c r="C18" s="111">
        <v>37883</v>
      </c>
      <c r="D18" s="112">
        <v>12095</v>
      </c>
      <c r="E18" s="112">
        <v>12124</v>
      </c>
      <c r="F18" s="112" t="s">
        <v>99</v>
      </c>
      <c r="G18" s="112" t="s">
        <v>102</v>
      </c>
      <c r="H18" s="112">
        <v>0</v>
      </c>
      <c r="I18" s="110">
        <v>26.8</v>
      </c>
      <c r="J18" s="110" t="s">
        <v>105</v>
      </c>
      <c r="K18" s="113"/>
      <c r="L18" s="113"/>
      <c r="M18" s="109" t="s">
        <v>92</v>
      </c>
    </row>
    <row r="19" spans="2:13" ht="13.8" x14ac:dyDescent="0.3">
      <c r="B19" s="121">
        <v>37883</v>
      </c>
      <c r="C19" s="121">
        <v>37910</v>
      </c>
      <c r="D19" s="122">
        <v>12124</v>
      </c>
      <c r="E19" s="122">
        <v>12138</v>
      </c>
      <c r="F19" s="122" t="s">
        <v>99</v>
      </c>
      <c r="G19" s="122" t="s">
        <v>102</v>
      </c>
      <c r="H19" s="122">
        <v>0</v>
      </c>
      <c r="I19" s="123">
        <v>19.5</v>
      </c>
      <c r="J19" s="123" t="s">
        <v>105</v>
      </c>
      <c r="K19" s="113"/>
      <c r="L19" s="113"/>
      <c r="M19" s="109" t="s">
        <v>93</v>
      </c>
    </row>
    <row r="20" spans="2:13" x14ac:dyDescent="0.25">
      <c r="B20" s="117">
        <v>37910</v>
      </c>
      <c r="C20" s="117">
        <v>37943</v>
      </c>
      <c r="D20" s="118">
        <v>12138</v>
      </c>
      <c r="E20" s="118">
        <v>12297</v>
      </c>
      <c r="F20" s="118" t="s">
        <v>99</v>
      </c>
      <c r="G20" s="118" t="s">
        <v>102</v>
      </c>
      <c r="H20" s="118">
        <v>0</v>
      </c>
      <c r="I20" s="119">
        <v>8.9600000000000009</v>
      </c>
      <c r="J20" s="119" t="s">
        <v>105</v>
      </c>
      <c r="K20" s="120">
        <v>13.6</v>
      </c>
      <c r="L20" s="120" t="s">
        <v>106</v>
      </c>
      <c r="M20" s="109" t="s">
        <v>94</v>
      </c>
    </row>
    <row r="21" spans="2:13" x14ac:dyDescent="0.25">
      <c r="B21" s="117">
        <v>37943</v>
      </c>
      <c r="C21" s="117">
        <v>37986</v>
      </c>
      <c r="D21" s="118">
        <v>12297</v>
      </c>
      <c r="E21" s="118">
        <v>12667</v>
      </c>
      <c r="F21" s="118" t="s">
        <v>99</v>
      </c>
      <c r="G21" s="118" t="s">
        <v>102</v>
      </c>
      <c r="H21" s="118">
        <v>0</v>
      </c>
      <c r="I21" s="119">
        <v>6.88</v>
      </c>
      <c r="J21" s="119" t="s">
        <v>105</v>
      </c>
      <c r="K21" s="120">
        <v>13.6</v>
      </c>
      <c r="L21" s="120" t="s">
        <v>106</v>
      </c>
      <c r="M21" s="109" t="s">
        <v>94</v>
      </c>
    </row>
    <row r="22" spans="2:13" x14ac:dyDescent="0.25">
      <c r="B22" s="117">
        <v>37986</v>
      </c>
      <c r="C22" s="117">
        <v>37998</v>
      </c>
      <c r="D22" s="118">
        <v>12667</v>
      </c>
      <c r="E22" s="118">
        <v>12793</v>
      </c>
      <c r="F22" s="118" t="s">
        <v>99</v>
      </c>
      <c r="G22" s="118" t="s">
        <v>102</v>
      </c>
      <c r="H22" s="118">
        <v>0</v>
      </c>
      <c r="I22" s="119">
        <v>2.4500000000000002</v>
      </c>
      <c r="J22" s="119" t="s">
        <v>105</v>
      </c>
      <c r="K22" s="120">
        <v>13.6</v>
      </c>
      <c r="L22" s="120" t="s">
        <v>106</v>
      </c>
      <c r="M22" s="109" t="s">
        <v>94</v>
      </c>
    </row>
    <row r="23" spans="2:13" x14ac:dyDescent="0.25">
      <c r="B23" s="117">
        <v>37998</v>
      </c>
      <c r="C23" s="117">
        <v>38043</v>
      </c>
      <c r="D23" s="118">
        <v>12793</v>
      </c>
      <c r="E23" s="118">
        <v>13333</v>
      </c>
      <c r="F23" s="118" t="s">
        <v>99</v>
      </c>
      <c r="G23" s="118" t="s">
        <v>102</v>
      </c>
      <c r="H23" s="118">
        <v>0</v>
      </c>
      <c r="I23" s="119">
        <v>3.48</v>
      </c>
      <c r="J23" s="119" t="s">
        <v>105</v>
      </c>
      <c r="K23" s="120">
        <v>13.6</v>
      </c>
      <c r="L23" s="120" t="s">
        <v>106</v>
      </c>
      <c r="M23" s="109" t="s">
        <v>94</v>
      </c>
    </row>
    <row r="24" spans="2:13" x14ac:dyDescent="0.25">
      <c r="B24" s="117">
        <v>38043</v>
      </c>
      <c r="C24" s="117">
        <v>38066</v>
      </c>
      <c r="D24" s="118">
        <v>13333</v>
      </c>
      <c r="E24" s="118">
        <v>13560</v>
      </c>
      <c r="F24" s="118" t="s">
        <v>99</v>
      </c>
      <c r="G24" s="118" t="s">
        <v>102</v>
      </c>
      <c r="H24" s="118">
        <v>0</v>
      </c>
      <c r="I24" s="119">
        <v>6.61</v>
      </c>
      <c r="J24" s="119" t="s">
        <v>105</v>
      </c>
      <c r="K24" s="120">
        <v>13.6</v>
      </c>
      <c r="L24" s="120" t="s">
        <v>106</v>
      </c>
      <c r="M24" s="109" t="s">
        <v>94</v>
      </c>
    </row>
    <row r="25" spans="2:13" x14ac:dyDescent="0.25">
      <c r="B25" s="117">
        <v>38066</v>
      </c>
      <c r="C25" s="117">
        <v>38079</v>
      </c>
      <c r="D25" s="118">
        <v>13560</v>
      </c>
      <c r="E25" s="118">
        <v>13615</v>
      </c>
      <c r="F25" s="118" t="s">
        <v>99</v>
      </c>
      <c r="G25" s="118" t="s">
        <v>102</v>
      </c>
      <c r="H25" s="118">
        <v>0</v>
      </c>
      <c r="I25" s="119">
        <v>9.9499999999999993</v>
      </c>
      <c r="J25" s="119" t="s">
        <v>105</v>
      </c>
      <c r="K25" s="120">
        <v>13.6</v>
      </c>
      <c r="L25" s="120" t="s">
        <v>106</v>
      </c>
      <c r="M25" s="109" t="s">
        <v>94</v>
      </c>
    </row>
    <row r="26" spans="2:13" ht="13.8" x14ac:dyDescent="0.3">
      <c r="B26" s="111">
        <v>38079</v>
      </c>
      <c r="C26" s="111">
        <v>38152</v>
      </c>
      <c r="D26" s="112">
        <v>13615</v>
      </c>
      <c r="E26" s="112">
        <v>13682</v>
      </c>
      <c r="F26" s="112" t="s">
        <v>99</v>
      </c>
      <c r="G26" s="112" t="s">
        <v>102</v>
      </c>
      <c r="H26" s="112">
        <v>0</v>
      </c>
      <c r="I26" s="110">
        <v>15.7</v>
      </c>
      <c r="J26" s="110" t="s">
        <v>105</v>
      </c>
      <c r="K26" s="113"/>
      <c r="L26" s="113"/>
      <c r="M26" s="109" t="s">
        <v>93</v>
      </c>
    </row>
    <row r="27" spans="2:13" ht="13.8" x14ac:dyDescent="0.3">
      <c r="B27" s="111">
        <v>38152</v>
      </c>
      <c r="C27" s="111">
        <v>38224</v>
      </c>
      <c r="D27" s="112">
        <v>13682</v>
      </c>
      <c r="E27" s="112">
        <v>13716</v>
      </c>
      <c r="F27" s="112" t="s">
        <v>99</v>
      </c>
      <c r="G27" s="112" t="s">
        <v>102</v>
      </c>
      <c r="H27" s="112">
        <v>0</v>
      </c>
      <c r="I27" s="110">
        <v>23.6</v>
      </c>
      <c r="J27" s="110" t="s">
        <v>105</v>
      </c>
      <c r="K27" s="113"/>
      <c r="L27" s="113"/>
      <c r="M27" s="109" t="s">
        <v>92</v>
      </c>
    </row>
    <row r="28" spans="2:13" ht="13.8" x14ac:dyDescent="0.3">
      <c r="B28" s="111">
        <v>38224</v>
      </c>
      <c r="C28" s="111">
        <v>38248</v>
      </c>
      <c r="D28" s="112">
        <v>13716</v>
      </c>
      <c r="E28" s="112">
        <v>13728</v>
      </c>
      <c r="F28" s="112" t="s">
        <v>99</v>
      </c>
      <c r="G28" s="112" t="s">
        <v>102</v>
      </c>
      <c r="H28" s="112">
        <v>0</v>
      </c>
      <c r="I28" s="110">
        <v>21.01</v>
      </c>
      <c r="J28" s="110" t="s">
        <v>105</v>
      </c>
      <c r="K28" s="113"/>
      <c r="L28" s="113"/>
      <c r="M28" s="109" t="s">
        <v>92</v>
      </c>
    </row>
    <row r="29" spans="2:13" ht="13.8" x14ac:dyDescent="0.3">
      <c r="B29" s="114">
        <v>38248</v>
      </c>
      <c r="C29" s="114">
        <v>38293</v>
      </c>
      <c r="D29" s="115">
        <v>13728</v>
      </c>
      <c r="E29" s="115">
        <v>13752</v>
      </c>
      <c r="F29" s="115" t="s">
        <v>99</v>
      </c>
      <c r="G29" s="115" t="s">
        <v>102</v>
      </c>
      <c r="H29" s="115">
        <v>0</v>
      </c>
      <c r="I29" s="116">
        <v>16.3</v>
      </c>
      <c r="J29" s="116" t="s">
        <v>105</v>
      </c>
      <c r="K29" s="113"/>
      <c r="L29" s="113"/>
      <c r="M29" s="109" t="s">
        <v>93</v>
      </c>
    </row>
    <row r="30" spans="2:13" x14ac:dyDescent="0.25">
      <c r="B30" s="117">
        <v>38293</v>
      </c>
      <c r="C30" s="117">
        <v>38300</v>
      </c>
      <c r="D30" s="118">
        <v>13752</v>
      </c>
      <c r="E30" s="118">
        <v>13761</v>
      </c>
      <c r="F30" s="118" t="s">
        <v>99</v>
      </c>
      <c r="G30" s="118" t="s">
        <v>102</v>
      </c>
      <c r="H30" s="118">
        <v>0</v>
      </c>
      <c r="I30" s="119">
        <v>13.4</v>
      </c>
      <c r="J30" s="119" t="s">
        <v>105</v>
      </c>
      <c r="K30" s="120">
        <v>13.6</v>
      </c>
      <c r="L30" s="120" t="s">
        <v>106</v>
      </c>
      <c r="M30" s="109" t="s">
        <v>94</v>
      </c>
    </row>
    <row r="31" spans="2:13" x14ac:dyDescent="0.25">
      <c r="B31" s="117">
        <v>38300</v>
      </c>
      <c r="C31" s="117">
        <v>38332</v>
      </c>
      <c r="D31" s="118">
        <v>13761</v>
      </c>
      <c r="E31" s="118">
        <v>13987</v>
      </c>
      <c r="F31" s="118" t="s">
        <v>99</v>
      </c>
      <c r="G31" s="118" t="s">
        <v>102</v>
      </c>
      <c r="H31" s="118">
        <v>0</v>
      </c>
      <c r="I31" s="119">
        <v>7.45</v>
      </c>
      <c r="J31" s="119" t="s">
        <v>105</v>
      </c>
      <c r="K31" s="120">
        <v>13.6</v>
      </c>
      <c r="L31" s="120" t="s">
        <v>106</v>
      </c>
      <c r="M31" s="109" t="s">
        <v>94</v>
      </c>
    </row>
    <row r="32" spans="2:13" x14ac:dyDescent="0.25">
      <c r="B32" s="117">
        <v>38332</v>
      </c>
      <c r="C32" s="117">
        <v>38353</v>
      </c>
      <c r="D32" s="118">
        <v>13987</v>
      </c>
      <c r="E32" s="118">
        <v>14170.15</v>
      </c>
      <c r="F32" s="118" t="s">
        <v>99</v>
      </c>
      <c r="G32" s="118" t="s">
        <v>102</v>
      </c>
      <c r="H32" s="118">
        <v>0</v>
      </c>
      <c r="I32" s="119">
        <v>4.6500000000000004</v>
      </c>
      <c r="J32" s="119" t="s">
        <v>105</v>
      </c>
      <c r="K32" s="120">
        <v>13.6</v>
      </c>
      <c r="L32" s="120" t="s">
        <v>106</v>
      </c>
      <c r="M32" s="109" t="s">
        <v>94</v>
      </c>
    </row>
    <row r="33" spans="2:13" x14ac:dyDescent="0.25">
      <c r="B33" s="117">
        <v>38353</v>
      </c>
      <c r="C33" s="117">
        <v>38362</v>
      </c>
      <c r="D33" s="118">
        <v>14170.15</v>
      </c>
      <c r="E33" s="118">
        <v>14261</v>
      </c>
      <c r="F33" s="118" t="s">
        <v>99</v>
      </c>
      <c r="G33" s="118" t="s">
        <v>102</v>
      </c>
      <c r="H33" s="118">
        <v>0</v>
      </c>
      <c r="I33" s="119">
        <v>3</v>
      </c>
      <c r="J33" s="119" t="s">
        <v>105</v>
      </c>
      <c r="K33" s="120">
        <v>13.6</v>
      </c>
      <c r="L33" s="120" t="s">
        <v>106</v>
      </c>
      <c r="M33" s="109" t="s">
        <v>94</v>
      </c>
    </row>
    <row r="34" spans="2:13" x14ac:dyDescent="0.25">
      <c r="B34" s="117">
        <v>38362</v>
      </c>
      <c r="C34" s="117">
        <v>38411</v>
      </c>
      <c r="D34" s="118">
        <v>14261</v>
      </c>
      <c r="E34" s="118">
        <v>14806</v>
      </c>
      <c r="F34" s="118" t="s">
        <v>99</v>
      </c>
      <c r="G34" s="118" t="s">
        <v>102</v>
      </c>
      <c r="H34" s="118">
        <v>0</v>
      </c>
      <c r="I34" s="119">
        <v>2.69</v>
      </c>
      <c r="J34" s="119" t="s">
        <v>105</v>
      </c>
      <c r="K34" s="120">
        <v>13.6</v>
      </c>
      <c r="L34" s="120" t="s">
        <v>106</v>
      </c>
      <c r="M34" s="109" t="s">
        <v>94</v>
      </c>
    </row>
    <row r="35" spans="2:13" x14ac:dyDescent="0.25">
      <c r="B35" s="117">
        <v>38411</v>
      </c>
      <c r="C35" s="117">
        <v>38437</v>
      </c>
      <c r="D35" s="118">
        <v>14806</v>
      </c>
      <c r="E35" s="118">
        <v>14997</v>
      </c>
      <c r="F35" s="118" t="s">
        <v>99</v>
      </c>
      <c r="G35" s="118" t="s">
        <v>102</v>
      </c>
      <c r="H35" s="118">
        <v>0</v>
      </c>
      <c r="I35" s="119">
        <v>7.5</v>
      </c>
      <c r="J35" s="119" t="s">
        <v>105</v>
      </c>
      <c r="K35" s="120">
        <v>13.6</v>
      </c>
      <c r="L35" s="120" t="s">
        <v>106</v>
      </c>
      <c r="M35" s="109" t="s">
        <v>94</v>
      </c>
    </row>
    <row r="36" spans="2:13" ht="13.8" x14ac:dyDescent="0.3">
      <c r="B36" s="111">
        <v>38437</v>
      </c>
      <c r="C36" s="111">
        <v>38478</v>
      </c>
      <c r="D36" s="112">
        <v>14997</v>
      </c>
      <c r="E36" s="112">
        <v>15068</v>
      </c>
      <c r="F36" s="112" t="s">
        <v>99</v>
      </c>
      <c r="G36" s="112" t="s">
        <v>102</v>
      </c>
      <c r="H36" s="112">
        <v>0</v>
      </c>
      <c r="I36" s="110">
        <v>13.7</v>
      </c>
      <c r="J36" s="110" t="s">
        <v>105</v>
      </c>
      <c r="K36" s="113"/>
      <c r="L36" s="113"/>
      <c r="M36" s="109" t="s">
        <v>93</v>
      </c>
    </row>
    <row r="37" spans="2:13" ht="13.8" x14ac:dyDescent="0.3">
      <c r="B37" s="111">
        <v>38478</v>
      </c>
      <c r="C37" s="111">
        <v>38502</v>
      </c>
      <c r="D37" s="112">
        <v>15068</v>
      </c>
      <c r="E37" s="112">
        <v>15086</v>
      </c>
      <c r="F37" s="112" t="s">
        <v>99</v>
      </c>
      <c r="G37" s="112" t="s">
        <v>102</v>
      </c>
      <c r="H37" s="112">
        <v>0</v>
      </c>
      <c r="I37" s="110">
        <v>18.760000000000002</v>
      </c>
      <c r="J37" s="110" t="s">
        <v>105</v>
      </c>
      <c r="K37" s="113"/>
      <c r="L37" s="113"/>
      <c r="M37" s="109" t="s">
        <v>92</v>
      </c>
    </row>
    <row r="38" spans="2:13" ht="13.8" x14ac:dyDescent="0.3">
      <c r="B38" s="111">
        <v>38502</v>
      </c>
      <c r="C38" s="111">
        <v>38533</v>
      </c>
      <c r="D38" s="112">
        <v>15086</v>
      </c>
      <c r="E38" s="112">
        <v>15101</v>
      </c>
      <c r="F38" s="112" t="s">
        <v>99</v>
      </c>
      <c r="G38" s="112" t="s">
        <v>102</v>
      </c>
      <c r="H38" s="112">
        <v>0</v>
      </c>
      <c r="I38" s="110">
        <v>23.3</v>
      </c>
      <c r="J38" s="110" t="s">
        <v>105</v>
      </c>
      <c r="K38" s="113"/>
      <c r="L38" s="113"/>
      <c r="M38" s="109" t="s">
        <v>92</v>
      </c>
    </row>
    <row r="39" spans="2:13" ht="13.8" x14ac:dyDescent="0.3">
      <c r="B39" s="111">
        <v>38533</v>
      </c>
      <c r="C39" s="111">
        <v>38596</v>
      </c>
      <c r="D39" s="112">
        <v>15101</v>
      </c>
      <c r="E39" s="112">
        <v>15129</v>
      </c>
      <c r="F39" s="112" t="s">
        <v>99</v>
      </c>
      <c r="G39" s="112" t="s">
        <v>102</v>
      </c>
      <c r="H39" s="112">
        <v>0</v>
      </c>
      <c r="I39" s="110">
        <v>22.8</v>
      </c>
      <c r="J39" s="110" t="s">
        <v>105</v>
      </c>
      <c r="K39" s="113"/>
      <c r="L39" s="113"/>
      <c r="M39" s="109" t="s">
        <v>92</v>
      </c>
    </row>
    <row r="40" spans="2:13" ht="13.8" x14ac:dyDescent="0.3">
      <c r="B40" s="114">
        <v>38596</v>
      </c>
      <c r="C40" s="114">
        <v>38660</v>
      </c>
      <c r="D40" s="115">
        <v>15129</v>
      </c>
      <c r="E40" s="115">
        <v>15165</v>
      </c>
      <c r="F40" s="115" t="s">
        <v>99</v>
      </c>
      <c r="G40" s="115" t="s">
        <v>102</v>
      </c>
      <c r="H40" s="115">
        <v>0</v>
      </c>
      <c r="I40" s="116">
        <v>16.46</v>
      </c>
      <c r="J40" s="116" t="s">
        <v>105</v>
      </c>
      <c r="K40" s="113"/>
      <c r="L40" s="113"/>
      <c r="M40" s="109" t="s">
        <v>93</v>
      </c>
    </row>
    <row r="41" spans="2:13" x14ac:dyDescent="0.25">
      <c r="B41" s="117">
        <v>38660</v>
      </c>
      <c r="C41" s="117">
        <v>38710</v>
      </c>
      <c r="D41" s="118">
        <v>15165</v>
      </c>
      <c r="E41" s="118">
        <v>15570</v>
      </c>
      <c r="F41" s="118" t="s">
        <v>99</v>
      </c>
      <c r="G41" s="118" t="s">
        <v>102</v>
      </c>
      <c r="H41" s="118">
        <v>0</v>
      </c>
      <c r="I41" s="119">
        <v>5.77</v>
      </c>
      <c r="J41" s="119" t="s">
        <v>105</v>
      </c>
      <c r="K41" s="120">
        <v>13.6</v>
      </c>
      <c r="L41" s="120" t="s">
        <v>106</v>
      </c>
      <c r="M41" s="109" t="s">
        <v>94</v>
      </c>
    </row>
    <row r="42" spans="2:13" x14ac:dyDescent="0.25">
      <c r="B42" s="117">
        <v>38710</v>
      </c>
      <c r="C42" s="117">
        <v>38717</v>
      </c>
      <c r="D42" s="118">
        <v>15570</v>
      </c>
      <c r="E42" s="118">
        <v>15652</v>
      </c>
      <c r="F42" s="118" t="s">
        <v>99</v>
      </c>
      <c r="G42" s="118" t="s">
        <v>102</v>
      </c>
      <c r="H42" s="118">
        <v>0</v>
      </c>
      <c r="I42" s="119">
        <v>1.9</v>
      </c>
      <c r="J42" s="119" t="s">
        <v>105</v>
      </c>
      <c r="K42" s="120">
        <v>13.6</v>
      </c>
      <c r="L42" s="120" t="s">
        <v>106</v>
      </c>
      <c r="M42" s="109" t="s">
        <v>94</v>
      </c>
    </row>
    <row r="43" spans="2:13" x14ac:dyDescent="0.25">
      <c r="B43" s="117">
        <v>38717</v>
      </c>
      <c r="C43" s="117">
        <v>38727</v>
      </c>
      <c r="D43" s="118">
        <v>15652</v>
      </c>
      <c r="E43" s="118">
        <v>15747</v>
      </c>
      <c r="F43" s="118" t="s">
        <v>99</v>
      </c>
      <c r="G43" s="118" t="s">
        <v>102</v>
      </c>
      <c r="H43" s="118">
        <v>0</v>
      </c>
      <c r="I43" s="119">
        <v>3.83</v>
      </c>
      <c r="J43" s="119" t="s">
        <v>105</v>
      </c>
      <c r="K43" s="120">
        <v>13.6</v>
      </c>
      <c r="L43" s="120" t="s">
        <v>106</v>
      </c>
      <c r="M43" s="109" t="s">
        <v>94</v>
      </c>
    </row>
    <row r="44" spans="2:13" x14ac:dyDescent="0.25">
      <c r="B44" s="117">
        <v>38727</v>
      </c>
      <c r="C44" s="117">
        <v>38759</v>
      </c>
      <c r="D44" s="118">
        <v>15747</v>
      </c>
      <c r="E44" s="118">
        <v>16168</v>
      </c>
      <c r="F44" s="118" t="s">
        <v>99</v>
      </c>
      <c r="G44" s="118" t="s">
        <v>102</v>
      </c>
      <c r="H44" s="118">
        <v>0</v>
      </c>
      <c r="I44" s="119">
        <v>2.5499999999999998</v>
      </c>
      <c r="J44" s="119" t="s">
        <v>105</v>
      </c>
      <c r="K44" s="120">
        <v>13.6</v>
      </c>
      <c r="L44" s="120" t="s">
        <v>106</v>
      </c>
      <c r="M44" s="109" t="s">
        <v>94</v>
      </c>
    </row>
    <row r="45" spans="2:13" x14ac:dyDescent="0.25">
      <c r="B45" s="117">
        <v>38759</v>
      </c>
      <c r="C45" s="117">
        <v>38794</v>
      </c>
      <c r="D45" s="118">
        <v>16168</v>
      </c>
      <c r="E45" s="118">
        <v>16515</v>
      </c>
      <c r="F45" s="118" t="s">
        <v>99</v>
      </c>
      <c r="G45" s="118" t="s">
        <v>102</v>
      </c>
      <c r="H45" s="118">
        <v>0</v>
      </c>
      <c r="I45" s="119">
        <v>5.45</v>
      </c>
      <c r="J45" s="119" t="s">
        <v>105</v>
      </c>
      <c r="K45" s="120">
        <v>13.6</v>
      </c>
      <c r="L45" s="120" t="s">
        <v>106</v>
      </c>
      <c r="M45" s="109" t="s">
        <v>94</v>
      </c>
    </row>
    <row r="46" spans="2:13" ht="13.8" x14ac:dyDescent="0.3">
      <c r="B46" s="124">
        <v>38794</v>
      </c>
      <c r="C46" s="124">
        <v>38808</v>
      </c>
      <c r="D46" s="125">
        <v>16515</v>
      </c>
      <c r="E46" s="125">
        <v>16554</v>
      </c>
      <c r="F46" s="125" t="s">
        <v>99</v>
      </c>
      <c r="G46" s="125" t="s">
        <v>102</v>
      </c>
      <c r="H46" s="125">
        <v>0</v>
      </c>
      <c r="I46" s="126">
        <v>10</v>
      </c>
      <c r="J46" s="126" t="s">
        <v>105</v>
      </c>
      <c r="K46" s="113"/>
      <c r="L46" s="113"/>
      <c r="M46" s="109" t="s">
        <v>93</v>
      </c>
    </row>
    <row r="47" spans="2:13" ht="13.8" x14ac:dyDescent="0.3">
      <c r="B47" s="127">
        <v>38808</v>
      </c>
      <c r="C47" s="127">
        <v>38822</v>
      </c>
      <c r="D47" s="112">
        <v>16554</v>
      </c>
      <c r="E47" s="112">
        <v>16585</v>
      </c>
      <c r="F47" s="112" t="s">
        <v>99</v>
      </c>
      <c r="G47" s="112" t="s">
        <v>102</v>
      </c>
      <c r="H47" s="112">
        <v>0</v>
      </c>
      <c r="I47" s="126">
        <v>11.12</v>
      </c>
      <c r="J47" s="126" t="s">
        <v>105</v>
      </c>
      <c r="K47" s="113"/>
      <c r="L47" s="113"/>
      <c r="M47" s="109" t="s">
        <v>93</v>
      </c>
    </row>
    <row r="48" spans="2:13" ht="13.8" x14ac:dyDescent="0.3">
      <c r="B48" s="127">
        <v>38822</v>
      </c>
      <c r="C48" s="127">
        <v>38839</v>
      </c>
      <c r="D48" s="112">
        <v>16585</v>
      </c>
      <c r="E48" s="112">
        <v>16597</v>
      </c>
      <c r="F48" s="112" t="s">
        <v>99</v>
      </c>
      <c r="G48" s="112" t="s">
        <v>102</v>
      </c>
      <c r="H48" s="112">
        <v>0</v>
      </c>
      <c r="I48" s="126">
        <v>15.8</v>
      </c>
      <c r="J48" s="126" t="s">
        <v>105</v>
      </c>
      <c r="K48" s="113"/>
      <c r="L48" s="113"/>
      <c r="M48" s="109" t="s">
        <v>92</v>
      </c>
    </row>
    <row r="49" spans="2:13" ht="13.8" x14ac:dyDescent="0.3">
      <c r="B49" s="127">
        <v>38839</v>
      </c>
      <c r="C49" s="127">
        <v>38891</v>
      </c>
      <c r="D49" s="112">
        <v>16597</v>
      </c>
      <c r="E49" s="112">
        <v>16628</v>
      </c>
      <c r="F49" s="112" t="s">
        <v>99</v>
      </c>
      <c r="G49" s="112" t="s">
        <v>102</v>
      </c>
      <c r="H49" s="112">
        <v>0</v>
      </c>
      <c r="I49" s="126">
        <v>19.3</v>
      </c>
      <c r="J49" s="126" t="s">
        <v>105</v>
      </c>
      <c r="K49" s="113"/>
      <c r="L49" s="113"/>
      <c r="M49" s="109" t="s">
        <v>92</v>
      </c>
    </row>
    <row r="50" spans="2:13" ht="13.8" x14ac:dyDescent="0.3">
      <c r="B50" s="127">
        <v>38891</v>
      </c>
      <c r="C50" s="127">
        <v>38967</v>
      </c>
      <c r="D50" s="112">
        <v>16628</v>
      </c>
      <c r="E50" s="112">
        <v>16660</v>
      </c>
      <c r="F50" s="112" t="s">
        <v>99</v>
      </c>
      <c r="G50" s="112" t="s">
        <v>102</v>
      </c>
      <c r="H50" s="112">
        <v>0</v>
      </c>
      <c r="I50" s="126">
        <v>23.9</v>
      </c>
      <c r="J50" s="126" t="s">
        <v>105</v>
      </c>
      <c r="K50" s="113"/>
      <c r="L50" s="113"/>
      <c r="M50" s="109" t="s">
        <v>92</v>
      </c>
    </row>
    <row r="51" spans="2:13" ht="13.8" x14ac:dyDescent="0.3">
      <c r="B51" s="128">
        <v>38967</v>
      </c>
      <c r="C51" s="128">
        <v>39016</v>
      </c>
      <c r="D51" s="115">
        <v>16660</v>
      </c>
      <c r="E51" s="115">
        <v>16691</v>
      </c>
      <c r="F51" s="115" t="s">
        <v>99</v>
      </c>
      <c r="G51" s="115" t="s">
        <v>102</v>
      </c>
      <c r="H51" s="115">
        <v>0</v>
      </c>
      <c r="I51" s="116">
        <v>17.68</v>
      </c>
      <c r="J51" s="116" t="s">
        <v>105</v>
      </c>
      <c r="K51" s="113"/>
      <c r="L51" s="113"/>
      <c r="M51" s="109" t="s">
        <v>93</v>
      </c>
    </row>
    <row r="52" spans="2:13" x14ac:dyDescent="0.25">
      <c r="B52" s="129">
        <v>39016</v>
      </c>
      <c r="C52" s="129">
        <v>39069</v>
      </c>
      <c r="D52" s="118">
        <v>16691</v>
      </c>
      <c r="E52" s="118">
        <v>16910</v>
      </c>
      <c r="F52" s="118" t="s">
        <v>99</v>
      </c>
      <c r="G52" s="118" t="s">
        <v>102</v>
      </c>
      <c r="H52" s="118">
        <v>0</v>
      </c>
      <c r="I52" s="119">
        <v>9.5</v>
      </c>
      <c r="J52" s="119" t="s">
        <v>105</v>
      </c>
      <c r="K52" s="120">
        <v>13.6</v>
      </c>
      <c r="L52" s="120" t="s">
        <v>106</v>
      </c>
      <c r="M52" s="109" t="s">
        <v>94</v>
      </c>
    </row>
    <row r="53" spans="2:13" x14ac:dyDescent="0.25">
      <c r="B53" s="129">
        <v>39069</v>
      </c>
      <c r="C53" s="129">
        <v>39134</v>
      </c>
      <c r="D53" s="118">
        <v>16910</v>
      </c>
      <c r="E53" s="118">
        <v>17374</v>
      </c>
      <c r="F53" s="118" t="s">
        <v>99</v>
      </c>
      <c r="G53" s="118" t="s">
        <v>102</v>
      </c>
      <c r="H53" s="118">
        <v>0</v>
      </c>
      <c r="I53" s="119">
        <v>5.6</v>
      </c>
      <c r="J53" s="119" t="s">
        <v>105</v>
      </c>
      <c r="K53" s="120">
        <v>13.6</v>
      </c>
      <c r="L53" s="120" t="s">
        <v>106</v>
      </c>
      <c r="M53" s="109" t="s">
        <v>94</v>
      </c>
    </row>
    <row r="54" spans="2:13" x14ac:dyDescent="0.25">
      <c r="B54" s="129">
        <v>39134</v>
      </c>
      <c r="C54" s="129">
        <v>39193</v>
      </c>
      <c r="D54" s="118">
        <v>17374</v>
      </c>
      <c r="E54" s="118">
        <v>17512</v>
      </c>
      <c r="F54" s="118" t="s">
        <v>99</v>
      </c>
      <c r="G54" s="118" t="s">
        <v>102</v>
      </c>
      <c r="H54" s="118">
        <v>0</v>
      </c>
      <c r="I54" s="119">
        <v>12.24</v>
      </c>
      <c r="J54" s="119" t="s">
        <v>105</v>
      </c>
      <c r="K54" s="120">
        <v>13.6</v>
      </c>
      <c r="L54" s="120" t="s">
        <v>106</v>
      </c>
      <c r="M54" s="109" t="s">
        <v>94</v>
      </c>
    </row>
    <row r="55" spans="2:13" ht="13.8" x14ac:dyDescent="0.3">
      <c r="B55" s="127">
        <v>39193</v>
      </c>
      <c r="C55" s="127">
        <v>39202</v>
      </c>
      <c r="D55" s="112">
        <v>17512</v>
      </c>
      <c r="E55" s="112">
        <v>17517</v>
      </c>
      <c r="F55" s="112" t="s">
        <v>99</v>
      </c>
      <c r="G55" s="112" t="s">
        <v>102</v>
      </c>
      <c r="H55" s="112">
        <v>0</v>
      </c>
      <c r="I55" s="126">
        <v>19.170000000000002</v>
      </c>
      <c r="J55" s="126" t="s">
        <v>105</v>
      </c>
      <c r="K55" s="113"/>
      <c r="L55" s="113"/>
      <c r="M55" s="109" t="s">
        <v>93</v>
      </c>
    </row>
  </sheetData>
  <pageMargins left="0.25" right="0.25" top="0.75" bottom="0.75" header="0.3" footer="0.3"/>
  <pageSetup paperSize="9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tabColor rgb="FF009900"/>
  </sheetPr>
  <dimension ref="A1:BG58"/>
  <sheetViews>
    <sheetView topLeftCell="A16" workbookViewId="0">
      <selection activeCell="E41" sqref="E41"/>
    </sheetView>
  </sheetViews>
  <sheetFormatPr baseColWidth="10" defaultColWidth="9.109375" defaultRowHeight="13.2" x14ac:dyDescent="0.25"/>
  <cols>
    <col min="1" max="1" width="43.44140625" style="5" customWidth="1"/>
    <col min="2" max="2" width="21.33203125" style="1" customWidth="1"/>
    <col min="3" max="3" width="16.88671875" style="88" customWidth="1"/>
    <col min="4" max="4" width="9.109375" style="1"/>
    <col min="5" max="5" width="14" style="1" customWidth="1"/>
    <col min="6" max="6" width="12.33203125" style="1" customWidth="1"/>
    <col min="7" max="8" width="9.109375" style="1"/>
    <col min="9" max="9" width="36.5546875" style="1" customWidth="1"/>
    <col min="10" max="10" width="2.5546875" style="1" customWidth="1"/>
    <col min="11" max="59" width="11" style="1" customWidth="1"/>
    <col min="60" max="16384" width="9.109375" style="1"/>
  </cols>
  <sheetData>
    <row r="1" spans="1:59" ht="76.5" customHeight="1" thickBot="1" x14ac:dyDescent="0.3">
      <c r="A1" s="187" t="s">
        <v>63</v>
      </c>
      <c r="B1" s="188"/>
      <c r="C1" s="188"/>
      <c r="D1" s="188"/>
      <c r="E1" s="188"/>
      <c r="F1" s="188"/>
      <c r="G1" s="188"/>
      <c r="H1" s="188"/>
      <c r="I1" s="189"/>
    </row>
    <row r="2" spans="1:59" x14ac:dyDescent="0.25">
      <c r="A2" s="1"/>
    </row>
    <row r="3" spans="1:59" ht="13.8" thickBot="1" x14ac:dyDescent="0.3"/>
    <row r="4" spans="1:59" ht="23.25" customHeight="1" thickBot="1" x14ac:dyDescent="0.3">
      <c r="A4" s="46" t="s">
        <v>2</v>
      </c>
      <c r="B4" s="47" t="s">
        <v>6</v>
      </c>
      <c r="C4" s="47" t="s">
        <v>72</v>
      </c>
      <c r="D4" s="47" t="s">
        <v>0</v>
      </c>
      <c r="E4" s="47" t="s">
        <v>3</v>
      </c>
      <c r="F4" s="47" t="s">
        <v>19</v>
      </c>
      <c r="G4" s="47" t="s">
        <v>1</v>
      </c>
      <c r="H4" s="47" t="s">
        <v>21</v>
      </c>
      <c r="I4" s="48" t="s">
        <v>5</v>
      </c>
      <c r="K4" s="101"/>
      <c r="L4" s="102"/>
      <c r="M4" s="102"/>
      <c r="N4" s="102"/>
      <c r="O4" s="102"/>
      <c r="P4" s="102"/>
      <c r="Q4" s="104" t="s">
        <v>83</v>
      </c>
      <c r="R4" s="102"/>
      <c r="S4" s="102"/>
      <c r="T4" s="102"/>
      <c r="U4" s="102"/>
      <c r="V4" s="102"/>
      <c r="W4" s="102"/>
      <c r="X4" s="103"/>
    </row>
    <row r="5" spans="1:59" ht="19.5" customHeight="1" x14ac:dyDescent="0.25">
      <c r="A5" s="45" t="s">
        <v>57</v>
      </c>
      <c r="B5" s="6"/>
      <c r="C5" s="6"/>
      <c r="D5" s="6"/>
      <c r="E5" s="6"/>
      <c r="F5" s="6"/>
      <c r="G5" s="6"/>
      <c r="H5" s="24"/>
      <c r="I5" s="6"/>
    </row>
    <row r="6" spans="1:59" x14ac:dyDescent="0.25">
      <c r="A6" s="81"/>
      <c r="B6" s="12"/>
      <c r="C6" s="12"/>
      <c r="D6" s="11"/>
      <c r="E6" s="28"/>
      <c r="F6" s="11"/>
      <c r="G6" s="11"/>
      <c r="H6" s="11"/>
      <c r="I6" s="2"/>
      <c r="J6" s="8"/>
    </row>
    <row r="7" spans="1:59" ht="13.8" x14ac:dyDescent="0.25">
      <c r="A7" s="22" t="s">
        <v>84</v>
      </c>
      <c r="B7" s="12"/>
      <c r="C7" s="12"/>
      <c r="D7" s="11"/>
      <c r="E7" s="28"/>
      <c r="F7" s="11"/>
      <c r="G7" s="11"/>
      <c r="H7" s="11"/>
      <c r="I7" s="2"/>
      <c r="J7" s="9"/>
    </row>
    <row r="8" spans="1:59" x14ac:dyDescent="0.25">
      <c r="A8" s="81"/>
      <c r="B8" s="12"/>
      <c r="C8" s="12"/>
      <c r="D8" s="11"/>
      <c r="E8" s="28"/>
      <c r="F8" s="11"/>
      <c r="G8" s="11"/>
      <c r="H8" s="11"/>
      <c r="I8" s="2"/>
      <c r="J8" s="9"/>
    </row>
    <row r="9" spans="1:59" s="88" customFormat="1" x14ac:dyDescent="0.25">
      <c r="A9" s="15" t="s">
        <v>134</v>
      </c>
      <c r="B9" s="12" t="s">
        <v>135</v>
      </c>
      <c r="C9" s="12"/>
      <c r="D9" s="89"/>
      <c r="E9" s="135" t="s">
        <v>136</v>
      </c>
      <c r="F9" s="89"/>
      <c r="G9" s="89"/>
      <c r="H9" s="89"/>
      <c r="I9" s="90"/>
      <c r="J9" s="9"/>
    </row>
    <row r="10" spans="1:59" s="88" customFormat="1" x14ac:dyDescent="0.25">
      <c r="A10" s="15" t="s">
        <v>85</v>
      </c>
      <c r="B10" s="12" t="s">
        <v>116</v>
      </c>
      <c r="C10" s="12"/>
      <c r="D10" s="12" t="s">
        <v>90</v>
      </c>
      <c r="E10" s="134">
        <f>+K10</f>
        <v>37433</v>
      </c>
      <c r="F10" s="89"/>
      <c r="G10" s="89"/>
      <c r="H10" s="89"/>
      <c r="I10" s="90"/>
      <c r="J10" s="9"/>
      <c r="K10" s="111">
        <v>37433</v>
      </c>
      <c r="L10" s="114">
        <v>37495</v>
      </c>
      <c r="M10" s="117">
        <v>37564</v>
      </c>
      <c r="N10" s="117">
        <v>37596</v>
      </c>
      <c r="O10" s="117">
        <v>37625</v>
      </c>
      <c r="P10" s="117">
        <v>37631</v>
      </c>
      <c r="Q10" s="117">
        <v>37653</v>
      </c>
      <c r="R10" s="117">
        <v>37674</v>
      </c>
      <c r="S10" s="111">
        <v>37684</v>
      </c>
      <c r="T10" s="111">
        <v>37743</v>
      </c>
      <c r="U10" s="111">
        <v>37745</v>
      </c>
      <c r="V10" s="111">
        <v>37803</v>
      </c>
      <c r="W10" s="121">
        <v>37883</v>
      </c>
      <c r="X10" s="117">
        <v>37910</v>
      </c>
      <c r="Y10" s="117">
        <v>37943</v>
      </c>
      <c r="Z10" s="117">
        <v>37986</v>
      </c>
      <c r="AA10" s="117">
        <v>37998</v>
      </c>
      <c r="AB10" s="117">
        <v>38043</v>
      </c>
      <c r="AC10" s="117">
        <v>38066</v>
      </c>
      <c r="AD10" s="111">
        <v>38079</v>
      </c>
      <c r="AE10" s="111">
        <v>38152</v>
      </c>
      <c r="AF10" s="111">
        <v>38224</v>
      </c>
      <c r="AG10" s="114">
        <v>38248</v>
      </c>
      <c r="AH10" s="117">
        <v>38293</v>
      </c>
      <c r="AI10" s="117">
        <v>38300</v>
      </c>
      <c r="AJ10" s="117">
        <v>38332</v>
      </c>
      <c r="AK10" s="117">
        <v>38353</v>
      </c>
      <c r="AL10" s="117">
        <v>38362</v>
      </c>
      <c r="AM10" s="117">
        <v>38411</v>
      </c>
      <c r="AN10" s="111">
        <v>38437</v>
      </c>
      <c r="AO10" s="111">
        <v>38478</v>
      </c>
      <c r="AP10" s="111">
        <v>38502</v>
      </c>
      <c r="AQ10" s="111">
        <v>38533</v>
      </c>
      <c r="AR10" s="114">
        <v>38596</v>
      </c>
      <c r="AS10" s="117">
        <v>38660</v>
      </c>
      <c r="AT10" s="117">
        <v>38710</v>
      </c>
      <c r="AU10" s="117">
        <v>38717</v>
      </c>
      <c r="AV10" s="117">
        <v>38727</v>
      </c>
      <c r="AW10" s="117">
        <v>38759</v>
      </c>
      <c r="AX10" s="124">
        <v>38794</v>
      </c>
      <c r="AY10" s="127">
        <v>38808</v>
      </c>
      <c r="AZ10" s="127">
        <v>38822</v>
      </c>
      <c r="BA10" s="127">
        <v>38839</v>
      </c>
      <c r="BB10" s="127">
        <v>38891</v>
      </c>
      <c r="BC10" s="128">
        <v>38967</v>
      </c>
      <c r="BD10" s="129">
        <v>39016</v>
      </c>
      <c r="BE10" s="129">
        <v>39069</v>
      </c>
      <c r="BF10" s="129">
        <v>39134</v>
      </c>
      <c r="BG10" s="127">
        <v>39193</v>
      </c>
    </row>
    <row r="11" spans="1:59" s="88" customFormat="1" x14ac:dyDescent="0.25">
      <c r="A11" s="15" t="s">
        <v>86</v>
      </c>
      <c r="B11" s="12" t="s">
        <v>116</v>
      </c>
      <c r="C11" s="12"/>
      <c r="D11" s="12" t="s">
        <v>90</v>
      </c>
      <c r="E11" s="134">
        <f t="shared" ref="E11:E21" si="0">+K11</f>
        <v>37495</v>
      </c>
      <c r="F11" s="89"/>
      <c r="G11" s="89"/>
      <c r="H11" s="89"/>
      <c r="I11" s="90"/>
      <c r="J11" s="9"/>
      <c r="K11" s="111">
        <v>37495</v>
      </c>
      <c r="L11" s="114">
        <v>37564</v>
      </c>
      <c r="M11" s="117">
        <v>37596</v>
      </c>
      <c r="N11" s="117">
        <v>37625</v>
      </c>
      <c r="O11" s="117">
        <v>37631</v>
      </c>
      <c r="P11" s="117">
        <v>37653</v>
      </c>
      <c r="Q11" s="117">
        <v>37674</v>
      </c>
      <c r="R11" s="117">
        <v>37684</v>
      </c>
      <c r="S11" s="111">
        <v>37743</v>
      </c>
      <c r="T11" s="111">
        <v>37745</v>
      </c>
      <c r="U11" s="111">
        <v>37803</v>
      </c>
      <c r="V11" s="111">
        <v>37883</v>
      </c>
      <c r="W11" s="121">
        <v>37910</v>
      </c>
      <c r="X11" s="117">
        <v>37943</v>
      </c>
      <c r="Y11" s="117">
        <v>37986</v>
      </c>
      <c r="Z11" s="117">
        <v>37998</v>
      </c>
      <c r="AA11" s="117">
        <v>38043</v>
      </c>
      <c r="AB11" s="117">
        <v>38066</v>
      </c>
      <c r="AC11" s="117">
        <v>38079</v>
      </c>
      <c r="AD11" s="111">
        <v>38152</v>
      </c>
      <c r="AE11" s="111">
        <v>38224</v>
      </c>
      <c r="AF11" s="111">
        <v>38248</v>
      </c>
      <c r="AG11" s="114">
        <v>38293</v>
      </c>
      <c r="AH11" s="117">
        <v>38300</v>
      </c>
      <c r="AI11" s="117">
        <v>38332</v>
      </c>
      <c r="AJ11" s="117">
        <v>38353</v>
      </c>
      <c r="AK11" s="117">
        <v>38362</v>
      </c>
      <c r="AL11" s="117">
        <v>38411</v>
      </c>
      <c r="AM11" s="117">
        <v>38437</v>
      </c>
      <c r="AN11" s="111">
        <v>38478</v>
      </c>
      <c r="AO11" s="111">
        <v>38502</v>
      </c>
      <c r="AP11" s="111">
        <v>38533</v>
      </c>
      <c r="AQ11" s="111">
        <v>38596</v>
      </c>
      <c r="AR11" s="114">
        <v>38660</v>
      </c>
      <c r="AS11" s="117">
        <v>38710</v>
      </c>
      <c r="AT11" s="117">
        <v>38717</v>
      </c>
      <c r="AU11" s="117">
        <v>38727</v>
      </c>
      <c r="AV11" s="117">
        <v>38759</v>
      </c>
      <c r="AW11" s="117">
        <v>38794</v>
      </c>
      <c r="AX11" s="124">
        <v>38808</v>
      </c>
      <c r="AY11" s="127">
        <v>38822</v>
      </c>
      <c r="AZ11" s="127">
        <v>38839</v>
      </c>
      <c r="BA11" s="127">
        <v>38891</v>
      </c>
      <c r="BB11" s="127">
        <v>38967</v>
      </c>
      <c r="BC11" s="128">
        <v>39016</v>
      </c>
      <c r="BD11" s="129">
        <v>39069</v>
      </c>
      <c r="BE11" s="129">
        <v>39134</v>
      </c>
      <c r="BF11" s="129">
        <v>39193</v>
      </c>
      <c r="BG11" s="127">
        <v>39202</v>
      </c>
    </row>
    <row r="12" spans="1:59" s="88" customFormat="1" ht="26.4" x14ac:dyDescent="0.25">
      <c r="A12" s="132" t="s">
        <v>121</v>
      </c>
      <c r="B12" s="131" t="s">
        <v>107</v>
      </c>
      <c r="C12" s="12"/>
      <c r="D12" s="12" t="s">
        <v>91</v>
      </c>
      <c r="E12" s="28">
        <f t="shared" si="0"/>
        <v>10657</v>
      </c>
      <c r="F12" s="89"/>
      <c r="G12" s="89"/>
      <c r="H12" s="89"/>
      <c r="I12" s="90"/>
      <c r="J12" s="9"/>
      <c r="K12" s="112">
        <v>10657</v>
      </c>
      <c r="L12" s="115">
        <v>10690</v>
      </c>
      <c r="M12" s="118">
        <v>10742</v>
      </c>
      <c r="N12" s="118">
        <v>10868</v>
      </c>
      <c r="O12" s="118">
        <v>11054</v>
      </c>
      <c r="P12" s="118">
        <v>11108</v>
      </c>
      <c r="Q12" s="118">
        <v>11310</v>
      </c>
      <c r="R12" s="118">
        <v>11622</v>
      </c>
      <c r="S12" s="112">
        <v>11733</v>
      </c>
      <c r="T12" s="112">
        <v>12066</v>
      </c>
      <c r="U12" s="112">
        <v>12067</v>
      </c>
      <c r="V12" s="112">
        <v>12095</v>
      </c>
      <c r="W12" s="122">
        <v>12124</v>
      </c>
      <c r="X12" s="118">
        <v>12138</v>
      </c>
      <c r="Y12" s="118">
        <v>12297</v>
      </c>
      <c r="Z12" s="118">
        <v>12667</v>
      </c>
      <c r="AA12" s="118">
        <v>12793</v>
      </c>
      <c r="AB12" s="118">
        <v>13333</v>
      </c>
      <c r="AC12" s="118">
        <v>13560</v>
      </c>
      <c r="AD12" s="112">
        <v>13615</v>
      </c>
      <c r="AE12" s="112">
        <v>13682</v>
      </c>
      <c r="AF12" s="112">
        <v>13716</v>
      </c>
      <c r="AG12" s="115">
        <v>13728</v>
      </c>
      <c r="AH12" s="118">
        <v>13752</v>
      </c>
      <c r="AI12" s="118">
        <v>13761</v>
      </c>
      <c r="AJ12" s="118">
        <v>13987</v>
      </c>
      <c r="AK12" s="118">
        <v>14170.15</v>
      </c>
      <c r="AL12" s="118">
        <v>14261</v>
      </c>
      <c r="AM12" s="118">
        <v>14806</v>
      </c>
      <c r="AN12" s="112">
        <v>14997</v>
      </c>
      <c r="AO12" s="112">
        <v>15068</v>
      </c>
      <c r="AP12" s="112">
        <v>15086</v>
      </c>
      <c r="AQ12" s="112">
        <v>15101</v>
      </c>
      <c r="AR12" s="115">
        <v>15129</v>
      </c>
      <c r="AS12" s="118">
        <v>15165</v>
      </c>
      <c r="AT12" s="118">
        <v>15570</v>
      </c>
      <c r="AU12" s="118">
        <v>15652</v>
      </c>
      <c r="AV12" s="118">
        <v>15747</v>
      </c>
      <c r="AW12" s="118">
        <v>16168</v>
      </c>
      <c r="AX12" s="125">
        <v>16515</v>
      </c>
      <c r="AY12" s="112">
        <v>16554</v>
      </c>
      <c r="AZ12" s="112">
        <v>16585</v>
      </c>
      <c r="BA12" s="112">
        <v>16597</v>
      </c>
      <c r="BB12" s="112">
        <v>16628</v>
      </c>
      <c r="BC12" s="115">
        <v>16660</v>
      </c>
      <c r="BD12" s="118">
        <v>16691</v>
      </c>
      <c r="BE12" s="118">
        <v>16910</v>
      </c>
      <c r="BF12" s="118">
        <v>17374</v>
      </c>
      <c r="BG12" s="112">
        <v>17512</v>
      </c>
    </row>
    <row r="13" spans="1:59" s="88" customFormat="1" ht="26.4" x14ac:dyDescent="0.25">
      <c r="A13" s="132" t="s">
        <v>120</v>
      </c>
      <c r="B13" s="131" t="s">
        <v>108</v>
      </c>
      <c r="C13" s="12"/>
      <c r="D13" s="12" t="s">
        <v>91</v>
      </c>
      <c r="E13" s="28">
        <f t="shared" si="0"/>
        <v>10690</v>
      </c>
      <c r="F13" s="89"/>
      <c r="G13" s="89"/>
      <c r="H13" s="89"/>
      <c r="I13" s="90"/>
      <c r="J13" s="9"/>
      <c r="K13" s="112">
        <v>10690</v>
      </c>
      <c r="L13" s="115">
        <v>10742</v>
      </c>
      <c r="M13" s="118">
        <v>10868</v>
      </c>
      <c r="N13" s="118">
        <v>11054</v>
      </c>
      <c r="O13" s="118">
        <v>11108</v>
      </c>
      <c r="P13" s="118">
        <v>11310</v>
      </c>
      <c r="Q13" s="118">
        <v>11622</v>
      </c>
      <c r="R13" s="118">
        <v>11733</v>
      </c>
      <c r="S13" s="112">
        <v>12066</v>
      </c>
      <c r="T13" s="112">
        <v>12067</v>
      </c>
      <c r="U13" s="112">
        <v>12095</v>
      </c>
      <c r="V13" s="112">
        <v>12124</v>
      </c>
      <c r="W13" s="122">
        <v>12138</v>
      </c>
      <c r="X13" s="118">
        <v>12297</v>
      </c>
      <c r="Y13" s="118">
        <v>12667</v>
      </c>
      <c r="Z13" s="118">
        <v>12793</v>
      </c>
      <c r="AA13" s="118">
        <v>13333</v>
      </c>
      <c r="AB13" s="118">
        <v>13560</v>
      </c>
      <c r="AC13" s="118">
        <v>13615</v>
      </c>
      <c r="AD13" s="112">
        <v>13682</v>
      </c>
      <c r="AE13" s="112">
        <v>13716</v>
      </c>
      <c r="AF13" s="112">
        <v>13728</v>
      </c>
      <c r="AG13" s="115">
        <v>13752</v>
      </c>
      <c r="AH13" s="118">
        <v>13761</v>
      </c>
      <c r="AI13" s="118">
        <v>13987</v>
      </c>
      <c r="AJ13" s="118">
        <v>14170.15</v>
      </c>
      <c r="AK13" s="118">
        <v>14261</v>
      </c>
      <c r="AL13" s="118">
        <v>14806</v>
      </c>
      <c r="AM13" s="118">
        <v>14997</v>
      </c>
      <c r="AN13" s="112">
        <v>15068</v>
      </c>
      <c r="AO13" s="112">
        <v>15086</v>
      </c>
      <c r="AP13" s="112">
        <v>15101</v>
      </c>
      <c r="AQ13" s="112">
        <v>15129</v>
      </c>
      <c r="AR13" s="115">
        <v>15165</v>
      </c>
      <c r="AS13" s="118">
        <v>15570</v>
      </c>
      <c r="AT13" s="118">
        <v>15652</v>
      </c>
      <c r="AU13" s="118">
        <v>15747</v>
      </c>
      <c r="AV13" s="118">
        <v>16168</v>
      </c>
      <c r="AW13" s="118">
        <v>16515</v>
      </c>
      <c r="AX13" s="125">
        <v>16554</v>
      </c>
      <c r="AY13" s="112">
        <v>16585</v>
      </c>
      <c r="AZ13" s="112">
        <v>16597</v>
      </c>
      <c r="BA13" s="112">
        <v>16628</v>
      </c>
      <c r="BB13" s="112">
        <v>16660</v>
      </c>
      <c r="BC13" s="115">
        <v>16691</v>
      </c>
      <c r="BD13" s="118">
        <v>16910</v>
      </c>
      <c r="BE13" s="118">
        <v>17374</v>
      </c>
      <c r="BF13" s="118">
        <v>17512</v>
      </c>
      <c r="BG13" s="112">
        <v>17517</v>
      </c>
    </row>
    <row r="14" spans="1:59" s="88" customFormat="1" x14ac:dyDescent="0.25">
      <c r="A14" s="15" t="s">
        <v>103</v>
      </c>
      <c r="B14" s="12" t="s">
        <v>123</v>
      </c>
      <c r="C14" s="12"/>
      <c r="D14" s="12"/>
      <c r="E14" s="28" t="str">
        <f t="shared" si="0"/>
        <v>Inv</v>
      </c>
      <c r="F14" s="89"/>
      <c r="G14" s="89"/>
      <c r="H14" s="89"/>
      <c r="I14" s="90"/>
      <c r="J14" s="9"/>
      <c r="K14" s="112" t="s">
        <v>99</v>
      </c>
      <c r="L14" s="115" t="s">
        <v>99</v>
      </c>
      <c r="M14" s="118" t="s">
        <v>99</v>
      </c>
      <c r="N14" s="118" t="s">
        <v>99</v>
      </c>
      <c r="O14" s="118" t="s">
        <v>99</v>
      </c>
      <c r="P14" s="118" t="s">
        <v>99</v>
      </c>
      <c r="Q14" s="118" t="s">
        <v>99</v>
      </c>
      <c r="R14" s="118" t="s">
        <v>99</v>
      </c>
      <c r="S14" s="112" t="s">
        <v>99</v>
      </c>
      <c r="T14" s="112" t="s">
        <v>99</v>
      </c>
      <c r="U14" s="112" t="s">
        <v>99</v>
      </c>
      <c r="V14" s="112" t="s">
        <v>99</v>
      </c>
      <c r="W14" s="122" t="s">
        <v>99</v>
      </c>
      <c r="X14" s="118" t="s">
        <v>99</v>
      </c>
      <c r="Y14" s="118" t="s">
        <v>99</v>
      </c>
      <c r="Z14" s="118" t="s">
        <v>99</v>
      </c>
      <c r="AA14" s="118" t="s">
        <v>99</v>
      </c>
      <c r="AB14" s="118" t="s">
        <v>99</v>
      </c>
      <c r="AC14" s="118" t="s">
        <v>99</v>
      </c>
      <c r="AD14" s="112" t="s">
        <v>99</v>
      </c>
      <c r="AE14" s="112" t="s">
        <v>99</v>
      </c>
      <c r="AF14" s="112" t="s">
        <v>99</v>
      </c>
      <c r="AG14" s="115" t="s">
        <v>99</v>
      </c>
      <c r="AH14" s="118" t="s">
        <v>99</v>
      </c>
      <c r="AI14" s="118" t="s">
        <v>99</v>
      </c>
      <c r="AJ14" s="118" t="s">
        <v>99</v>
      </c>
      <c r="AK14" s="118" t="s">
        <v>99</v>
      </c>
      <c r="AL14" s="118" t="s">
        <v>99</v>
      </c>
      <c r="AM14" s="118" t="s">
        <v>99</v>
      </c>
      <c r="AN14" s="112" t="s">
        <v>99</v>
      </c>
      <c r="AO14" s="112" t="s">
        <v>99</v>
      </c>
      <c r="AP14" s="112" t="s">
        <v>99</v>
      </c>
      <c r="AQ14" s="112" t="s">
        <v>99</v>
      </c>
      <c r="AR14" s="115" t="s">
        <v>99</v>
      </c>
      <c r="AS14" s="118" t="s">
        <v>99</v>
      </c>
      <c r="AT14" s="118" t="s">
        <v>99</v>
      </c>
      <c r="AU14" s="118" t="s">
        <v>99</v>
      </c>
      <c r="AV14" s="118" t="s">
        <v>99</v>
      </c>
      <c r="AW14" s="118" t="s">
        <v>99</v>
      </c>
      <c r="AX14" s="125" t="s">
        <v>99</v>
      </c>
      <c r="AY14" s="112" t="s">
        <v>99</v>
      </c>
      <c r="AZ14" s="112" t="s">
        <v>99</v>
      </c>
      <c r="BA14" s="112" t="s">
        <v>99</v>
      </c>
      <c r="BB14" s="112" t="s">
        <v>99</v>
      </c>
      <c r="BC14" s="115" t="s">
        <v>99</v>
      </c>
      <c r="BD14" s="118" t="s">
        <v>99</v>
      </c>
      <c r="BE14" s="118" t="s">
        <v>99</v>
      </c>
      <c r="BF14" s="118" t="s">
        <v>99</v>
      </c>
      <c r="BG14" s="112" t="s">
        <v>99</v>
      </c>
    </row>
    <row r="15" spans="1:59" s="88" customFormat="1" x14ac:dyDescent="0.25">
      <c r="A15" s="15" t="s">
        <v>100</v>
      </c>
      <c r="B15" s="12" t="s">
        <v>124</v>
      </c>
      <c r="C15" s="12"/>
      <c r="D15" s="12" t="s">
        <v>101</v>
      </c>
      <c r="E15" s="28" t="str">
        <f t="shared" si="0"/>
        <v>OK</v>
      </c>
      <c r="F15" s="89"/>
      <c r="G15" s="89"/>
      <c r="H15" s="89"/>
      <c r="I15" s="90"/>
      <c r="J15" s="9"/>
      <c r="K15" s="112" t="s">
        <v>102</v>
      </c>
      <c r="L15" s="115" t="s">
        <v>102</v>
      </c>
      <c r="M15" s="118" t="s">
        <v>102</v>
      </c>
      <c r="N15" s="118" t="s">
        <v>102</v>
      </c>
      <c r="O15" s="118" t="s">
        <v>102</v>
      </c>
      <c r="P15" s="118" t="s">
        <v>102</v>
      </c>
      <c r="Q15" s="118" t="s">
        <v>102</v>
      </c>
      <c r="R15" s="118" t="s">
        <v>102</v>
      </c>
      <c r="S15" s="112" t="s">
        <v>102</v>
      </c>
      <c r="T15" s="112" t="s">
        <v>102</v>
      </c>
      <c r="U15" s="112" t="s">
        <v>102</v>
      </c>
      <c r="V15" s="112" t="s">
        <v>102</v>
      </c>
      <c r="W15" s="122" t="s">
        <v>102</v>
      </c>
      <c r="X15" s="118" t="s">
        <v>102</v>
      </c>
      <c r="Y15" s="118" t="s">
        <v>102</v>
      </c>
      <c r="Z15" s="118" t="s">
        <v>102</v>
      </c>
      <c r="AA15" s="118" t="s">
        <v>102</v>
      </c>
      <c r="AB15" s="118" t="s">
        <v>102</v>
      </c>
      <c r="AC15" s="118" t="s">
        <v>102</v>
      </c>
      <c r="AD15" s="112" t="s">
        <v>102</v>
      </c>
      <c r="AE15" s="112" t="s">
        <v>102</v>
      </c>
      <c r="AF15" s="112" t="s">
        <v>102</v>
      </c>
      <c r="AG15" s="115" t="s">
        <v>102</v>
      </c>
      <c r="AH15" s="118" t="s">
        <v>102</v>
      </c>
      <c r="AI15" s="118" t="s">
        <v>102</v>
      </c>
      <c r="AJ15" s="118" t="s">
        <v>102</v>
      </c>
      <c r="AK15" s="118" t="s">
        <v>102</v>
      </c>
      <c r="AL15" s="118" t="s">
        <v>102</v>
      </c>
      <c r="AM15" s="118" t="s">
        <v>102</v>
      </c>
      <c r="AN15" s="112" t="s">
        <v>102</v>
      </c>
      <c r="AO15" s="112" t="s">
        <v>102</v>
      </c>
      <c r="AP15" s="112" t="s">
        <v>102</v>
      </c>
      <c r="AQ15" s="112" t="s">
        <v>102</v>
      </c>
      <c r="AR15" s="115" t="s">
        <v>102</v>
      </c>
      <c r="AS15" s="118" t="s">
        <v>102</v>
      </c>
      <c r="AT15" s="118" t="s">
        <v>102</v>
      </c>
      <c r="AU15" s="118" t="s">
        <v>102</v>
      </c>
      <c r="AV15" s="118" t="s">
        <v>102</v>
      </c>
      <c r="AW15" s="118" t="s">
        <v>102</v>
      </c>
      <c r="AX15" s="125" t="s">
        <v>102</v>
      </c>
      <c r="AY15" s="112" t="s">
        <v>102</v>
      </c>
      <c r="AZ15" s="112" t="s">
        <v>102</v>
      </c>
      <c r="BA15" s="112" t="s">
        <v>102</v>
      </c>
      <c r="BB15" s="112" t="s">
        <v>102</v>
      </c>
      <c r="BC15" s="115" t="s">
        <v>102</v>
      </c>
      <c r="BD15" s="118" t="s">
        <v>102</v>
      </c>
      <c r="BE15" s="118" t="s">
        <v>102</v>
      </c>
      <c r="BF15" s="118" t="s">
        <v>102</v>
      </c>
      <c r="BG15" s="112" t="s">
        <v>102</v>
      </c>
    </row>
    <row r="16" spans="1:59" s="88" customFormat="1" x14ac:dyDescent="0.25">
      <c r="A16" s="15" t="s">
        <v>89</v>
      </c>
      <c r="B16" s="12" t="s">
        <v>117</v>
      </c>
      <c r="C16" s="12"/>
      <c r="D16" s="12" t="s">
        <v>91</v>
      </c>
      <c r="E16" s="28">
        <f t="shared" si="0"/>
        <v>0</v>
      </c>
      <c r="F16" s="89"/>
      <c r="G16" s="89"/>
      <c r="H16" s="89"/>
      <c r="I16" s="90"/>
      <c r="J16" s="9"/>
      <c r="K16" s="112">
        <v>0</v>
      </c>
      <c r="L16" s="115">
        <v>0</v>
      </c>
      <c r="M16" s="118">
        <v>0</v>
      </c>
      <c r="N16" s="118">
        <v>0</v>
      </c>
      <c r="O16" s="118">
        <v>0</v>
      </c>
      <c r="P16" s="118">
        <v>0</v>
      </c>
      <c r="Q16" s="118">
        <v>0</v>
      </c>
      <c r="R16" s="118">
        <v>0</v>
      </c>
      <c r="S16" s="112">
        <v>0</v>
      </c>
      <c r="T16" s="112">
        <v>0</v>
      </c>
      <c r="U16" s="112">
        <v>0</v>
      </c>
      <c r="V16" s="112">
        <v>0</v>
      </c>
      <c r="W16" s="122">
        <v>0</v>
      </c>
      <c r="X16" s="118">
        <v>0</v>
      </c>
      <c r="Y16" s="118">
        <v>0</v>
      </c>
      <c r="Z16" s="118">
        <v>0</v>
      </c>
      <c r="AA16" s="118">
        <v>0</v>
      </c>
      <c r="AB16" s="118">
        <v>0</v>
      </c>
      <c r="AC16" s="118">
        <v>0</v>
      </c>
      <c r="AD16" s="112">
        <v>0</v>
      </c>
      <c r="AE16" s="112">
        <v>0</v>
      </c>
      <c r="AF16" s="112">
        <v>0</v>
      </c>
      <c r="AG16" s="115">
        <v>0</v>
      </c>
      <c r="AH16" s="118">
        <v>0</v>
      </c>
      <c r="AI16" s="118">
        <v>0</v>
      </c>
      <c r="AJ16" s="118">
        <v>0</v>
      </c>
      <c r="AK16" s="118">
        <v>0</v>
      </c>
      <c r="AL16" s="118">
        <v>0</v>
      </c>
      <c r="AM16" s="118">
        <v>0</v>
      </c>
      <c r="AN16" s="112">
        <v>0</v>
      </c>
      <c r="AO16" s="112">
        <v>0</v>
      </c>
      <c r="AP16" s="112">
        <v>0</v>
      </c>
      <c r="AQ16" s="112">
        <v>0</v>
      </c>
      <c r="AR16" s="115">
        <v>0</v>
      </c>
      <c r="AS16" s="118">
        <v>0</v>
      </c>
      <c r="AT16" s="118">
        <v>0</v>
      </c>
      <c r="AU16" s="118">
        <v>0</v>
      </c>
      <c r="AV16" s="118">
        <v>0</v>
      </c>
      <c r="AW16" s="118">
        <v>0</v>
      </c>
      <c r="AX16" s="125">
        <v>0</v>
      </c>
      <c r="AY16" s="112">
        <v>0</v>
      </c>
      <c r="AZ16" s="112">
        <v>0</v>
      </c>
      <c r="BA16" s="112">
        <v>0</v>
      </c>
      <c r="BB16" s="112">
        <v>0</v>
      </c>
      <c r="BC16" s="115">
        <v>0</v>
      </c>
      <c r="BD16" s="118">
        <v>0</v>
      </c>
      <c r="BE16" s="118">
        <v>0</v>
      </c>
      <c r="BF16" s="118">
        <v>0</v>
      </c>
      <c r="BG16" s="112">
        <v>0</v>
      </c>
    </row>
    <row r="17" spans="1:59" x14ac:dyDescent="0.25">
      <c r="A17" s="15" t="s">
        <v>110</v>
      </c>
      <c r="B17" s="99" t="s">
        <v>118</v>
      </c>
      <c r="C17" s="12"/>
      <c r="D17" s="12" t="s">
        <v>12</v>
      </c>
      <c r="E17" s="159">
        <f>+K17</f>
        <v>23.25</v>
      </c>
      <c r="F17" s="11"/>
      <c r="G17" s="11"/>
      <c r="H17" s="11"/>
      <c r="I17" s="2"/>
      <c r="J17" s="9"/>
      <c r="K17" s="110">
        <v>23.25</v>
      </c>
      <c r="L17" s="116">
        <v>16.53</v>
      </c>
      <c r="M17" s="119">
        <v>10.7</v>
      </c>
      <c r="N17" s="119">
        <v>5.8</v>
      </c>
      <c r="O17" s="119">
        <v>3.3</v>
      </c>
      <c r="P17" s="119">
        <v>3.35</v>
      </c>
      <c r="Q17" s="119">
        <v>2.67</v>
      </c>
      <c r="R17" s="119">
        <v>5.85</v>
      </c>
      <c r="S17" s="110">
        <v>11.28</v>
      </c>
      <c r="T17" s="110">
        <v>19.3</v>
      </c>
      <c r="U17" s="110">
        <v>23.7</v>
      </c>
      <c r="V17" s="110">
        <v>26.8</v>
      </c>
      <c r="W17" s="123">
        <v>19.5</v>
      </c>
      <c r="X17" s="119">
        <v>8.9600000000000009</v>
      </c>
      <c r="Y17" s="119">
        <v>6.88</v>
      </c>
      <c r="Z17" s="119">
        <v>2.4500000000000002</v>
      </c>
      <c r="AA17" s="119">
        <v>3.48</v>
      </c>
      <c r="AB17" s="119">
        <v>6.61</v>
      </c>
      <c r="AC17" s="119">
        <v>9.9499999999999993</v>
      </c>
      <c r="AD17" s="110">
        <v>15.7</v>
      </c>
      <c r="AE17" s="110">
        <v>23.6</v>
      </c>
      <c r="AF17" s="110">
        <v>21.01</v>
      </c>
      <c r="AG17" s="116">
        <v>16.3</v>
      </c>
      <c r="AH17" s="119">
        <v>13.4</v>
      </c>
      <c r="AI17" s="119">
        <v>7.45</v>
      </c>
      <c r="AJ17" s="119">
        <v>4.6500000000000004</v>
      </c>
      <c r="AK17" s="119">
        <v>3</v>
      </c>
      <c r="AL17" s="119">
        <v>2.69</v>
      </c>
      <c r="AM17" s="119">
        <v>7.5</v>
      </c>
      <c r="AN17" s="110">
        <v>13.7</v>
      </c>
      <c r="AO17" s="110">
        <v>18.760000000000002</v>
      </c>
      <c r="AP17" s="110">
        <v>23.3</v>
      </c>
      <c r="AQ17" s="110">
        <v>22.8</v>
      </c>
      <c r="AR17" s="116">
        <v>16.46</v>
      </c>
      <c r="AS17" s="119">
        <v>5.77</v>
      </c>
      <c r="AT17" s="119">
        <v>1.9</v>
      </c>
      <c r="AU17" s="119">
        <v>3.83</v>
      </c>
      <c r="AV17" s="119">
        <v>2.5499999999999998</v>
      </c>
      <c r="AW17" s="119">
        <v>5.45</v>
      </c>
      <c r="AX17" s="126">
        <v>10</v>
      </c>
      <c r="AY17" s="126">
        <v>11.12</v>
      </c>
      <c r="AZ17" s="126">
        <v>15.8</v>
      </c>
      <c r="BA17" s="126">
        <v>19.3</v>
      </c>
      <c r="BB17" s="126">
        <v>23.9</v>
      </c>
      <c r="BC17" s="116">
        <v>17.68</v>
      </c>
      <c r="BD17" s="119">
        <v>9.5</v>
      </c>
      <c r="BE17" s="119">
        <v>5.6</v>
      </c>
      <c r="BF17" s="119">
        <v>12.24</v>
      </c>
      <c r="BG17" s="126">
        <v>19.170000000000002</v>
      </c>
    </row>
    <row r="18" spans="1:59" x14ac:dyDescent="0.25">
      <c r="A18" s="15" t="s">
        <v>111</v>
      </c>
      <c r="B18" s="12" t="s">
        <v>122</v>
      </c>
      <c r="C18" s="12"/>
      <c r="D18" s="12"/>
      <c r="E18" s="28" t="str">
        <f t="shared" si="0"/>
        <v>METEO</v>
      </c>
      <c r="F18" s="11"/>
      <c r="G18" s="11"/>
      <c r="H18" s="11"/>
      <c r="I18" s="2"/>
      <c r="J18" s="9"/>
      <c r="K18" s="110" t="s">
        <v>105</v>
      </c>
      <c r="L18" s="116" t="s">
        <v>105</v>
      </c>
      <c r="M18" s="119" t="s">
        <v>105</v>
      </c>
      <c r="N18" s="119" t="s">
        <v>105</v>
      </c>
      <c r="O18" s="119" t="s">
        <v>105</v>
      </c>
      <c r="P18" s="119" t="s">
        <v>105</v>
      </c>
      <c r="Q18" s="119" t="s">
        <v>105</v>
      </c>
      <c r="R18" s="119" t="s">
        <v>105</v>
      </c>
      <c r="S18" s="110" t="s">
        <v>105</v>
      </c>
      <c r="T18" s="110" t="s">
        <v>105</v>
      </c>
      <c r="U18" s="110" t="s">
        <v>105</v>
      </c>
      <c r="V18" s="110" t="s">
        <v>105</v>
      </c>
      <c r="W18" s="123" t="s">
        <v>105</v>
      </c>
      <c r="X18" s="119" t="s">
        <v>105</v>
      </c>
      <c r="Y18" s="119" t="s">
        <v>105</v>
      </c>
      <c r="Z18" s="119" t="s">
        <v>105</v>
      </c>
      <c r="AA18" s="119" t="s">
        <v>105</v>
      </c>
      <c r="AB18" s="119" t="s">
        <v>105</v>
      </c>
      <c r="AC18" s="119" t="s">
        <v>105</v>
      </c>
      <c r="AD18" s="110" t="s">
        <v>105</v>
      </c>
      <c r="AE18" s="110" t="s">
        <v>105</v>
      </c>
      <c r="AF18" s="110" t="s">
        <v>105</v>
      </c>
      <c r="AG18" s="116" t="s">
        <v>105</v>
      </c>
      <c r="AH18" s="119" t="s">
        <v>105</v>
      </c>
      <c r="AI18" s="119" t="s">
        <v>105</v>
      </c>
      <c r="AJ18" s="119" t="s">
        <v>105</v>
      </c>
      <c r="AK18" s="119" t="s">
        <v>105</v>
      </c>
      <c r="AL18" s="119" t="s">
        <v>105</v>
      </c>
      <c r="AM18" s="119" t="s">
        <v>105</v>
      </c>
      <c r="AN18" s="110" t="s">
        <v>105</v>
      </c>
      <c r="AO18" s="110" t="s">
        <v>105</v>
      </c>
      <c r="AP18" s="110" t="s">
        <v>105</v>
      </c>
      <c r="AQ18" s="110" t="s">
        <v>105</v>
      </c>
      <c r="AR18" s="116" t="s">
        <v>105</v>
      </c>
      <c r="AS18" s="119" t="s">
        <v>105</v>
      </c>
      <c r="AT18" s="119" t="s">
        <v>105</v>
      </c>
      <c r="AU18" s="119" t="s">
        <v>105</v>
      </c>
      <c r="AV18" s="119" t="s">
        <v>105</v>
      </c>
      <c r="AW18" s="119" t="s">
        <v>105</v>
      </c>
      <c r="AX18" s="126" t="s">
        <v>105</v>
      </c>
      <c r="AY18" s="126" t="s">
        <v>105</v>
      </c>
      <c r="AZ18" s="126" t="s">
        <v>105</v>
      </c>
      <c r="BA18" s="126" t="s">
        <v>105</v>
      </c>
      <c r="BB18" s="126" t="s">
        <v>105</v>
      </c>
      <c r="BC18" s="116" t="s">
        <v>105</v>
      </c>
      <c r="BD18" s="119" t="s">
        <v>105</v>
      </c>
      <c r="BE18" s="119" t="s">
        <v>105</v>
      </c>
      <c r="BF18" s="119" t="s">
        <v>105</v>
      </c>
      <c r="BG18" s="126" t="s">
        <v>105</v>
      </c>
    </row>
    <row r="19" spans="1:59" x14ac:dyDescent="0.25">
      <c r="A19" s="15" t="s">
        <v>112</v>
      </c>
      <c r="B19" s="12" t="s">
        <v>119</v>
      </c>
      <c r="C19" s="12"/>
      <c r="D19" s="12" t="s">
        <v>12</v>
      </c>
      <c r="E19" s="28">
        <v>13.6</v>
      </c>
      <c r="F19" s="19"/>
      <c r="G19" s="11"/>
      <c r="H19" s="11"/>
      <c r="I19" s="2"/>
      <c r="K19" s="120" t="str">
        <f>IF(K21="H",$E$19,"")</f>
        <v/>
      </c>
      <c r="L19" s="120" t="str">
        <f t="shared" ref="L19:BG19" si="1">IF(L21="H",$E$19,"")</f>
        <v/>
      </c>
      <c r="M19" s="120">
        <f t="shared" si="1"/>
        <v>13.6</v>
      </c>
      <c r="N19" s="120">
        <f t="shared" si="1"/>
        <v>13.6</v>
      </c>
      <c r="O19" s="120">
        <f t="shared" si="1"/>
        <v>13.6</v>
      </c>
      <c r="P19" s="120">
        <f t="shared" si="1"/>
        <v>13.6</v>
      </c>
      <c r="Q19" s="120">
        <f t="shared" si="1"/>
        <v>13.6</v>
      </c>
      <c r="R19" s="120">
        <f t="shared" si="1"/>
        <v>13.6</v>
      </c>
      <c r="S19" s="120" t="str">
        <f t="shared" si="1"/>
        <v/>
      </c>
      <c r="T19" s="120" t="str">
        <f t="shared" si="1"/>
        <v/>
      </c>
      <c r="U19" s="120" t="str">
        <f t="shared" si="1"/>
        <v/>
      </c>
      <c r="V19" s="120" t="str">
        <f t="shared" si="1"/>
        <v/>
      </c>
      <c r="W19" s="120" t="str">
        <f t="shared" si="1"/>
        <v/>
      </c>
      <c r="X19" s="120">
        <f t="shared" si="1"/>
        <v>13.6</v>
      </c>
      <c r="Y19" s="120">
        <f t="shared" si="1"/>
        <v>13.6</v>
      </c>
      <c r="Z19" s="120">
        <f t="shared" si="1"/>
        <v>13.6</v>
      </c>
      <c r="AA19" s="120">
        <f t="shared" si="1"/>
        <v>13.6</v>
      </c>
      <c r="AB19" s="120">
        <f t="shared" si="1"/>
        <v>13.6</v>
      </c>
      <c r="AC19" s="120">
        <f t="shared" si="1"/>
        <v>13.6</v>
      </c>
      <c r="AD19" s="120" t="str">
        <f t="shared" si="1"/>
        <v/>
      </c>
      <c r="AE19" s="120" t="str">
        <f t="shared" si="1"/>
        <v/>
      </c>
      <c r="AF19" s="120" t="str">
        <f t="shared" si="1"/>
        <v/>
      </c>
      <c r="AG19" s="120" t="str">
        <f t="shared" si="1"/>
        <v/>
      </c>
      <c r="AH19" s="120">
        <f t="shared" si="1"/>
        <v>13.6</v>
      </c>
      <c r="AI19" s="120">
        <f t="shared" si="1"/>
        <v>13.6</v>
      </c>
      <c r="AJ19" s="120">
        <f t="shared" si="1"/>
        <v>13.6</v>
      </c>
      <c r="AK19" s="120">
        <f t="shared" si="1"/>
        <v>13.6</v>
      </c>
      <c r="AL19" s="120">
        <f t="shared" si="1"/>
        <v>13.6</v>
      </c>
      <c r="AM19" s="120">
        <f t="shared" si="1"/>
        <v>13.6</v>
      </c>
      <c r="AN19" s="120" t="str">
        <f t="shared" si="1"/>
        <v/>
      </c>
      <c r="AO19" s="120" t="str">
        <f t="shared" si="1"/>
        <v/>
      </c>
      <c r="AP19" s="120" t="str">
        <f t="shared" si="1"/>
        <v/>
      </c>
      <c r="AQ19" s="120" t="str">
        <f t="shared" si="1"/>
        <v/>
      </c>
      <c r="AR19" s="120" t="str">
        <f t="shared" si="1"/>
        <v/>
      </c>
      <c r="AS19" s="120">
        <f t="shared" si="1"/>
        <v>13.6</v>
      </c>
      <c r="AT19" s="120">
        <f t="shared" si="1"/>
        <v>13.6</v>
      </c>
      <c r="AU19" s="120">
        <f t="shared" si="1"/>
        <v>13.6</v>
      </c>
      <c r="AV19" s="120">
        <f t="shared" si="1"/>
        <v>13.6</v>
      </c>
      <c r="AW19" s="120">
        <f t="shared" si="1"/>
        <v>13.6</v>
      </c>
      <c r="AX19" s="120" t="str">
        <f t="shared" si="1"/>
        <v/>
      </c>
      <c r="AY19" s="120" t="str">
        <f t="shared" si="1"/>
        <v/>
      </c>
      <c r="AZ19" s="120" t="str">
        <f t="shared" si="1"/>
        <v/>
      </c>
      <c r="BA19" s="120" t="str">
        <f t="shared" si="1"/>
        <v/>
      </c>
      <c r="BB19" s="120" t="str">
        <f t="shared" si="1"/>
        <v/>
      </c>
      <c r="BC19" s="120" t="str">
        <f t="shared" si="1"/>
        <v/>
      </c>
      <c r="BD19" s="120">
        <f t="shared" si="1"/>
        <v>13.6</v>
      </c>
      <c r="BE19" s="120">
        <f t="shared" si="1"/>
        <v>13.6</v>
      </c>
      <c r="BF19" s="120">
        <f t="shared" si="1"/>
        <v>13.6</v>
      </c>
      <c r="BG19" s="120" t="str">
        <f t="shared" si="1"/>
        <v/>
      </c>
    </row>
    <row r="20" spans="1:59" ht="15" customHeight="1" x14ac:dyDescent="0.3">
      <c r="A20" s="4" t="s">
        <v>113</v>
      </c>
      <c r="B20" s="12" t="s">
        <v>125</v>
      </c>
      <c r="C20" s="12"/>
      <c r="D20" s="2"/>
      <c r="E20" s="28" t="str">
        <f t="shared" si="0"/>
        <v>USER</v>
      </c>
      <c r="F20" s="2"/>
      <c r="G20" s="2"/>
      <c r="H20" s="2"/>
      <c r="I20" s="2"/>
      <c r="K20" s="110" t="s">
        <v>106</v>
      </c>
      <c r="L20" s="113"/>
      <c r="M20" s="120" t="s">
        <v>106</v>
      </c>
      <c r="N20" s="120" t="s">
        <v>106</v>
      </c>
      <c r="O20" s="120" t="s">
        <v>106</v>
      </c>
      <c r="P20" s="120" t="s">
        <v>106</v>
      </c>
      <c r="Q20" s="120" t="s">
        <v>106</v>
      </c>
      <c r="R20" s="120" t="s">
        <v>106</v>
      </c>
      <c r="S20" s="113"/>
      <c r="T20" s="113"/>
      <c r="U20" s="113"/>
      <c r="V20" s="113"/>
      <c r="W20" s="113"/>
      <c r="X20" s="120" t="s">
        <v>106</v>
      </c>
      <c r="Y20" s="120" t="s">
        <v>106</v>
      </c>
      <c r="Z20" s="120" t="s">
        <v>106</v>
      </c>
      <c r="AA20" s="120" t="s">
        <v>106</v>
      </c>
      <c r="AB20" s="120" t="s">
        <v>106</v>
      </c>
      <c r="AC20" s="120" t="s">
        <v>106</v>
      </c>
      <c r="AD20" s="113"/>
      <c r="AE20" s="113"/>
      <c r="AF20" s="113"/>
      <c r="AG20" s="113"/>
      <c r="AH20" s="120" t="s">
        <v>106</v>
      </c>
      <c r="AI20" s="120" t="s">
        <v>106</v>
      </c>
      <c r="AJ20" s="120" t="s">
        <v>106</v>
      </c>
      <c r="AK20" s="120" t="s">
        <v>106</v>
      </c>
      <c r="AL20" s="120" t="s">
        <v>106</v>
      </c>
      <c r="AM20" s="120" t="s">
        <v>106</v>
      </c>
      <c r="AN20" s="113"/>
      <c r="AO20" s="113"/>
      <c r="AP20" s="113"/>
      <c r="AQ20" s="113"/>
      <c r="AR20" s="113"/>
      <c r="AS20" s="120" t="s">
        <v>106</v>
      </c>
      <c r="AT20" s="120" t="s">
        <v>106</v>
      </c>
      <c r="AU20" s="120" t="s">
        <v>106</v>
      </c>
      <c r="AV20" s="120" t="s">
        <v>106</v>
      </c>
      <c r="AW20" s="120" t="s">
        <v>106</v>
      </c>
      <c r="AX20" s="113"/>
      <c r="AY20" s="113"/>
      <c r="AZ20" s="113"/>
      <c r="BA20" s="113"/>
      <c r="BB20" s="113"/>
      <c r="BC20" s="113"/>
      <c r="BD20" s="120" t="s">
        <v>106</v>
      </c>
      <c r="BE20" s="120" t="s">
        <v>106</v>
      </c>
      <c r="BF20" s="120" t="s">
        <v>106</v>
      </c>
      <c r="BG20" s="113"/>
    </row>
    <row r="21" spans="1:59" ht="15" customHeight="1" x14ac:dyDescent="0.25">
      <c r="A21" s="4" t="s">
        <v>104</v>
      </c>
      <c r="B21" s="2" t="s">
        <v>126</v>
      </c>
      <c r="C21" s="12"/>
      <c r="D21" s="2"/>
      <c r="E21" s="28" t="str">
        <f t="shared" si="0"/>
        <v>nH</v>
      </c>
      <c r="F21" s="2"/>
      <c r="G21" s="2"/>
      <c r="H21" s="2"/>
      <c r="I21" s="2"/>
      <c r="K21" s="109" t="s">
        <v>92</v>
      </c>
      <c r="L21" s="109" t="s">
        <v>93</v>
      </c>
      <c r="M21" s="109" t="s">
        <v>94</v>
      </c>
      <c r="N21" s="109" t="s">
        <v>94</v>
      </c>
      <c r="O21" s="109" t="s">
        <v>94</v>
      </c>
      <c r="P21" s="109" t="s">
        <v>94</v>
      </c>
      <c r="Q21" s="109" t="s">
        <v>94</v>
      </c>
      <c r="R21" s="109" t="s">
        <v>94</v>
      </c>
      <c r="S21" s="109" t="s">
        <v>93</v>
      </c>
      <c r="T21" s="109" t="s">
        <v>92</v>
      </c>
      <c r="U21" s="109" t="s">
        <v>92</v>
      </c>
      <c r="V21" s="109" t="s">
        <v>92</v>
      </c>
      <c r="W21" s="109" t="s">
        <v>93</v>
      </c>
      <c r="X21" s="109" t="s">
        <v>94</v>
      </c>
      <c r="Y21" s="109" t="s">
        <v>94</v>
      </c>
      <c r="Z21" s="109" t="s">
        <v>94</v>
      </c>
      <c r="AA21" s="109" t="s">
        <v>94</v>
      </c>
      <c r="AB21" s="109" t="s">
        <v>94</v>
      </c>
      <c r="AC21" s="109" t="s">
        <v>94</v>
      </c>
      <c r="AD21" s="109" t="s">
        <v>93</v>
      </c>
      <c r="AE21" s="109" t="s">
        <v>92</v>
      </c>
      <c r="AF21" s="109" t="s">
        <v>92</v>
      </c>
      <c r="AG21" s="109" t="s">
        <v>93</v>
      </c>
      <c r="AH21" s="109" t="s">
        <v>94</v>
      </c>
      <c r="AI21" s="109" t="s">
        <v>94</v>
      </c>
      <c r="AJ21" s="109" t="s">
        <v>94</v>
      </c>
      <c r="AK21" s="109" t="s">
        <v>94</v>
      </c>
      <c r="AL21" s="109" t="s">
        <v>94</v>
      </c>
      <c r="AM21" s="109" t="s">
        <v>94</v>
      </c>
      <c r="AN21" s="109" t="s">
        <v>93</v>
      </c>
      <c r="AO21" s="109" t="s">
        <v>92</v>
      </c>
      <c r="AP21" s="109" t="s">
        <v>92</v>
      </c>
      <c r="AQ21" s="109" t="s">
        <v>92</v>
      </c>
      <c r="AR21" s="109" t="s">
        <v>93</v>
      </c>
      <c r="AS21" s="109" t="s">
        <v>94</v>
      </c>
      <c r="AT21" s="109" t="s">
        <v>94</v>
      </c>
      <c r="AU21" s="109" t="s">
        <v>94</v>
      </c>
      <c r="AV21" s="109" t="s">
        <v>94</v>
      </c>
      <c r="AW21" s="109" t="s">
        <v>94</v>
      </c>
      <c r="AX21" s="109" t="s">
        <v>93</v>
      </c>
      <c r="AY21" s="109" t="s">
        <v>93</v>
      </c>
      <c r="AZ21" s="109" t="s">
        <v>92</v>
      </c>
      <c r="BA21" s="109" t="s">
        <v>92</v>
      </c>
      <c r="BB21" s="109" t="s">
        <v>92</v>
      </c>
      <c r="BC21" s="109" t="s">
        <v>93</v>
      </c>
      <c r="BD21" s="109" t="s">
        <v>94</v>
      </c>
      <c r="BE21" s="109" t="s">
        <v>94</v>
      </c>
      <c r="BF21" s="109" t="s">
        <v>94</v>
      </c>
      <c r="BG21" s="109" t="s">
        <v>93</v>
      </c>
    </row>
    <row r="22" spans="1:59" ht="15" customHeight="1" x14ac:dyDescent="0.25">
      <c r="A22" s="4"/>
      <c r="B22" s="2"/>
      <c r="C22" s="56"/>
      <c r="D22" s="2"/>
      <c r="E22" s="28"/>
      <c r="F22" s="2"/>
      <c r="G22" s="2"/>
      <c r="H22" s="2"/>
      <c r="I22" s="2"/>
    </row>
    <row r="23" spans="1:59" s="88" customFormat="1" ht="15" customHeight="1" x14ac:dyDescent="0.25">
      <c r="A23" s="132" t="s">
        <v>138</v>
      </c>
      <c r="B23" s="56" t="s">
        <v>143</v>
      </c>
      <c r="C23" s="56"/>
      <c r="D23" s="56" t="s">
        <v>139</v>
      </c>
      <c r="E23" s="28">
        <v>101300</v>
      </c>
      <c r="F23" s="90"/>
      <c r="G23" s="90"/>
      <c r="H23" s="90"/>
      <c r="I23" s="90"/>
    </row>
    <row r="24" spans="1:59" s="88" customFormat="1" ht="15" customHeight="1" x14ac:dyDescent="0.25">
      <c r="A24" s="132" t="s">
        <v>137</v>
      </c>
      <c r="B24" s="56" t="s">
        <v>142</v>
      </c>
      <c r="C24" s="56"/>
      <c r="D24" s="56" t="s">
        <v>140</v>
      </c>
      <c r="E24" s="28">
        <f>15+273</f>
        <v>288</v>
      </c>
      <c r="F24" s="90"/>
      <c r="G24" s="90"/>
      <c r="H24" s="90"/>
      <c r="I24" s="90"/>
    </row>
    <row r="25" spans="1:59" s="88" customFormat="1" ht="15" customHeight="1" x14ac:dyDescent="0.25">
      <c r="A25" s="4"/>
      <c r="B25" s="90"/>
      <c r="C25" s="56"/>
      <c r="D25" s="90"/>
      <c r="E25" s="28"/>
      <c r="F25" s="90"/>
      <c r="G25" s="90"/>
      <c r="H25" s="90"/>
      <c r="I25" s="90"/>
    </row>
    <row r="26" spans="1:59" s="88" customFormat="1" ht="15" customHeight="1" x14ac:dyDescent="0.25">
      <c r="A26" s="4"/>
      <c r="B26" s="90"/>
      <c r="C26" s="56"/>
      <c r="D26" s="90"/>
      <c r="E26" s="28"/>
      <c r="F26" s="90"/>
      <c r="G26" s="90"/>
      <c r="H26" s="90"/>
      <c r="I26" s="90"/>
    </row>
    <row r="27" spans="1:59" s="88" customFormat="1" ht="15" customHeight="1" x14ac:dyDescent="0.25">
      <c r="A27" s="4"/>
      <c r="B27" s="90"/>
      <c r="C27" s="56"/>
      <c r="D27" s="90"/>
      <c r="E27" s="28"/>
      <c r="F27" s="90"/>
      <c r="G27" s="90"/>
      <c r="H27" s="90"/>
      <c r="I27" s="90"/>
    </row>
    <row r="28" spans="1:59" s="88" customFormat="1" ht="15" customHeight="1" x14ac:dyDescent="0.25">
      <c r="A28" s="4"/>
      <c r="B28" s="90"/>
      <c r="C28" s="56"/>
      <c r="D28" s="90"/>
      <c r="E28" s="28"/>
      <c r="F28" s="90"/>
      <c r="G28" s="90"/>
      <c r="H28" s="90"/>
      <c r="I28" s="90"/>
    </row>
    <row r="29" spans="1:59" ht="18" customHeight="1" x14ac:dyDescent="0.25">
      <c r="A29" s="22" t="s">
        <v>29</v>
      </c>
      <c r="B29" s="2"/>
      <c r="C29" s="56"/>
      <c r="D29" s="2"/>
      <c r="E29" s="28"/>
      <c r="F29" s="2"/>
      <c r="G29" s="2"/>
      <c r="H29" s="2"/>
      <c r="I29" s="2"/>
    </row>
    <row r="30" spans="1:59" ht="18" customHeight="1" x14ac:dyDescent="0.25">
      <c r="A30" s="83" t="s">
        <v>46</v>
      </c>
      <c r="B30" s="2"/>
      <c r="C30" s="98"/>
      <c r="D30" s="49"/>
      <c r="E30" s="28"/>
      <c r="F30" s="7"/>
      <c r="G30" s="2"/>
      <c r="H30" s="2"/>
      <c r="I30" s="2"/>
    </row>
    <row r="31" spans="1:59" x14ac:dyDescent="0.25">
      <c r="A31" s="81"/>
      <c r="B31" s="12"/>
      <c r="C31" s="96"/>
      <c r="D31" s="29"/>
      <c r="E31" s="28"/>
      <c r="F31" s="51"/>
      <c r="G31" s="11"/>
      <c r="H31" s="11"/>
      <c r="I31" s="2"/>
    </row>
    <row r="32" spans="1:59" x14ac:dyDescent="0.25">
      <c r="A32" s="83" t="s">
        <v>47</v>
      </c>
      <c r="B32" s="12"/>
      <c r="C32" s="96"/>
      <c r="D32" s="29"/>
      <c r="E32" s="28"/>
      <c r="F32" s="51"/>
      <c r="G32" s="11"/>
      <c r="H32" s="11"/>
      <c r="I32" s="2"/>
    </row>
    <row r="33" spans="1:9" x14ac:dyDescent="0.25">
      <c r="A33" s="81"/>
      <c r="B33" s="12"/>
      <c r="C33" s="96"/>
      <c r="D33" s="29"/>
      <c r="E33" s="28"/>
      <c r="F33" s="51"/>
      <c r="G33" s="11"/>
      <c r="H33" s="11"/>
      <c r="I33" s="2"/>
    </row>
    <row r="34" spans="1:9" ht="13.8" x14ac:dyDescent="0.25">
      <c r="A34" s="22" t="s">
        <v>24</v>
      </c>
      <c r="B34" s="2"/>
      <c r="C34" s="98"/>
      <c r="D34" s="49"/>
      <c r="E34" s="28"/>
      <c r="F34" s="7"/>
      <c r="G34" s="2"/>
      <c r="H34" s="2"/>
      <c r="I34" s="2"/>
    </row>
    <row r="35" spans="1:9" x14ac:dyDescent="0.25">
      <c r="A35" s="85" t="s">
        <v>48</v>
      </c>
      <c r="B35" s="12"/>
      <c r="C35" s="96"/>
      <c r="D35" s="29"/>
      <c r="E35" s="28"/>
      <c r="F35" s="7"/>
      <c r="G35" s="2"/>
      <c r="H35" s="2"/>
      <c r="I35" s="2"/>
    </row>
    <row r="36" spans="1:9" x14ac:dyDescent="0.25">
      <c r="A36" s="80"/>
      <c r="C36" s="96"/>
      <c r="D36" s="29"/>
      <c r="E36" s="28"/>
      <c r="F36" s="52"/>
      <c r="G36" s="11"/>
      <c r="H36" s="11"/>
      <c r="I36" s="2"/>
    </row>
    <row r="37" spans="1:9" s="88" customFormat="1" x14ac:dyDescent="0.25">
      <c r="A37" s="148" t="s">
        <v>185</v>
      </c>
      <c r="B37" s="56" t="s">
        <v>183</v>
      </c>
      <c r="C37" s="96"/>
      <c r="D37" s="151" t="s">
        <v>8</v>
      </c>
      <c r="E37" s="28">
        <v>0.92500000000000004</v>
      </c>
      <c r="F37" s="52"/>
      <c r="G37" s="89"/>
      <c r="H37" s="89"/>
      <c r="I37" s="90"/>
    </row>
    <row r="38" spans="1:9" s="88" customFormat="1" x14ac:dyDescent="0.25">
      <c r="A38" s="148" t="s">
        <v>186</v>
      </c>
      <c r="B38" s="56" t="s">
        <v>184</v>
      </c>
      <c r="C38" s="96"/>
      <c r="D38" s="151" t="s">
        <v>8</v>
      </c>
      <c r="E38" s="28">
        <v>0.23599999999999999</v>
      </c>
      <c r="F38" s="52"/>
      <c r="G38" s="89"/>
      <c r="H38" s="89"/>
      <c r="I38" s="90"/>
    </row>
    <row r="39" spans="1:9" s="88" customFormat="1" x14ac:dyDescent="0.25">
      <c r="A39" s="132" t="s">
        <v>187</v>
      </c>
      <c r="B39" s="56" t="s">
        <v>188</v>
      </c>
      <c r="C39" s="80"/>
      <c r="D39" s="148" t="s">
        <v>12</v>
      </c>
      <c r="E39" s="150">
        <v>20</v>
      </c>
      <c r="F39" s="80"/>
      <c r="G39" s="80"/>
      <c r="H39" s="80"/>
      <c r="I39" s="90"/>
    </row>
    <row r="40" spans="1:9" s="88" customFormat="1" x14ac:dyDescent="0.25">
      <c r="A40" s="132" t="s">
        <v>191</v>
      </c>
      <c r="B40" s="56" t="s">
        <v>192</v>
      </c>
      <c r="C40" s="160"/>
      <c r="D40" s="161" t="s">
        <v>193</v>
      </c>
      <c r="E40" s="163">
        <v>125</v>
      </c>
      <c r="F40" s="162"/>
      <c r="G40" s="80"/>
      <c r="H40" s="80"/>
      <c r="I40" s="90"/>
    </row>
    <row r="41" spans="1:9" s="88" customFormat="1" x14ac:dyDescent="0.25">
      <c r="A41" s="132" t="s">
        <v>194</v>
      </c>
      <c r="B41" s="56" t="s">
        <v>195</v>
      </c>
      <c r="C41" s="160"/>
      <c r="D41" s="56" t="s">
        <v>190</v>
      </c>
      <c r="E41" s="163">
        <v>2293</v>
      </c>
      <c r="F41" s="162"/>
      <c r="G41" s="80"/>
      <c r="H41" s="80"/>
      <c r="I41" s="90"/>
    </row>
    <row r="42" spans="1:9" s="88" customFormat="1" x14ac:dyDescent="0.25">
      <c r="A42" s="80"/>
      <c r="B42" s="99"/>
      <c r="C42" s="96"/>
      <c r="D42" s="29"/>
      <c r="E42" s="28"/>
      <c r="F42" s="52"/>
      <c r="G42" s="89"/>
      <c r="H42" s="89"/>
      <c r="I42" s="90"/>
    </row>
    <row r="43" spans="1:9" x14ac:dyDescent="0.25">
      <c r="A43" s="85" t="s">
        <v>56</v>
      </c>
      <c r="B43" s="12"/>
      <c r="C43" s="12"/>
      <c r="D43" s="11"/>
      <c r="E43" s="28"/>
      <c r="F43" s="2"/>
      <c r="G43" s="2"/>
      <c r="H43" s="2"/>
      <c r="I43" s="2"/>
    </row>
    <row r="44" spans="1:9" x14ac:dyDescent="0.25">
      <c r="A44" s="86"/>
      <c r="B44" s="12"/>
      <c r="C44" s="12"/>
      <c r="D44" s="11"/>
      <c r="E44" s="2"/>
      <c r="F44" s="2"/>
      <c r="G44" s="2"/>
      <c r="H44" s="2"/>
      <c r="I44" s="2"/>
    </row>
    <row r="45" spans="1:9" x14ac:dyDescent="0.25">
      <c r="A45" s="86"/>
      <c r="B45" s="12"/>
      <c r="C45" s="12"/>
      <c r="D45" s="11"/>
      <c r="E45" s="2"/>
      <c r="F45" s="2"/>
      <c r="G45" s="2"/>
      <c r="H45" s="2"/>
      <c r="I45" s="2"/>
    </row>
    <row r="46" spans="1:9" s="88" customFormat="1" x14ac:dyDescent="0.25">
      <c r="A46" s="85" t="s">
        <v>66</v>
      </c>
      <c r="B46" s="12"/>
      <c r="C46" s="12"/>
      <c r="D46" s="89"/>
      <c r="E46" s="90"/>
      <c r="F46" s="90"/>
      <c r="G46" s="90"/>
      <c r="H46" s="90"/>
      <c r="I46" s="90"/>
    </row>
    <row r="47" spans="1:9" s="88" customFormat="1" x14ac:dyDescent="0.25">
      <c r="A47" s="86" t="s">
        <v>60</v>
      </c>
      <c r="B47" s="12" t="s">
        <v>75</v>
      </c>
      <c r="C47" s="12" t="s">
        <v>76</v>
      </c>
      <c r="D47" s="89" t="s">
        <v>61</v>
      </c>
      <c r="E47" s="90">
        <v>1.1599999999999999</v>
      </c>
      <c r="F47" s="90"/>
      <c r="G47" s="90"/>
      <c r="H47" s="90"/>
      <c r="I47" s="90"/>
    </row>
    <row r="48" spans="1:9" ht="13.8" x14ac:dyDescent="0.25">
      <c r="A48" s="84" t="s">
        <v>149</v>
      </c>
      <c r="B48" s="56" t="s">
        <v>147</v>
      </c>
      <c r="C48" s="56"/>
      <c r="D48" s="56" t="s">
        <v>148</v>
      </c>
      <c r="E48" s="135">
        <v>0.84</v>
      </c>
      <c r="F48" s="2"/>
      <c r="G48" s="2"/>
      <c r="H48" s="2"/>
      <c r="I48" s="2"/>
    </row>
    <row r="49" spans="1:10" x14ac:dyDescent="0.25">
      <c r="A49" s="84" t="s">
        <v>145</v>
      </c>
      <c r="B49" s="56" t="s">
        <v>141</v>
      </c>
      <c r="C49" s="56"/>
      <c r="D49" s="56" t="s">
        <v>139</v>
      </c>
      <c r="E49" s="28">
        <v>101300</v>
      </c>
      <c r="F49" s="2"/>
      <c r="G49" s="2"/>
      <c r="H49" s="2"/>
      <c r="I49" s="2"/>
    </row>
    <row r="50" spans="1:10" x14ac:dyDescent="0.25">
      <c r="A50" s="84" t="s">
        <v>146</v>
      </c>
      <c r="B50" s="56" t="s">
        <v>144</v>
      </c>
      <c r="C50" s="56"/>
      <c r="D50" s="56" t="s">
        <v>140</v>
      </c>
      <c r="E50" s="28">
        <f>15+273</f>
        <v>288</v>
      </c>
      <c r="F50" s="2"/>
      <c r="G50" s="2"/>
      <c r="H50" s="2"/>
      <c r="I50" s="2"/>
    </row>
    <row r="51" spans="1:10" x14ac:dyDescent="0.25">
      <c r="A51" s="140" t="s">
        <v>159</v>
      </c>
      <c r="B51" s="13" t="s">
        <v>160</v>
      </c>
      <c r="C51" s="13"/>
      <c r="D51" s="56" t="s">
        <v>161</v>
      </c>
      <c r="E51" s="2">
        <v>9.4499999999999993</v>
      </c>
      <c r="F51" s="19"/>
      <c r="G51" s="11"/>
      <c r="H51" s="11"/>
      <c r="I51" s="2"/>
    </row>
    <row r="52" spans="1:10" x14ac:dyDescent="0.25">
      <c r="A52" s="16"/>
      <c r="B52" s="23"/>
      <c r="C52" s="23"/>
      <c r="D52" s="19"/>
      <c r="E52" s="2"/>
      <c r="F52" s="11"/>
      <c r="G52" s="11"/>
      <c r="H52" s="11"/>
      <c r="I52" s="2"/>
    </row>
    <row r="56" spans="1:10" s="88" customFormat="1" ht="15.6" x14ac:dyDescent="0.25">
      <c r="A56" s="81" t="s">
        <v>16</v>
      </c>
      <c r="B56" s="12" t="s">
        <v>17</v>
      </c>
      <c r="C56" s="12" t="s">
        <v>77</v>
      </c>
      <c r="D56" s="89" t="s">
        <v>14</v>
      </c>
      <c r="E56" s="57">
        <v>744</v>
      </c>
      <c r="F56" s="89" t="s">
        <v>26</v>
      </c>
      <c r="G56" s="89" t="s">
        <v>49</v>
      </c>
      <c r="H56" s="89" t="s">
        <v>22</v>
      </c>
      <c r="I56" s="90"/>
      <c r="J56" s="9"/>
    </row>
    <row r="57" spans="1:10" s="88" customFormat="1" ht="15.6" x14ac:dyDescent="0.25">
      <c r="A57" s="81" t="s">
        <v>10</v>
      </c>
      <c r="B57" s="12" t="s">
        <v>74</v>
      </c>
      <c r="C57" s="96" t="s">
        <v>78</v>
      </c>
      <c r="D57" s="50" t="s">
        <v>15</v>
      </c>
      <c r="E57" s="53">
        <v>90.667226875575466</v>
      </c>
      <c r="F57" s="51" t="s">
        <v>30</v>
      </c>
      <c r="G57" s="89" t="s">
        <v>27</v>
      </c>
      <c r="H57" s="89" t="s">
        <v>23</v>
      </c>
      <c r="I57" s="90"/>
    </row>
    <row r="58" spans="1:10" s="88" customFormat="1" ht="16.2" thickBot="1" x14ac:dyDescent="0.4">
      <c r="A58" s="82" t="s">
        <v>18</v>
      </c>
      <c r="B58" s="23" t="s">
        <v>13</v>
      </c>
      <c r="C58" s="97" t="s">
        <v>73</v>
      </c>
      <c r="D58" s="50" t="s">
        <v>8</v>
      </c>
      <c r="E58" s="54">
        <v>0.7</v>
      </c>
      <c r="F58" s="51" t="s">
        <v>31</v>
      </c>
      <c r="G58" s="89" t="s">
        <v>27</v>
      </c>
      <c r="H58" s="89" t="s">
        <v>23</v>
      </c>
      <c r="I58" s="90"/>
    </row>
  </sheetData>
  <mergeCells count="1">
    <mergeCell ref="A1:I1"/>
  </mergeCells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tabColor rgb="FF009900"/>
  </sheetPr>
  <dimension ref="A1:BE57"/>
  <sheetViews>
    <sheetView topLeftCell="A28" zoomScale="85" zoomScaleNormal="85" workbookViewId="0">
      <selection activeCell="J50" sqref="J50"/>
    </sheetView>
  </sheetViews>
  <sheetFormatPr baseColWidth="10" defaultColWidth="9.109375" defaultRowHeight="13.2" x14ac:dyDescent="0.25"/>
  <cols>
    <col min="1" max="1" width="30.44140625" style="88" customWidth="1"/>
    <col min="2" max="2" width="17.6640625" style="88" customWidth="1"/>
    <col min="3" max="3" width="10.6640625" style="88" customWidth="1"/>
    <col min="4" max="4" width="11" style="88" customWidth="1"/>
    <col min="5" max="5" width="14" style="88" customWidth="1"/>
    <col min="6" max="6" width="47.6640625" style="88" customWidth="1"/>
    <col min="7" max="7" width="26.44140625" style="88" customWidth="1"/>
    <col min="8" max="8" width="2.109375" style="88" customWidth="1"/>
    <col min="9" max="16" width="9.33203125" style="88" customWidth="1"/>
    <col min="17" max="16384" width="9.109375" style="88"/>
  </cols>
  <sheetData>
    <row r="1" spans="1:57" ht="86.25" customHeight="1" thickBot="1" x14ac:dyDescent="0.3">
      <c r="A1" s="187" t="s">
        <v>67</v>
      </c>
      <c r="B1" s="190"/>
      <c r="C1" s="190"/>
      <c r="D1" s="190"/>
      <c r="E1" s="190"/>
      <c r="F1" s="190"/>
      <c r="G1" s="191"/>
      <c r="H1" s="26"/>
      <c r="I1" s="26"/>
      <c r="J1" s="26"/>
      <c r="K1" s="26"/>
    </row>
    <row r="3" spans="1:57" x14ac:dyDescent="0.25">
      <c r="A3" s="14" t="s">
        <v>4</v>
      </c>
      <c r="B3" s="14" t="s">
        <v>6</v>
      </c>
      <c r="C3" s="14" t="s">
        <v>0</v>
      </c>
      <c r="D3" s="14" t="s">
        <v>3</v>
      </c>
      <c r="E3" s="14" t="s">
        <v>32</v>
      </c>
      <c r="F3" s="14" t="s">
        <v>25</v>
      </c>
      <c r="G3" s="14" t="s">
        <v>5</v>
      </c>
      <c r="I3" s="101"/>
      <c r="J3" s="102"/>
      <c r="K3" s="102"/>
      <c r="L3" s="102"/>
      <c r="M3" s="102"/>
      <c r="N3" s="102"/>
      <c r="O3" s="104" t="s">
        <v>83</v>
      </c>
      <c r="P3" s="102"/>
      <c r="Q3" s="102"/>
      <c r="R3" s="102"/>
      <c r="S3" s="102"/>
      <c r="T3" s="102"/>
      <c r="U3" s="102"/>
      <c r="V3" s="103"/>
    </row>
    <row r="4" spans="1:57" x14ac:dyDescent="0.25">
      <c r="A4" s="90"/>
      <c r="B4" s="90"/>
      <c r="C4" s="90"/>
      <c r="D4" s="90"/>
      <c r="E4" s="90"/>
      <c r="F4" s="90"/>
      <c r="G4" s="90"/>
    </row>
    <row r="5" spans="1:57" x14ac:dyDescent="0.25">
      <c r="A5" s="15"/>
      <c r="B5" s="99"/>
      <c r="C5" s="89"/>
      <c r="D5" s="17"/>
      <c r="E5" s="89"/>
      <c r="F5" s="92"/>
      <c r="G5" s="90"/>
    </row>
    <row r="6" spans="1:57" x14ac:dyDescent="0.25">
      <c r="A6" s="15"/>
      <c r="B6" s="66"/>
      <c r="C6" s="90"/>
      <c r="D6" s="90"/>
      <c r="E6" s="89"/>
      <c r="F6" s="89"/>
      <c r="G6" s="90"/>
    </row>
    <row r="7" spans="1:57" ht="26.4" x14ac:dyDescent="0.25">
      <c r="A7" s="84" t="s">
        <v>121</v>
      </c>
      <c r="B7" s="131" t="s">
        <v>131</v>
      </c>
      <c r="C7" s="12" t="s">
        <v>91</v>
      </c>
      <c r="D7" s="10">
        <f>+Method_input!E12</f>
        <v>10657</v>
      </c>
      <c r="E7" s="28"/>
      <c r="F7" s="90"/>
      <c r="G7" s="56" t="s">
        <v>171</v>
      </c>
      <c r="I7" s="10">
        <f>+Method_input!K12</f>
        <v>10657</v>
      </c>
      <c r="J7" s="10">
        <f>+Method_input!L12</f>
        <v>10690</v>
      </c>
      <c r="K7" s="10">
        <f>+Method_input!M12</f>
        <v>10742</v>
      </c>
      <c r="L7" s="10">
        <f>+Method_input!N12</f>
        <v>10868</v>
      </c>
      <c r="M7" s="10">
        <f>+Method_input!O12</f>
        <v>11054</v>
      </c>
      <c r="N7" s="10">
        <f>+Method_input!P12</f>
        <v>11108</v>
      </c>
      <c r="O7" s="10">
        <f>+Method_input!Q12</f>
        <v>11310</v>
      </c>
      <c r="P7" s="10">
        <f>+Method_input!R12</f>
        <v>11622</v>
      </c>
      <c r="Q7" s="10">
        <f>+Method_input!S12</f>
        <v>11733</v>
      </c>
      <c r="R7" s="10">
        <f>+Method_input!T12</f>
        <v>12066</v>
      </c>
      <c r="S7" s="10">
        <f>+Method_input!U12</f>
        <v>12067</v>
      </c>
      <c r="T7" s="10">
        <f>+Method_input!V12</f>
        <v>12095</v>
      </c>
      <c r="U7" s="10">
        <f>+Method_input!W12</f>
        <v>12124</v>
      </c>
      <c r="V7" s="10">
        <f>+Method_input!X12</f>
        <v>12138</v>
      </c>
      <c r="W7" s="10">
        <f>+Method_input!Y12</f>
        <v>12297</v>
      </c>
      <c r="X7" s="10">
        <f>+Method_input!Z12</f>
        <v>12667</v>
      </c>
      <c r="Y7" s="10">
        <f>+Method_input!AA12</f>
        <v>12793</v>
      </c>
      <c r="Z7" s="10">
        <f>+Method_input!AB12</f>
        <v>13333</v>
      </c>
      <c r="AA7" s="10">
        <f>+Method_input!AC12</f>
        <v>13560</v>
      </c>
      <c r="AB7" s="10">
        <f>+Method_input!AD12</f>
        <v>13615</v>
      </c>
      <c r="AC7" s="10">
        <f>+Method_input!AE12</f>
        <v>13682</v>
      </c>
      <c r="AD7" s="10">
        <f>+Method_input!AF12</f>
        <v>13716</v>
      </c>
      <c r="AE7" s="10">
        <f>+Method_input!AG12</f>
        <v>13728</v>
      </c>
      <c r="AF7" s="10">
        <f>+Method_input!AH12</f>
        <v>13752</v>
      </c>
      <c r="AG7" s="10">
        <f>+Method_input!AI12</f>
        <v>13761</v>
      </c>
      <c r="AH7" s="10">
        <f>+Method_input!AJ12</f>
        <v>13987</v>
      </c>
      <c r="AI7" s="10">
        <f>+Method_input!AK12</f>
        <v>14170.15</v>
      </c>
      <c r="AJ7" s="10">
        <f>+Method_input!AL12</f>
        <v>14261</v>
      </c>
      <c r="AK7" s="10">
        <f>+Method_input!AM12</f>
        <v>14806</v>
      </c>
      <c r="AL7" s="10">
        <f>+Method_input!AN12</f>
        <v>14997</v>
      </c>
      <c r="AM7" s="10">
        <f>+Method_input!AO12</f>
        <v>15068</v>
      </c>
      <c r="AN7" s="10">
        <f>+Method_input!AP12</f>
        <v>15086</v>
      </c>
      <c r="AO7" s="10">
        <f>+Method_input!AQ12</f>
        <v>15101</v>
      </c>
      <c r="AP7" s="10">
        <f>+Method_input!AR12</f>
        <v>15129</v>
      </c>
      <c r="AQ7" s="10">
        <f>+Method_input!AS12</f>
        <v>15165</v>
      </c>
      <c r="AR7" s="10">
        <f>+Method_input!AT12</f>
        <v>15570</v>
      </c>
      <c r="AS7" s="10">
        <f>+Method_input!AU12</f>
        <v>15652</v>
      </c>
      <c r="AT7" s="10">
        <f>+Method_input!AV12</f>
        <v>15747</v>
      </c>
      <c r="AU7" s="10">
        <f>+Method_input!AW12</f>
        <v>16168</v>
      </c>
      <c r="AV7" s="10">
        <f>+Method_input!AX12</f>
        <v>16515</v>
      </c>
      <c r="AW7" s="10">
        <f>+Method_input!AY12</f>
        <v>16554</v>
      </c>
      <c r="AX7" s="10">
        <f>+Method_input!AZ12</f>
        <v>16585</v>
      </c>
      <c r="AY7" s="10">
        <f>+Method_input!BA12</f>
        <v>16597</v>
      </c>
      <c r="AZ7" s="10">
        <f>+Method_input!BB12</f>
        <v>16628</v>
      </c>
      <c r="BA7" s="10">
        <f>+Method_input!BC12</f>
        <v>16660</v>
      </c>
      <c r="BB7" s="10">
        <f>+Method_input!BD12</f>
        <v>16691</v>
      </c>
      <c r="BC7" s="10">
        <f>+Method_input!BE12</f>
        <v>16910</v>
      </c>
      <c r="BD7" s="10">
        <f>+Method_input!BF12</f>
        <v>17374</v>
      </c>
      <c r="BE7" s="10">
        <f>+Method_input!BG12</f>
        <v>17512</v>
      </c>
    </row>
    <row r="8" spans="1:57" ht="34.5" customHeight="1" x14ac:dyDescent="0.25">
      <c r="A8" s="84" t="s">
        <v>120</v>
      </c>
      <c r="B8" s="131" t="s">
        <v>130</v>
      </c>
      <c r="C8" s="12" t="s">
        <v>91</v>
      </c>
      <c r="D8" s="10">
        <f>+Method_input!E13</f>
        <v>10690</v>
      </c>
      <c r="E8" s="28"/>
      <c r="F8" s="133"/>
      <c r="G8" s="56" t="s">
        <v>171</v>
      </c>
      <c r="I8" s="10">
        <f>+Method_input!K13</f>
        <v>10690</v>
      </c>
      <c r="J8" s="10">
        <f>+Method_input!L13</f>
        <v>10742</v>
      </c>
      <c r="K8" s="10">
        <f>+Method_input!M13</f>
        <v>10868</v>
      </c>
      <c r="L8" s="10">
        <f>+Method_input!N13</f>
        <v>11054</v>
      </c>
      <c r="M8" s="10">
        <f>+Method_input!O13</f>
        <v>11108</v>
      </c>
      <c r="N8" s="10">
        <f>+Method_input!P13</f>
        <v>11310</v>
      </c>
      <c r="O8" s="10">
        <f>+Method_input!Q13</f>
        <v>11622</v>
      </c>
      <c r="P8" s="10">
        <f>+Method_input!R13</f>
        <v>11733</v>
      </c>
      <c r="Q8" s="10">
        <f>+Method_input!S13</f>
        <v>12066</v>
      </c>
      <c r="R8" s="10">
        <f>+Method_input!T13</f>
        <v>12067</v>
      </c>
      <c r="S8" s="10">
        <f>+Method_input!U13</f>
        <v>12095</v>
      </c>
      <c r="T8" s="10">
        <f>+Method_input!V13</f>
        <v>12124</v>
      </c>
      <c r="U8" s="10">
        <f>+Method_input!W13</f>
        <v>12138</v>
      </c>
      <c r="V8" s="10">
        <f>+Method_input!X13</f>
        <v>12297</v>
      </c>
      <c r="W8" s="10">
        <f>+Method_input!Y13</f>
        <v>12667</v>
      </c>
      <c r="X8" s="10">
        <f>+Method_input!Z13</f>
        <v>12793</v>
      </c>
      <c r="Y8" s="10">
        <f>+Method_input!AA13</f>
        <v>13333</v>
      </c>
      <c r="Z8" s="10">
        <f>+Method_input!AB13</f>
        <v>13560</v>
      </c>
      <c r="AA8" s="10">
        <f>+Method_input!AC13</f>
        <v>13615</v>
      </c>
      <c r="AB8" s="10">
        <f>+Method_input!AD13</f>
        <v>13682</v>
      </c>
      <c r="AC8" s="10">
        <f>+Method_input!AE13</f>
        <v>13716</v>
      </c>
      <c r="AD8" s="10">
        <f>+Method_input!AF13</f>
        <v>13728</v>
      </c>
      <c r="AE8" s="10">
        <f>+Method_input!AG13</f>
        <v>13752</v>
      </c>
      <c r="AF8" s="10">
        <f>+Method_input!AH13</f>
        <v>13761</v>
      </c>
      <c r="AG8" s="10">
        <f>+Method_input!AI13</f>
        <v>13987</v>
      </c>
      <c r="AH8" s="10">
        <f>+Method_input!AJ13</f>
        <v>14170.15</v>
      </c>
      <c r="AI8" s="10">
        <f>+Method_input!AK13</f>
        <v>14261</v>
      </c>
      <c r="AJ8" s="10">
        <f>+Method_input!AL13</f>
        <v>14806</v>
      </c>
      <c r="AK8" s="10">
        <f>+Method_input!AM13</f>
        <v>14997</v>
      </c>
      <c r="AL8" s="10">
        <f>+Method_input!AN13</f>
        <v>15068</v>
      </c>
      <c r="AM8" s="10">
        <f>+Method_input!AO13</f>
        <v>15086</v>
      </c>
      <c r="AN8" s="10">
        <f>+Method_input!AP13</f>
        <v>15101</v>
      </c>
      <c r="AO8" s="10">
        <f>+Method_input!AQ13</f>
        <v>15129</v>
      </c>
      <c r="AP8" s="10">
        <f>+Method_input!AR13</f>
        <v>15165</v>
      </c>
      <c r="AQ8" s="10">
        <f>+Method_input!AS13</f>
        <v>15570</v>
      </c>
      <c r="AR8" s="10">
        <f>+Method_input!AT13</f>
        <v>15652</v>
      </c>
      <c r="AS8" s="10">
        <f>+Method_input!AU13</f>
        <v>15747</v>
      </c>
      <c r="AT8" s="10">
        <f>+Method_input!AV13</f>
        <v>16168</v>
      </c>
      <c r="AU8" s="10">
        <f>+Method_input!AW13</f>
        <v>16515</v>
      </c>
      <c r="AV8" s="10">
        <f>+Method_input!AX13</f>
        <v>16554</v>
      </c>
      <c r="AW8" s="10">
        <f>+Method_input!AY13</f>
        <v>16585</v>
      </c>
      <c r="AX8" s="10">
        <f>+Method_input!AZ13</f>
        <v>16597</v>
      </c>
      <c r="AY8" s="10">
        <f>+Method_input!BA13</f>
        <v>16628</v>
      </c>
      <c r="AZ8" s="10">
        <f>+Method_input!BB13</f>
        <v>16660</v>
      </c>
      <c r="BA8" s="10">
        <f>+Method_input!BC13</f>
        <v>16691</v>
      </c>
      <c r="BB8" s="10">
        <f>+Method_input!BD13</f>
        <v>16910</v>
      </c>
      <c r="BC8" s="10">
        <f>+Method_input!BE13</f>
        <v>17374</v>
      </c>
      <c r="BD8" s="10">
        <f>+Method_input!BF13</f>
        <v>17512</v>
      </c>
      <c r="BE8" s="10">
        <f>+Method_input!BG13</f>
        <v>17517</v>
      </c>
    </row>
    <row r="9" spans="1:57" ht="44.25" customHeight="1" x14ac:dyDescent="0.25">
      <c r="A9" s="81" t="s">
        <v>89</v>
      </c>
      <c r="B9" s="12" t="s">
        <v>132</v>
      </c>
      <c r="C9" s="12" t="s">
        <v>91</v>
      </c>
      <c r="D9" s="90">
        <f>+Method_input!E16</f>
        <v>0</v>
      </c>
      <c r="E9" s="28"/>
      <c r="F9"/>
      <c r="G9" s="56" t="s">
        <v>152</v>
      </c>
    </row>
    <row r="10" spans="1:57" ht="55.5" customHeight="1" x14ac:dyDescent="0.25">
      <c r="A10" s="132" t="s">
        <v>127</v>
      </c>
      <c r="B10" s="142" t="s">
        <v>128</v>
      </c>
      <c r="C10" s="12" t="s">
        <v>91</v>
      </c>
      <c r="D10" s="10">
        <f>+D8+D9-D7</f>
        <v>33</v>
      </c>
      <c r="E10" s="56" t="s">
        <v>129</v>
      </c>
      <c r="F10" s="27"/>
      <c r="G10" s="56" t="s">
        <v>133</v>
      </c>
      <c r="I10" s="10">
        <f t="shared" ref="I10:BE10" si="0">+I8+I9-I7</f>
        <v>33</v>
      </c>
      <c r="J10" s="10">
        <f t="shared" si="0"/>
        <v>52</v>
      </c>
      <c r="K10" s="10">
        <f t="shared" si="0"/>
        <v>126</v>
      </c>
      <c r="L10" s="10">
        <f t="shared" si="0"/>
        <v>186</v>
      </c>
      <c r="M10" s="10">
        <f t="shared" si="0"/>
        <v>54</v>
      </c>
      <c r="N10" s="10">
        <f t="shared" si="0"/>
        <v>202</v>
      </c>
      <c r="O10" s="10">
        <f t="shared" si="0"/>
        <v>312</v>
      </c>
      <c r="P10" s="10">
        <f t="shared" si="0"/>
        <v>111</v>
      </c>
      <c r="Q10" s="10">
        <f t="shared" si="0"/>
        <v>333</v>
      </c>
      <c r="R10" s="10">
        <f t="shared" si="0"/>
        <v>1</v>
      </c>
      <c r="S10" s="10">
        <f t="shared" si="0"/>
        <v>28</v>
      </c>
      <c r="T10" s="10">
        <f t="shared" si="0"/>
        <v>29</v>
      </c>
      <c r="U10" s="10">
        <f t="shared" si="0"/>
        <v>14</v>
      </c>
      <c r="V10" s="10">
        <f t="shared" si="0"/>
        <v>159</v>
      </c>
      <c r="W10" s="10">
        <f t="shared" si="0"/>
        <v>370</v>
      </c>
      <c r="X10" s="10">
        <f t="shared" si="0"/>
        <v>126</v>
      </c>
      <c r="Y10" s="10">
        <f t="shared" si="0"/>
        <v>540</v>
      </c>
      <c r="Z10" s="10">
        <f t="shared" si="0"/>
        <v>227</v>
      </c>
      <c r="AA10" s="10">
        <f t="shared" si="0"/>
        <v>55</v>
      </c>
      <c r="AB10" s="10">
        <f t="shared" si="0"/>
        <v>67</v>
      </c>
      <c r="AC10" s="10">
        <f t="shared" si="0"/>
        <v>34</v>
      </c>
      <c r="AD10" s="10">
        <f t="shared" si="0"/>
        <v>12</v>
      </c>
      <c r="AE10" s="10">
        <f t="shared" si="0"/>
        <v>24</v>
      </c>
      <c r="AF10" s="10">
        <f t="shared" si="0"/>
        <v>9</v>
      </c>
      <c r="AG10" s="10">
        <f t="shared" si="0"/>
        <v>226</v>
      </c>
      <c r="AH10" s="10">
        <f t="shared" si="0"/>
        <v>183.14999999999964</v>
      </c>
      <c r="AI10" s="10">
        <f t="shared" si="0"/>
        <v>90.850000000000364</v>
      </c>
      <c r="AJ10" s="10">
        <f t="shared" si="0"/>
        <v>545</v>
      </c>
      <c r="AK10" s="10">
        <f t="shared" si="0"/>
        <v>191</v>
      </c>
      <c r="AL10" s="10">
        <f t="shared" si="0"/>
        <v>71</v>
      </c>
      <c r="AM10" s="10">
        <f t="shared" si="0"/>
        <v>18</v>
      </c>
      <c r="AN10" s="10">
        <f t="shared" si="0"/>
        <v>15</v>
      </c>
      <c r="AO10" s="10">
        <f t="shared" si="0"/>
        <v>28</v>
      </c>
      <c r="AP10" s="10">
        <f t="shared" si="0"/>
        <v>36</v>
      </c>
      <c r="AQ10" s="10">
        <f t="shared" si="0"/>
        <v>405</v>
      </c>
      <c r="AR10" s="10">
        <f t="shared" si="0"/>
        <v>82</v>
      </c>
      <c r="AS10" s="10">
        <f t="shared" si="0"/>
        <v>95</v>
      </c>
      <c r="AT10" s="10">
        <f t="shared" si="0"/>
        <v>421</v>
      </c>
      <c r="AU10" s="10">
        <f t="shared" si="0"/>
        <v>347</v>
      </c>
      <c r="AV10" s="10">
        <f t="shared" si="0"/>
        <v>39</v>
      </c>
      <c r="AW10" s="10">
        <f t="shared" si="0"/>
        <v>31</v>
      </c>
      <c r="AX10" s="10">
        <f t="shared" si="0"/>
        <v>12</v>
      </c>
      <c r="AY10" s="10">
        <f t="shared" si="0"/>
        <v>31</v>
      </c>
      <c r="AZ10" s="10">
        <f t="shared" si="0"/>
        <v>32</v>
      </c>
      <c r="BA10" s="10">
        <f t="shared" si="0"/>
        <v>31</v>
      </c>
      <c r="BB10" s="10">
        <f t="shared" si="0"/>
        <v>219</v>
      </c>
      <c r="BC10" s="10">
        <f t="shared" si="0"/>
        <v>464</v>
      </c>
      <c r="BD10" s="10">
        <f t="shared" si="0"/>
        <v>138</v>
      </c>
      <c r="BE10" s="10">
        <f t="shared" si="0"/>
        <v>5</v>
      </c>
    </row>
    <row r="11" spans="1:57" ht="40.5" customHeight="1" x14ac:dyDescent="0.25">
      <c r="A11" s="132" t="s">
        <v>138</v>
      </c>
      <c r="B11" s="56" t="s">
        <v>143</v>
      </c>
      <c r="C11" s="56" t="s">
        <v>139</v>
      </c>
      <c r="D11" s="10">
        <f>+Method_input!E23</f>
        <v>101300</v>
      </c>
      <c r="E11" s="89"/>
      <c r="F11" s="133"/>
      <c r="G11" s="56" t="s">
        <v>152</v>
      </c>
    </row>
    <row r="12" spans="1:57" ht="34.5" customHeight="1" x14ac:dyDescent="0.25">
      <c r="A12" s="132" t="s">
        <v>137</v>
      </c>
      <c r="B12" s="56" t="s">
        <v>142</v>
      </c>
      <c r="C12" s="56" t="s">
        <v>140</v>
      </c>
      <c r="D12" s="10">
        <f>+Method_input!E24</f>
        <v>288</v>
      </c>
      <c r="E12" s="89"/>
      <c r="F12" s="133"/>
      <c r="G12" s="56" t="s">
        <v>152</v>
      </c>
    </row>
    <row r="13" spans="1:57" ht="34.5" customHeight="1" x14ac:dyDescent="0.25">
      <c r="A13" s="84" t="s">
        <v>145</v>
      </c>
      <c r="B13" s="56" t="s">
        <v>141</v>
      </c>
      <c r="C13" s="136" t="s">
        <v>139</v>
      </c>
      <c r="D13" s="10">
        <f>+Method_input!E49</f>
        <v>101300</v>
      </c>
      <c r="E13" s="89"/>
      <c r="F13" s="133"/>
      <c r="G13" s="56" t="s">
        <v>152</v>
      </c>
    </row>
    <row r="14" spans="1:57" ht="50.25" customHeight="1" x14ac:dyDescent="0.25">
      <c r="A14" s="84" t="s">
        <v>146</v>
      </c>
      <c r="B14" s="56" t="s">
        <v>144</v>
      </c>
      <c r="C14" s="56" t="s">
        <v>140</v>
      </c>
      <c r="D14" s="10">
        <f>+Method_input!E50</f>
        <v>288</v>
      </c>
      <c r="E14" s="89"/>
      <c r="F14" s="133"/>
      <c r="G14" s="56" t="s">
        <v>152</v>
      </c>
    </row>
    <row r="15" spans="1:57" ht="41.25" customHeight="1" x14ac:dyDescent="0.25">
      <c r="A15" s="132" t="s">
        <v>150</v>
      </c>
      <c r="B15" s="12" t="s">
        <v>151</v>
      </c>
      <c r="C15" s="136" t="s">
        <v>8</v>
      </c>
      <c r="D15" s="18">
        <f>+(D14/D12)*(D11/D13)</f>
        <v>1</v>
      </c>
      <c r="E15" s="136" t="s">
        <v>153</v>
      </c>
      <c r="F15"/>
      <c r="G15" s="90"/>
    </row>
    <row r="16" spans="1:57" ht="40.5" customHeight="1" x14ac:dyDescent="0.25">
      <c r="A16" s="137" t="s">
        <v>154</v>
      </c>
      <c r="B16" s="12" t="s">
        <v>156</v>
      </c>
      <c r="C16" s="89"/>
      <c r="D16" s="139">
        <f>+D15</f>
        <v>1</v>
      </c>
      <c r="E16" s="89"/>
      <c r="F16" s="89"/>
      <c r="G16" s="138" t="s">
        <v>155</v>
      </c>
    </row>
    <row r="17" spans="1:57" ht="34.5" customHeight="1" x14ac:dyDescent="0.25">
      <c r="A17" s="132" t="s">
        <v>159</v>
      </c>
      <c r="B17" s="56" t="s">
        <v>160</v>
      </c>
      <c r="C17" s="56" t="s">
        <v>161</v>
      </c>
      <c r="D17" s="90">
        <f>+Method_input!E51</f>
        <v>9.4499999999999993</v>
      </c>
      <c r="E17" s="89"/>
      <c r="F17" s="89"/>
      <c r="G17" s="56" t="s">
        <v>152</v>
      </c>
    </row>
    <row r="18" spans="1:57" ht="34.5" customHeight="1" x14ac:dyDescent="0.25">
      <c r="A18" s="132" t="s">
        <v>157</v>
      </c>
      <c r="B18" s="56" t="s">
        <v>158</v>
      </c>
      <c r="C18" s="56" t="s">
        <v>7</v>
      </c>
      <c r="D18" s="141">
        <f>+$D$17*$D$16*D10</f>
        <v>311.84999999999997</v>
      </c>
      <c r="E18" s="136" t="s">
        <v>162</v>
      </c>
      <c r="F18"/>
      <c r="G18" s="90"/>
      <c r="I18" s="141">
        <f t="shared" ref="I18:BE18" si="1">+$D$17*$D$16*I10</f>
        <v>311.84999999999997</v>
      </c>
      <c r="J18" s="141">
        <f t="shared" si="1"/>
        <v>491.4</v>
      </c>
      <c r="K18" s="141">
        <f t="shared" si="1"/>
        <v>1190.6999999999998</v>
      </c>
      <c r="L18" s="141">
        <f t="shared" si="1"/>
        <v>1757.6999999999998</v>
      </c>
      <c r="M18" s="141">
        <f t="shared" si="1"/>
        <v>510.29999999999995</v>
      </c>
      <c r="N18" s="141">
        <f t="shared" si="1"/>
        <v>1908.8999999999999</v>
      </c>
      <c r="O18" s="141">
        <f t="shared" si="1"/>
        <v>2948.3999999999996</v>
      </c>
      <c r="P18" s="141">
        <f t="shared" si="1"/>
        <v>1048.9499999999998</v>
      </c>
      <c r="Q18" s="141">
        <f t="shared" si="1"/>
        <v>3146.85</v>
      </c>
      <c r="R18" s="141">
        <f t="shared" si="1"/>
        <v>9.4499999999999993</v>
      </c>
      <c r="S18" s="141">
        <f t="shared" si="1"/>
        <v>264.59999999999997</v>
      </c>
      <c r="T18" s="141">
        <f t="shared" si="1"/>
        <v>274.04999999999995</v>
      </c>
      <c r="U18" s="141">
        <f t="shared" si="1"/>
        <v>132.29999999999998</v>
      </c>
      <c r="V18" s="141">
        <f t="shared" si="1"/>
        <v>1502.55</v>
      </c>
      <c r="W18" s="141">
        <f t="shared" si="1"/>
        <v>3496.4999999999995</v>
      </c>
      <c r="X18" s="141">
        <f t="shared" si="1"/>
        <v>1190.6999999999998</v>
      </c>
      <c r="Y18" s="141">
        <f t="shared" si="1"/>
        <v>5103</v>
      </c>
      <c r="Z18" s="141">
        <f t="shared" si="1"/>
        <v>2145.1499999999996</v>
      </c>
      <c r="AA18" s="141">
        <f t="shared" si="1"/>
        <v>519.75</v>
      </c>
      <c r="AB18" s="141">
        <f t="shared" si="1"/>
        <v>633.15</v>
      </c>
      <c r="AC18" s="141">
        <f t="shared" si="1"/>
        <v>321.29999999999995</v>
      </c>
      <c r="AD18" s="141">
        <f t="shared" si="1"/>
        <v>113.39999999999999</v>
      </c>
      <c r="AE18" s="141">
        <f t="shared" si="1"/>
        <v>226.79999999999998</v>
      </c>
      <c r="AF18" s="141">
        <f t="shared" si="1"/>
        <v>85.05</v>
      </c>
      <c r="AG18" s="141">
        <f t="shared" si="1"/>
        <v>2135.6999999999998</v>
      </c>
      <c r="AH18" s="141">
        <f t="shared" si="1"/>
        <v>1730.7674999999965</v>
      </c>
      <c r="AI18" s="141">
        <f t="shared" si="1"/>
        <v>858.53250000000332</v>
      </c>
      <c r="AJ18" s="141">
        <f t="shared" si="1"/>
        <v>5150.25</v>
      </c>
      <c r="AK18" s="141">
        <f t="shared" si="1"/>
        <v>1804.9499999999998</v>
      </c>
      <c r="AL18" s="141">
        <f t="shared" si="1"/>
        <v>670.94999999999993</v>
      </c>
      <c r="AM18" s="141">
        <f t="shared" si="1"/>
        <v>170.1</v>
      </c>
      <c r="AN18" s="141">
        <f t="shared" si="1"/>
        <v>141.75</v>
      </c>
      <c r="AO18" s="141">
        <f t="shared" si="1"/>
        <v>264.59999999999997</v>
      </c>
      <c r="AP18" s="141">
        <f t="shared" si="1"/>
        <v>340.2</v>
      </c>
      <c r="AQ18" s="141">
        <f t="shared" si="1"/>
        <v>3827.2499999999995</v>
      </c>
      <c r="AR18" s="141">
        <f t="shared" si="1"/>
        <v>774.9</v>
      </c>
      <c r="AS18" s="141">
        <f t="shared" si="1"/>
        <v>897.74999999999989</v>
      </c>
      <c r="AT18" s="141">
        <f t="shared" si="1"/>
        <v>3978.45</v>
      </c>
      <c r="AU18" s="141">
        <f t="shared" si="1"/>
        <v>3279.1499999999996</v>
      </c>
      <c r="AV18" s="141">
        <f t="shared" si="1"/>
        <v>368.54999999999995</v>
      </c>
      <c r="AW18" s="141">
        <f t="shared" si="1"/>
        <v>292.95</v>
      </c>
      <c r="AX18" s="141">
        <f t="shared" si="1"/>
        <v>113.39999999999999</v>
      </c>
      <c r="AY18" s="141">
        <f t="shared" si="1"/>
        <v>292.95</v>
      </c>
      <c r="AZ18" s="141">
        <f t="shared" si="1"/>
        <v>302.39999999999998</v>
      </c>
      <c r="BA18" s="141">
        <f t="shared" si="1"/>
        <v>292.95</v>
      </c>
      <c r="BB18" s="141">
        <f t="shared" si="1"/>
        <v>2069.5499999999997</v>
      </c>
      <c r="BC18" s="141">
        <f t="shared" si="1"/>
        <v>4384.7999999999993</v>
      </c>
      <c r="BD18" s="141">
        <f t="shared" si="1"/>
        <v>1304.0999999999999</v>
      </c>
      <c r="BE18" s="141">
        <f t="shared" si="1"/>
        <v>47.25</v>
      </c>
    </row>
    <row r="19" spans="1:57" ht="34.5" customHeight="1" x14ac:dyDescent="0.25">
      <c r="A19" s="132" t="s">
        <v>85</v>
      </c>
      <c r="B19" s="56" t="s">
        <v>166</v>
      </c>
      <c r="C19" s="56" t="s">
        <v>167</v>
      </c>
      <c r="D19" s="143">
        <f>+Method_input!E10</f>
        <v>37433</v>
      </c>
      <c r="E19" s="136"/>
      <c r="F19" s="27"/>
      <c r="G19" s="56" t="s">
        <v>171</v>
      </c>
      <c r="I19" s="143">
        <f>+Method_input!K10</f>
        <v>37433</v>
      </c>
      <c r="J19" s="143">
        <f>+Method_input!L10</f>
        <v>37495</v>
      </c>
      <c r="K19" s="143">
        <f>+Method_input!M10</f>
        <v>37564</v>
      </c>
      <c r="L19" s="143">
        <f>+Method_input!N10</f>
        <v>37596</v>
      </c>
      <c r="M19" s="143">
        <f>+Method_input!O10</f>
        <v>37625</v>
      </c>
      <c r="N19" s="143">
        <f>+Method_input!P10</f>
        <v>37631</v>
      </c>
      <c r="O19" s="143">
        <f>+Method_input!Q10</f>
        <v>37653</v>
      </c>
      <c r="P19" s="143">
        <f>+Method_input!R10</f>
        <v>37674</v>
      </c>
      <c r="Q19" s="143">
        <f>+Method_input!S10</f>
        <v>37684</v>
      </c>
      <c r="R19" s="143">
        <f>+Method_input!T10</f>
        <v>37743</v>
      </c>
      <c r="S19" s="143">
        <f>+Method_input!U10</f>
        <v>37745</v>
      </c>
      <c r="T19" s="143">
        <f>+Method_input!V10</f>
        <v>37803</v>
      </c>
      <c r="U19" s="143">
        <f>+Method_input!W10</f>
        <v>37883</v>
      </c>
      <c r="V19" s="143">
        <f>+Method_input!X10</f>
        <v>37910</v>
      </c>
      <c r="W19" s="143">
        <f>+Method_input!Y10</f>
        <v>37943</v>
      </c>
      <c r="X19" s="143">
        <f>+Method_input!Z10</f>
        <v>37986</v>
      </c>
      <c r="Y19" s="143">
        <f>+Method_input!AA10</f>
        <v>37998</v>
      </c>
      <c r="Z19" s="143">
        <f>+Method_input!AB10</f>
        <v>38043</v>
      </c>
      <c r="AA19" s="143">
        <f>+Method_input!AC10</f>
        <v>38066</v>
      </c>
      <c r="AB19" s="143">
        <f>+Method_input!AD10</f>
        <v>38079</v>
      </c>
      <c r="AC19" s="143">
        <f>+Method_input!AE10</f>
        <v>38152</v>
      </c>
      <c r="AD19" s="143">
        <f>+Method_input!AF10</f>
        <v>38224</v>
      </c>
      <c r="AE19" s="143">
        <f>+Method_input!AG10</f>
        <v>38248</v>
      </c>
      <c r="AF19" s="143">
        <f>+Method_input!AH10</f>
        <v>38293</v>
      </c>
      <c r="AG19" s="143">
        <f>+Method_input!AI10</f>
        <v>38300</v>
      </c>
      <c r="AH19" s="143">
        <f>+Method_input!AJ10</f>
        <v>38332</v>
      </c>
      <c r="AI19" s="143">
        <f>+Method_input!AK10</f>
        <v>38353</v>
      </c>
      <c r="AJ19" s="143">
        <f>+Method_input!AL10</f>
        <v>38362</v>
      </c>
      <c r="AK19" s="143">
        <f>+Method_input!AM10</f>
        <v>38411</v>
      </c>
      <c r="AL19" s="143">
        <f>+Method_input!AN10</f>
        <v>38437</v>
      </c>
      <c r="AM19" s="143">
        <f>+Method_input!AO10</f>
        <v>38478</v>
      </c>
      <c r="AN19" s="143">
        <f>+Method_input!AP10</f>
        <v>38502</v>
      </c>
      <c r="AO19" s="143">
        <f>+Method_input!AQ10</f>
        <v>38533</v>
      </c>
      <c r="AP19" s="143">
        <f>+Method_input!AR10</f>
        <v>38596</v>
      </c>
      <c r="AQ19" s="143">
        <f>+Method_input!AS10</f>
        <v>38660</v>
      </c>
      <c r="AR19" s="143">
        <f>+Method_input!AT10</f>
        <v>38710</v>
      </c>
      <c r="AS19" s="143">
        <f>+Method_input!AU10</f>
        <v>38717</v>
      </c>
      <c r="AT19" s="143">
        <f>+Method_input!AV10</f>
        <v>38727</v>
      </c>
      <c r="AU19" s="143">
        <f>+Method_input!AW10</f>
        <v>38759</v>
      </c>
      <c r="AV19" s="143">
        <f>+Method_input!AX10</f>
        <v>38794</v>
      </c>
      <c r="AW19" s="143">
        <f>+Method_input!AY10</f>
        <v>38808</v>
      </c>
      <c r="AX19" s="143">
        <f>+Method_input!AZ10</f>
        <v>38822</v>
      </c>
      <c r="AY19" s="143">
        <f>+Method_input!BA10</f>
        <v>38839</v>
      </c>
      <c r="AZ19" s="143">
        <f>+Method_input!BB10</f>
        <v>38891</v>
      </c>
      <c r="BA19" s="143">
        <f>+Method_input!BC10</f>
        <v>38967</v>
      </c>
      <c r="BB19" s="143">
        <f>+Method_input!BD10</f>
        <v>39016</v>
      </c>
      <c r="BC19" s="143">
        <f>+Method_input!BE10</f>
        <v>39069</v>
      </c>
      <c r="BD19" s="143">
        <f>+Method_input!BF10</f>
        <v>39134</v>
      </c>
      <c r="BE19" s="143">
        <f>+Method_input!BG10</f>
        <v>39193</v>
      </c>
    </row>
    <row r="20" spans="1:57" ht="34.5" customHeight="1" x14ac:dyDescent="0.25">
      <c r="A20" s="132" t="s">
        <v>86</v>
      </c>
      <c r="B20" s="56" t="s">
        <v>166</v>
      </c>
      <c r="C20" s="56" t="s">
        <v>167</v>
      </c>
      <c r="D20" s="143">
        <f>+Method_input!E11</f>
        <v>37495</v>
      </c>
      <c r="E20" s="136"/>
      <c r="F20" s="27"/>
      <c r="G20" s="56" t="s">
        <v>171</v>
      </c>
      <c r="I20" s="143">
        <f>+Method_input!K11</f>
        <v>37495</v>
      </c>
      <c r="J20" s="143">
        <f>+Method_input!L11</f>
        <v>37564</v>
      </c>
      <c r="K20" s="143">
        <f>+Method_input!M11</f>
        <v>37596</v>
      </c>
      <c r="L20" s="143">
        <f>+Method_input!N11</f>
        <v>37625</v>
      </c>
      <c r="M20" s="143">
        <f>+Method_input!O11</f>
        <v>37631</v>
      </c>
      <c r="N20" s="143">
        <f>+Method_input!P11</f>
        <v>37653</v>
      </c>
      <c r="O20" s="143">
        <f>+Method_input!Q11</f>
        <v>37674</v>
      </c>
      <c r="P20" s="143">
        <f>+Method_input!R11</f>
        <v>37684</v>
      </c>
      <c r="Q20" s="143">
        <f>+Method_input!S11</f>
        <v>37743</v>
      </c>
      <c r="R20" s="143">
        <f>+Method_input!T11</f>
        <v>37745</v>
      </c>
      <c r="S20" s="143">
        <f>+Method_input!U11</f>
        <v>37803</v>
      </c>
      <c r="T20" s="143">
        <f>+Method_input!V11</f>
        <v>37883</v>
      </c>
      <c r="U20" s="143">
        <f>+Method_input!W11</f>
        <v>37910</v>
      </c>
      <c r="V20" s="143">
        <f>+Method_input!X11</f>
        <v>37943</v>
      </c>
      <c r="W20" s="143">
        <f>+Method_input!Y11</f>
        <v>37986</v>
      </c>
      <c r="X20" s="143">
        <f>+Method_input!Z11</f>
        <v>37998</v>
      </c>
      <c r="Y20" s="143">
        <f>+Method_input!AA11</f>
        <v>38043</v>
      </c>
      <c r="Z20" s="143">
        <f>+Method_input!AB11</f>
        <v>38066</v>
      </c>
      <c r="AA20" s="143">
        <f>+Method_input!AC11</f>
        <v>38079</v>
      </c>
      <c r="AB20" s="143">
        <f>+Method_input!AD11</f>
        <v>38152</v>
      </c>
      <c r="AC20" s="143">
        <f>+Method_input!AE11</f>
        <v>38224</v>
      </c>
      <c r="AD20" s="143">
        <f>+Method_input!AF11</f>
        <v>38248</v>
      </c>
      <c r="AE20" s="143">
        <f>+Method_input!AG11</f>
        <v>38293</v>
      </c>
      <c r="AF20" s="143">
        <f>+Method_input!AH11</f>
        <v>38300</v>
      </c>
      <c r="AG20" s="143">
        <f>+Method_input!AI11</f>
        <v>38332</v>
      </c>
      <c r="AH20" s="143">
        <f>+Method_input!AJ11</f>
        <v>38353</v>
      </c>
      <c r="AI20" s="143">
        <f>+Method_input!AK11</f>
        <v>38362</v>
      </c>
      <c r="AJ20" s="143">
        <f>+Method_input!AL11</f>
        <v>38411</v>
      </c>
      <c r="AK20" s="143">
        <f>+Method_input!AM11</f>
        <v>38437</v>
      </c>
      <c r="AL20" s="143">
        <f>+Method_input!AN11</f>
        <v>38478</v>
      </c>
      <c r="AM20" s="143">
        <f>+Method_input!AO11</f>
        <v>38502</v>
      </c>
      <c r="AN20" s="143">
        <f>+Method_input!AP11</f>
        <v>38533</v>
      </c>
      <c r="AO20" s="143">
        <f>+Method_input!AQ11</f>
        <v>38596</v>
      </c>
      <c r="AP20" s="143">
        <f>+Method_input!AR11</f>
        <v>38660</v>
      </c>
      <c r="AQ20" s="143">
        <f>+Method_input!AS11</f>
        <v>38710</v>
      </c>
      <c r="AR20" s="143">
        <f>+Method_input!AT11</f>
        <v>38717</v>
      </c>
      <c r="AS20" s="143">
        <f>+Method_input!AU11</f>
        <v>38727</v>
      </c>
      <c r="AT20" s="143">
        <f>+Method_input!AV11</f>
        <v>38759</v>
      </c>
      <c r="AU20" s="143">
        <f>+Method_input!AW11</f>
        <v>38794</v>
      </c>
      <c r="AV20" s="143">
        <f>+Method_input!AX11</f>
        <v>38808</v>
      </c>
      <c r="AW20" s="143">
        <f>+Method_input!AY11</f>
        <v>38822</v>
      </c>
      <c r="AX20" s="143">
        <f>+Method_input!AZ11</f>
        <v>38839</v>
      </c>
      <c r="AY20" s="143">
        <f>+Method_input!BA11</f>
        <v>38891</v>
      </c>
      <c r="AZ20" s="143">
        <f>+Method_input!BB11</f>
        <v>38967</v>
      </c>
      <c r="BA20" s="143">
        <f>+Method_input!BC11</f>
        <v>39016</v>
      </c>
      <c r="BB20" s="143">
        <f>+Method_input!BD11</f>
        <v>39069</v>
      </c>
      <c r="BC20" s="143">
        <f>+Method_input!BE11</f>
        <v>39134</v>
      </c>
      <c r="BD20" s="143">
        <f>+Method_input!BF11</f>
        <v>39193</v>
      </c>
      <c r="BE20" s="143">
        <f>+Method_input!BG11</f>
        <v>39202</v>
      </c>
    </row>
    <row r="21" spans="1:57" ht="34.5" customHeight="1" x14ac:dyDescent="0.25">
      <c r="A21" s="132" t="s">
        <v>163</v>
      </c>
      <c r="B21" s="12" t="s">
        <v>165</v>
      </c>
      <c r="C21" s="56" t="s">
        <v>14</v>
      </c>
      <c r="D21" s="10">
        <f>24*(D20-D19)</f>
        <v>1488</v>
      </c>
      <c r="E21" s="136" t="s">
        <v>164</v>
      </c>
      <c r="F21"/>
      <c r="G21" s="90"/>
      <c r="I21" s="10">
        <f t="shared" ref="I21:BE21" si="2">24*(I20-I19)</f>
        <v>1488</v>
      </c>
      <c r="J21" s="10">
        <f t="shared" si="2"/>
        <v>1656</v>
      </c>
      <c r="K21" s="10">
        <f t="shared" si="2"/>
        <v>768</v>
      </c>
      <c r="L21" s="10">
        <f t="shared" si="2"/>
        <v>696</v>
      </c>
      <c r="M21" s="10">
        <f t="shared" si="2"/>
        <v>144</v>
      </c>
      <c r="N21" s="10">
        <f t="shared" si="2"/>
        <v>528</v>
      </c>
      <c r="O21" s="10">
        <f t="shared" si="2"/>
        <v>504</v>
      </c>
      <c r="P21" s="10">
        <f t="shared" si="2"/>
        <v>240</v>
      </c>
      <c r="Q21" s="10">
        <f t="shared" si="2"/>
        <v>1416</v>
      </c>
      <c r="R21" s="10">
        <f t="shared" si="2"/>
        <v>48</v>
      </c>
      <c r="S21" s="10">
        <f t="shared" si="2"/>
        <v>1392</v>
      </c>
      <c r="T21" s="10">
        <f t="shared" si="2"/>
        <v>1920</v>
      </c>
      <c r="U21" s="10">
        <f t="shared" si="2"/>
        <v>648</v>
      </c>
      <c r="V21" s="10">
        <f t="shared" si="2"/>
        <v>792</v>
      </c>
      <c r="W21" s="10">
        <f t="shared" si="2"/>
        <v>1032</v>
      </c>
      <c r="X21" s="10">
        <f t="shared" si="2"/>
        <v>288</v>
      </c>
      <c r="Y21" s="10">
        <f t="shared" si="2"/>
        <v>1080</v>
      </c>
      <c r="Z21" s="10">
        <f t="shared" si="2"/>
        <v>552</v>
      </c>
      <c r="AA21" s="10">
        <f t="shared" si="2"/>
        <v>312</v>
      </c>
      <c r="AB21" s="10">
        <f t="shared" si="2"/>
        <v>1752</v>
      </c>
      <c r="AC21" s="10">
        <f t="shared" si="2"/>
        <v>1728</v>
      </c>
      <c r="AD21" s="10">
        <f t="shared" si="2"/>
        <v>576</v>
      </c>
      <c r="AE21" s="10">
        <f t="shared" si="2"/>
        <v>1080</v>
      </c>
      <c r="AF21" s="10">
        <f t="shared" si="2"/>
        <v>168</v>
      </c>
      <c r="AG21" s="10">
        <f t="shared" si="2"/>
        <v>768</v>
      </c>
      <c r="AH21" s="10">
        <f t="shared" si="2"/>
        <v>504</v>
      </c>
      <c r="AI21" s="10">
        <f t="shared" si="2"/>
        <v>216</v>
      </c>
      <c r="AJ21" s="10">
        <f t="shared" si="2"/>
        <v>1176</v>
      </c>
      <c r="AK21" s="10">
        <f t="shared" si="2"/>
        <v>624</v>
      </c>
      <c r="AL21" s="10">
        <f t="shared" si="2"/>
        <v>984</v>
      </c>
      <c r="AM21" s="10">
        <f t="shared" si="2"/>
        <v>576</v>
      </c>
      <c r="AN21" s="10">
        <f t="shared" si="2"/>
        <v>744</v>
      </c>
      <c r="AO21" s="10">
        <f t="shared" si="2"/>
        <v>1512</v>
      </c>
      <c r="AP21" s="10">
        <f t="shared" si="2"/>
        <v>1536</v>
      </c>
      <c r="AQ21" s="10">
        <f t="shared" si="2"/>
        <v>1200</v>
      </c>
      <c r="AR21" s="10">
        <f t="shared" si="2"/>
        <v>168</v>
      </c>
      <c r="AS21" s="10">
        <f t="shared" si="2"/>
        <v>240</v>
      </c>
      <c r="AT21" s="10">
        <f t="shared" si="2"/>
        <v>768</v>
      </c>
      <c r="AU21" s="10">
        <f t="shared" si="2"/>
        <v>840</v>
      </c>
      <c r="AV21" s="10">
        <f t="shared" si="2"/>
        <v>336</v>
      </c>
      <c r="AW21" s="10">
        <f t="shared" si="2"/>
        <v>336</v>
      </c>
      <c r="AX21" s="10">
        <f t="shared" si="2"/>
        <v>408</v>
      </c>
      <c r="AY21" s="10">
        <f t="shared" si="2"/>
        <v>1248</v>
      </c>
      <c r="AZ21" s="10">
        <f t="shared" si="2"/>
        <v>1824</v>
      </c>
      <c r="BA21" s="10">
        <f t="shared" si="2"/>
        <v>1176</v>
      </c>
      <c r="BB21" s="10">
        <f t="shared" si="2"/>
        <v>1272</v>
      </c>
      <c r="BC21" s="10">
        <f t="shared" si="2"/>
        <v>1560</v>
      </c>
      <c r="BD21" s="10">
        <f t="shared" si="2"/>
        <v>1416</v>
      </c>
      <c r="BE21" s="10">
        <f t="shared" si="2"/>
        <v>216</v>
      </c>
    </row>
    <row r="22" spans="1:57" ht="42.75" customHeight="1" x14ac:dyDescent="0.25">
      <c r="A22" s="132" t="s">
        <v>168</v>
      </c>
      <c r="B22" s="56" t="s">
        <v>170</v>
      </c>
      <c r="C22" s="56" t="s">
        <v>11</v>
      </c>
      <c r="D22" s="144">
        <f>+D18/D21</f>
        <v>0.2095766129032258</v>
      </c>
      <c r="E22" s="136" t="s">
        <v>169</v>
      </c>
      <c r="F22" s="27"/>
      <c r="G22" s="90"/>
      <c r="I22" s="144">
        <f t="shared" ref="I22:BE22" si="3">+I18/I21</f>
        <v>0.2095766129032258</v>
      </c>
      <c r="J22" s="144">
        <f t="shared" si="3"/>
        <v>0.29673913043478262</v>
      </c>
      <c r="K22" s="144">
        <f t="shared" si="3"/>
        <v>1.5503906249999997</v>
      </c>
      <c r="L22" s="144">
        <f t="shared" si="3"/>
        <v>2.5254310344827582</v>
      </c>
      <c r="M22" s="144">
        <f t="shared" si="3"/>
        <v>3.5437499999999997</v>
      </c>
      <c r="N22" s="144">
        <f t="shared" si="3"/>
        <v>3.615340909090909</v>
      </c>
      <c r="O22" s="144">
        <f t="shared" si="3"/>
        <v>5.85</v>
      </c>
      <c r="P22" s="144">
        <f t="shared" si="3"/>
        <v>4.3706249999999995</v>
      </c>
      <c r="Q22" s="144">
        <f t="shared" si="3"/>
        <v>2.222351694915254</v>
      </c>
      <c r="R22" s="144">
        <f t="shared" si="3"/>
        <v>0.19687499999999999</v>
      </c>
      <c r="S22" s="144">
        <f t="shared" si="3"/>
        <v>0.1900862068965517</v>
      </c>
      <c r="T22" s="144">
        <f t="shared" si="3"/>
        <v>0.14273437499999997</v>
      </c>
      <c r="U22" s="144">
        <f t="shared" si="3"/>
        <v>0.20416666666666664</v>
      </c>
      <c r="V22" s="144">
        <f t="shared" si="3"/>
        <v>1.897159090909091</v>
      </c>
      <c r="W22" s="144">
        <f t="shared" si="3"/>
        <v>3.3880813953488369</v>
      </c>
      <c r="X22" s="144">
        <f t="shared" si="3"/>
        <v>4.1343749999999995</v>
      </c>
      <c r="Y22" s="144">
        <f t="shared" si="3"/>
        <v>4.7249999999999996</v>
      </c>
      <c r="Z22" s="144">
        <f t="shared" si="3"/>
        <v>3.8861413043478255</v>
      </c>
      <c r="AA22" s="144">
        <f t="shared" si="3"/>
        <v>1.6658653846153846</v>
      </c>
      <c r="AB22" s="144">
        <f t="shared" si="3"/>
        <v>0.36138698630136984</v>
      </c>
      <c r="AC22" s="144">
        <f t="shared" si="3"/>
        <v>0.18593749999999998</v>
      </c>
      <c r="AD22" s="144">
        <f t="shared" si="3"/>
        <v>0.19687499999999999</v>
      </c>
      <c r="AE22" s="144">
        <f t="shared" si="3"/>
        <v>0.21</v>
      </c>
      <c r="AF22" s="144">
        <f t="shared" si="3"/>
        <v>0.50624999999999998</v>
      </c>
      <c r="AG22" s="144">
        <f t="shared" si="3"/>
        <v>2.7808593749999999</v>
      </c>
      <c r="AH22" s="144">
        <f t="shared" si="3"/>
        <v>3.4340624999999929</v>
      </c>
      <c r="AI22" s="144">
        <f t="shared" si="3"/>
        <v>3.9746875000000155</v>
      </c>
      <c r="AJ22" s="144">
        <f t="shared" si="3"/>
        <v>4.3794642857142856</v>
      </c>
      <c r="AK22" s="144">
        <f t="shared" si="3"/>
        <v>2.8925480769230765</v>
      </c>
      <c r="AL22" s="144">
        <f t="shared" si="3"/>
        <v>0.68185975609756089</v>
      </c>
      <c r="AM22" s="144">
        <f t="shared" si="3"/>
        <v>0.29531249999999998</v>
      </c>
      <c r="AN22" s="144">
        <f t="shared" si="3"/>
        <v>0.19052419354838709</v>
      </c>
      <c r="AO22" s="144">
        <f t="shared" si="3"/>
        <v>0.17499999999999999</v>
      </c>
      <c r="AP22" s="144">
        <f t="shared" si="3"/>
        <v>0.22148437499999998</v>
      </c>
      <c r="AQ22" s="144">
        <f t="shared" si="3"/>
        <v>3.1893749999999996</v>
      </c>
      <c r="AR22" s="144">
        <f t="shared" si="3"/>
        <v>4.6124999999999998</v>
      </c>
      <c r="AS22" s="144">
        <f t="shared" si="3"/>
        <v>3.7406249999999996</v>
      </c>
      <c r="AT22" s="144">
        <f t="shared" si="3"/>
        <v>5.1802734374999995</v>
      </c>
      <c r="AU22" s="144">
        <f t="shared" si="3"/>
        <v>3.9037499999999996</v>
      </c>
      <c r="AV22" s="144">
        <f t="shared" si="3"/>
        <v>1.0968749999999998</v>
      </c>
      <c r="AW22" s="144">
        <f t="shared" si="3"/>
        <v>0.87187499999999996</v>
      </c>
      <c r="AX22" s="144">
        <f t="shared" si="3"/>
        <v>0.27794117647058819</v>
      </c>
      <c r="AY22" s="144">
        <f t="shared" si="3"/>
        <v>0.23473557692307692</v>
      </c>
      <c r="AZ22" s="144">
        <f t="shared" si="3"/>
        <v>0.16578947368421051</v>
      </c>
      <c r="BA22" s="144">
        <f t="shared" si="3"/>
        <v>0.24910714285714286</v>
      </c>
      <c r="BB22" s="144">
        <f t="shared" si="3"/>
        <v>1.6270047169811319</v>
      </c>
      <c r="BC22" s="144">
        <f t="shared" si="3"/>
        <v>2.8107692307692305</v>
      </c>
      <c r="BD22" s="144">
        <f t="shared" si="3"/>
        <v>0.9209745762711864</v>
      </c>
      <c r="BE22" s="144">
        <f t="shared" si="3"/>
        <v>0.21875</v>
      </c>
    </row>
    <row r="23" spans="1:57" ht="34.5" customHeight="1" x14ac:dyDescent="0.25">
      <c r="A23" s="4" t="s">
        <v>104</v>
      </c>
      <c r="B23" s="90" t="s">
        <v>126</v>
      </c>
      <c r="C23" s="89"/>
      <c r="D23" s="18" t="str">
        <f>+Method_input!E21</f>
        <v>nH</v>
      </c>
      <c r="E23" s="89"/>
      <c r="F23" s="133"/>
      <c r="G23" s="56" t="s">
        <v>171</v>
      </c>
      <c r="I23" s="90" t="str">
        <f>+Method_input!K21</f>
        <v>nH</v>
      </c>
      <c r="J23" s="90" t="str">
        <f>+Method_input!L21</f>
        <v>HnH</v>
      </c>
      <c r="K23" s="90" t="str">
        <f>+Method_input!M21</f>
        <v>H</v>
      </c>
      <c r="L23" s="90" t="str">
        <f>+Method_input!N21</f>
        <v>H</v>
      </c>
      <c r="M23" s="90" t="str">
        <f>+Method_input!O21</f>
        <v>H</v>
      </c>
      <c r="N23" s="90" t="str">
        <f>+Method_input!P21</f>
        <v>H</v>
      </c>
      <c r="O23" s="90" t="str">
        <f>+Method_input!Q21</f>
        <v>H</v>
      </c>
      <c r="P23" s="90" t="str">
        <f>+Method_input!R21</f>
        <v>H</v>
      </c>
      <c r="Q23" s="90" t="str">
        <f>+Method_input!S21</f>
        <v>HnH</v>
      </c>
      <c r="R23" s="90" t="str">
        <f>+Method_input!T21</f>
        <v>nH</v>
      </c>
      <c r="S23" s="90" t="str">
        <f>+Method_input!U21</f>
        <v>nH</v>
      </c>
      <c r="T23" s="90" t="str">
        <f>+Method_input!V21</f>
        <v>nH</v>
      </c>
      <c r="U23" s="90" t="str">
        <f>+Method_input!W21</f>
        <v>HnH</v>
      </c>
      <c r="V23" s="90" t="str">
        <f>+Method_input!X21</f>
        <v>H</v>
      </c>
      <c r="W23" s="90" t="str">
        <f>+Method_input!Y21</f>
        <v>H</v>
      </c>
      <c r="X23" s="90" t="str">
        <f>+Method_input!Z21</f>
        <v>H</v>
      </c>
      <c r="Y23" s="90" t="str">
        <f>+Method_input!AA21</f>
        <v>H</v>
      </c>
      <c r="Z23" s="90" t="str">
        <f>+Method_input!AB21</f>
        <v>H</v>
      </c>
      <c r="AA23" s="90" t="str">
        <f>+Method_input!AC21</f>
        <v>H</v>
      </c>
      <c r="AB23" s="90" t="str">
        <f>+Method_input!AD21</f>
        <v>HnH</v>
      </c>
      <c r="AC23" s="90" t="str">
        <f>+Method_input!AE21</f>
        <v>nH</v>
      </c>
      <c r="AD23" s="90" t="str">
        <f>+Method_input!AF21</f>
        <v>nH</v>
      </c>
      <c r="AE23" s="90" t="str">
        <f>+Method_input!AG21</f>
        <v>HnH</v>
      </c>
      <c r="AF23" s="90" t="str">
        <f>+Method_input!AH21</f>
        <v>H</v>
      </c>
      <c r="AG23" s="90" t="str">
        <f>+Method_input!AI21</f>
        <v>H</v>
      </c>
      <c r="AH23" s="90" t="str">
        <f>+Method_input!AJ21</f>
        <v>H</v>
      </c>
      <c r="AI23" s="90" t="str">
        <f>+Method_input!AK21</f>
        <v>H</v>
      </c>
      <c r="AJ23" s="90" t="str">
        <f>+Method_input!AL21</f>
        <v>H</v>
      </c>
      <c r="AK23" s="90" t="str">
        <f>+Method_input!AM21</f>
        <v>H</v>
      </c>
      <c r="AL23" s="90" t="str">
        <f>+Method_input!AN21</f>
        <v>HnH</v>
      </c>
      <c r="AM23" s="90" t="str">
        <f>+Method_input!AO21</f>
        <v>nH</v>
      </c>
      <c r="AN23" s="90" t="str">
        <f>+Method_input!AP21</f>
        <v>nH</v>
      </c>
      <c r="AO23" s="90" t="str">
        <f>+Method_input!AQ21</f>
        <v>nH</v>
      </c>
      <c r="AP23" s="90" t="str">
        <f>+Method_input!AR21</f>
        <v>HnH</v>
      </c>
      <c r="AQ23" s="90" t="str">
        <f>+Method_input!AS21</f>
        <v>H</v>
      </c>
      <c r="AR23" s="90" t="str">
        <f>+Method_input!AT21</f>
        <v>H</v>
      </c>
      <c r="AS23" s="90" t="str">
        <f>+Method_input!AU21</f>
        <v>H</v>
      </c>
      <c r="AT23" s="90" t="str">
        <f>+Method_input!AV21</f>
        <v>H</v>
      </c>
      <c r="AU23" s="90" t="str">
        <f>+Method_input!AW21</f>
        <v>H</v>
      </c>
      <c r="AV23" s="90" t="str">
        <f>+Method_input!AX21</f>
        <v>HnH</v>
      </c>
      <c r="AW23" s="90" t="str">
        <f>+Method_input!AY21</f>
        <v>HnH</v>
      </c>
      <c r="AX23" s="90" t="str">
        <f>+Method_input!AZ21</f>
        <v>nH</v>
      </c>
      <c r="AY23" s="90" t="str">
        <f>+Method_input!BA21</f>
        <v>nH</v>
      </c>
      <c r="AZ23" s="90" t="str">
        <f>+Method_input!BB21</f>
        <v>nH</v>
      </c>
      <c r="BA23" s="90" t="str">
        <f>+Method_input!BC21</f>
        <v>HnH</v>
      </c>
      <c r="BB23" s="90" t="str">
        <f>+Method_input!BD21</f>
        <v>H</v>
      </c>
      <c r="BC23" s="90" t="str">
        <f>+Method_input!BE21</f>
        <v>H</v>
      </c>
      <c r="BD23" s="90" t="str">
        <f>+Method_input!BF21</f>
        <v>H</v>
      </c>
      <c r="BE23" s="90" t="str">
        <f>+Method_input!BG21</f>
        <v>HnH</v>
      </c>
    </row>
    <row r="24" spans="1:57" ht="34.5" customHeight="1" x14ac:dyDescent="0.25">
      <c r="A24" s="132"/>
      <c r="B24" s="12"/>
      <c r="C24" s="90"/>
      <c r="D24" s="18"/>
      <c r="E24" s="90"/>
      <c r="F24" s="90"/>
      <c r="G24" s="56" t="s">
        <v>173</v>
      </c>
      <c r="I24" s="145">
        <f>IF(I23="nH",I22*I21,"")</f>
        <v>311.84999999999997</v>
      </c>
      <c r="J24" s="145" t="str">
        <f t="shared" ref="J24:BE24" si="4">IF(J23="nH",J22*J21,"")</f>
        <v/>
      </c>
      <c r="K24" s="145" t="str">
        <f t="shared" si="4"/>
        <v/>
      </c>
      <c r="L24" s="145" t="str">
        <f t="shared" si="4"/>
        <v/>
      </c>
      <c r="M24" s="145" t="str">
        <f t="shared" si="4"/>
        <v/>
      </c>
      <c r="N24" s="145" t="str">
        <f t="shared" si="4"/>
        <v/>
      </c>
      <c r="O24" s="145" t="str">
        <f t="shared" si="4"/>
        <v/>
      </c>
      <c r="P24" s="145" t="str">
        <f t="shared" si="4"/>
        <v/>
      </c>
      <c r="Q24" s="145" t="str">
        <f t="shared" si="4"/>
        <v/>
      </c>
      <c r="R24" s="145">
        <f t="shared" si="4"/>
        <v>9.4499999999999993</v>
      </c>
      <c r="S24" s="145">
        <f t="shared" si="4"/>
        <v>264.59999999999997</v>
      </c>
      <c r="T24" s="145">
        <f t="shared" si="4"/>
        <v>274.04999999999995</v>
      </c>
      <c r="U24" s="145" t="str">
        <f t="shared" si="4"/>
        <v/>
      </c>
      <c r="V24" s="145" t="str">
        <f t="shared" si="4"/>
        <v/>
      </c>
      <c r="W24" s="145" t="str">
        <f t="shared" si="4"/>
        <v/>
      </c>
      <c r="X24" s="145" t="str">
        <f t="shared" si="4"/>
        <v/>
      </c>
      <c r="Y24" s="145" t="str">
        <f t="shared" si="4"/>
        <v/>
      </c>
      <c r="Z24" s="145" t="str">
        <f t="shared" si="4"/>
        <v/>
      </c>
      <c r="AA24" s="145" t="str">
        <f t="shared" si="4"/>
        <v/>
      </c>
      <c r="AB24" s="145" t="str">
        <f t="shared" si="4"/>
        <v/>
      </c>
      <c r="AC24" s="145">
        <f t="shared" si="4"/>
        <v>321.29999999999995</v>
      </c>
      <c r="AD24" s="145">
        <f t="shared" si="4"/>
        <v>113.39999999999999</v>
      </c>
      <c r="AE24" s="145" t="str">
        <f t="shared" si="4"/>
        <v/>
      </c>
      <c r="AF24" s="145" t="str">
        <f t="shared" si="4"/>
        <v/>
      </c>
      <c r="AG24" s="145" t="str">
        <f t="shared" si="4"/>
        <v/>
      </c>
      <c r="AH24" s="145" t="str">
        <f t="shared" si="4"/>
        <v/>
      </c>
      <c r="AI24" s="145" t="str">
        <f t="shared" si="4"/>
        <v/>
      </c>
      <c r="AJ24" s="145" t="str">
        <f t="shared" si="4"/>
        <v/>
      </c>
      <c r="AK24" s="145" t="str">
        <f t="shared" si="4"/>
        <v/>
      </c>
      <c r="AL24" s="145" t="str">
        <f t="shared" si="4"/>
        <v/>
      </c>
      <c r="AM24" s="145">
        <f t="shared" si="4"/>
        <v>170.1</v>
      </c>
      <c r="AN24" s="145">
        <f t="shared" si="4"/>
        <v>141.75</v>
      </c>
      <c r="AO24" s="145">
        <f t="shared" si="4"/>
        <v>264.59999999999997</v>
      </c>
      <c r="AP24" s="145" t="str">
        <f t="shared" si="4"/>
        <v/>
      </c>
      <c r="AQ24" s="145" t="str">
        <f t="shared" si="4"/>
        <v/>
      </c>
      <c r="AR24" s="145" t="str">
        <f t="shared" si="4"/>
        <v/>
      </c>
      <c r="AS24" s="145" t="str">
        <f t="shared" si="4"/>
        <v/>
      </c>
      <c r="AT24" s="145" t="str">
        <f t="shared" si="4"/>
        <v/>
      </c>
      <c r="AU24" s="145" t="str">
        <f t="shared" si="4"/>
        <v/>
      </c>
      <c r="AV24" s="145" t="str">
        <f t="shared" si="4"/>
        <v/>
      </c>
      <c r="AW24" s="145" t="str">
        <f t="shared" si="4"/>
        <v/>
      </c>
      <c r="AX24" s="145">
        <f t="shared" si="4"/>
        <v>113.39999999999998</v>
      </c>
      <c r="AY24" s="145">
        <f t="shared" si="4"/>
        <v>292.95</v>
      </c>
      <c r="AZ24" s="145">
        <f t="shared" si="4"/>
        <v>302.39999999999998</v>
      </c>
      <c r="BA24" s="145" t="str">
        <f t="shared" si="4"/>
        <v/>
      </c>
      <c r="BB24" s="145" t="str">
        <f t="shared" si="4"/>
        <v/>
      </c>
      <c r="BC24" s="145" t="str">
        <f t="shared" si="4"/>
        <v/>
      </c>
      <c r="BD24" s="145" t="str">
        <f t="shared" si="4"/>
        <v/>
      </c>
      <c r="BE24" s="145" t="str">
        <f t="shared" si="4"/>
        <v/>
      </c>
    </row>
    <row r="25" spans="1:57" ht="34.5" customHeight="1" x14ac:dyDescent="0.25">
      <c r="A25" s="90"/>
      <c r="B25" s="56"/>
      <c r="C25" s="90"/>
      <c r="D25" s="90"/>
      <c r="E25" s="90"/>
      <c r="F25" s="90"/>
      <c r="G25" s="56" t="s">
        <v>172</v>
      </c>
      <c r="I25" s="90">
        <f>IF(I23="nH",I21,"")</f>
        <v>1488</v>
      </c>
      <c r="J25" s="90" t="str">
        <f t="shared" ref="J25:BE25" si="5">IF(J23="nH",J21,"")</f>
        <v/>
      </c>
      <c r="K25" s="90" t="str">
        <f t="shared" si="5"/>
        <v/>
      </c>
      <c r="L25" s="90" t="str">
        <f t="shared" si="5"/>
        <v/>
      </c>
      <c r="M25" s="90" t="str">
        <f t="shared" si="5"/>
        <v/>
      </c>
      <c r="N25" s="90" t="str">
        <f t="shared" si="5"/>
        <v/>
      </c>
      <c r="O25" s="90" t="str">
        <f t="shared" si="5"/>
        <v/>
      </c>
      <c r="P25" s="90" t="str">
        <f t="shared" si="5"/>
        <v/>
      </c>
      <c r="Q25" s="90" t="str">
        <f t="shared" si="5"/>
        <v/>
      </c>
      <c r="R25" s="90">
        <f t="shared" si="5"/>
        <v>48</v>
      </c>
      <c r="S25" s="90">
        <f t="shared" si="5"/>
        <v>1392</v>
      </c>
      <c r="T25" s="90">
        <f t="shared" si="5"/>
        <v>1920</v>
      </c>
      <c r="U25" s="90" t="str">
        <f t="shared" si="5"/>
        <v/>
      </c>
      <c r="V25" s="90" t="str">
        <f t="shared" si="5"/>
        <v/>
      </c>
      <c r="W25" s="90" t="str">
        <f t="shared" si="5"/>
        <v/>
      </c>
      <c r="X25" s="90" t="str">
        <f t="shared" si="5"/>
        <v/>
      </c>
      <c r="Y25" s="90" t="str">
        <f t="shared" si="5"/>
        <v/>
      </c>
      <c r="Z25" s="90" t="str">
        <f t="shared" si="5"/>
        <v/>
      </c>
      <c r="AA25" s="90" t="str">
        <f t="shared" si="5"/>
        <v/>
      </c>
      <c r="AB25" s="90" t="str">
        <f t="shared" si="5"/>
        <v/>
      </c>
      <c r="AC25" s="90">
        <f t="shared" si="5"/>
        <v>1728</v>
      </c>
      <c r="AD25" s="90">
        <f t="shared" si="5"/>
        <v>576</v>
      </c>
      <c r="AE25" s="90" t="str">
        <f t="shared" si="5"/>
        <v/>
      </c>
      <c r="AF25" s="90" t="str">
        <f t="shared" si="5"/>
        <v/>
      </c>
      <c r="AG25" s="90" t="str">
        <f t="shared" si="5"/>
        <v/>
      </c>
      <c r="AH25" s="90" t="str">
        <f t="shared" si="5"/>
        <v/>
      </c>
      <c r="AI25" s="90" t="str">
        <f t="shared" si="5"/>
        <v/>
      </c>
      <c r="AJ25" s="90" t="str">
        <f t="shared" si="5"/>
        <v/>
      </c>
      <c r="AK25" s="90" t="str">
        <f t="shared" si="5"/>
        <v/>
      </c>
      <c r="AL25" s="90" t="str">
        <f t="shared" si="5"/>
        <v/>
      </c>
      <c r="AM25" s="90">
        <f t="shared" si="5"/>
        <v>576</v>
      </c>
      <c r="AN25" s="90">
        <f t="shared" si="5"/>
        <v>744</v>
      </c>
      <c r="AO25" s="90">
        <f t="shared" si="5"/>
        <v>1512</v>
      </c>
      <c r="AP25" s="90" t="str">
        <f t="shared" si="5"/>
        <v/>
      </c>
      <c r="AQ25" s="90" t="str">
        <f t="shared" si="5"/>
        <v/>
      </c>
      <c r="AR25" s="90" t="str">
        <f t="shared" si="5"/>
        <v/>
      </c>
      <c r="AS25" s="90" t="str">
        <f t="shared" si="5"/>
        <v/>
      </c>
      <c r="AT25" s="90" t="str">
        <f t="shared" si="5"/>
        <v/>
      </c>
      <c r="AU25" s="90" t="str">
        <f t="shared" si="5"/>
        <v/>
      </c>
      <c r="AV25" s="90" t="str">
        <f t="shared" si="5"/>
        <v/>
      </c>
      <c r="AW25" s="90" t="str">
        <f t="shared" si="5"/>
        <v/>
      </c>
      <c r="AX25" s="90">
        <f t="shared" si="5"/>
        <v>408</v>
      </c>
      <c r="AY25" s="90">
        <f t="shared" si="5"/>
        <v>1248</v>
      </c>
      <c r="AZ25" s="90">
        <f t="shared" si="5"/>
        <v>1824</v>
      </c>
      <c r="BA25" s="90" t="str">
        <f t="shared" si="5"/>
        <v/>
      </c>
      <c r="BB25" s="90" t="str">
        <f t="shared" si="5"/>
        <v/>
      </c>
      <c r="BC25" s="90" t="str">
        <f t="shared" si="5"/>
        <v/>
      </c>
      <c r="BD25" s="90" t="str">
        <f t="shared" si="5"/>
        <v/>
      </c>
      <c r="BE25" s="90" t="str">
        <f t="shared" si="5"/>
        <v/>
      </c>
    </row>
    <row r="26" spans="1:57" ht="57.75" customHeight="1" x14ac:dyDescent="0.25">
      <c r="A26" s="152" t="s">
        <v>174</v>
      </c>
      <c r="B26" s="153" t="s">
        <v>179</v>
      </c>
      <c r="C26" s="135" t="s">
        <v>11</v>
      </c>
      <c r="D26" s="154">
        <f>SUM(I24:BE24)/SUM(I25:BE25)</f>
        <v>0.19161096256684487</v>
      </c>
      <c r="E26" s="155" t="s">
        <v>175</v>
      </c>
      <c r="F26"/>
      <c r="G26" s="28"/>
    </row>
    <row r="27" spans="1:57" ht="34.5" customHeight="1" x14ac:dyDescent="0.25">
      <c r="A27" s="15" t="s">
        <v>110</v>
      </c>
      <c r="B27" s="12" t="s">
        <v>182</v>
      </c>
      <c r="C27" s="56" t="s">
        <v>12</v>
      </c>
      <c r="D27" s="56" t="s">
        <v>180</v>
      </c>
      <c r="E27" s="89"/>
      <c r="F27" s="133"/>
      <c r="G27" s="56" t="s">
        <v>171</v>
      </c>
      <c r="I27" s="144">
        <f>+Method_input!K17</f>
        <v>23.25</v>
      </c>
      <c r="J27" s="144">
        <f>+Method_input!L17</f>
        <v>16.53</v>
      </c>
      <c r="K27" s="144">
        <f>+Method_input!M17</f>
        <v>10.7</v>
      </c>
      <c r="L27" s="144">
        <f>+Method_input!N17</f>
        <v>5.8</v>
      </c>
      <c r="M27" s="144">
        <f>+Method_input!O17</f>
        <v>3.3</v>
      </c>
      <c r="N27" s="144">
        <f>+Method_input!P17</f>
        <v>3.35</v>
      </c>
      <c r="O27" s="144">
        <f>+Method_input!Q17</f>
        <v>2.67</v>
      </c>
      <c r="P27" s="144">
        <f>+Method_input!R17</f>
        <v>5.85</v>
      </c>
      <c r="Q27" s="144">
        <f>+Method_input!S17</f>
        <v>11.28</v>
      </c>
      <c r="R27" s="144">
        <f>+Method_input!T17</f>
        <v>19.3</v>
      </c>
      <c r="S27" s="144">
        <f>+Method_input!U17</f>
        <v>23.7</v>
      </c>
      <c r="T27" s="144">
        <f>+Method_input!V17</f>
        <v>26.8</v>
      </c>
      <c r="U27" s="144">
        <f>+Method_input!W17</f>
        <v>19.5</v>
      </c>
      <c r="V27" s="144">
        <f>+Method_input!X17</f>
        <v>8.9600000000000009</v>
      </c>
      <c r="W27" s="144">
        <f>+Method_input!Y17</f>
        <v>6.88</v>
      </c>
      <c r="X27" s="144">
        <f>+Method_input!Z17</f>
        <v>2.4500000000000002</v>
      </c>
      <c r="Y27" s="144">
        <f>+Method_input!AA17</f>
        <v>3.48</v>
      </c>
      <c r="Z27" s="144">
        <f>+Method_input!AB17</f>
        <v>6.61</v>
      </c>
      <c r="AA27" s="144">
        <f>+Method_input!AC17</f>
        <v>9.9499999999999993</v>
      </c>
      <c r="AB27" s="144">
        <f>+Method_input!AD17</f>
        <v>15.7</v>
      </c>
      <c r="AC27" s="144">
        <f>+Method_input!AE17</f>
        <v>23.6</v>
      </c>
      <c r="AD27" s="144">
        <f>+Method_input!AF17</f>
        <v>21.01</v>
      </c>
      <c r="AE27" s="144">
        <f>+Method_input!AG17</f>
        <v>16.3</v>
      </c>
      <c r="AF27" s="144">
        <f>+Method_input!AH17</f>
        <v>13.4</v>
      </c>
      <c r="AG27" s="144">
        <f>+Method_input!AI17</f>
        <v>7.45</v>
      </c>
      <c r="AH27" s="144">
        <f>+Method_input!AJ17</f>
        <v>4.6500000000000004</v>
      </c>
      <c r="AI27" s="144">
        <f>+Method_input!AK17</f>
        <v>3</v>
      </c>
      <c r="AJ27" s="144">
        <f>+Method_input!AL17</f>
        <v>2.69</v>
      </c>
      <c r="AK27" s="144">
        <f>+Method_input!AM17</f>
        <v>7.5</v>
      </c>
      <c r="AL27" s="144">
        <f>+Method_input!AN17</f>
        <v>13.7</v>
      </c>
      <c r="AM27" s="144">
        <f>+Method_input!AO17</f>
        <v>18.760000000000002</v>
      </c>
      <c r="AN27" s="144">
        <f>+Method_input!AP17</f>
        <v>23.3</v>
      </c>
      <c r="AO27" s="144">
        <f>+Method_input!AQ17</f>
        <v>22.8</v>
      </c>
      <c r="AP27" s="144">
        <f>+Method_input!AR17</f>
        <v>16.46</v>
      </c>
      <c r="AQ27" s="144">
        <f>+Method_input!AS17</f>
        <v>5.77</v>
      </c>
      <c r="AR27" s="144">
        <f>+Method_input!AT17</f>
        <v>1.9</v>
      </c>
      <c r="AS27" s="144">
        <f>+Method_input!AU17</f>
        <v>3.83</v>
      </c>
      <c r="AT27" s="144">
        <f>+Method_input!AV17</f>
        <v>2.5499999999999998</v>
      </c>
      <c r="AU27" s="144">
        <f>+Method_input!AW17</f>
        <v>5.45</v>
      </c>
      <c r="AV27" s="144">
        <f>+Method_input!AX17</f>
        <v>10</v>
      </c>
      <c r="AW27" s="144">
        <f>+Method_input!AY17</f>
        <v>11.12</v>
      </c>
      <c r="AX27" s="144">
        <f>+Method_input!AZ17</f>
        <v>15.8</v>
      </c>
      <c r="AY27" s="144">
        <f>+Method_input!BA17</f>
        <v>19.3</v>
      </c>
      <c r="AZ27" s="144">
        <f>+Method_input!BB17</f>
        <v>23.9</v>
      </c>
      <c r="BA27" s="144">
        <f>+Method_input!BC17</f>
        <v>17.68</v>
      </c>
      <c r="BB27" s="144">
        <f>+Method_input!BD17</f>
        <v>9.5</v>
      </c>
      <c r="BC27" s="144">
        <f>+Method_input!BE17</f>
        <v>5.6</v>
      </c>
      <c r="BD27" s="144">
        <f>+Method_input!BF17</f>
        <v>12.24</v>
      </c>
      <c r="BE27" s="144">
        <f>+Method_input!BG17</f>
        <v>19.170000000000002</v>
      </c>
    </row>
    <row r="28" spans="1:57" ht="44.25" customHeight="1" x14ac:dyDescent="0.25">
      <c r="A28" s="132"/>
      <c r="B28" s="12"/>
      <c r="C28" s="56"/>
      <c r="D28" s="146"/>
      <c r="E28" s="136"/>
      <c r="F28" s="27"/>
      <c r="G28" s="56" t="s">
        <v>189</v>
      </c>
      <c r="H28" s="90"/>
      <c r="I28" s="90" t="b">
        <f>I23="H"</f>
        <v>0</v>
      </c>
      <c r="J28" s="90" t="b">
        <f t="shared" ref="J28:BE28" si="6">J23="H"</f>
        <v>0</v>
      </c>
      <c r="K28" s="90" t="b">
        <f t="shared" si="6"/>
        <v>1</v>
      </c>
      <c r="L28" s="90" t="b">
        <f t="shared" si="6"/>
        <v>1</v>
      </c>
      <c r="M28" s="90" t="b">
        <f t="shared" si="6"/>
        <v>1</v>
      </c>
      <c r="N28" s="90" t="b">
        <f t="shared" si="6"/>
        <v>1</v>
      </c>
      <c r="O28" s="90" t="b">
        <f t="shared" si="6"/>
        <v>1</v>
      </c>
      <c r="P28" s="90" t="b">
        <f t="shared" si="6"/>
        <v>1</v>
      </c>
      <c r="Q28" s="90" t="b">
        <f t="shared" si="6"/>
        <v>0</v>
      </c>
      <c r="R28" s="90" t="b">
        <f t="shared" si="6"/>
        <v>0</v>
      </c>
      <c r="S28" s="90" t="b">
        <f t="shared" si="6"/>
        <v>0</v>
      </c>
      <c r="T28" s="90" t="b">
        <f t="shared" si="6"/>
        <v>0</v>
      </c>
      <c r="U28" s="90" t="b">
        <f t="shared" si="6"/>
        <v>0</v>
      </c>
      <c r="V28" s="90" t="b">
        <f t="shared" si="6"/>
        <v>1</v>
      </c>
      <c r="W28" s="90" t="b">
        <f t="shared" si="6"/>
        <v>1</v>
      </c>
      <c r="X28" s="90" t="b">
        <f t="shared" si="6"/>
        <v>1</v>
      </c>
      <c r="Y28" s="90" t="b">
        <f t="shared" si="6"/>
        <v>1</v>
      </c>
      <c r="Z28" s="90" t="b">
        <f t="shared" si="6"/>
        <v>1</v>
      </c>
      <c r="AA28" s="90" t="b">
        <f t="shared" si="6"/>
        <v>1</v>
      </c>
      <c r="AB28" s="90" t="b">
        <f t="shared" si="6"/>
        <v>0</v>
      </c>
      <c r="AC28" s="90" t="b">
        <f t="shared" si="6"/>
        <v>0</v>
      </c>
      <c r="AD28" s="90" t="b">
        <f t="shared" si="6"/>
        <v>0</v>
      </c>
      <c r="AE28" s="90" t="b">
        <f t="shared" si="6"/>
        <v>0</v>
      </c>
      <c r="AF28" s="90" t="b">
        <f t="shared" si="6"/>
        <v>1</v>
      </c>
      <c r="AG28" s="90" t="b">
        <f t="shared" si="6"/>
        <v>1</v>
      </c>
      <c r="AH28" s="90" t="b">
        <f t="shared" si="6"/>
        <v>1</v>
      </c>
      <c r="AI28" s="90" t="b">
        <f t="shared" si="6"/>
        <v>1</v>
      </c>
      <c r="AJ28" s="90" t="b">
        <f t="shared" si="6"/>
        <v>1</v>
      </c>
      <c r="AK28" s="90" t="b">
        <f t="shared" si="6"/>
        <v>1</v>
      </c>
      <c r="AL28" s="90" t="b">
        <f t="shared" si="6"/>
        <v>0</v>
      </c>
      <c r="AM28" s="90" t="b">
        <f t="shared" si="6"/>
        <v>0</v>
      </c>
      <c r="AN28" s="90" t="b">
        <f t="shared" si="6"/>
        <v>0</v>
      </c>
      <c r="AO28" s="90" t="b">
        <f t="shared" si="6"/>
        <v>0</v>
      </c>
      <c r="AP28" s="90" t="b">
        <f t="shared" si="6"/>
        <v>0</v>
      </c>
      <c r="AQ28" s="90" t="b">
        <f t="shared" si="6"/>
        <v>1</v>
      </c>
      <c r="AR28" s="90" t="b">
        <f t="shared" si="6"/>
        <v>1</v>
      </c>
      <c r="AS28" s="90" t="b">
        <f t="shared" si="6"/>
        <v>1</v>
      </c>
      <c r="AT28" s="90" t="b">
        <f t="shared" si="6"/>
        <v>1</v>
      </c>
      <c r="AU28" s="90" t="b">
        <f t="shared" si="6"/>
        <v>1</v>
      </c>
      <c r="AV28" s="90" t="b">
        <f t="shared" si="6"/>
        <v>0</v>
      </c>
      <c r="AW28" s="90" t="b">
        <f t="shared" si="6"/>
        <v>0</v>
      </c>
      <c r="AX28" s="90" t="b">
        <f t="shared" si="6"/>
        <v>0</v>
      </c>
      <c r="AY28" s="90" t="b">
        <f t="shared" si="6"/>
        <v>0</v>
      </c>
      <c r="AZ28" s="90" t="b">
        <f t="shared" si="6"/>
        <v>0</v>
      </c>
      <c r="BA28" s="90" t="b">
        <f t="shared" si="6"/>
        <v>0</v>
      </c>
      <c r="BB28" s="90" t="b">
        <f t="shared" si="6"/>
        <v>1</v>
      </c>
      <c r="BC28" s="90" t="b">
        <f t="shared" si="6"/>
        <v>1</v>
      </c>
      <c r="BD28" s="90" t="b">
        <f t="shared" si="6"/>
        <v>1</v>
      </c>
      <c r="BE28" s="90" t="b">
        <f t="shared" si="6"/>
        <v>0</v>
      </c>
    </row>
    <row r="29" spans="1:57" ht="34.5" customHeight="1" x14ac:dyDescent="0.25">
      <c r="A29" s="156" t="s">
        <v>177</v>
      </c>
      <c r="B29" s="156" t="s">
        <v>178</v>
      </c>
      <c r="C29" s="156" t="s">
        <v>11</v>
      </c>
      <c r="D29" s="156" t="s">
        <v>180</v>
      </c>
      <c r="E29" s="157" t="s">
        <v>181</v>
      </c>
      <c r="F29" s="32"/>
      <c r="G29" s="6"/>
      <c r="I29" s="158" t="e">
        <f>IF(I28,I22-$D$26,#N/A)</f>
        <v>#N/A</v>
      </c>
      <c r="J29" s="158" t="e">
        <f t="shared" ref="J29:Q29" si="7">IF(J28,J22-$D$26,#N/A)</f>
        <v>#N/A</v>
      </c>
      <c r="K29" s="158">
        <f t="shared" si="7"/>
        <v>1.3587796624331547</v>
      </c>
      <c r="L29" s="158">
        <f t="shared" si="7"/>
        <v>2.3338200719159135</v>
      </c>
      <c r="M29" s="158">
        <f t="shared" si="7"/>
        <v>3.352139037433155</v>
      </c>
      <c r="N29" s="158">
        <f t="shared" si="7"/>
        <v>3.4237299465240643</v>
      </c>
      <c r="O29" s="158">
        <f t="shared" si="7"/>
        <v>5.6583890374331549</v>
      </c>
      <c r="P29" s="158">
        <f t="shared" si="7"/>
        <v>4.1790140374331548</v>
      </c>
      <c r="Q29" s="158" t="e">
        <f t="shared" si="7"/>
        <v>#N/A</v>
      </c>
      <c r="R29" s="158" t="e">
        <f t="shared" ref="R29" si="8">IF(R28,R22-$D$26,#N/A)</f>
        <v>#N/A</v>
      </c>
      <c r="S29" s="158" t="e">
        <f t="shared" ref="S29" si="9">IF(S28,S22-$D$26,#N/A)</f>
        <v>#N/A</v>
      </c>
      <c r="T29" s="158" t="e">
        <f t="shared" ref="T29" si="10">IF(T28,T22-$D$26,#N/A)</f>
        <v>#N/A</v>
      </c>
      <c r="U29" s="158" t="e">
        <f t="shared" ref="U29" si="11">IF(U28,U22-$D$26,#N/A)</f>
        <v>#N/A</v>
      </c>
      <c r="V29" s="158">
        <f t="shared" ref="V29" si="12">IF(V28,V22-$D$26,#N/A)</f>
        <v>1.705548128342246</v>
      </c>
      <c r="W29" s="158">
        <f t="shared" ref="W29" si="13">IF(W28,W22-$D$26,#N/A)</f>
        <v>3.1964704327819922</v>
      </c>
      <c r="X29" s="158">
        <f t="shared" ref="X29" si="14">IF(X28,X22-$D$26,#N/A)</f>
        <v>3.9427640374331547</v>
      </c>
      <c r="Y29" s="158">
        <f t="shared" ref="Y29" si="15">IF(Y28,Y22-$D$26,#N/A)</f>
        <v>4.5333890374331549</v>
      </c>
      <c r="Z29" s="158">
        <f t="shared" ref="Z29" si="16">IF(Z28,Z22-$D$26,#N/A)</f>
        <v>3.6945303417809807</v>
      </c>
      <c r="AA29" s="158">
        <f t="shared" ref="AA29" si="17">IF(AA28,AA22-$D$26,#N/A)</f>
        <v>1.4742544220485396</v>
      </c>
      <c r="AB29" s="158" t="e">
        <f t="shared" ref="AB29" si="18">IF(AB28,AB22-$D$26,#N/A)</f>
        <v>#N/A</v>
      </c>
      <c r="AC29" s="158" t="e">
        <f t="shared" ref="AC29" si="19">IF(AC28,AC22-$D$26,#N/A)</f>
        <v>#N/A</v>
      </c>
      <c r="AD29" s="158" t="e">
        <f t="shared" ref="AD29" si="20">IF(AD28,AD22-$D$26,#N/A)</f>
        <v>#N/A</v>
      </c>
      <c r="AE29" s="158" t="e">
        <f t="shared" ref="AE29" si="21">IF(AE28,AE22-$D$26,#N/A)</f>
        <v>#N/A</v>
      </c>
      <c r="AF29" s="158">
        <f t="shared" ref="AF29" si="22">IF(AF28,AF22-$D$26,#N/A)</f>
        <v>0.31463903743315513</v>
      </c>
      <c r="AG29" s="158">
        <f t="shared" ref="AG29" si="23">IF(AG28,AG22-$D$26,#N/A)</f>
        <v>2.5892484124331552</v>
      </c>
      <c r="AH29" s="158">
        <f t="shared" ref="AH29" si="24">IF(AH28,AH22-$D$26,#N/A)</f>
        <v>3.2424515374331482</v>
      </c>
      <c r="AI29" s="158">
        <f t="shared" ref="AI29" si="25">IF(AI28,AI22-$D$26,#N/A)</f>
        <v>3.7830765374331707</v>
      </c>
      <c r="AJ29" s="158">
        <f t="shared" ref="AJ29" si="26">IF(AJ28,AJ22-$D$26,#N/A)</f>
        <v>4.1878533231474409</v>
      </c>
      <c r="AK29" s="158">
        <f t="shared" ref="AK29" si="27">IF(AK28,AK22-$D$26,#N/A)</f>
        <v>2.7009371143562317</v>
      </c>
      <c r="AL29" s="158" t="e">
        <f t="shared" ref="AL29" si="28">IF(AL28,AL22-$D$26,#N/A)</f>
        <v>#N/A</v>
      </c>
      <c r="AM29" s="158" t="e">
        <f t="shared" ref="AM29" si="29">IF(AM28,AM22-$D$26,#N/A)</f>
        <v>#N/A</v>
      </c>
      <c r="AN29" s="158" t="e">
        <f t="shared" ref="AN29" si="30">IF(AN28,AN22-$D$26,#N/A)</f>
        <v>#N/A</v>
      </c>
      <c r="AO29" s="158" t="e">
        <f t="shared" ref="AO29" si="31">IF(AO28,AO22-$D$26,#N/A)</f>
        <v>#N/A</v>
      </c>
      <c r="AP29" s="158" t="e">
        <f t="shared" ref="AP29" si="32">IF(AP28,AP22-$D$26,#N/A)</f>
        <v>#N/A</v>
      </c>
      <c r="AQ29" s="158">
        <f t="shared" ref="AQ29" si="33">IF(AQ28,AQ22-$D$26,#N/A)</f>
        <v>2.9977640374331549</v>
      </c>
      <c r="AR29" s="158">
        <f t="shared" ref="AR29" si="34">IF(AR28,AR22-$D$26,#N/A)</f>
        <v>4.4208890374331551</v>
      </c>
      <c r="AS29" s="158">
        <f t="shared" ref="AS29" si="35">IF(AS28,AS22-$D$26,#N/A)</f>
        <v>3.5490140374331549</v>
      </c>
      <c r="AT29" s="158">
        <f t="shared" ref="AT29" si="36">IF(AT28,AT22-$D$26,#N/A)</f>
        <v>4.9886624749331547</v>
      </c>
      <c r="AU29" s="158">
        <f t="shared" ref="AU29" si="37">IF(AU28,AU22-$D$26,#N/A)</f>
        <v>3.7121390374331549</v>
      </c>
      <c r="AV29" s="158" t="e">
        <f t="shared" ref="AV29" si="38">IF(AV28,AV22-$D$26,#N/A)</f>
        <v>#N/A</v>
      </c>
      <c r="AW29" s="158" t="e">
        <f t="shared" ref="AW29" si="39">IF(AW28,AW22-$D$26,#N/A)</f>
        <v>#N/A</v>
      </c>
      <c r="AX29" s="158" t="e">
        <f t="shared" ref="AX29" si="40">IF(AX28,AX22-$D$26,#N/A)</f>
        <v>#N/A</v>
      </c>
      <c r="AY29" s="158" t="e">
        <f t="shared" ref="AY29" si="41">IF(AY28,AY22-$D$26,#N/A)</f>
        <v>#N/A</v>
      </c>
      <c r="AZ29" s="158" t="e">
        <f t="shared" ref="AZ29" si="42">IF(AZ28,AZ22-$D$26,#N/A)</f>
        <v>#N/A</v>
      </c>
      <c r="BA29" s="158" t="e">
        <f t="shared" ref="BA29" si="43">IF(BA28,BA22-$D$26,#N/A)</f>
        <v>#N/A</v>
      </c>
      <c r="BB29" s="158">
        <f t="shared" ref="BB29" si="44">IF(BB28,BB22-$D$26,#N/A)</f>
        <v>1.435393754414287</v>
      </c>
      <c r="BC29" s="158">
        <f t="shared" ref="BC29" si="45">IF(BC28,BC22-$D$26,#N/A)</f>
        <v>2.6191582682023857</v>
      </c>
      <c r="BD29" s="158">
        <f t="shared" ref="BD29" si="46">IF(BD28,BD22-$D$26,#N/A)</f>
        <v>0.72936361370434155</v>
      </c>
      <c r="BE29" s="158" t="e">
        <f t="shared" ref="BE29" si="47">IF(BE28,BE22-$D$26,#N/A)</f>
        <v>#N/A</v>
      </c>
    </row>
    <row r="30" spans="1:57" ht="34.5" customHeight="1" x14ac:dyDescent="0.25">
      <c r="A30" s="156" t="s">
        <v>207</v>
      </c>
      <c r="B30" s="12" t="s">
        <v>182</v>
      </c>
      <c r="C30" s="156" t="s">
        <v>12</v>
      </c>
      <c r="D30" s="156"/>
      <c r="E30" s="157"/>
      <c r="F30" s="32"/>
      <c r="G30" s="6"/>
      <c r="I30" s="144" t="e">
        <f>IF(I28,I27,#N/A)</f>
        <v>#N/A</v>
      </c>
      <c r="J30" s="144" t="e">
        <f t="shared" ref="J30:Q30" si="48">IF(J28,J27,#N/A)</f>
        <v>#N/A</v>
      </c>
      <c r="K30" s="144">
        <f t="shared" si="48"/>
        <v>10.7</v>
      </c>
      <c r="L30" s="144">
        <f t="shared" si="48"/>
        <v>5.8</v>
      </c>
      <c r="M30" s="144">
        <f t="shared" si="48"/>
        <v>3.3</v>
      </c>
      <c r="N30" s="144">
        <f t="shared" si="48"/>
        <v>3.35</v>
      </c>
      <c r="O30" s="144">
        <f t="shared" si="48"/>
        <v>2.67</v>
      </c>
      <c r="P30" s="144">
        <f t="shared" si="48"/>
        <v>5.85</v>
      </c>
      <c r="Q30" s="144" t="e">
        <f t="shared" si="48"/>
        <v>#N/A</v>
      </c>
      <c r="R30" s="144" t="e">
        <f t="shared" ref="R30:BE30" si="49">IF(R28,R27,#N/A)</f>
        <v>#N/A</v>
      </c>
      <c r="S30" s="144" t="e">
        <f t="shared" si="49"/>
        <v>#N/A</v>
      </c>
      <c r="T30" s="144" t="e">
        <f t="shared" si="49"/>
        <v>#N/A</v>
      </c>
      <c r="U30" s="144" t="e">
        <f t="shared" si="49"/>
        <v>#N/A</v>
      </c>
      <c r="V30" s="144">
        <f t="shared" si="49"/>
        <v>8.9600000000000009</v>
      </c>
      <c r="W30" s="144">
        <f t="shared" si="49"/>
        <v>6.88</v>
      </c>
      <c r="X30" s="144">
        <f t="shared" si="49"/>
        <v>2.4500000000000002</v>
      </c>
      <c r="Y30" s="144">
        <f t="shared" si="49"/>
        <v>3.48</v>
      </c>
      <c r="Z30" s="144">
        <f t="shared" si="49"/>
        <v>6.61</v>
      </c>
      <c r="AA30" s="144">
        <f t="shared" si="49"/>
        <v>9.9499999999999993</v>
      </c>
      <c r="AB30" s="144" t="e">
        <f t="shared" si="49"/>
        <v>#N/A</v>
      </c>
      <c r="AC30" s="144" t="e">
        <f t="shared" si="49"/>
        <v>#N/A</v>
      </c>
      <c r="AD30" s="144" t="e">
        <f t="shared" si="49"/>
        <v>#N/A</v>
      </c>
      <c r="AE30" s="144" t="e">
        <f t="shared" si="49"/>
        <v>#N/A</v>
      </c>
      <c r="AF30" s="144">
        <f t="shared" si="49"/>
        <v>13.4</v>
      </c>
      <c r="AG30" s="144">
        <f t="shared" si="49"/>
        <v>7.45</v>
      </c>
      <c r="AH30" s="144">
        <f t="shared" si="49"/>
        <v>4.6500000000000004</v>
      </c>
      <c r="AI30" s="144">
        <f t="shared" si="49"/>
        <v>3</v>
      </c>
      <c r="AJ30" s="144">
        <f t="shared" si="49"/>
        <v>2.69</v>
      </c>
      <c r="AK30" s="144">
        <f t="shared" si="49"/>
        <v>7.5</v>
      </c>
      <c r="AL30" s="144" t="e">
        <f t="shared" si="49"/>
        <v>#N/A</v>
      </c>
      <c r="AM30" s="144" t="e">
        <f t="shared" si="49"/>
        <v>#N/A</v>
      </c>
      <c r="AN30" s="144" t="e">
        <f t="shared" si="49"/>
        <v>#N/A</v>
      </c>
      <c r="AO30" s="144" t="e">
        <f t="shared" si="49"/>
        <v>#N/A</v>
      </c>
      <c r="AP30" s="144" t="e">
        <f t="shared" si="49"/>
        <v>#N/A</v>
      </c>
      <c r="AQ30" s="144">
        <f t="shared" si="49"/>
        <v>5.77</v>
      </c>
      <c r="AR30" s="144">
        <f t="shared" si="49"/>
        <v>1.9</v>
      </c>
      <c r="AS30" s="144">
        <f t="shared" si="49"/>
        <v>3.83</v>
      </c>
      <c r="AT30" s="144">
        <f t="shared" si="49"/>
        <v>2.5499999999999998</v>
      </c>
      <c r="AU30" s="144">
        <f t="shared" si="49"/>
        <v>5.45</v>
      </c>
      <c r="AV30" s="144" t="e">
        <f t="shared" si="49"/>
        <v>#N/A</v>
      </c>
      <c r="AW30" s="144" t="e">
        <f t="shared" si="49"/>
        <v>#N/A</v>
      </c>
      <c r="AX30" s="144" t="e">
        <f t="shared" si="49"/>
        <v>#N/A</v>
      </c>
      <c r="AY30" s="144" t="e">
        <f t="shared" si="49"/>
        <v>#N/A</v>
      </c>
      <c r="AZ30" s="144" t="e">
        <f t="shared" si="49"/>
        <v>#N/A</v>
      </c>
      <c r="BA30" s="144" t="e">
        <f t="shared" si="49"/>
        <v>#N/A</v>
      </c>
      <c r="BB30" s="144">
        <f t="shared" si="49"/>
        <v>9.5</v>
      </c>
      <c r="BC30" s="144">
        <f t="shared" si="49"/>
        <v>5.6</v>
      </c>
      <c r="BD30" s="144">
        <f t="shared" si="49"/>
        <v>12.24</v>
      </c>
      <c r="BE30" s="144" t="e">
        <f t="shared" si="49"/>
        <v>#N/A</v>
      </c>
    </row>
    <row r="31" spans="1:57" ht="34.5" customHeight="1" x14ac:dyDescent="0.25">
      <c r="A31" s="156"/>
      <c r="B31" s="156"/>
      <c r="C31" s="156"/>
      <c r="D31" s="156"/>
      <c r="E31" s="157"/>
      <c r="F31" s="32"/>
      <c r="G31" s="6"/>
      <c r="I31" s="149"/>
      <c r="J31" s="149"/>
      <c r="K31" s="149"/>
      <c r="L31" s="149"/>
      <c r="M31" s="149"/>
      <c r="N31" s="149"/>
      <c r="O31" s="149"/>
      <c r="P31" s="149"/>
      <c r="Q31" s="149"/>
      <c r="R31" s="149"/>
      <c r="S31" s="149"/>
      <c r="T31" s="149"/>
      <c r="U31" s="149"/>
      <c r="V31" s="149"/>
      <c r="W31" s="149"/>
      <c r="X31" s="149"/>
      <c r="Y31" s="149"/>
      <c r="Z31" s="149"/>
      <c r="AA31" s="149"/>
      <c r="AB31" s="149"/>
      <c r="AC31" s="149"/>
      <c r="AD31" s="149"/>
      <c r="AE31" s="149"/>
      <c r="AF31" s="149"/>
      <c r="AG31" s="149"/>
      <c r="AH31" s="149"/>
      <c r="AI31" s="149"/>
      <c r="AJ31" s="149"/>
      <c r="AK31" s="149"/>
      <c r="AL31" s="149"/>
      <c r="AM31" s="149"/>
      <c r="AN31" s="149"/>
      <c r="AO31" s="149"/>
      <c r="AP31" s="149"/>
      <c r="AQ31" s="149"/>
      <c r="AR31" s="149"/>
      <c r="AS31" s="149"/>
      <c r="AT31" s="149"/>
      <c r="AU31" s="149"/>
      <c r="AV31" s="149"/>
      <c r="AW31" s="149"/>
      <c r="AX31" s="149"/>
      <c r="AY31" s="149"/>
      <c r="AZ31" s="149"/>
      <c r="BA31" s="149"/>
      <c r="BB31" s="149"/>
      <c r="BC31" s="149"/>
      <c r="BD31" s="149"/>
      <c r="BE31" s="149"/>
    </row>
    <row r="32" spans="1:57" ht="34.5" customHeight="1" x14ac:dyDescent="0.25">
      <c r="A32" s="132"/>
      <c r="B32" s="56"/>
      <c r="C32" s="56"/>
      <c r="D32" s="56"/>
      <c r="E32" s="89"/>
      <c r="F32" s="133"/>
      <c r="G32" s="56" t="s">
        <v>204</v>
      </c>
      <c r="I32" s="144" t="b">
        <f t="shared" ref="I32:AN32" si="50">I23="nH"</f>
        <v>1</v>
      </c>
      <c r="J32" s="144" t="b">
        <f t="shared" si="50"/>
        <v>0</v>
      </c>
      <c r="K32" s="144" t="b">
        <f t="shared" si="50"/>
        <v>0</v>
      </c>
      <c r="L32" s="144" t="b">
        <f t="shared" si="50"/>
        <v>0</v>
      </c>
      <c r="M32" s="144" t="b">
        <f t="shared" si="50"/>
        <v>0</v>
      </c>
      <c r="N32" s="144" t="b">
        <f t="shared" si="50"/>
        <v>0</v>
      </c>
      <c r="O32" s="144" t="b">
        <f t="shared" si="50"/>
        <v>0</v>
      </c>
      <c r="P32" s="144" t="b">
        <f t="shared" si="50"/>
        <v>0</v>
      </c>
      <c r="Q32" s="144" t="b">
        <f t="shared" si="50"/>
        <v>0</v>
      </c>
      <c r="R32" s="144" t="b">
        <f t="shared" si="50"/>
        <v>1</v>
      </c>
      <c r="S32" s="144" t="b">
        <f t="shared" si="50"/>
        <v>1</v>
      </c>
      <c r="T32" s="144" t="b">
        <f t="shared" si="50"/>
        <v>1</v>
      </c>
      <c r="U32" s="144" t="b">
        <f t="shared" si="50"/>
        <v>0</v>
      </c>
      <c r="V32" s="144" t="b">
        <f t="shared" si="50"/>
        <v>0</v>
      </c>
      <c r="W32" s="144" t="b">
        <f t="shared" si="50"/>
        <v>0</v>
      </c>
      <c r="X32" s="144" t="b">
        <f t="shared" si="50"/>
        <v>0</v>
      </c>
      <c r="Y32" s="144" t="b">
        <f t="shared" si="50"/>
        <v>0</v>
      </c>
      <c r="Z32" s="144" t="b">
        <f t="shared" si="50"/>
        <v>0</v>
      </c>
      <c r="AA32" s="144" t="b">
        <f t="shared" si="50"/>
        <v>0</v>
      </c>
      <c r="AB32" s="144" t="b">
        <f t="shared" si="50"/>
        <v>0</v>
      </c>
      <c r="AC32" s="144" t="b">
        <f t="shared" si="50"/>
        <v>1</v>
      </c>
      <c r="AD32" s="144" t="b">
        <f t="shared" si="50"/>
        <v>1</v>
      </c>
      <c r="AE32" s="144" t="b">
        <f t="shared" si="50"/>
        <v>0</v>
      </c>
      <c r="AF32" s="144" t="b">
        <f t="shared" si="50"/>
        <v>0</v>
      </c>
      <c r="AG32" s="144" t="b">
        <f t="shared" si="50"/>
        <v>0</v>
      </c>
      <c r="AH32" s="144" t="b">
        <f t="shared" si="50"/>
        <v>0</v>
      </c>
      <c r="AI32" s="144" t="b">
        <f t="shared" si="50"/>
        <v>0</v>
      </c>
      <c r="AJ32" s="144" t="b">
        <f t="shared" si="50"/>
        <v>0</v>
      </c>
      <c r="AK32" s="144" t="b">
        <f t="shared" si="50"/>
        <v>0</v>
      </c>
      <c r="AL32" s="144" t="b">
        <f t="shared" si="50"/>
        <v>0</v>
      </c>
      <c r="AM32" s="144" t="b">
        <f t="shared" si="50"/>
        <v>1</v>
      </c>
      <c r="AN32" s="144" t="b">
        <f t="shared" si="50"/>
        <v>1</v>
      </c>
      <c r="AO32" s="144" t="b">
        <f t="shared" ref="AO32:BE32" si="51">AO23="nH"</f>
        <v>1</v>
      </c>
      <c r="AP32" s="144" t="b">
        <f t="shared" si="51"/>
        <v>0</v>
      </c>
      <c r="AQ32" s="144" t="b">
        <f t="shared" si="51"/>
        <v>0</v>
      </c>
      <c r="AR32" s="144" t="b">
        <f t="shared" si="51"/>
        <v>0</v>
      </c>
      <c r="AS32" s="144" t="b">
        <f t="shared" si="51"/>
        <v>0</v>
      </c>
      <c r="AT32" s="144" t="b">
        <f t="shared" si="51"/>
        <v>0</v>
      </c>
      <c r="AU32" s="144" t="b">
        <f t="shared" si="51"/>
        <v>0</v>
      </c>
      <c r="AV32" s="144" t="b">
        <f t="shared" si="51"/>
        <v>0</v>
      </c>
      <c r="AW32" s="144" t="b">
        <f t="shared" si="51"/>
        <v>0</v>
      </c>
      <c r="AX32" s="144" t="b">
        <f t="shared" si="51"/>
        <v>1</v>
      </c>
      <c r="AY32" s="144" t="b">
        <f t="shared" si="51"/>
        <v>1</v>
      </c>
      <c r="AZ32" s="144" t="b">
        <f t="shared" si="51"/>
        <v>1</v>
      </c>
      <c r="BA32" s="144" t="b">
        <f t="shared" si="51"/>
        <v>0</v>
      </c>
      <c r="BB32" s="144" t="b">
        <f t="shared" si="51"/>
        <v>0</v>
      </c>
      <c r="BC32" s="144" t="b">
        <f t="shared" si="51"/>
        <v>0</v>
      </c>
      <c r="BD32" s="144" t="b">
        <f t="shared" si="51"/>
        <v>0</v>
      </c>
      <c r="BE32" s="144" t="b">
        <f t="shared" si="51"/>
        <v>0</v>
      </c>
    </row>
    <row r="33" spans="1:57" ht="34.5" customHeight="1" x14ac:dyDescent="0.25">
      <c r="A33" s="156" t="s">
        <v>205</v>
      </c>
      <c r="B33" s="156" t="s">
        <v>206</v>
      </c>
      <c r="C33" s="56" t="s">
        <v>11</v>
      </c>
      <c r="D33" s="56"/>
      <c r="E33" s="89"/>
      <c r="F33" s="133"/>
      <c r="G33" s="56"/>
      <c r="I33" s="144">
        <f>IF(I32,I22,#N/A)</f>
        <v>0.2095766129032258</v>
      </c>
      <c r="J33" s="144" t="e">
        <f t="shared" ref="J33:BE33" si="52">IF(J32,J22,#N/A)</f>
        <v>#N/A</v>
      </c>
      <c r="K33" s="144" t="e">
        <f t="shared" si="52"/>
        <v>#N/A</v>
      </c>
      <c r="L33" s="144" t="e">
        <f t="shared" si="52"/>
        <v>#N/A</v>
      </c>
      <c r="M33" s="144" t="e">
        <f t="shared" si="52"/>
        <v>#N/A</v>
      </c>
      <c r="N33" s="144" t="e">
        <f t="shared" si="52"/>
        <v>#N/A</v>
      </c>
      <c r="O33" s="144" t="e">
        <f t="shared" si="52"/>
        <v>#N/A</v>
      </c>
      <c r="P33" s="144" t="e">
        <f t="shared" si="52"/>
        <v>#N/A</v>
      </c>
      <c r="Q33" s="144" t="e">
        <f t="shared" si="52"/>
        <v>#N/A</v>
      </c>
      <c r="R33" s="144">
        <f t="shared" si="52"/>
        <v>0.19687499999999999</v>
      </c>
      <c r="S33" s="144">
        <f t="shared" si="52"/>
        <v>0.1900862068965517</v>
      </c>
      <c r="T33" s="144">
        <f t="shared" si="52"/>
        <v>0.14273437499999997</v>
      </c>
      <c r="U33" s="144" t="e">
        <f t="shared" si="52"/>
        <v>#N/A</v>
      </c>
      <c r="V33" s="144" t="e">
        <f t="shared" si="52"/>
        <v>#N/A</v>
      </c>
      <c r="W33" s="144" t="e">
        <f t="shared" si="52"/>
        <v>#N/A</v>
      </c>
      <c r="X33" s="144" t="e">
        <f t="shared" si="52"/>
        <v>#N/A</v>
      </c>
      <c r="Y33" s="144" t="e">
        <f t="shared" si="52"/>
        <v>#N/A</v>
      </c>
      <c r="Z33" s="144" t="e">
        <f t="shared" si="52"/>
        <v>#N/A</v>
      </c>
      <c r="AA33" s="144" t="e">
        <f t="shared" si="52"/>
        <v>#N/A</v>
      </c>
      <c r="AB33" s="144" t="e">
        <f t="shared" si="52"/>
        <v>#N/A</v>
      </c>
      <c r="AC33" s="144">
        <f t="shared" si="52"/>
        <v>0.18593749999999998</v>
      </c>
      <c r="AD33" s="144">
        <f t="shared" si="52"/>
        <v>0.19687499999999999</v>
      </c>
      <c r="AE33" s="144" t="e">
        <f t="shared" si="52"/>
        <v>#N/A</v>
      </c>
      <c r="AF33" s="144" t="e">
        <f t="shared" si="52"/>
        <v>#N/A</v>
      </c>
      <c r="AG33" s="144" t="e">
        <f t="shared" si="52"/>
        <v>#N/A</v>
      </c>
      <c r="AH33" s="144" t="e">
        <f t="shared" si="52"/>
        <v>#N/A</v>
      </c>
      <c r="AI33" s="144" t="e">
        <f t="shared" si="52"/>
        <v>#N/A</v>
      </c>
      <c r="AJ33" s="144" t="e">
        <f t="shared" si="52"/>
        <v>#N/A</v>
      </c>
      <c r="AK33" s="144" t="e">
        <f t="shared" si="52"/>
        <v>#N/A</v>
      </c>
      <c r="AL33" s="144" t="e">
        <f t="shared" si="52"/>
        <v>#N/A</v>
      </c>
      <c r="AM33" s="144">
        <f t="shared" si="52"/>
        <v>0.29531249999999998</v>
      </c>
      <c r="AN33" s="144">
        <f t="shared" si="52"/>
        <v>0.19052419354838709</v>
      </c>
      <c r="AO33" s="144">
        <f t="shared" si="52"/>
        <v>0.17499999999999999</v>
      </c>
      <c r="AP33" s="144" t="e">
        <f t="shared" si="52"/>
        <v>#N/A</v>
      </c>
      <c r="AQ33" s="144" t="e">
        <f t="shared" si="52"/>
        <v>#N/A</v>
      </c>
      <c r="AR33" s="144" t="e">
        <f t="shared" si="52"/>
        <v>#N/A</v>
      </c>
      <c r="AS33" s="144" t="e">
        <f t="shared" si="52"/>
        <v>#N/A</v>
      </c>
      <c r="AT33" s="144" t="e">
        <f t="shared" si="52"/>
        <v>#N/A</v>
      </c>
      <c r="AU33" s="144" t="e">
        <f t="shared" si="52"/>
        <v>#N/A</v>
      </c>
      <c r="AV33" s="144" t="e">
        <f t="shared" si="52"/>
        <v>#N/A</v>
      </c>
      <c r="AW33" s="144" t="e">
        <f t="shared" si="52"/>
        <v>#N/A</v>
      </c>
      <c r="AX33" s="144">
        <f t="shared" si="52"/>
        <v>0.27794117647058819</v>
      </c>
      <c r="AY33" s="144">
        <f t="shared" si="52"/>
        <v>0.23473557692307692</v>
      </c>
      <c r="AZ33" s="144">
        <f t="shared" si="52"/>
        <v>0.16578947368421051</v>
      </c>
      <c r="BA33" s="144" t="e">
        <f t="shared" si="52"/>
        <v>#N/A</v>
      </c>
      <c r="BB33" s="144" t="e">
        <f t="shared" si="52"/>
        <v>#N/A</v>
      </c>
      <c r="BC33" s="144" t="e">
        <f t="shared" si="52"/>
        <v>#N/A</v>
      </c>
      <c r="BD33" s="144" t="e">
        <f t="shared" si="52"/>
        <v>#N/A</v>
      </c>
      <c r="BE33" s="144" t="e">
        <f t="shared" si="52"/>
        <v>#N/A</v>
      </c>
    </row>
    <row r="34" spans="1:57" ht="34.5" customHeight="1" x14ac:dyDescent="0.25">
      <c r="A34" s="156" t="s">
        <v>207</v>
      </c>
      <c r="B34" s="12" t="s">
        <v>182</v>
      </c>
      <c r="C34" s="156" t="s">
        <v>12</v>
      </c>
      <c r="D34" s="156"/>
      <c r="E34" s="157"/>
      <c r="F34" s="32"/>
      <c r="G34" s="6"/>
      <c r="I34" s="144">
        <f>IF(I32,I27,#N/A)</f>
        <v>23.25</v>
      </c>
      <c r="J34" s="144" t="e">
        <f t="shared" ref="J34:BE34" si="53">IF(J32,J27,#N/A)</f>
        <v>#N/A</v>
      </c>
      <c r="K34" s="144" t="e">
        <f t="shared" si="53"/>
        <v>#N/A</v>
      </c>
      <c r="L34" s="144" t="e">
        <f t="shared" si="53"/>
        <v>#N/A</v>
      </c>
      <c r="M34" s="144" t="e">
        <f t="shared" si="53"/>
        <v>#N/A</v>
      </c>
      <c r="N34" s="144" t="e">
        <f t="shared" si="53"/>
        <v>#N/A</v>
      </c>
      <c r="O34" s="144" t="e">
        <f t="shared" si="53"/>
        <v>#N/A</v>
      </c>
      <c r="P34" s="144" t="e">
        <f t="shared" si="53"/>
        <v>#N/A</v>
      </c>
      <c r="Q34" s="144" t="e">
        <f t="shared" si="53"/>
        <v>#N/A</v>
      </c>
      <c r="R34" s="144">
        <f t="shared" si="53"/>
        <v>19.3</v>
      </c>
      <c r="S34" s="144">
        <f t="shared" si="53"/>
        <v>23.7</v>
      </c>
      <c r="T34" s="144">
        <f t="shared" si="53"/>
        <v>26.8</v>
      </c>
      <c r="U34" s="144" t="e">
        <f t="shared" si="53"/>
        <v>#N/A</v>
      </c>
      <c r="V34" s="144" t="e">
        <f t="shared" si="53"/>
        <v>#N/A</v>
      </c>
      <c r="W34" s="144" t="e">
        <f t="shared" si="53"/>
        <v>#N/A</v>
      </c>
      <c r="X34" s="144" t="e">
        <f t="shared" si="53"/>
        <v>#N/A</v>
      </c>
      <c r="Y34" s="144" t="e">
        <f t="shared" si="53"/>
        <v>#N/A</v>
      </c>
      <c r="Z34" s="144" t="e">
        <f t="shared" si="53"/>
        <v>#N/A</v>
      </c>
      <c r="AA34" s="144" t="e">
        <f t="shared" si="53"/>
        <v>#N/A</v>
      </c>
      <c r="AB34" s="144" t="e">
        <f t="shared" si="53"/>
        <v>#N/A</v>
      </c>
      <c r="AC34" s="144">
        <f t="shared" si="53"/>
        <v>23.6</v>
      </c>
      <c r="AD34" s="144">
        <f t="shared" si="53"/>
        <v>21.01</v>
      </c>
      <c r="AE34" s="144" t="e">
        <f t="shared" si="53"/>
        <v>#N/A</v>
      </c>
      <c r="AF34" s="144" t="e">
        <f t="shared" si="53"/>
        <v>#N/A</v>
      </c>
      <c r="AG34" s="144" t="e">
        <f t="shared" si="53"/>
        <v>#N/A</v>
      </c>
      <c r="AH34" s="144" t="e">
        <f t="shared" si="53"/>
        <v>#N/A</v>
      </c>
      <c r="AI34" s="144" t="e">
        <f t="shared" si="53"/>
        <v>#N/A</v>
      </c>
      <c r="AJ34" s="144" t="e">
        <f t="shared" si="53"/>
        <v>#N/A</v>
      </c>
      <c r="AK34" s="144" t="e">
        <f t="shared" si="53"/>
        <v>#N/A</v>
      </c>
      <c r="AL34" s="144" t="e">
        <f t="shared" si="53"/>
        <v>#N/A</v>
      </c>
      <c r="AM34" s="144">
        <f t="shared" si="53"/>
        <v>18.760000000000002</v>
      </c>
      <c r="AN34" s="144">
        <f t="shared" si="53"/>
        <v>23.3</v>
      </c>
      <c r="AO34" s="144">
        <f t="shared" si="53"/>
        <v>22.8</v>
      </c>
      <c r="AP34" s="144" t="e">
        <f t="shared" si="53"/>
        <v>#N/A</v>
      </c>
      <c r="AQ34" s="144" t="e">
        <f t="shared" si="53"/>
        <v>#N/A</v>
      </c>
      <c r="AR34" s="144" t="e">
        <f t="shared" si="53"/>
        <v>#N/A</v>
      </c>
      <c r="AS34" s="144" t="e">
        <f t="shared" si="53"/>
        <v>#N/A</v>
      </c>
      <c r="AT34" s="144" t="e">
        <f t="shared" si="53"/>
        <v>#N/A</v>
      </c>
      <c r="AU34" s="144" t="e">
        <f t="shared" si="53"/>
        <v>#N/A</v>
      </c>
      <c r="AV34" s="144" t="e">
        <f t="shared" si="53"/>
        <v>#N/A</v>
      </c>
      <c r="AW34" s="144" t="e">
        <f t="shared" si="53"/>
        <v>#N/A</v>
      </c>
      <c r="AX34" s="144">
        <f t="shared" si="53"/>
        <v>15.8</v>
      </c>
      <c r="AY34" s="144">
        <f t="shared" si="53"/>
        <v>19.3</v>
      </c>
      <c r="AZ34" s="144">
        <f t="shared" si="53"/>
        <v>23.9</v>
      </c>
      <c r="BA34" s="144" t="e">
        <f t="shared" si="53"/>
        <v>#N/A</v>
      </c>
      <c r="BB34" s="144" t="e">
        <f t="shared" si="53"/>
        <v>#N/A</v>
      </c>
      <c r="BC34" s="144" t="e">
        <f t="shared" si="53"/>
        <v>#N/A</v>
      </c>
      <c r="BD34" s="144" t="e">
        <f t="shared" si="53"/>
        <v>#N/A</v>
      </c>
      <c r="BE34" s="144" t="e">
        <f t="shared" si="53"/>
        <v>#N/A</v>
      </c>
    </row>
    <row r="35" spans="1:57" ht="34.5" customHeight="1" x14ac:dyDescent="0.25">
      <c r="A35" s="156"/>
      <c r="B35" s="156"/>
      <c r="C35" s="156"/>
      <c r="D35" s="156"/>
      <c r="E35" s="157"/>
      <c r="F35" s="32"/>
      <c r="G35" s="6"/>
      <c r="I35" s="149"/>
      <c r="J35" s="149"/>
      <c r="K35" s="149"/>
      <c r="L35" s="149"/>
      <c r="M35" s="149"/>
      <c r="N35" s="149"/>
      <c r="O35" s="149"/>
      <c r="P35" s="149"/>
      <c r="Q35" s="149"/>
      <c r="R35" s="149"/>
      <c r="S35" s="149"/>
      <c r="T35" s="149"/>
      <c r="U35" s="149"/>
      <c r="V35" s="149"/>
      <c r="W35" s="149"/>
      <c r="X35" s="149"/>
      <c r="Y35" s="149"/>
      <c r="Z35" s="149"/>
      <c r="AA35" s="149"/>
      <c r="AB35" s="149"/>
      <c r="AC35" s="149"/>
      <c r="AD35" s="149"/>
      <c r="AE35" s="149"/>
      <c r="AF35" s="149"/>
      <c r="AG35" s="149"/>
      <c r="AH35" s="149"/>
      <c r="AI35" s="149"/>
      <c r="AJ35" s="149"/>
      <c r="AK35" s="149"/>
      <c r="AL35" s="149"/>
      <c r="AM35" s="149"/>
      <c r="AN35" s="149"/>
      <c r="AO35" s="149"/>
      <c r="AP35" s="149"/>
      <c r="AQ35" s="149"/>
      <c r="AR35" s="149"/>
      <c r="AS35" s="149"/>
      <c r="AT35" s="149"/>
      <c r="AU35" s="149"/>
      <c r="AV35" s="149"/>
      <c r="AW35" s="149"/>
      <c r="AX35" s="149"/>
      <c r="AY35" s="149"/>
      <c r="AZ35" s="149"/>
      <c r="BA35" s="149"/>
      <c r="BB35" s="149"/>
      <c r="BC35" s="149"/>
      <c r="BD35" s="149"/>
      <c r="BE35" s="149"/>
    </row>
    <row r="36" spans="1:57" ht="34.5" customHeight="1" x14ac:dyDescent="0.25">
      <c r="A36" s="183" t="s">
        <v>216</v>
      </c>
      <c r="B36" s="183" t="s">
        <v>217</v>
      </c>
      <c r="C36" s="183" t="s">
        <v>12</v>
      </c>
      <c r="D36" s="88">
        <v>20</v>
      </c>
      <c r="E36" s="157"/>
      <c r="F36" s="32"/>
      <c r="G36" s="6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149"/>
      <c r="W36" s="149"/>
      <c r="X36" s="149"/>
      <c r="Y36" s="149"/>
      <c r="Z36" s="149"/>
      <c r="AA36" s="149"/>
      <c r="AB36" s="149"/>
      <c r="AC36" s="149"/>
      <c r="AD36" s="149"/>
      <c r="AE36" s="149"/>
      <c r="AF36" s="149"/>
      <c r="AG36" s="149"/>
      <c r="AH36" s="149"/>
      <c r="AI36" s="149"/>
      <c r="AJ36" s="149"/>
      <c r="AK36" s="149"/>
      <c r="AL36" s="149"/>
      <c r="AM36" s="149"/>
      <c r="AN36" s="149"/>
      <c r="AO36" s="149"/>
      <c r="AP36" s="149"/>
      <c r="AQ36" s="149"/>
      <c r="AR36" s="149"/>
      <c r="AS36" s="149"/>
      <c r="AT36" s="149"/>
      <c r="AU36" s="149"/>
      <c r="AV36" s="149"/>
      <c r="AW36" s="149"/>
      <c r="AX36" s="149"/>
      <c r="AY36" s="149"/>
      <c r="AZ36" s="149"/>
      <c r="BA36" s="149"/>
      <c r="BB36" s="149"/>
      <c r="BC36" s="149"/>
      <c r="BD36" s="149"/>
      <c r="BE36" s="149"/>
    </row>
    <row r="37" spans="1:57" ht="34.5" customHeight="1" x14ac:dyDescent="0.25">
      <c r="A37" s="156" t="s">
        <v>194</v>
      </c>
      <c r="B37" s="56" t="s">
        <v>198</v>
      </c>
      <c r="C37" s="56" t="s">
        <v>190</v>
      </c>
      <c r="D37" s="10">
        <f>+Method_input!E41</f>
        <v>2293</v>
      </c>
      <c r="E37" s="157"/>
      <c r="F37" s="32"/>
      <c r="G37" s="6"/>
      <c r="I37" s="149"/>
      <c r="J37" s="149"/>
      <c r="K37" s="149"/>
      <c r="L37" s="149"/>
      <c r="M37" s="149"/>
      <c r="N37" s="149"/>
      <c r="O37" s="149"/>
      <c r="P37" s="149"/>
      <c r="Q37" s="149"/>
      <c r="R37" s="149"/>
      <c r="S37" s="149"/>
      <c r="T37" s="149"/>
      <c r="U37" s="149"/>
      <c r="V37" s="149"/>
      <c r="W37" s="149"/>
      <c r="X37" s="149"/>
      <c r="Y37" s="149"/>
      <c r="Z37" s="149"/>
      <c r="AA37" s="149"/>
      <c r="AB37" s="149"/>
      <c r="AC37" s="149"/>
      <c r="AD37" s="149"/>
      <c r="AE37" s="149"/>
      <c r="AF37" s="149"/>
      <c r="AG37" s="149"/>
      <c r="AH37" s="149"/>
      <c r="AI37" s="149"/>
      <c r="AJ37" s="149"/>
      <c r="AK37" s="149"/>
      <c r="AL37" s="149"/>
      <c r="AM37" s="149"/>
      <c r="AN37" s="149"/>
      <c r="AO37" s="149"/>
      <c r="AP37" s="149"/>
      <c r="AQ37" s="149"/>
      <c r="AR37" s="149"/>
      <c r="AS37" s="149"/>
      <c r="AT37" s="149"/>
      <c r="AU37" s="149"/>
      <c r="AV37" s="149"/>
      <c r="AW37" s="149"/>
      <c r="AX37" s="149"/>
      <c r="AY37" s="149"/>
      <c r="AZ37" s="149"/>
      <c r="BA37" s="149"/>
      <c r="BB37" s="149"/>
      <c r="BC37" s="149"/>
      <c r="BD37" s="149"/>
      <c r="BE37" s="149"/>
    </row>
    <row r="38" spans="1:57" ht="34.5" customHeight="1" x14ac:dyDescent="0.25">
      <c r="A38" s="156" t="s">
        <v>213</v>
      </c>
      <c r="B38" s="12" t="s">
        <v>214</v>
      </c>
      <c r="C38" s="156" t="s">
        <v>215</v>
      </c>
      <c r="D38" s="156">
        <v>183</v>
      </c>
      <c r="E38" s="157"/>
      <c r="F38" s="32"/>
      <c r="G38" s="6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49"/>
      <c r="Y38" s="149"/>
      <c r="Z38" s="149"/>
      <c r="AA38" s="149"/>
      <c r="AB38" s="149"/>
      <c r="AC38" s="149"/>
      <c r="AD38" s="149"/>
      <c r="AE38" s="149"/>
      <c r="AF38" s="149"/>
      <c r="AG38" s="149"/>
      <c r="AH38" s="149"/>
      <c r="AI38" s="149"/>
      <c r="AJ38" s="149"/>
      <c r="AK38" s="149"/>
      <c r="AL38" s="149"/>
      <c r="AM38" s="149"/>
      <c r="AN38" s="149"/>
      <c r="AO38" s="149"/>
      <c r="AP38" s="149"/>
      <c r="AQ38" s="149"/>
      <c r="AR38" s="149"/>
      <c r="AS38" s="149"/>
      <c r="AT38" s="149"/>
      <c r="AU38" s="149"/>
      <c r="AV38" s="149"/>
      <c r="AW38" s="149"/>
      <c r="AX38" s="149"/>
      <c r="AY38" s="149"/>
      <c r="AZ38" s="149"/>
      <c r="BA38" s="149"/>
      <c r="BB38" s="149"/>
      <c r="BC38" s="149"/>
      <c r="BD38" s="149"/>
      <c r="BE38" s="149"/>
    </row>
    <row r="39" spans="1:57" ht="34.5" customHeight="1" x14ac:dyDescent="0.25">
      <c r="A39" s="156" t="s">
        <v>212</v>
      </c>
      <c r="B39" s="12" t="s">
        <v>209</v>
      </c>
      <c r="C39" s="156" t="s">
        <v>12</v>
      </c>
      <c r="D39" s="182">
        <f>20-(D37/D38)</f>
        <v>7.4699453551912569</v>
      </c>
      <c r="E39" s="157"/>
      <c r="F39" s="32"/>
      <c r="G39" s="6"/>
      <c r="I39" s="149"/>
      <c r="J39" s="149"/>
      <c r="K39" s="149"/>
      <c r="L39" s="88">
        <v>0</v>
      </c>
      <c r="M39" s="185">
        <f>MAX(I22:BE22)</f>
        <v>5.85</v>
      </c>
      <c r="N39" s="149"/>
      <c r="P39" s="185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  <c r="AI39" s="149"/>
      <c r="AJ39" s="149"/>
      <c r="AK39" s="149"/>
      <c r="AL39" s="149"/>
      <c r="AM39" s="149"/>
      <c r="AN39" s="149"/>
      <c r="AO39" s="149"/>
      <c r="AP39" s="149"/>
      <c r="AQ39" s="149"/>
      <c r="AR39" s="149"/>
      <c r="AS39" s="149"/>
      <c r="AT39" s="149"/>
      <c r="AU39" s="149"/>
      <c r="AV39" s="149"/>
      <c r="AW39" s="149"/>
      <c r="AX39" s="149"/>
      <c r="AY39" s="149"/>
      <c r="AZ39" s="149"/>
      <c r="BA39" s="149"/>
      <c r="BB39" s="149"/>
      <c r="BC39" s="149"/>
      <c r="BD39" s="149"/>
      <c r="BE39" s="149"/>
    </row>
    <row r="40" spans="1:57" ht="34.5" customHeight="1" x14ac:dyDescent="0.25">
      <c r="E40" s="157"/>
      <c r="F40" s="32"/>
      <c r="G40" s="6"/>
      <c r="I40" s="149"/>
      <c r="J40" s="149"/>
      <c r="K40" s="149"/>
      <c r="L40" s="184">
        <f>+D45</f>
        <v>2.9699453551912569</v>
      </c>
      <c r="M40" s="184">
        <f>+D45</f>
        <v>2.9699453551912569</v>
      </c>
      <c r="N40" s="149"/>
      <c r="O40" s="184"/>
      <c r="P40" s="184"/>
      <c r="Q40" s="149"/>
      <c r="R40" s="149"/>
      <c r="S40" s="149"/>
      <c r="T40" s="149"/>
      <c r="U40" s="149"/>
      <c r="V40" s="149"/>
      <c r="W40" s="149"/>
      <c r="X40" s="149"/>
      <c r="Y40" s="149"/>
      <c r="Z40" s="149"/>
      <c r="AA40" s="149"/>
      <c r="AB40" s="149"/>
      <c r="AC40" s="149"/>
      <c r="AD40" s="149"/>
      <c r="AE40" s="149"/>
      <c r="AF40" s="149"/>
      <c r="AG40" s="149"/>
      <c r="AH40" s="149"/>
      <c r="AI40" s="149"/>
      <c r="AJ40" s="149"/>
      <c r="AK40" s="149"/>
      <c r="AL40" s="149"/>
      <c r="AM40" s="149"/>
      <c r="AN40" s="149"/>
      <c r="AO40" s="149"/>
      <c r="AP40" s="149"/>
      <c r="AQ40" s="149"/>
      <c r="AR40" s="149"/>
      <c r="AS40" s="149"/>
      <c r="AT40" s="149"/>
      <c r="AU40" s="149"/>
      <c r="AV40" s="149"/>
      <c r="AW40" s="149"/>
      <c r="AX40" s="149"/>
      <c r="AY40" s="149"/>
      <c r="AZ40" s="149"/>
      <c r="BA40" s="149"/>
      <c r="BB40" s="149"/>
      <c r="BC40" s="149"/>
      <c r="BD40" s="149"/>
      <c r="BE40" s="149"/>
    </row>
    <row r="41" spans="1:57" ht="34.5" customHeight="1" x14ac:dyDescent="0.25">
      <c r="A41" s="56" t="s">
        <v>211</v>
      </c>
      <c r="B41" s="56" t="s">
        <v>208</v>
      </c>
      <c r="C41" s="56" t="s">
        <v>12</v>
      </c>
      <c r="D41" s="56">
        <v>2</v>
      </c>
      <c r="E41" s="157"/>
      <c r="F41" s="32"/>
      <c r="G41" s="6"/>
      <c r="I41" s="149"/>
      <c r="J41" s="149"/>
      <c r="K41" s="149"/>
      <c r="L41" s="149"/>
      <c r="M41" s="149"/>
      <c r="N41" s="149"/>
      <c r="O41" s="149"/>
      <c r="P41" s="149"/>
      <c r="Q41" s="149"/>
      <c r="R41" s="149"/>
      <c r="S41" s="149"/>
      <c r="T41" s="149"/>
      <c r="U41" s="149"/>
      <c r="V41" s="149"/>
      <c r="W41" s="149"/>
      <c r="X41" s="149"/>
      <c r="Y41" s="149"/>
      <c r="Z41" s="149"/>
      <c r="AA41" s="149"/>
      <c r="AB41" s="149"/>
      <c r="AC41" s="149"/>
      <c r="AD41" s="149"/>
      <c r="AE41" s="149"/>
      <c r="AF41" s="149"/>
      <c r="AG41" s="149"/>
      <c r="AH41" s="149"/>
      <c r="AI41" s="149"/>
      <c r="AJ41" s="149"/>
      <c r="AK41" s="149"/>
      <c r="AL41" s="149"/>
      <c r="AM41" s="149"/>
      <c r="AN41" s="149"/>
      <c r="AO41" s="149"/>
      <c r="AP41" s="149"/>
      <c r="AQ41" s="149"/>
      <c r="AR41" s="149"/>
      <c r="AS41" s="149"/>
      <c r="AT41" s="149"/>
      <c r="AU41" s="149"/>
      <c r="AV41" s="149"/>
      <c r="AW41" s="149"/>
      <c r="AX41" s="149"/>
      <c r="AY41" s="149"/>
      <c r="AZ41" s="149"/>
      <c r="BA41" s="149"/>
      <c r="BB41" s="149"/>
      <c r="BC41" s="149"/>
      <c r="BD41" s="149"/>
      <c r="BE41" s="149"/>
    </row>
    <row r="42" spans="1:57" ht="34.5" customHeight="1" x14ac:dyDescent="0.25">
      <c r="A42" s="56" t="s">
        <v>218</v>
      </c>
      <c r="B42" s="12" t="s">
        <v>219</v>
      </c>
      <c r="C42" s="56" t="s">
        <v>12</v>
      </c>
      <c r="D42" s="56">
        <f>+D36-D41</f>
        <v>18</v>
      </c>
      <c r="E42" s="157"/>
      <c r="F42" s="32"/>
      <c r="G42" s="6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149"/>
      <c r="W42" s="149"/>
      <c r="X42" s="149"/>
      <c r="Y42" s="149"/>
      <c r="Z42" s="149"/>
      <c r="AA42" s="149"/>
      <c r="AB42" s="149"/>
      <c r="AC42" s="149"/>
      <c r="AD42" s="149"/>
      <c r="AE42" s="149"/>
      <c r="AF42" s="149"/>
      <c r="AG42" s="149"/>
      <c r="AH42" s="149"/>
      <c r="AI42" s="149"/>
      <c r="AJ42" s="149"/>
      <c r="AK42" s="149"/>
      <c r="AL42" s="149"/>
      <c r="AM42" s="149"/>
      <c r="AN42" s="149"/>
      <c r="AO42" s="149"/>
      <c r="AP42" s="149"/>
      <c r="AQ42" s="149"/>
      <c r="AR42" s="149"/>
      <c r="AS42" s="149"/>
      <c r="AT42" s="149"/>
      <c r="AU42" s="149"/>
      <c r="AV42" s="149"/>
      <c r="AW42" s="149"/>
      <c r="AX42" s="149"/>
      <c r="AY42" s="149"/>
      <c r="AZ42" s="149"/>
      <c r="BA42" s="149"/>
      <c r="BB42" s="149"/>
      <c r="BC42" s="149"/>
      <c r="BD42" s="149"/>
      <c r="BE42" s="149"/>
    </row>
    <row r="43" spans="1:57" ht="34.5" customHeight="1" x14ac:dyDescent="0.25">
      <c r="A43" s="56" t="s">
        <v>210</v>
      </c>
      <c r="B43" s="12" t="s">
        <v>220</v>
      </c>
      <c r="C43" s="56" t="s">
        <v>12</v>
      </c>
      <c r="D43" s="56">
        <v>13.5</v>
      </c>
      <c r="E43" s="157"/>
      <c r="F43" s="32"/>
      <c r="G43" s="6"/>
      <c r="I43" s="149"/>
      <c r="J43" s="149"/>
      <c r="K43" s="149"/>
      <c r="L43" s="149"/>
      <c r="M43" s="149"/>
      <c r="N43" s="149"/>
      <c r="O43" s="149"/>
      <c r="P43" s="149"/>
      <c r="Q43" s="149"/>
      <c r="R43" s="149"/>
      <c r="S43" s="149"/>
      <c r="T43" s="149"/>
      <c r="U43" s="149"/>
      <c r="V43" s="149"/>
      <c r="W43" s="149"/>
      <c r="X43" s="149"/>
      <c r="Y43" s="149"/>
      <c r="Z43" s="149"/>
      <c r="AA43" s="149"/>
      <c r="AB43" s="149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  <c r="AW43" s="149"/>
      <c r="AX43" s="149"/>
      <c r="AY43" s="149"/>
      <c r="AZ43" s="149"/>
      <c r="BA43" s="149"/>
      <c r="BB43" s="149"/>
      <c r="BC43" s="149"/>
      <c r="BD43" s="149"/>
      <c r="BE43" s="149"/>
    </row>
    <row r="44" spans="1:57" ht="34.5" customHeight="1" x14ac:dyDescent="0.25">
      <c r="A44" s="56" t="s">
        <v>221</v>
      </c>
      <c r="B44" s="90"/>
      <c r="C44" s="56" t="s">
        <v>12</v>
      </c>
      <c r="D44" s="90">
        <f>+D42-D43</f>
        <v>4.5</v>
      </c>
      <c r="E44" s="157"/>
      <c r="F44" s="32"/>
      <c r="G44" s="6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149"/>
      <c r="W44" s="149"/>
      <c r="X44" s="149"/>
      <c r="Y44" s="149"/>
      <c r="Z44" s="149"/>
      <c r="AA44" s="149"/>
      <c r="AB44" s="149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  <c r="BC44" s="149"/>
      <c r="BD44" s="149"/>
      <c r="BE44" s="149"/>
    </row>
    <row r="45" spans="1:57" ht="34.5" customHeight="1" x14ac:dyDescent="0.25">
      <c r="A45" s="56" t="s">
        <v>222</v>
      </c>
      <c r="B45" s="12" t="s">
        <v>223</v>
      </c>
      <c r="C45" s="56" t="s">
        <v>12</v>
      </c>
      <c r="D45" s="17">
        <f>+D39-D44</f>
        <v>2.9699453551912569</v>
      </c>
      <c r="E45" s="157"/>
      <c r="F45" s="32"/>
      <c r="G45" s="6"/>
      <c r="I45" s="149"/>
      <c r="J45" s="149"/>
      <c r="K45" s="149"/>
      <c r="L45" s="149"/>
      <c r="M45" s="149"/>
      <c r="N45" s="149"/>
      <c r="O45" s="149"/>
      <c r="P45" s="149"/>
      <c r="Q45" s="149"/>
      <c r="R45" s="149"/>
      <c r="S45" s="149"/>
      <c r="T45" s="149"/>
      <c r="U45" s="149"/>
      <c r="V45" s="149"/>
      <c r="W45" s="149"/>
      <c r="X45" s="149"/>
      <c r="Y45" s="149"/>
      <c r="Z45" s="149"/>
      <c r="AA45" s="149"/>
      <c r="AB45" s="149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  <c r="AW45" s="149"/>
      <c r="AX45" s="149"/>
      <c r="AY45" s="149"/>
      <c r="AZ45" s="149"/>
      <c r="BA45" s="149"/>
      <c r="BB45" s="149"/>
      <c r="BC45" s="149"/>
      <c r="BD45" s="149"/>
      <c r="BE45" s="149"/>
    </row>
    <row r="46" spans="1:57" ht="34.5" customHeight="1" x14ac:dyDescent="0.25">
      <c r="A46" s="56" t="s">
        <v>224</v>
      </c>
      <c r="B46" s="90"/>
      <c r="C46" s="56" t="s">
        <v>11</v>
      </c>
      <c r="D46" s="90">
        <v>4.3</v>
      </c>
      <c r="E46" s="157"/>
      <c r="F46" s="32"/>
      <c r="G46" s="156" t="s">
        <v>227</v>
      </c>
      <c r="I46" s="149"/>
      <c r="J46" s="149"/>
      <c r="K46" s="149"/>
      <c r="L46" s="149"/>
      <c r="M46" s="149"/>
      <c r="N46" s="149"/>
      <c r="O46" s="149"/>
      <c r="P46" s="149"/>
      <c r="Q46" s="149"/>
      <c r="R46" s="149"/>
      <c r="S46" s="149"/>
      <c r="T46" s="149"/>
      <c r="U46" s="149"/>
      <c r="V46" s="149"/>
      <c r="W46" s="149"/>
      <c r="X46" s="149"/>
      <c r="Y46" s="149"/>
      <c r="Z46" s="149"/>
      <c r="AA46" s="149"/>
      <c r="AB46" s="149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  <c r="AW46" s="149"/>
      <c r="AX46" s="149"/>
      <c r="AY46" s="149"/>
      <c r="AZ46" s="149"/>
      <c r="BA46" s="149"/>
      <c r="BB46" s="149"/>
      <c r="BC46" s="149"/>
      <c r="BD46" s="149"/>
      <c r="BE46" s="149"/>
    </row>
    <row r="47" spans="1:57" ht="34.5" customHeight="1" x14ac:dyDescent="0.25">
      <c r="A47" s="56" t="s">
        <v>225</v>
      </c>
      <c r="B47" s="90"/>
      <c r="C47" s="56" t="s">
        <v>11</v>
      </c>
      <c r="D47" s="90">
        <v>0.19</v>
      </c>
      <c r="E47" s="157"/>
      <c r="F47" s="32"/>
      <c r="G47" s="6"/>
      <c r="I47" s="149"/>
      <c r="J47" s="149"/>
      <c r="K47" s="149"/>
      <c r="L47" s="149"/>
      <c r="M47" s="149"/>
      <c r="N47" s="149"/>
      <c r="O47" s="149"/>
      <c r="P47" s="149"/>
      <c r="Q47" s="149"/>
      <c r="R47" s="149"/>
      <c r="S47" s="149"/>
      <c r="T47" s="149"/>
      <c r="U47" s="149"/>
      <c r="V47" s="149"/>
      <c r="W47" s="149"/>
      <c r="X47" s="149"/>
      <c r="Y47" s="149"/>
      <c r="Z47" s="149"/>
      <c r="AA47" s="149"/>
      <c r="AB47" s="149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  <c r="AW47" s="149"/>
      <c r="AX47" s="149"/>
      <c r="AY47" s="149"/>
      <c r="AZ47" s="149"/>
      <c r="BA47" s="149"/>
      <c r="BB47" s="149"/>
      <c r="BC47" s="149"/>
      <c r="BD47" s="149"/>
      <c r="BE47" s="149"/>
    </row>
    <row r="48" spans="1:57" ht="34.5" customHeight="1" x14ac:dyDescent="0.25">
      <c r="A48" s="56" t="s">
        <v>226</v>
      </c>
      <c r="B48" s="90"/>
      <c r="C48" s="56" t="s">
        <v>11</v>
      </c>
      <c r="D48" s="90">
        <f>+D46-D47</f>
        <v>4.1099999999999994</v>
      </c>
      <c r="E48" s="157"/>
      <c r="F48" s="32"/>
      <c r="G48" s="6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  <c r="AW48" s="149"/>
      <c r="AX48" s="149"/>
      <c r="AY48" s="149"/>
      <c r="AZ48" s="149"/>
      <c r="BA48" s="149"/>
      <c r="BB48" s="149"/>
      <c r="BC48" s="149"/>
      <c r="BD48" s="149"/>
      <c r="BE48" s="149"/>
    </row>
    <row r="49" spans="1:7" ht="34.5" customHeight="1" x14ac:dyDescent="0.25">
      <c r="A49" s="186"/>
      <c r="E49" s="90"/>
      <c r="F49" s="90"/>
      <c r="G49" s="90"/>
    </row>
    <row r="50" spans="1:7" ht="34.5" customHeight="1" x14ac:dyDescent="0.25">
      <c r="A50" s="164" t="s">
        <v>199</v>
      </c>
      <c r="B50" s="165" t="s">
        <v>200</v>
      </c>
      <c r="C50" s="165" t="s">
        <v>7</v>
      </c>
      <c r="D50" s="166">
        <f>+D48*D38*24</f>
        <v>18051.119999999995</v>
      </c>
      <c r="E50" s="167"/>
      <c r="F50" s="90"/>
      <c r="G50" s="165" t="s">
        <v>201</v>
      </c>
    </row>
    <row r="51" spans="1:7" ht="40.5" customHeight="1" x14ac:dyDescent="0.25">
      <c r="A51" s="168"/>
      <c r="B51" s="169"/>
      <c r="C51" s="169"/>
      <c r="D51" s="170"/>
      <c r="E51" s="171"/>
      <c r="F51"/>
      <c r="G51" s="169"/>
    </row>
    <row r="52" spans="1:7" ht="34.5" customHeight="1" x14ac:dyDescent="0.25">
      <c r="A52" s="132"/>
      <c r="B52" s="56"/>
      <c r="C52" s="56"/>
      <c r="D52" s="145"/>
      <c r="E52" s="90"/>
      <c r="F52" s="90"/>
      <c r="G52" s="56"/>
    </row>
    <row r="53" spans="1:7" ht="40.5" customHeight="1" x14ac:dyDescent="0.25">
      <c r="A53" s="132"/>
      <c r="B53" s="56"/>
      <c r="C53" s="56"/>
      <c r="D53" s="18"/>
      <c r="E53" s="136"/>
      <c r="F53" s="27"/>
      <c r="G53" s="90"/>
    </row>
    <row r="54" spans="1:7" ht="40.5" customHeight="1" x14ac:dyDescent="0.25">
      <c r="A54" s="132"/>
      <c r="B54" s="56"/>
      <c r="C54" s="56"/>
      <c r="D54" s="18"/>
      <c r="E54" s="136"/>
      <c r="F54" s="27"/>
      <c r="G54" s="90"/>
    </row>
    <row r="55" spans="1:7" ht="34.5" customHeight="1" x14ac:dyDescent="0.25">
      <c r="A55" s="15"/>
      <c r="B55" s="12"/>
      <c r="C55" s="89"/>
      <c r="D55" s="18"/>
      <c r="E55" s="89"/>
      <c r="F55" s="90"/>
      <c r="G55" s="90"/>
    </row>
    <row r="56" spans="1:7" ht="18.75" customHeight="1" x14ac:dyDescent="0.25"/>
    <row r="57" spans="1:7" ht="45.75" customHeight="1" x14ac:dyDescent="0.25">
      <c r="A57" s="70" t="s">
        <v>52</v>
      </c>
      <c r="B57" s="67"/>
      <c r="C57" s="20"/>
      <c r="D57" s="21"/>
      <c r="E57" s="71"/>
      <c r="F57" s="72" t="s">
        <v>53</v>
      </c>
      <c r="G57" s="89" t="s">
        <v>33</v>
      </c>
    </row>
  </sheetData>
  <mergeCells count="1">
    <mergeCell ref="A1:G1"/>
  </mergeCells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5145" r:id="rId4">
          <objectPr defaultSize="0" autoPict="0" r:id="rId5">
            <anchor moveWithCells="1">
              <from>
                <xdr:col>5</xdr:col>
                <xdr:colOff>175260</xdr:colOff>
                <xdr:row>9</xdr:row>
                <xdr:rowOff>419100</xdr:rowOff>
              </from>
              <to>
                <xdr:col>5</xdr:col>
                <xdr:colOff>3093720</xdr:colOff>
                <xdr:row>9</xdr:row>
                <xdr:rowOff>655320</xdr:rowOff>
              </to>
            </anchor>
          </objectPr>
        </oleObject>
      </mc:Choice>
      <mc:Fallback>
        <oleObject progId="Equation.3" shapeId="5145" r:id="rId4"/>
      </mc:Fallback>
    </mc:AlternateContent>
    <mc:AlternateContent xmlns:mc="http://schemas.openxmlformats.org/markup-compatibility/2006">
      <mc:Choice Requires="x14">
        <oleObject progId="Equation.3" shapeId="5147" r:id="rId6">
          <objectPr defaultSize="0" autoPict="0" r:id="rId7">
            <anchor moveWithCells="1">
              <from>
                <xdr:col>5</xdr:col>
                <xdr:colOff>403860</xdr:colOff>
                <xdr:row>9</xdr:row>
                <xdr:rowOff>114300</xdr:rowOff>
              </from>
              <to>
                <xdr:col>5</xdr:col>
                <xdr:colOff>2164080</xdr:colOff>
                <xdr:row>9</xdr:row>
                <xdr:rowOff>342900</xdr:rowOff>
              </to>
            </anchor>
          </objectPr>
        </oleObject>
      </mc:Choice>
      <mc:Fallback>
        <oleObject progId="Equation.3" shapeId="5147" r:id="rId6"/>
      </mc:Fallback>
    </mc:AlternateContent>
    <mc:AlternateContent xmlns:mc="http://schemas.openxmlformats.org/markup-compatibility/2006">
      <mc:Choice Requires="x14">
        <oleObject progId="Equation.3" shapeId="5148" r:id="rId8">
          <objectPr defaultSize="0" autoPict="0" r:id="rId9">
            <anchor moveWithCells="1">
              <from>
                <xdr:col>5</xdr:col>
                <xdr:colOff>495300</xdr:colOff>
                <xdr:row>14</xdr:row>
                <xdr:rowOff>30480</xdr:rowOff>
              </from>
              <to>
                <xdr:col>5</xdr:col>
                <xdr:colOff>2141220</xdr:colOff>
                <xdr:row>14</xdr:row>
                <xdr:rowOff>487680</xdr:rowOff>
              </to>
            </anchor>
          </objectPr>
        </oleObject>
      </mc:Choice>
      <mc:Fallback>
        <oleObject progId="Equation.3" shapeId="5148" r:id="rId8"/>
      </mc:Fallback>
    </mc:AlternateContent>
    <mc:AlternateContent xmlns:mc="http://schemas.openxmlformats.org/markup-compatibility/2006">
      <mc:Choice Requires="x14">
        <oleObject progId="Equation.3" shapeId="5149" r:id="rId10">
          <objectPr defaultSize="0" autoPict="0" r:id="rId11">
            <anchor moveWithCells="1">
              <from>
                <xdr:col>5</xdr:col>
                <xdr:colOff>274320</xdr:colOff>
                <xdr:row>17</xdr:row>
                <xdr:rowOff>76200</xdr:rowOff>
              </from>
              <to>
                <xdr:col>5</xdr:col>
                <xdr:colOff>2590800</xdr:colOff>
                <xdr:row>17</xdr:row>
                <xdr:rowOff>304800</xdr:rowOff>
              </to>
            </anchor>
          </objectPr>
        </oleObject>
      </mc:Choice>
      <mc:Fallback>
        <oleObject progId="Equation.3" shapeId="5149" r:id="rId10"/>
      </mc:Fallback>
    </mc:AlternateContent>
    <mc:AlternateContent xmlns:mc="http://schemas.openxmlformats.org/markup-compatibility/2006">
      <mc:Choice Requires="x14">
        <oleObject progId="Equation.3" shapeId="5150" r:id="rId12">
          <objectPr defaultSize="0" autoPict="0" r:id="rId13">
            <anchor moveWithCells="1">
              <from>
                <xdr:col>5</xdr:col>
                <xdr:colOff>594360</xdr:colOff>
                <xdr:row>20</xdr:row>
                <xdr:rowOff>68580</xdr:rowOff>
              </from>
              <to>
                <xdr:col>5</xdr:col>
                <xdr:colOff>2430780</xdr:colOff>
                <xdr:row>20</xdr:row>
                <xdr:rowOff>304800</xdr:rowOff>
              </to>
            </anchor>
          </objectPr>
        </oleObject>
      </mc:Choice>
      <mc:Fallback>
        <oleObject progId="Equation.3" shapeId="5150" r:id="rId12"/>
      </mc:Fallback>
    </mc:AlternateContent>
    <mc:AlternateContent xmlns:mc="http://schemas.openxmlformats.org/markup-compatibility/2006">
      <mc:Choice Requires="x14">
        <oleObject progId="Equation.3" shapeId="5151" r:id="rId14">
          <objectPr defaultSize="0" autoPict="0" r:id="rId15">
            <anchor moveWithCells="1">
              <from>
                <xdr:col>5</xdr:col>
                <xdr:colOff>784860</xdr:colOff>
                <xdr:row>21</xdr:row>
                <xdr:rowOff>68580</xdr:rowOff>
              </from>
              <to>
                <xdr:col>5</xdr:col>
                <xdr:colOff>2087880</xdr:colOff>
                <xdr:row>21</xdr:row>
                <xdr:rowOff>518160</xdr:rowOff>
              </to>
            </anchor>
          </objectPr>
        </oleObject>
      </mc:Choice>
      <mc:Fallback>
        <oleObject progId="Equation.3" shapeId="5151" r:id="rId14"/>
      </mc:Fallback>
    </mc:AlternateContent>
    <mc:AlternateContent xmlns:mc="http://schemas.openxmlformats.org/markup-compatibility/2006">
      <mc:Choice Requires="x14">
        <oleObject progId="Equation.3" shapeId="5154" r:id="rId16">
          <objectPr defaultSize="0" autoPict="0" r:id="rId17">
            <anchor moveWithCells="1">
              <from>
                <xdr:col>5</xdr:col>
                <xdr:colOff>335280</xdr:colOff>
                <xdr:row>25</xdr:row>
                <xdr:rowOff>76200</xdr:rowOff>
              </from>
              <to>
                <xdr:col>5</xdr:col>
                <xdr:colOff>2545080</xdr:colOff>
                <xdr:row>25</xdr:row>
                <xdr:rowOff>655320</xdr:rowOff>
              </to>
            </anchor>
          </objectPr>
        </oleObject>
      </mc:Choice>
      <mc:Fallback>
        <oleObject progId="Equation.3" shapeId="5154" r:id="rId16"/>
      </mc:Fallback>
    </mc:AlternateContent>
    <mc:AlternateContent xmlns:mc="http://schemas.openxmlformats.org/markup-compatibility/2006">
      <mc:Choice Requires="x14">
        <oleObject progId="Equation.3" shapeId="5155" r:id="rId18">
          <objectPr defaultSize="0" autoPict="0" r:id="rId19">
            <anchor moveWithCells="1">
              <from>
                <xdr:col>5</xdr:col>
                <xdr:colOff>266700</xdr:colOff>
                <xdr:row>28</xdr:row>
                <xdr:rowOff>114300</xdr:rowOff>
              </from>
              <to>
                <xdr:col>5</xdr:col>
                <xdr:colOff>2621280</xdr:colOff>
                <xdr:row>28</xdr:row>
                <xdr:rowOff>350520</xdr:rowOff>
              </to>
            </anchor>
          </objectPr>
        </oleObject>
      </mc:Choice>
      <mc:Fallback>
        <oleObject progId="Equation.3" shapeId="5155" r:id="rId18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tabColor rgb="FF009900"/>
  </sheetPr>
  <dimension ref="A1:I28"/>
  <sheetViews>
    <sheetView workbookViewId="0">
      <selection activeCell="D34" sqref="D34"/>
    </sheetView>
  </sheetViews>
  <sheetFormatPr baseColWidth="10" defaultColWidth="9.109375" defaultRowHeight="13.2" x14ac:dyDescent="0.25"/>
  <cols>
    <col min="1" max="1" width="27" style="68" customWidth="1"/>
    <col min="2" max="2" width="19.6640625" style="68" customWidth="1"/>
    <col min="3" max="3" width="16.5546875" style="68" customWidth="1"/>
    <col min="4" max="4" width="7" style="68" customWidth="1"/>
    <col min="5" max="5" width="14" style="68" customWidth="1"/>
    <col min="6" max="6" width="8.88671875" style="68" customWidth="1"/>
    <col min="7" max="7" width="10.6640625" style="68" customWidth="1"/>
    <col min="8" max="8" width="9.109375" style="68"/>
    <col min="9" max="9" width="28.5546875" style="68" customWidth="1"/>
    <col min="10" max="16384" width="9.109375" style="68"/>
  </cols>
  <sheetData>
    <row r="1" spans="1:9" ht="62.25" customHeight="1" x14ac:dyDescent="0.25">
      <c r="A1" s="192" t="s">
        <v>62</v>
      </c>
      <c r="B1" s="193"/>
      <c r="C1" s="193"/>
      <c r="D1" s="193"/>
      <c r="E1" s="193"/>
      <c r="F1" s="193"/>
      <c r="G1" s="193"/>
      <c r="H1" s="193"/>
      <c r="I1" s="193"/>
    </row>
    <row r="3" spans="1:9" ht="13.8" thickBot="1" x14ac:dyDescent="0.3"/>
    <row r="4" spans="1:9" ht="27" thickBot="1" x14ac:dyDescent="0.3">
      <c r="A4" s="60" t="s">
        <v>2</v>
      </c>
      <c r="B4" s="61" t="s">
        <v>6</v>
      </c>
      <c r="C4" s="47" t="s">
        <v>72</v>
      </c>
      <c r="D4" s="61" t="s">
        <v>0</v>
      </c>
      <c r="E4" s="61" t="s">
        <v>3</v>
      </c>
      <c r="F4" s="47" t="s">
        <v>19</v>
      </c>
      <c r="G4" s="61" t="s">
        <v>42</v>
      </c>
      <c r="H4" s="47" t="s">
        <v>21</v>
      </c>
      <c r="I4" s="62" t="s">
        <v>5</v>
      </c>
    </row>
    <row r="5" spans="1:9" x14ac:dyDescent="0.25">
      <c r="A5" s="63" t="s">
        <v>34</v>
      </c>
      <c r="B5" s="64"/>
      <c r="D5" s="64"/>
      <c r="E5" s="64"/>
      <c r="G5" s="64"/>
      <c r="I5" s="65"/>
    </row>
    <row r="6" spans="1:9" x14ac:dyDescent="0.25">
      <c r="A6" s="58"/>
      <c r="B6" s="12"/>
      <c r="C6" s="12"/>
      <c r="D6" s="69"/>
      <c r="E6" s="10"/>
      <c r="F6" s="89"/>
      <c r="G6" s="79"/>
      <c r="H6" s="89"/>
      <c r="I6" s="59"/>
    </row>
    <row r="7" spans="1:9" s="88" customFormat="1" x14ac:dyDescent="0.25">
      <c r="A7" s="58" t="s">
        <v>199</v>
      </c>
      <c r="B7" s="12" t="s">
        <v>202</v>
      </c>
      <c r="C7" s="12"/>
      <c r="D7" s="56" t="s">
        <v>7</v>
      </c>
      <c r="E7" s="10">
        <f>+Method_calculation!D50</f>
        <v>18051.119999999995</v>
      </c>
      <c r="F7" s="89"/>
      <c r="G7" s="79"/>
      <c r="H7" s="89"/>
      <c r="I7" s="59"/>
    </row>
    <row r="8" spans="1:9" s="88" customFormat="1" x14ac:dyDescent="0.25">
      <c r="A8" s="58"/>
      <c r="B8" s="12"/>
      <c r="C8" s="12"/>
      <c r="D8" s="89"/>
      <c r="E8" s="10"/>
      <c r="F8" s="89"/>
      <c r="G8" s="79"/>
      <c r="H8" s="89"/>
      <c r="I8" s="59"/>
    </row>
    <row r="9" spans="1:9" s="88" customFormat="1" x14ac:dyDescent="0.25">
      <c r="A9" s="58"/>
      <c r="B9" s="12"/>
      <c r="C9" s="12"/>
      <c r="D9" s="89"/>
      <c r="E9" s="10"/>
      <c r="F9" s="89"/>
      <c r="G9" s="79"/>
      <c r="H9" s="89"/>
      <c r="I9" s="59"/>
    </row>
    <row r="10" spans="1:9" s="88" customFormat="1" x14ac:dyDescent="0.25">
      <c r="A10" s="58"/>
      <c r="B10" s="12"/>
      <c r="C10" s="12"/>
      <c r="D10" s="89"/>
      <c r="E10" s="10"/>
      <c r="F10" s="89"/>
      <c r="G10" s="79"/>
      <c r="H10" s="89"/>
      <c r="I10" s="59"/>
    </row>
    <row r="11" spans="1:9" x14ac:dyDescent="0.25">
      <c r="A11" s="58"/>
      <c r="B11" s="12"/>
      <c r="C11" s="12"/>
      <c r="D11" s="69"/>
      <c r="E11" s="10"/>
      <c r="F11" s="89"/>
      <c r="G11" s="79"/>
      <c r="H11" s="89"/>
      <c r="I11" s="59"/>
    </row>
    <row r="12" spans="1:9" x14ac:dyDescent="0.25">
      <c r="A12" s="74"/>
      <c r="B12" s="56"/>
      <c r="C12" s="56"/>
      <c r="D12" s="69"/>
      <c r="E12" s="10"/>
      <c r="F12" s="89"/>
      <c r="G12" s="79"/>
      <c r="H12" s="89"/>
      <c r="I12" s="87"/>
    </row>
    <row r="13" spans="1:9" x14ac:dyDescent="0.25">
      <c r="A13" s="55" t="s">
        <v>35</v>
      </c>
      <c r="B13" s="8"/>
      <c r="C13" s="8"/>
      <c r="D13" s="8"/>
      <c r="E13" s="8"/>
      <c r="G13" s="8"/>
      <c r="I13" s="25"/>
    </row>
    <row r="14" spans="1:9" x14ac:dyDescent="0.25">
      <c r="A14" s="74" t="s">
        <v>37</v>
      </c>
      <c r="B14" s="69"/>
      <c r="C14" s="89"/>
      <c r="D14" s="69"/>
      <c r="E14" s="10"/>
      <c r="F14" s="10"/>
      <c r="G14" s="10"/>
      <c r="H14" s="10"/>
      <c r="I14" s="3"/>
    </row>
    <row r="15" spans="1:9" s="88" customFormat="1" x14ac:dyDescent="0.25">
      <c r="A15" s="74"/>
      <c r="B15" s="89"/>
      <c r="C15" s="89"/>
      <c r="D15" s="89"/>
      <c r="E15" s="10"/>
      <c r="F15" s="10"/>
      <c r="G15" s="10"/>
      <c r="H15" s="10"/>
      <c r="I15" s="3"/>
    </row>
    <row r="16" spans="1:9" s="88" customFormat="1" x14ac:dyDescent="0.25">
      <c r="A16" s="74"/>
      <c r="B16" s="89"/>
      <c r="C16" s="89"/>
      <c r="D16" s="89"/>
      <c r="E16" s="10"/>
      <c r="F16" s="10"/>
      <c r="G16" s="10"/>
      <c r="H16" s="10"/>
      <c r="I16" s="3"/>
    </row>
    <row r="17" spans="1:9" s="88" customFormat="1" x14ac:dyDescent="0.25">
      <c r="A17" s="74"/>
      <c r="B17" s="89"/>
      <c r="C17" s="89"/>
      <c r="D17" s="89"/>
      <c r="E17" s="10"/>
      <c r="F17" s="10"/>
      <c r="G17" s="10"/>
      <c r="H17" s="10"/>
      <c r="I17" s="3"/>
    </row>
    <row r="18" spans="1:9" x14ac:dyDescent="0.25">
      <c r="A18" s="74"/>
      <c r="B18" s="69"/>
      <c r="C18" s="89"/>
      <c r="D18" s="69"/>
      <c r="E18" s="10"/>
      <c r="F18" s="10"/>
      <c r="G18" s="10"/>
      <c r="H18" s="10"/>
      <c r="I18" s="3"/>
    </row>
    <row r="19" spans="1:9" x14ac:dyDescent="0.25">
      <c r="A19" s="74"/>
      <c r="B19" s="69"/>
      <c r="C19" s="89"/>
      <c r="D19" s="69"/>
      <c r="E19" s="10"/>
      <c r="F19" s="10"/>
      <c r="G19" s="10"/>
      <c r="H19" s="10"/>
      <c r="I19" s="3"/>
    </row>
    <row r="20" spans="1:9" x14ac:dyDescent="0.25">
      <c r="A20" s="55" t="s">
        <v>36</v>
      </c>
      <c r="B20" s="8"/>
      <c r="C20" s="8"/>
      <c r="D20" s="8"/>
      <c r="E20" s="8"/>
      <c r="G20" s="8"/>
      <c r="I20" s="25"/>
    </row>
    <row r="21" spans="1:9" ht="27" thickBot="1" x14ac:dyDescent="0.3">
      <c r="A21" s="75" t="s">
        <v>41</v>
      </c>
      <c r="B21" s="73" t="s">
        <v>40</v>
      </c>
      <c r="C21" s="73" t="s">
        <v>40</v>
      </c>
      <c r="D21" s="73" t="s">
        <v>51</v>
      </c>
      <c r="E21" s="76">
        <f>+Method_calculation!D57</f>
        <v>0</v>
      </c>
      <c r="F21" s="76" t="s">
        <v>51</v>
      </c>
      <c r="G21" s="78" t="s">
        <v>55</v>
      </c>
      <c r="H21" s="78" t="s">
        <v>22</v>
      </c>
      <c r="I21" s="77" t="s">
        <v>54</v>
      </c>
    </row>
    <row r="25" spans="1:9" s="88" customFormat="1" ht="15.6" x14ac:dyDescent="0.25">
      <c r="A25" s="172" t="s">
        <v>9</v>
      </c>
      <c r="B25" s="173" t="s">
        <v>79</v>
      </c>
      <c r="C25" s="173" t="s">
        <v>81</v>
      </c>
      <c r="D25" s="174" t="s">
        <v>7</v>
      </c>
      <c r="E25" s="175">
        <v>96.168150420264951</v>
      </c>
      <c r="F25" s="174" t="s">
        <v>20</v>
      </c>
      <c r="G25" s="176" t="s">
        <v>58</v>
      </c>
      <c r="H25" s="174" t="s">
        <v>22</v>
      </c>
      <c r="I25" s="177" t="s">
        <v>50</v>
      </c>
    </row>
    <row r="26" spans="1:9" s="88" customFormat="1" ht="15.6" x14ac:dyDescent="0.25">
      <c r="A26" s="178" t="s">
        <v>28</v>
      </c>
      <c r="B26" s="179" t="s">
        <v>80</v>
      </c>
      <c r="C26" s="179" t="s">
        <v>82</v>
      </c>
      <c r="D26" s="174" t="s">
        <v>7</v>
      </c>
      <c r="E26" s="175">
        <v>137.26301472639065</v>
      </c>
      <c r="F26" s="174" t="s">
        <v>20</v>
      </c>
      <c r="G26" s="176" t="s">
        <v>55</v>
      </c>
      <c r="H26" s="174" t="s">
        <v>22</v>
      </c>
      <c r="I26" s="180" t="s">
        <v>59</v>
      </c>
    </row>
    <row r="27" spans="1:9" s="88" customFormat="1" x14ac:dyDescent="0.25">
      <c r="A27" s="178" t="s">
        <v>38</v>
      </c>
      <c r="B27" s="174"/>
      <c r="C27" s="174"/>
      <c r="D27" s="174"/>
      <c r="E27" s="175"/>
      <c r="F27" s="175"/>
      <c r="G27" s="175"/>
      <c r="H27" s="175"/>
      <c r="I27" s="181"/>
    </row>
    <row r="28" spans="1:9" s="88" customFormat="1" x14ac:dyDescent="0.25">
      <c r="A28" s="178" t="s">
        <v>39</v>
      </c>
      <c r="B28" s="174"/>
      <c r="C28" s="174"/>
      <c r="D28" s="174"/>
      <c r="E28" s="175"/>
      <c r="F28" s="175"/>
      <c r="G28" s="175"/>
      <c r="H28" s="175"/>
      <c r="I28" s="181"/>
    </row>
  </sheetData>
  <mergeCells count="1">
    <mergeCell ref="A1:I1"/>
  </mergeCells>
  <phoneticPr fontId="0" type="noConversion"/>
  <pageMargins left="0.75" right="0.75" top="1" bottom="1" header="0.5" footer="0.5"/>
  <headerFooter alignWithMargins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B1:D18"/>
  <sheetViews>
    <sheetView workbookViewId="0">
      <selection activeCell="F30" sqref="F29:F30"/>
    </sheetView>
  </sheetViews>
  <sheetFormatPr baseColWidth="10" defaultColWidth="8.88671875" defaultRowHeight="13.2" x14ac:dyDescent="0.25"/>
  <cols>
    <col min="2" max="2" width="12.44140625" style="30" customWidth="1"/>
    <col min="3" max="3" width="27.5546875" customWidth="1"/>
    <col min="4" max="4" width="36.5546875" style="31" customWidth="1"/>
  </cols>
  <sheetData>
    <row r="1" spans="2:4" ht="13.8" thickBot="1" x14ac:dyDescent="0.3"/>
    <row r="2" spans="2:4" ht="13.8" thickBot="1" x14ac:dyDescent="0.3">
      <c r="B2" s="33" t="s">
        <v>43</v>
      </c>
      <c r="C2" s="34" t="s">
        <v>44</v>
      </c>
      <c r="D2" s="35" t="s">
        <v>45</v>
      </c>
    </row>
    <row r="3" spans="2:4" x14ac:dyDescent="0.25">
      <c r="B3" s="36"/>
      <c r="C3" s="32"/>
      <c r="D3" s="37"/>
    </row>
    <row r="4" spans="2:4" x14ac:dyDescent="0.25">
      <c r="B4" s="38">
        <v>41653</v>
      </c>
      <c r="C4" s="94" t="s">
        <v>203</v>
      </c>
      <c r="D4" s="39"/>
    </row>
    <row r="5" spans="2:4" x14ac:dyDescent="0.25">
      <c r="B5" s="40"/>
      <c r="C5" s="27"/>
      <c r="D5" s="39"/>
    </row>
    <row r="6" spans="2:4" x14ac:dyDescent="0.25">
      <c r="B6" s="40"/>
      <c r="C6" s="27"/>
      <c r="D6" s="39"/>
    </row>
    <row r="7" spans="2:4" x14ac:dyDescent="0.25">
      <c r="B7" s="40"/>
      <c r="C7" s="94"/>
      <c r="D7" s="39"/>
    </row>
    <row r="8" spans="2:4" x14ac:dyDescent="0.25">
      <c r="B8" s="40"/>
      <c r="C8" s="94"/>
      <c r="D8" s="95"/>
    </row>
    <row r="9" spans="2:4" x14ac:dyDescent="0.25">
      <c r="B9" s="41"/>
      <c r="C9" s="27"/>
      <c r="D9" s="39"/>
    </row>
    <row r="10" spans="2:4" x14ac:dyDescent="0.25">
      <c r="B10" s="41"/>
      <c r="C10" s="27"/>
      <c r="D10" s="39"/>
    </row>
    <row r="11" spans="2:4" x14ac:dyDescent="0.25">
      <c r="B11" s="41"/>
      <c r="C11" s="27"/>
      <c r="D11" s="39"/>
    </row>
    <row r="12" spans="2:4" x14ac:dyDescent="0.25">
      <c r="B12" s="41"/>
      <c r="C12" s="27"/>
      <c r="D12" s="39"/>
    </row>
    <row r="13" spans="2:4" x14ac:dyDescent="0.25">
      <c r="B13" s="41"/>
      <c r="C13" s="27"/>
      <c r="D13" s="39"/>
    </row>
    <row r="14" spans="2:4" x14ac:dyDescent="0.25">
      <c r="B14" s="41"/>
      <c r="C14" s="27"/>
      <c r="D14" s="39"/>
    </row>
    <row r="15" spans="2:4" x14ac:dyDescent="0.25">
      <c r="B15" s="41"/>
      <c r="C15" s="27"/>
      <c r="D15" s="39"/>
    </row>
    <row r="16" spans="2:4" x14ac:dyDescent="0.25">
      <c r="B16" s="41"/>
      <c r="C16" s="27"/>
      <c r="D16" s="39"/>
    </row>
    <row r="17" spans="2:4" x14ac:dyDescent="0.25">
      <c r="B17" s="41"/>
      <c r="C17" s="27"/>
      <c r="D17" s="39"/>
    </row>
    <row r="18" spans="2:4" ht="13.8" thickBot="1" x14ac:dyDescent="0.3">
      <c r="B18" s="42"/>
      <c r="C18" s="43"/>
      <c r="D18" s="44"/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17:U21"/>
  <sheetViews>
    <sheetView topLeftCell="C1" workbookViewId="0">
      <selection activeCell="N43" sqref="N43"/>
    </sheetView>
  </sheetViews>
  <sheetFormatPr baseColWidth="10" defaultColWidth="8.88671875" defaultRowHeight="13.2" x14ac:dyDescent="0.25"/>
  <sheetData>
    <row r="17" spans="8:21" x14ac:dyDescent="0.25">
      <c r="M17">
        <v>13.2</v>
      </c>
      <c r="S17">
        <v>14.9</v>
      </c>
    </row>
    <row r="18" spans="8:21" x14ac:dyDescent="0.25">
      <c r="J18">
        <v>31</v>
      </c>
      <c r="K18">
        <v>28</v>
      </c>
      <c r="L18">
        <v>31</v>
      </c>
      <c r="M18">
        <v>15</v>
      </c>
      <c r="S18">
        <v>15</v>
      </c>
      <c r="T18">
        <v>30</v>
      </c>
      <c r="U18">
        <v>31</v>
      </c>
    </row>
    <row r="19" spans="8:21" ht="39.6" x14ac:dyDescent="0.25">
      <c r="H19" s="91" t="s">
        <v>196</v>
      </c>
      <c r="I19" s="91" t="s">
        <v>197</v>
      </c>
      <c r="J19" s="91">
        <v>3.3</v>
      </c>
      <c r="K19" s="91">
        <v>4.8</v>
      </c>
      <c r="L19" s="91">
        <v>8.6</v>
      </c>
      <c r="M19" s="91">
        <f>+(M17*3+L19)/4</f>
        <v>12.049999999999999</v>
      </c>
      <c r="N19" s="91">
        <v>17.3</v>
      </c>
      <c r="O19" s="91">
        <v>21.3</v>
      </c>
      <c r="P19" s="91">
        <v>23.6</v>
      </c>
      <c r="Q19" s="91">
        <v>23.4</v>
      </c>
      <c r="R19" s="91">
        <v>20.399999999999999</v>
      </c>
      <c r="S19" s="91">
        <f>+(S17*3+T19)/4</f>
        <v>13.55</v>
      </c>
      <c r="T19" s="91">
        <v>9.5</v>
      </c>
      <c r="U19" s="91">
        <v>5</v>
      </c>
    </row>
    <row r="21" spans="8:21" x14ac:dyDescent="0.25">
      <c r="I21">
        <f>SUM(J21:U21)</f>
        <v>2292.6999999999998</v>
      </c>
      <c r="J21">
        <f>+(20-J19)*J18</f>
        <v>517.69999999999993</v>
      </c>
      <c r="K21">
        <f t="shared" ref="K21:M21" si="0">+(20-K19)*K18</f>
        <v>425.59999999999997</v>
      </c>
      <c r="L21">
        <f t="shared" si="0"/>
        <v>353.40000000000003</v>
      </c>
      <c r="M21">
        <f t="shared" si="0"/>
        <v>119.25000000000001</v>
      </c>
      <c r="S21">
        <f t="shared" ref="S21:U21" si="1">+(20-S19)*S18</f>
        <v>96.749999999999986</v>
      </c>
      <c r="T21">
        <f t="shared" si="1"/>
        <v>315</v>
      </c>
      <c r="U21">
        <f t="shared" si="1"/>
        <v>465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3</vt:i4>
      </vt:variant>
    </vt:vector>
  </HeadingPairs>
  <TitlesOfParts>
    <vt:vector size="11" baseType="lpstr">
      <vt:lpstr>Disclaimer</vt:lpstr>
      <vt:lpstr>INFO</vt:lpstr>
      <vt:lpstr>Measured_data_report_1</vt:lpstr>
      <vt:lpstr>Method_input</vt:lpstr>
      <vt:lpstr>Method_calculation</vt:lpstr>
      <vt:lpstr>Method_output</vt:lpstr>
      <vt:lpstr>History</vt:lpstr>
      <vt:lpstr>Foglio2</vt:lpstr>
      <vt:lpstr>Method_in</vt:lpstr>
      <vt:lpstr>Method_out</vt:lpstr>
      <vt:lpstr>Measured_data_report_1!Zone_d_impression</vt:lpstr>
    </vt:vector>
  </TitlesOfParts>
  <Company>Socal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</dc:creator>
  <cp:lastModifiedBy>ZIRNGIBL</cp:lastModifiedBy>
  <cp:lastPrinted>2014-01-11T15:57:38Z</cp:lastPrinted>
  <dcterms:created xsi:type="dcterms:W3CDTF">2011-05-24T04:21:57Z</dcterms:created>
  <dcterms:modified xsi:type="dcterms:W3CDTF">2015-03-17T12:24:10Z</dcterms:modified>
</cp:coreProperties>
</file>