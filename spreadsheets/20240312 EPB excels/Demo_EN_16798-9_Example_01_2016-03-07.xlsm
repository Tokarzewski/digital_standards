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 yWindow="-12" windowWidth="14400" windowHeight="8028" firstSheet="5" activeTab="8"/>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Graphs" sheetId="17" r:id="rId12"/>
    <sheet name="History" sheetId="11" r:id="rId13"/>
  </sheets>
  <externalReferences>
    <externalReference r:id="rId14"/>
    <externalReference r:id="rId15"/>
  </externalReference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A">Product_tech_data!$J$6:$M$9</definedName>
    <definedName name="B">Product_tech_data!$J$11:$M$14</definedName>
    <definedName name="DATA_IN_COUNT">Input_series!$C$5</definedName>
    <definedName name="DATA_OUT_COUNT">Output_series!$H$5</definedName>
    <definedName name="delta_f_V">[1]Method_input!$E$25</definedName>
    <definedName name="f_op_ctrl">[1]Method_input!$E$26</definedName>
    <definedName name="f_op_HU">[1]Method_input!#REF!</definedName>
    <definedName name="f_op_V">[1]Method_input!$E$15</definedName>
    <definedName name="f_pl">[1]Method_input!$E$24</definedName>
    <definedName name="First_data_in">Input_series!$B$14</definedName>
    <definedName name="First_data_out">Output_series!$B$18</definedName>
    <definedName name="Method_in" localSheetId="11">[1]Method_input!$E$7:$E$26</definedName>
    <definedName name="Method_in" localSheetId="1">Simplified_input_correlation!$D$6</definedName>
    <definedName name="Method_in">Method_input!$D$6</definedName>
    <definedName name="Method_out" localSheetId="11">[1]Method_output!$E$6:$E$17,[1]Method_output!$E$19:$E$27</definedName>
    <definedName name="Method_out">Method_output!$D$10</definedName>
    <definedName name="Q_C_V_out">[1]Method_input!$E$13</definedName>
    <definedName name="Q_H_V_in">[1]Method_input!$E$12</definedName>
    <definedName name="q_V_ETA_dis_zv_req">[1]Method_input!$E$17</definedName>
    <definedName name="q_V_ODA_zv_req">[1]Method_input!$E$18</definedName>
    <definedName name="q_V_SUP_dis_zv_req">[1]Method_input!$E$16</definedName>
    <definedName name="Right_side">Product_tech_data!$O$6:$O$9</definedName>
    <definedName name="t_ci">[1]Method_input!$E$6</definedName>
    <definedName name="theta_a_ETA_zV">[1]Method_input!$E$22</definedName>
    <definedName name="theta_C_coil">[1]Method_input!#REF!</definedName>
    <definedName name="theta_e">[1]Method_input!$E$7</definedName>
    <definedName name="theta_IDA_zt">[1]Method_input!$E$9</definedName>
    <definedName name="theta_SUP_req_zV">[1]Method_input!$E$19</definedName>
    <definedName name="theta_sur_nc">[1]Method_input!$E$9</definedName>
    <definedName name="TIME_STEPS_COUNT">Input_series!$C$6</definedName>
    <definedName name="x_a_ETA_zV">[1]Method_input!$E$23</definedName>
    <definedName name="x_e">[1]Method_input!$E$8</definedName>
    <definedName name="x_SUP_req_zV">[1]Method_input!$E$20</definedName>
    <definedName name="x_sur_nc">[1]Method_input!$E$11</definedName>
  </definedNames>
  <calcPr calcId="145621"/>
</workbook>
</file>

<file path=xl/calcChain.xml><?xml version="1.0" encoding="utf-8"?>
<calcChain xmlns="http://schemas.openxmlformats.org/spreadsheetml/2006/main">
  <c r="O19" i="6" l="1"/>
  <c r="O20" i="6"/>
  <c r="O21" i="6"/>
  <c r="O22" i="6"/>
  <c r="O23" i="6"/>
  <c r="O24" i="6"/>
  <c r="O25" i="6"/>
  <c r="O26" i="6"/>
  <c r="O27" i="6"/>
  <c r="O28" i="6"/>
  <c r="O29" i="6"/>
  <c r="O18" i="6"/>
  <c r="V15" i="1"/>
  <c r="V16" i="1"/>
  <c r="V17" i="1"/>
  <c r="V18" i="1"/>
  <c r="V19" i="1"/>
  <c r="V20" i="1"/>
  <c r="V21" i="1"/>
  <c r="V22" i="1"/>
  <c r="V23" i="1"/>
  <c r="V24" i="1"/>
  <c r="V25" i="1"/>
  <c r="V14" i="1"/>
  <c r="U15" i="1"/>
  <c r="W15" i="1" s="1"/>
  <c r="U16" i="1"/>
  <c r="W16" i="1" s="1"/>
  <c r="U17" i="1"/>
  <c r="W17" i="1" s="1"/>
  <c r="U18" i="1"/>
  <c r="W18" i="1" s="1"/>
  <c r="U19" i="1"/>
  <c r="W19" i="1" s="1"/>
  <c r="U20" i="1"/>
  <c r="W20" i="1" s="1"/>
  <c r="U21" i="1"/>
  <c r="W21" i="1" s="1"/>
  <c r="U22" i="1"/>
  <c r="W22" i="1" s="1"/>
  <c r="U23" i="1"/>
  <c r="W23" i="1" s="1"/>
  <c r="U24" i="1"/>
  <c r="W24" i="1" s="1"/>
  <c r="U25" i="1"/>
  <c r="W25" i="1" s="1"/>
  <c r="U14" i="1"/>
  <c r="W14" i="1" s="1"/>
  <c r="W26" i="1" l="1"/>
  <c r="U26" i="1" l="1"/>
  <c r="Q19" i="6"/>
  <c r="Q20" i="6"/>
  <c r="Q21" i="6"/>
  <c r="Q22" i="6"/>
  <c r="Q23" i="6"/>
  <c r="Q24" i="6"/>
  <c r="Q25" i="6"/>
  <c r="Q26" i="6"/>
  <c r="Q27" i="6"/>
  <c r="Q28" i="6"/>
  <c r="Q29" i="6"/>
  <c r="Q18" i="6"/>
  <c r="P19" i="6"/>
  <c r="P20" i="6"/>
  <c r="P21" i="6"/>
  <c r="P22" i="6"/>
  <c r="P23" i="6"/>
  <c r="P24" i="6"/>
  <c r="P25" i="6"/>
  <c r="P26" i="6"/>
  <c r="P27" i="6"/>
  <c r="P28" i="6"/>
  <c r="P29" i="6"/>
  <c r="P18" i="6"/>
  <c r="AA14" i="1"/>
  <c r="B14" i="1" l="1"/>
  <c r="B15" i="1"/>
  <c r="B16" i="1"/>
  <c r="B17" i="1"/>
  <c r="B18" i="1"/>
  <c r="B19" i="1"/>
  <c r="B20" i="1"/>
  <c r="B21" i="1"/>
  <c r="B22" i="1"/>
  <c r="B23" i="1"/>
  <c r="B24" i="1"/>
  <c r="B25" i="1"/>
  <c r="R15" i="1"/>
  <c r="R16" i="1"/>
  <c r="R17" i="1"/>
  <c r="R18" i="1"/>
  <c r="R19" i="1"/>
  <c r="R20" i="1"/>
  <c r="R21" i="1"/>
  <c r="R22" i="1"/>
  <c r="R23" i="1"/>
  <c r="R24" i="1"/>
  <c r="R25" i="1"/>
  <c r="R14" i="1"/>
  <c r="Q15" i="1"/>
  <c r="Q16" i="1"/>
  <c r="Q17" i="1"/>
  <c r="Q18" i="1"/>
  <c r="Q19" i="1"/>
  <c r="Q20" i="1"/>
  <c r="Q21" i="1"/>
  <c r="Q22" i="1"/>
  <c r="Q23" i="1"/>
  <c r="Q24" i="1"/>
  <c r="Q25" i="1"/>
  <c r="Q14" i="1"/>
  <c r="P15" i="1"/>
  <c r="P16" i="1"/>
  <c r="P17" i="1"/>
  <c r="P18" i="1"/>
  <c r="P19" i="1"/>
  <c r="P20" i="1"/>
  <c r="P21" i="1"/>
  <c r="P22" i="1"/>
  <c r="P23" i="1"/>
  <c r="P24" i="1"/>
  <c r="P25" i="1"/>
  <c r="P14" i="1"/>
  <c r="O15" i="1"/>
  <c r="O16" i="1"/>
  <c r="O17" i="1"/>
  <c r="O18" i="1"/>
  <c r="O19" i="1"/>
  <c r="O20" i="1"/>
  <c r="O21" i="1"/>
  <c r="O22" i="1"/>
  <c r="O23" i="1"/>
  <c r="O24" i="1"/>
  <c r="O25" i="1"/>
  <c r="O14" i="1"/>
  <c r="M15" i="1"/>
  <c r="M16" i="1"/>
  <c r="M17" i="1"/>
  <c r="M18" i="1"/>
  <c r="M19" i="1"/>
  <c r="M20" i="1"/>
  <c r="M21" i="1"/>
  <c r="M22" i="1"/>
  <c r="M23" i="1"/>
  <c r="M24" i="1"/>
  <c r="M25" i="1"/>
  <c r="M14" i="1"/>
  <c r="C16" i="13" l="1"/>
  <c r="D33" i="2" s="1"/>
  <c r="C9" i="13"/>
  <c r="D7" i="4" l="1"/>
  <c r="D6" i="4"/>
  <c r="D22" i="4"/>
  <c r="D21" i="4"/>
  <c r="D26" i="4"/>
  <c r="D12" i="5" s="1"/>
  <c r="D25" i="4"/>
  <c r="D24" i="4" l="1"/>
  <c r="D15" i="4" s="1"/>
  <c r="D19" i="4"/>
  <c r="D14" i="4"/>
  <c r="D16" i="4"/>
  <c r="D18" i="4"/>
  <c r="D19" i="5"/>
  <c r="O30" i="6"/>
  <c r="P30" i="6"/>
  <c r="Q30" i="6"/>
  <c r="D30" i="4" s="1"/>
  <c r="D17" i="4" l="1"/>
  <c r="D29" i="4"/>
  <c r="D11" i="5" s="1"/>
  <c r="D13" i="5"/>
  <c r="D10" i="5"/>
  <c r="AE25" i="1" l="1"/>
  <c r="AD25" i="1"/>
  <c r="AB25" i="1"/>
  <c r="AA25" i="1"/>
  <c r="AE24" i="1"/>
  <c r="AD24" i="1"/>
  <c r="AB24" i="1"/>
  <c r="AA24" i="1"/>
  <c r="AE23" i="1"/>
  <c r="AD23" i="1"/>
  <c r="AB23" i="1"/>
  <c r="AA23" i="1"/>
  <c r="AE22" i="1"/>
  <c r="AD22" i="1"/>
  <c r="AB22" i="1"/>
  <c r="AA22" i="1"/>
  <c r="AE21" i="1"/>
  <c r="AD21" i="1"/>
  <c r="AB21" i="1"/>
  <c r="AA21" i="1"/>
  <c r="AE20" i="1"/>
  <c r="AD20" i="1"/>
  <c r="AB20" i="1"/>
  <c r="AA20" i="1"/>
  <c r="AE19" i="1"/>
  <c r="AD19" i="1"/>
  <c r="AB19" i="1"/>
  <c r="AA19" i="1"/>
  <c r="AE18" i="1"/>
  <c r="AD18" i="1"/>
  <c r="AB18" i="1"/>
  <c r="AA18" i="1"/>
  <c r="AE17" i="1"/>
  <c r="AD17" i="1"/>
  <c r="AB17" i="1"/>
  <c r="AA17" i="1"/>
  <c r="AE16" i="1"/>
  <c r="AD16" i="1"/>
  <c r="AB16" i="1"/>
  <c r="AA16" i="1"/>
  <c r="AE15" i="1"/>
  <c r="AD15" i="1"/>
  <c r="AB15" i="1"/>
  <c r="AA15" i="1"/>
  <c r="AE14" i="1"/>
  <c r="AD14" i="1"/>
  <c r="AB14" i="1"/>
  <c r="D24" i="5" l="1"/>
  <c r="D28" i="4" l="1"/>
  <c r="D23" i="5" s="1"/>
  <c r="N25" i="1" l="1"/>
  <c r="N24" i="1"/>
  <c r="N23" i="1"/>
  <c r="N22" i="1"/>
  <c r="N21" i="1"/>
  <c r="N20" i="1"/>
  <c r="N19" i="1"/>
  <c r="N18" i="1"/>
  <c r="N17" i="1"/>
  <c r="N16" i="1"/>
  <c r="N15" i="1"/>
  <c r="N14" i="1"/>
  <c r="L25" i="1"/>
  <c r="K25" i="1"/>
  <c r="L24" i="1"/>
  <c r="K24" i="1"/>
  <c r="L23" i="1"/>
  <c r="K23" i="1"/>
  <c r="L22" i="1"/>
  <c r="K22" i="1"/>
  <c r="L21" i="1"/>
  <c r="K21" i="1"/>
  <c r="L20" i="1"/>
  <c r="K20" i="1"/>
  <c r="L19" i="1"/>
  <c r="K19" i="1"/>
  <c r="L18" i="1"/>
  <c r="K18" i="1"/>
  <c r="L17" i="1"/>
  <c r="K17" i="1"/>
  <c r="L16" i="1"/>
  <c r="K16" i="1"/>
  <c r="L15" i="1"/>
  <c r="K15" i="1"/>
  <c r="L14" i="1"/>
  <c r="K14" i="1"/>
  <c r="D15" i="5" l="1"/>
  <c r="D21" i="5"/>
  <c r="D20" i="5"/>
  <c r="D17" i="5"/>
  <c r="D16" i="5"/>
  <c r="P9" i="10" l="1"/>
  <c r="P8" i="10"/>
  <c r="P7" i="10"/>
  <c r="P6" i="10"/>
  <c r="D26" i="10"/>
  <c r="O6" i="10" s="1"/>
  <c r="K9" i="10"/>
  <c r="J9" i="10"/>
  <c r="K8" i="10"/>
  <c r="J8" i="10"/>
  <c r="K7" i="10"/>
  <c r="J7" i="10"/>
  <c r="O9" i="10" l="1"/>
  <c r="O7" i="10"/>
  <c r="J11" i="10" a="1"/>
  <c r="M14" i="10" s="1"/>
  <c r="O8" i="10"/>
  <c r="L11" i="10" l="1"/>
  <c r="M12" i="10"/>
  <c r="L14" i="10"/>
  <c r="K13" i="10"/>
  <c r="L12" i="10"/>
  <c r="K11" i="10"/>
  <c r="K12" i="10"/>
  <c r="J13" i="10"/>
  <c r="J12" i="10"/>
  <c r="J11" i="10"/>
  <c r="M11" i="10"/>
  <c r="J14" i="10"/>
  <c r="K14" i="10"/>
  <c r="M13" i="10"/>
  <c r="L13" i="10"/>
  <c r="D22" i="10" l="1" a="1"/>
  <c r="D23" i="10" s="1"/>
  <c r="E22" i="10" a="1"/>
  <c r="D24" i="10" l="1"/>
  <c r="D22" i="10"/>
  <c r="D25" i="10"/>
  <c r="E24" i="10"/>
  <c r="E22" i="10"/>
  <c r="E23" i="10"/>
  <c r="E25" i="10"/>
  <c r="D17" i="9" l="1"/>
  <c r="D16" i="9"/>
  <c r="D15" i="9"/>
  <c r="C17" i="12"/>
  <c r="C23" i="13" l="1"/>
  <c r="D45" i="2" s="1"/>
  <c r="C30" i="13"/>
  <c r="D46" i="2" s="1"/>
  <c r="D9" i="4" l="1"/>
  <c r="D12" i="4"/>
  <c r="D10" i="4" s="1"/>
  <c r="D11" i="4"/>
  <c r="G76" i="7"/>
  <c r="G75" i="7"/>
  <c r="C25" i="12" l="1"/>
  <c r="C9" i="12"/>
  <c r="D18" i="5" l="1"/>
  <c r="R99" i="7"/>
  <c r="Q99" i="7"/>
  <c r="P99" i="7"/>
  <c r="O99" i="7"/>
  <c r="N99" i="7"/>
  <c r="M99" i="7"/>
  <c r="L99" i="7"/>
  <c r="G99" i="7"/>
  <c r="K99" i="7"/>
  <c r="J99" i="7"/>
  <c r="O83" i="7"/>
  <c r="O82" i="7"/>
  <c r="T77" i="7"/>
  <c r="S77" i="7"/>
  <c r="O73" i="7"/>
  <c r="O77" i="7"/>
  <c r="O80" i="7"/>
  <c r="N73" i="7"/>
  <c r="N81" i="7"/>
  <c r="N95" i="7"/>
  <c r="M73" i="7"/>
  <c r="M77" i="7"/>
  <c r="M91" i="7"/>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77" i="7"/>
  <c r="D54" i="7"/>
  <c r="D34" i="7"/>
  <c r="J73" i="7"/>
  <c r="J77" i="7"/>
  <c r="K73" i="7"/>
  <c r="K77" i="7"/>
  <c r="L73" i="7"/>
  <c r="L87" i="7"/>
  <c r="P73" i="7"/>
  <c r="P77" i="7"/>
  <c r="Q73" i="7"/>
  <c r="Q91" i="7"/>
  <c r="G91" i="7"/>
  <c r="R73" i="7"/>
  <c r="R77" i="7"/>
  <c r="R91" i="7"/>
  <c r="L81" i="7"/>
  <c r="L95" i="7"/>
  <c r="J91" i="7"/>
  <c r="J87" i="7"/>
  <c r="M87" i="7"/>
  <c r="N87" i="7"/>
  <c r="M81" i="7"/>
  <c r="M95" i="7"/>
  <c r="O87" i="7"/>
  <c r="R81" i="7"/>
  <c r="R95" i="7"/>
  <c r="P91" i="7"/>
  <c r="P81" i="7"/>
  <c r="P95" i="7"/>
  <c r="R87" i="7"/>
  <c r="P87" i="7"/>
  <c r="O84" i="7"/>
  <c r="K87" i="7"/>
  <c r="U81" i="7"/>
  <c r="N91" i="7"/>
  <c r="N77" i="7"/>
  <c r="N80" i="7"/>
  <c r="O81" i="7"/>
  <c r="O95" i="7"/>
  <c r="O91" i="7"/>
  <c r="N84" i="7"/>
  <c r="J84" i="7"/>
  <c r="J80" i="7"/>
  <c r="P84" i="7"/>
  <c r="P80" i="7"/>
  <c r="M84" i="7"/>
  <c r="M80" i="7"/>
  <c r="R84" i="7"/>
  <c r="R80" i="7"/>
  <c r="K84" i="7"/>
  <c r="K80" i="7"/>
  <c r="L91" i="7"/>
  <c r="Q77" i="7"/>
  <c r="L77" i="7"/>
  <c r="G73" i="7"/>
  <c r="K81" i="7"/>
  <c r="K95" i="7"/>
  <c r="K91" i="7"/>
  <c r="J81" i="7"/>
  <c r="J95" i="7"/>
  <c r="Q87" i="7"/>
  <c r="G87" i="7"/>
  <c r="Q81" i="7"/>
  <c r="L84" i="7"/>
  <c r="L80" i="7"/>
  <c r="Q80" i="7"/>
  <c r="G80" i="7"/>
  <c r="Q84" i="7"/>
  <c r="G84" i="7"/>
  <c r="Q95" i="7"/>
  <c r="G95" i="7"/>
  <c r="G81" i="7"/>
  <c r="X39" i="7" l="1"/>
  <c r="W39" i="7" s="1"/>
  <c r="A39" i="7" s="1"/>
  <c r="X47" i="7"/>
  <c r="X48" i="7"/>
  <c r="W48" i="7" s="1"/>
  <c r="A48" i="7" s="1"/>
  <c r="X49" i="7"/>
  <c r="X42" i="7"/>
  <c r="X44" i="7"/>
  <c r="X41" i="7"/>
  <c r="X38" i="7"/>
  <c r="X45" i="7"/>
  <c r="W45" i="7" s="1"/>
  <c r="A45" i="7" s="1"/>
  <c r="Z48" i="7"/>
  <c r="Z43" i="7"/>
  <c r="Z45" i="7"/>
  <c r="Z46" i="7"/>
  <c r="W46" i="7" s="1"/>
  <c r="A46" i="7" s="1"/>
  <c r="Z47" i="7"/>
  <c r="W47" i="7" s="1"/>
  <c r="A47" i="7" s="1"/>
  <c r="Z40" i="7"/>
  <c r="Z41" i="7"/>
  <c r="W41" i="7" s="1"/>
  <c r="A41" i="7" s="1"/>
  <c r="Z38" i="7"/>
  <c r="Z42" i="7"/>
  <c r="Z49" i="7"/>
  <c r="Z44" i="7"/>
  <c r="W44" i="7" s="1"/>
  <c r="A44" i="7" s="1"/>
  <c r="X40" i="7"/>
  <c r="W40" i="7" s="1"/>
  <c r="A40" i="7" s="1"/>
  <c r="X43" i="7"/>
  <c r="W43" i="7" s="1"/>
  <c r="A43" i="7" s="1"/>
  <c r="W42" i="7" l="1"/>
  <c r="A42" i="7" s="1"/>
  <c r="W38" i="7"/>
  <c r="A38" i="7" s="1"/>
  <c r="W49" i="7"/>
  <c r="A49" i="7" s="1"/>
  <c r="D14" i="5" l="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 ref="B17" authorId="0">
      <text>
        <r>
          <rPr>
            <b/>
            <sz val="8"/>
            <color indexed="81"/>
            <rFont val="Tahoma"/>
            <family val="2"/>
          </rPr>
          <t>Laurent:</t>
        </r>
        <r>
          <rPr>
            <sz val="8"/>
            <color indexed="81"/>
            <rFont val="Tahoma"/>
            <family val="2"/>
          </rPr>
          <t xml:space="preserve">
Case identifier name</t>
        </r>
      </text>
    </comment>
    <comment ref="A19" authorId="0">
      <text>
        <r>
          <rPr>
            <b/>
            <sz val="8"/>
            <color indexed="81"/>
            <rFont val="Tahoma"/>
            <family val="2"/>
          </rPr>
          <t>Laurent:</t>
        </r>
        <r>
          <rPr>
            <sz val="8"/>
            <color indexed="81"/>
            <rFont val="Tahoma"/>
            <family val="2"/>
          </rPr>
          <t xml:space="preserve">
Case description</t>
        </r>
      </text>
    </comment>
    <comment ref="C19"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W37" author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4.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5.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F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6.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sharedStrings.xml><?xml version="1.0" encoding="utf-8"?>
<sst xmlns="http://schemas.openxmlformats.org/spreadsheetml/2006/main" count="1037" uniqueCount="487">
  <si>
    <t>Time stamp</t>
  </si>
  <si>
    <t>Unit</t>
  </si>
  <si>
    <t>Origin</t>
  </si>
  <si>
    <t>Destination</t>
  </si>
  <si>
    <t>VALUES</t>
  </si>
  <si>
    <t>Name</t>
  </si>
  <si>
    <t>Value</t>
  </si>
  <si>
    <t>Description</t>
  </si>
  <si>
    <t>Notes</t>
  </si>
  <si>
    <t>Symbol</t>
  </si>
  <si>
    <t>kWh</t>
  </si>
  <si>
    <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</si>
  <si>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</si>
  <si>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</si>
  <si>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</si>
  <si>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</si>
  <si>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</si>
  <si>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</si>
  <si>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</si>
  <si>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</si>
  <si>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</si>
  <si>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</si>
  <si>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</si>
  <si>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</si>
  <si>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</si>
  <si>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</si>
  <si>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</si>
  <si>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</si>
  <si>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</si>
  <si>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</si>
  <si>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</si>
  <si>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</si>
  <si>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</si>
  <si>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</si>
  <si>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</si>
  <si>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</si>
  <si>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</si>
  <si>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</si>
  <si>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</si>
  <si>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</si>
  <si>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</si>
  <si>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</si>
  <si>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</si>
  <si>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</si>
  <si>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</si>
  <si>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</si>
  <si>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</si>
  <si>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</si>
  <si>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</si>
  <si>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</si>
  <si>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</si>
  <si>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</si>
  <si>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</si>
  <si>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</si>
  <si>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</si>
  <si>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</si>
  <si>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</si>
  <si>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</si>
  <si>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</si>
  <si>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</si>
  <si>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</si>
  <si>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</si>
  <si>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</si>
  <si>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</si>
  <si>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</si>
  <si>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</si>
  <si>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</si>
  <si>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</si>
  <si>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</si>
  <si>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</si>
  <si>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</si>
  <si>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</si>
  <si>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</si>
  <si>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</si>
  <si>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</si>
  <si>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</si>
  <si>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</si>
  <si>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</si>
  <si>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</si>
  <si>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</si>
  <si>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</si>
  <si>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</si>
  <si>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</si>
  <si>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</si>
  <si>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</si>
  <si>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</si>
  <si>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</si>
  <si>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</si>
  <si>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</si>
  <si>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</si>
  <si>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</si>
  <si>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</si>
  <si>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</si>
  <si>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</si>
  <si>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</si>
  <si>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</si>
  <si>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</si>
  <si>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</si>
  <si>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</si>
  <si>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</si>
  <si>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</si>
  <si>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</si>
  <si>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</si>
  <si>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</si>
  <si>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</si>
  <si>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All</t>
  </si>
  <si>
    <t>Gas</t>
  </si>
  <si>
    <t>Oil</t>
  </si>
  <si>
    <t>BLR_FUEL_GAS</t>
  </si>
  <si>
    <t>BLR_FUEL_OIL</t>
  </si>
  <si>
    <t>Fuel</t>
  </si>
  <si>
    <t>Formula ref</t>
  </si>
  <si>
    <t>Energy flow data</t>
  </si>
  <si>
    <t>BLR_FUEL</t>
  </si>
  <si>
    <t>Boiler use</t>
  </si>
  <si>
    <t>BLR_USE</t>
  </si>
  <si>
    <t>Heating</t>
  </si>
  <si>
    <t>Domestic hot water</t>
  </si>
  <si>
    <t>BLR_USE_H</t>
  </si>
  <si>
    <t>BLR_USE_DHW</t>
  </si>
  <si>
    <t>BLR_USE_ALL</t>
  </si>
  <si>
    <t>BLR_FUEL_ALL</t>
  </si>
  <si>
    <t>Generator output at full load;</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</si>
  <si>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</si>
  <si>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</si>
  <si>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</si>
  <si>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</si>
  <si>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</si>
  <si>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</si>
  <si>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</si>
  <si>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</si>
  <si>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</si>
  <si>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</si>
  <si>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</si>
  <si>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</si>
  <si>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</si>
  <si>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</si>
  <si>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</si>
  <si>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</si>
  <si>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</si>
  <si>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</si>
  <si>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</si>
  <si>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</si>
  <si>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</si>
  <si>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</si>
  <si>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</si>
  <si>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</si>
  <si>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</si>
  <si>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</si>
  <si>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</si>
  <si>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</si>
  <si>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</si>
  <si>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</si>
  <si>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</si>
  <si>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</si>
  <si>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</si>
  <si>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</si>
  <si>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</si>
  <si>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</si>
  <si>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</si>
  <si>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</si>
  <si>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</si>
  <si>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</si>
  <si>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</si>
  <si>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</si>
  <si>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</si>
  <si>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</si>
  <si>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</si>
  <si>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</si>
  <si>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Version scope</t>
  </si>
  <si>
    <t>Changes, notes</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</si>
  <si>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</si>
  <si>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</si>
  <si>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</si>
  <si>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</si>
  <si>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</si>
  <si>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</si>
  <si>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</si>
  <si>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</si>
  <si>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</si>
  <si>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</si>
  <si>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</si>
  <si>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</si>
  <si>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</si>
  <si>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</si>
  <si>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</si>
  <si>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</si>
  <si>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BLR_CE_YES</t>
  </si>
  <si>
    <t>BLR_CE_NO</t>
  </si>
  <si>
    <t>CE marking</t>
  </si>
  <si>
    <t>Control type data</t>
  </si>
  <si>
    <t>Operating conditions data</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</si>
  <si>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</si>
  <si>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</si>
  <si>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</si>
  <si>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</si>
  <si>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</si>
  <si>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</si>
  <si>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</si>
  <si>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</si>
  <si>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</si>
  <si>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</si>
  <si>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</si>
  <si>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</si>
  <si>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</si>
  <si>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</si>
  <si>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</si>
  <si>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</si>
  <si>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</si>
  <si>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</si>
  <si>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</si>
  <si>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</si>
  <si>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</si>
  <si>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</si>
  <si>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</si>
  <si>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</si>
  <si>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</si>
  <si>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</si>
  <si>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</si>
  <si>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</si>
  <si>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</si>
  <si>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</si>
  <si>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</si>
  <si>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</si>
  <si>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</si>
  <si>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</si>
  <si>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</si>
  <si>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</si>
  <si>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</si>
  <si>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yes</t>
  </si>
  <si>
    <r>
      <t>W</t>
    </r>
    <r>
      <rPr>
        <i/>
        <vertAlign val="subscript"/>
        <sz val="9"/>
        <rFont val="Arial"/>
        <family val="2"/>
      </rPr>
      <t>C;aux;gen</t>
    </r>
  </si>
  <si>
    <r>
      <t>Q</t>
    </r>
    <r>
      <rPr>
        <i/>
        <vertAlign val="subscript"/>
        <sz val="9"/>
        <rFont val="Arial"/>
        <family val="2"/>
      </rPr>
      <t>C;gen;in</t>
    </r>
  </si>
  <si>
    <r>
      <t>ϑ</t>
    </r>
    <r>
      <rPr>
        <i/>
        <vertAlign val="subscript"/>
        <sz val="9"/>
        <rFont val="Arial"/>
        <family val="2"/>
      </rPr>
      <t>C;gen;out</t>
    </r>
  </si>
  <si>
    <r>
      <t>Q</t>
    </r>
    <r>
      <rPr>
        <i/>
        <vertAlign val="subscript"/>
        <sz val="9"/>
        <rFont val="Arial"/>
        <family val="2"/>
      </rPr>
      <t>C;gen;in;req</t>
    </r>
  </si>
  <si>
    <t>Calculation time interval</t>
  </si>
  <si>
    <t>Ambient air temperature</t>
  </si>
  <si>
    <r>
      <t>Q</t>
    </r>
    <r>
      <rPr>
        <i/>
        <vertAlign val="subscript"/>
        <sz val="10"/>
        <rFont val="Arial"/>
        <family val="2"/>
      </rPr>
      <t>C;gen;in;req</t>
    </r>
  </si>
  <si>
    <r>
      <t>Q</t>
    </r>
    <r>
      <rPr>
        <i/>
        <vertAlign val="subscript"/>
        <sz val="10"/>
        <rFont val="Arial"/>
        <family val="2"/>
      </rPr>
      <t>H;C;gen;abs;in</t>
    </r>
  </si>
  <si>
    <t>M1-9</t>
  </si>
  <si>
    <t>M1-13</t>
  </si>
  <si>
    <t>local</t>
  </si>
  <si>
    <t>energy efficiency at full-load</t>
  </si>
  <si>
    <r>
      <t>EER</t>
    </r>
    <r>
      <rPr>
        <i/>
        <vertAlign val="subscript"/>
        <sz val="10"/>
        <rFont val="Arial"/>
        <family val="2"/>
      </rPr>
      <t>1.0</t>
    </r>
  </si>
  <si>
    <r>
      <t>ϑ</t>
    </r>
    <r>
      <rPr>
        <i/>
        <vertAlign val="subscript"/>
        <sz val="10"/>
        <rFont val="Arial"/>
        <family val="2"/>
      </rPr>
      <t>C;wat;evap;out;1.0</t>
    </r>
  </si>
  <si>
    <r>
      <t>ϑ</t>
    </r>
    <r>
      <rPr>
        <i/>
        <vertAlign val="subscript"/>
        <sz val="10"/>
        <rFont val="Arial"/>
        <family val="2"/>
      </rPr>
      <t>cond;in;1.0</t>
    </r>
  </si>
  <si>
    <r>
      <t>EER</t>
    </r>
    <r>
      <rPr>
        <i/>
        <vertAlign val="subscript"/>
        <sz val="10"/>
        <rFont val="Arial"/>
        <family val="2"/>
      </rPr>
      <t>0.75</t>
    </r>
  </si>
  <si>
    <r>
      <t>ϑ</t>
    </r>
    <r>
      <rPr>
        <i/>
        <vertAlign val="subscript"/>
        <sz val="10"/>
        <rFont val="Arial"/>
        <family val="2"/>
      </rPr>
      <t>C;wat;evap;out;0.75</t>
    </r>
  </si>
  <si>
    <r>
      <t>ϑ</t>
    </r>
    <r>
      <rPr>
        <i/>
        <vertAlign val="subscript"/>
        <sz val="10"/>
        <rFont val="Arial"/>
        <family val="2"/>
      </rPr>
      <t>cond;in;0.75</t>
    </r>
  </si>
  <si>
    <r>
      <t>EER</t>
    </r>
    <r>
      <rPr>
        <i/>
        <vertAlign val="subscript"/>
        <sz val="10"/>
        <rFont val="Arial"/>
        <family val="2"/>
      </rPr>
      <t>0.5</t>
    </r>
  </si>
  <si>
    <r>
      <t>ϑ</t>
    </r>
    <r>
      <rPr>
        <i/>
        <vertAlign val="subscript"/>
        <sz val="10"/>
        <rFont val="Arial"/>
        <family val="2"/>
      </rPr>
      <t>C;wat;evap;out;0.5</t>
    </r>
  </si>
  <si>
    <r>
      <t>ϑ</t>
    </r>
    <r>
      <rPr>
        <i/>
        <vertAlign val="subscript"/>
        <sz val="10"/>
        <rFont val="Arial"/>
        <family val="2"/>
      </rPr>
      <t>cond;in;0.5</t>
    </r>
  </si>
  <si>
    <r>
      <t>EER</t>
    </r>
    <r>
      <rPr>
        <i/>
        <vertAlign val="subscript"/>
        <sz val="10"/>
        <rFont val="Arial"/>
        <family val="2"/>
      </rPr>
      <t>0.25</t>
    </r>
  </si>
  <si>
    <r>
      <t>ϑ</t>
    </r>
    <r>
      <rPr>
        <i/>
        <vertAlign val="subscript"/>
        <sz val="10"/>
        <rFont val="Arial"/>
        <family val="2"/>
      </rPr>
      <t>C;wat;evap;out;0.25</t>
    </r>
  </si>
  <si>
    <r>
      <t>ϑ</t>
    </r>
    <r>
      <rPr>
        <i/>
        <vertAlign val="subscript"/>
        <sz val="10"/>
        <rFont val="Arial"/>
        <family val="2"/>
      </rPr>
      <t>cond;in;0.25</t>
    </r>
  </si>
  <si>
    <r>
      <t>EER</t>
    </r>
    <r>
      <rPr>
        <i/>
        <vertAlign val="subscript"/>
        <sz val="10"/>
        <rFont val="Arial"/>
        <family val="2"/>
      </rPr>
      <t>5</t>
    </r>
  </si>
  <si>
    <r>
      <t>ϑ</t>
    </r>
    <r>
      <rPr>
        <i/>
        <vertAlign val="subscript"/>
        <sz val="10"/>
        <rFont val="Arial"/>
        <family val="2"/>
      </rPr>
      <t>C;wat;evap;out;5</t>
    </r>
  </si>
  <si>
    <r>
      <t>ϑ</t>
    </r>
    <r>
      <rPr>
        <i/>
        <vertAlign val="subscript"/>
        <sz val="10"/>
        <rFont val="Arial"/>
        <family val="2"/>
      </rPr>
      <t>cond;in;5</t>
    </r>
  </si>
  <si>
    <t>No</t>
  </si>
  <si>
    <t>EN 14825</t>
  </si>
  <si>
    <t>Operation conditions calculations</t>
  </si>
  <si>
    <t>GEN_TYPE</t>
  </si>
  <si>
    <t>Heat rejection type</t>
  </si>
  <si>
    <t>HEAT_REJ_TYPE</t>
  </si>
  <si>
    <t>COMP</t>
  </si>
  <si>
    <t>ABS</t>
  </si>
  <si>
    <t>OTHER</t>
  </si>
  <si>
    <t>Cooling generator type 1</t>
  </si>
  <si>
    <t>Cooling generator type 2</t>
  </si>
  <si>
    <t>Compression chiller</t>
  </si>
  <si>
    <t>Absorption chiller</t>
  </si>
  <si>
    <t>Any other generator type</t>
  </si>
  <si>
    <t>Air cooled condenser</t>
  </si>
  <si>
    <t>Heat rejection with dry operation</t>
  </si>
  <si>
    <t>Heat rejection with wet operation (sprayed air cooler, cooling tower)</t>
  </si>
  <si>
    <t>Heat rejection with dry or wet operation depending on conditions</t>
  </si>
  <si>
    <t>Other type of heat rejection (ground, ground water, surface water)</t>
  </si>
  <si>
    <t>AIR_C_COND</t>
  </si>
  <si>
    <t>DRY</t>
  </si>
  <si>
    <t>WET</t>
  </si>
  <si>
    <t>HYBRID</t>
  </si>
  <si>
    <t>Process design</t>
  </si>
  <si>
    <t>Coefficient for the calculation of compression chiller characteristics</t>
  </si>
  <si>
    <r>
      <t>C</t>
    </r>
    <r>
      <rPr>
        <i/>
        <vertAlign val="subscript"/>
        <sz val="10"/>
        <rFont val="Arial"/>
        <family val="2"/>
      </rPr>
      <t>1</t>
    </r>
  </si>
  <si>
    <r>
      <t>C</t>
    </r>
    <r>
      <rPr>
        <i/>
        <vertAlign val="subscript"/>
        <sz val="10"/>
        <rFont val="Arial"/>
        <family val="2"/>
      </rPr>
      <t>2</t>
    </r>
  </si>
  <si>
    <r>
      <t>C</t>
    </r>
    <r>
      <rPr>
        <i/>
        <vertAlign val="subscript"/>
        <sz val="10"/>
        <rFont val="Arial"/>
        <family val="2"/>
      </rPr>
      <t>3</t>
    </r>
  </si>
  <si>
    <r>
      <t>C</t>
    </r>
    <r>
      <rPr>
        <i/>
        <vertAlign val="subscript"/>
        <sz val="10"/>
        <rFont val="Arial"/>
        <family val="2"/>
      </rPr>
      <t>4</t>
    </r>
  </si>
  <si>
    <t>Corrective temperature difference</t>
  </si>
  <si>
    <r>
      <rPr>
        <i/>
        <sz val="10"/>
        <rFont val="Symbol"/>
        <family val="1"/>
        <charset val="2"/>
      </rPr>
      <t>D</t>
    </r>
    <r>
      <rPr>
        <i/>
        <sz val="10"/>
        <rFont val="Arial"/>
        <family val="2"/>
      </rPr>
      <t>ϑ</t>
    </r>
    <r>
      <rPr>
        <i/>
        <vertAlign val="subscript"/>
        <sz val="10"/>
        <rFont val="Arial"/>
        <family val="2"/>
      </rPr>
      <t>corr</t>
    </r>
  </si>
  <si>
    <t>K</t>
  </si>
  <si>
    <t>M4-6</t>
  </si>
  <si>
    <t>Yes</t>
  </si>
  <si>
    <t>Formula (2)</t>
  </si>
  <si>
    <t>Formula (1)</t>
  </si>
  <si>
    <t>evaporator chilled water outlet temperature at full load</t>
  </si>
  <si>
    <t>condensor cooling water/air inlet temperature at full load</t>
  </si>
  <si>
    <t>energy efficiency at 75% load</t>
  </si>
  <si>
    <t>evaporator chilled water outlet temperature at 75% load</t>
  </si>
  <si>
    <t>condensor cooling water/air inlet temperature at 75% load</t>
  </si>
  <si>
    <t>energy efficiency at 50% load</t>
  </si>
  <si>
    <t>evaporator chilled water outlet temperature at 50% load</t>
  </si>
  <si>
    <t>condensor cooling water/air inlet temperature at 50% load</t>
  </si>
  <si>
    <t>energy efficiency at 25% load</t>
  </si>
  <si>
    <t>evaporator chilled water outlet temperature at 25% load</t>
  </si>
  <si>
    <t>condensor cooling water/air inlet temperature at 25% load</t>
  </si>
  <si>
    <r>
      <t>energy efficiency at 5</t>
    </r>
    <r>
      <rPr>
        <vertAlign val="superscript"/>
        <sz val="10"/>
        <rFont val="Arial"/>
        <family val="2"/>
      </rPr>
      <t>th</t>
    </r>
    <r>
      <rPr>
        <sz val="10"/>
        <rFont val="Arial"/>
        <family val="2"/>
      </rPr>
      <t xml:space="preserve"> measured point</t>
    </r>
  </si>
  <si>
    <r>
      <t>evaporator chilled water outlet temperature at 5</t>
    </r>
    <r>
      <rPr>
        <vertAlign val="superscript"/>
        <sz val="10"/>
        <rFont val="Arial"/>
        <family val="2"/>
      </rPr>
      <t>th</t>
    </r>
    <r>
      <rPr>
        <sz val="10"/>
        <rFont val="Arial"/>
        <family val="2"/>
      </rPr>
      <t xml:space="preserve"> measured point</t>
    </r>
  </si>
  <si>
    <r>
      <t>condensor cooling water/air inlet temperature at 5</t>
    </r>
    <r>
      <rPr>
        <vertAlign val="superscript"/>
        <sz val="10"/>
        <rFont val="Arial"/>
        <family val="2"/>
      </rPr>
      <t>th</t>
    </r>
    <r>
      <rPr>
        <sz val="10"/>
        <rFont val="Arial"/>
        <family val="2"/>
      </rPr>
      <t xml:space="preserve"> measured point</t>
    </r>
  </si>
  <si>
    <t>Matrix A:</t>
  </si>
  <si>
    <t>B = Inverse of matrix A:</t>
  </si>
  <si>
    <t>6.3.2.2.2 Compressor chiller characteristics</t>
  </si>
  <si>
    <t>Chiller 1</t>
  </si>
  <si>
    <t>Chiller 2</t>
  </si>
  <si>
    <t>1st complete version</t>
  </si>
  <si>
    <t>Required cooling energy by the cooling generation system</t>
  </si>
  <si>
    <r>
      <t>ϑ</t>
    </r>
    <r>
      <rPr>
        <i/>
        <vertAlign val="subscript"/>
        <sz val="9"/>
        <rFont val="Arial"/>
        <family val="2"/>
      </rPr>
      <t>C;gen:out;req</t>
    </r>
  </si>
  <si>
    <t>M4-8</t>
  </si>
  <si>
    <t>M2-2, M4-5</t>
  </si>
  <si>
    <t>M5-8</t>
  </si>
  <si>
    <r>
      <t>Q</t>
    </r>
    <r>
      <rPr>
        <i/>
        <vertAlign val="subscript"/>
        <sz val="9"/>
        <rFont val="Arial"/>
        <family val="2"/>
      </rPr>
      <t>C;nd;zt;j;i</t>
    </r>
  </si>
  <si>
    <r>
      <t>Q</t>
    </r>
    <r>
      <rPr>
        <i/>
        <vertAlign val="subscript"/>
        <sz val="9"/>
        <rFont val="Arial"/>
        <family val="2"/>
      </rPr>
      <t>C;ahu,k;out;req;i</t>
    </r>
  </si>
  <si>
    <t xml:space="preserve">- </t>
  </si>
  <si>
    <t>Cooling energy extracted by the cooling generation system</t>
  </si>
  <si>
    <t xml:space="preserve">Chilled water outlet temperature from the cooling generation </t>
  </si>
  <si>
    <t>Electric energy input to the cooling generation system</t>
  </si>
  <si>
    <r>
      <t>E</t>
    </r>
    <r>
      <rPr>
        <i/>
        <vertAlign val="subscript"/>
        <sz val="9"/>
        <rFont val="Arial"/>
        <family val="2"/>
      </rPr>
      <t>C,gen,el;in</t>
    </r>
  </si>
  <si>
    <t>Heat input to the absorption cooling generation</t>
  </si>
  <si>
    <t>Auxiliary energy for cooling generation system</t>
  </si>
  <si>
    <t>M2-2</t>
  </si>
  <si>
    <t>M4-5</t>
  </si>
  <si>
    <t>CLG_DISTR_TMP_CTRL</t>
  </si>
  <si>
    <t>CLG_GEN_TMP_CTRL</t>
  </si>
  <si>
    <t>Control of the cooling generation outlet temperature</t>
  </si>
  <si>
    <t>Density of water</t>
  </si>
  <si>
    <r>
      <t>r</t>
    </r>
    <r>
      <rPr>
        <i/>
        <vertAlign val="subscript"/>
        <sz val="9"/>
        <rFont val="Arial"/>
        <family val="2"/>
      </rPr>
      <t>wat</t>
    </r>
  </si>
  <si>
    <t>Specific heat of water</t>
  </si>
  <si>
    <r>
      <t>c</t>
    </r>
    <r>
      <rPr>
        <i/>
        <vertAlign val="subscript"/>
        <sz val="9"/>
        <rFont val="Arial"/>
        <family val="2"/>
      </rPr>
      <t>wat</t>
    </r>
  </si>
  <si>
    <r>
      <t>kg/m</t>
    </r>
    <r>
      <rPr>
        <vertAlign val="superscript"/>
        <sz val="9"/>
        <rFont val="Arial"/>
        <family val="2"/>
      </rPr>
      <t>3</t>
    </r>
  </si>
  <si>
    <t>kWh/kg K</t>
  </si>
  <si>
    <t>Variable set point with outdoor temperature compensation</t>
  </si>
  <si>
    <t>CONST</t>
  </si>
  <si>
    <t>ODA_COMP</t>
  </si>
  <si>
    <t>Constant temperature in the cooling generation plant</t>
  </si>
  <si>
    <t>Variable temperature in the cooling generation plant</t>
  </si>
  <si>
    <t>VARIABLE</t>
  </si>
  <si>
    <t>Formula (1a)</t>
  </si>
  <si>
    <t>Formula (1b)</t>
  </si>
  <si>
    <r>
      <t>J</t>
    </r>
    <r>
      <rPr>
        <vertAlign val="subscript"/>
        <sz val="10"/>
        <rFont val="Arial"/>
        <family val="2"/>
      </rPr>
      <t>C,gen;out;req</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</si>
  <si>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C;gen;out;set</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</si>
  <si>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C;dis;in;flw;req</t>
    </r>
  </si>
  <si>
    <t>Formula (2a)</t>
  </si>
  <si>
    <t>Formula (2b)</t>
  </si>
  <si>
    <t>Control of the chilled water flow temperature of the total distribution system</t>
  </si>
  <si>
    <t>Maximum inlet temperature setpoint of the total distribution system for ODA_COMP control option</t>
  </si>
  <si>
    <t>Minimum inlet temperature setpoint of the total distribution system for ODA_COMP control option</t>
  </si>
  <si>
    <t>Slope factor of the total distribution system for ODA_COMP control option</t>
  </si>
  <si>
    <t>Temperature offset of the total distribution system for ODA_COMP control option</t>
  </si>
  <si>
    <r>
      <t>ϑ</t>
    </r>
    <r>
      <rPr>
        <i/>
        <vertAlign val="subscript"/>
        <sz val="10"/>
        <rFont val="Arial"/>
        <family val="2"/>
      </rPr>
      <t>C;dis;flw;set;max</t>
    </r>
  </si>
  <si>
    <r>
      <t>ϑ</t>
    </r>
    <r>
      <rPr>
        <i/>
        <vertAlign val="subscript"/>
        <sz val="10"/>
        <rFont val="Arial"/>
        <family val="2"/>
      </rPr>
      <t>C;dis;flw;set;min</t>
    </r>
  </si>
  <si>
    <r>
      <t>f</t>
    </r>
    <r>
      <rPr>
        <i/>
        <vertAlign val="subscript"/>
        <sz val="10"/>
        <rFont val="Arial"/>
        <family val="2"/>
      </rPr>
      <t>e</t>
    </r>
  </si>
  <si>
    <r>
      <t>DJ</t>
    </r>
    <r>
      <rPr>
        <i/>
        <vertAlign val="subscript"/>
        <sz val="10"/>
        <rFont val="Arial"/>
        <family val="2"/>
      </rPr>
      <t>off</t>
    </r>
  </si>
  <si>
    <r>
      <t>t</t>
    </r>
    <r>
      <rPr>
        <i/>
        <vertAlign val="subscript"/>
        <sz val="9"/>
        <color rgb="FF000000"/>
        <rFont val="Arial"/>
        <family val="2"/>
      </rPr>
      <t>c,i</t>
    </r>
  </si>
  <si>
    <r>
      <t>ϑ</t>
    </r>
    <r>
      <rPr>
        <i/>
        <vertAlign val="subscript"/>
        <sz val="9"/>
        <color rgb="FF000000"/>
        <rFont val="Arial"/>
        <family val="2"/>
      </rPr>
      <t>e</t>
    </r>
    <r>
      <rPr>
        <i/>
        <sz val="9"/>
        <color rgb="FF000000"/>
        <rFont val="Arial"/>
        <family val="2"/>
      </rPr>
      <t xml:space="preserve"> </t>
    </r>
  </si>
  <si>
    <r>
      <t>Q</t>
    </r>
    <r>
      <rPr>
        <i/>
        <vertAlign val="subscript"/>
        <sz val="10"/>
        <rFont val="Arial"/>
        <family val="2"/>
      </rPr>
      <t>C;zt;j</t>
    </r>
  </si>
  <si>
    <r>
      <t>Q</t>
    </r>
    <r>
      <rPr>
        <i/>
        <vertAlign val="subscript"/>
        <sz val="10"/>
        <rFont val="Arial"/>
        <family val="2"/>
      </rPr>
      <t>C;ahu;k;out</t>
    </r>
  </si>
  <si>
    <t>energy really extracted by the from the air handling unit k=1</t>
  </si>
  <si>
    <t>energy really extracted by the from the air handling unit k=2</t>
  </si>
  <si>
    <t>annual efficiency of the total cooling system</t>
  </si>
  <si>
    <t xml:space="preserve">annual efficiency of the cooling generation system </t>
  </si>
  <si>
    <r>
      <t>h</t>
    </r>
    <r>
      <rPr>
        <i/>
        <vertAlign val="subscript"/>
        <sz val="10"/>
        <rFont val="Arial"/>
        <family val="2"/>
      </rPr>
      <t>C;tot;an</t>
    </r>
  </si>
  <si>
    <r>
      <t>h</t>
    </r>
    <r>
      <rPr>
        <i/>
        <vertAlign val="subscript"/>
        <sz val="10"/>
        <rFont val="Arial"/>
        <family val="2"/>
      </rPr>
      <t>C;gen;an</t>
    </r>
  </si>
  <si>
    <t>energy to be extracted by the cooling generation system for DX systems</t>
  </si>
  <si>
    <t>energy really extracted by the from the thermal zone j=1 for DX systems</t>
  </si>
  <si>
    <t>energy really extracted by the from the thermal zone j=2 for DX systems</t>
  </si>
  <si>
    <t>energy really extracted by the from the thermal zone j=3 for DX systems</t>
  </si>
  <si>
    <t>energy really extracted by the from the thermal zone j=4 for DX systems</t>
  </si>
  <si>
    <t>Performance expression calculations</t>
  </si>
  <si>
    <t>DX systems</t>
  </si>
  <si>
    <t>Water based systems</t>
  </si>
  <si>
    <t>Energy calculations</t>
  </si>
  <si>
    <t>Method output</t>
  </si>
  <si>
    <t>Cooling energy extracted from thermal zone j=1</t>
  </si>
  <si>
    <t>Cooling energy extracted from thermal zone j=2</t>
  </si>
  <si>
    <t>Cooling energy extracted from thermal zone j=3</t>
  </si>
  <si>
    <t>Cooling energy extracted from thermal zone j=4</t>
  </si>
  <si>
    <t>AHU cooling coil output for ventilation system k=1</t>
  </si>
  <si>
    <t>AHU cooling coil output for ventilation system k=2</t>
  </si>
  <si>
    <t>constant supply temperature</t>
  </si>
  <si>
    <t>Performance expression</t>
  </si>
  <si>
    <t>standard public enquiry</t>
  </si>
  <si>
    <t xml:space="preserve">input value and formulae  corrections; graphs added;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</si>
  <si>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</si>
  <si>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</si>
  <si>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</si>
  <si>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</si>
  <si>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disclaimer updated</t>
  </si>
  <si>
    <t>Electric energy input to the cooling generation</t>
  </si>
  <si>
    <t>Auxiliary energy for the cooling emission</t>
  </si>
  <si>
    <t>Auxiliary energy for the cooling distribution</t>
  </si>
  <si>
    <t>Auxiliary energy of the cooling generation</t>
  </si>
  <si>
    <t>Energy to be extracted by the cooling generation system</t>
  </si>
  <si>
    <t xml:space="preserve">cooling distribution heat losses </t>
  </si>
  <si>
    <t>cooling auxiliary energy</t>
  </si>
  <si>
    <t>Required generation outlet temperature if CLG_GEN_TMP_CTRL = CONST</t>
  </si>
  <si>
    <t>Required generation outlet temperature else</t>
  </si>
  <si>
    <t>Required generation outlet temperature for zone based emitters</t>
  </si>
  <si>
    <t>Required generation outlet temperature for air system based distribution</t>
  </si>
  <si>
    <t>Required inlet temperature of the total distribution system if CLG_DISTR_TMP_CTRL = CONST</t>
  </si>
  <si>
    <t>required inlet temperature of the total distribution system if CLG_DISTR_TMP_CTRL = ODA_COMP</t>
  </si>
  <si>
    <t>total auxiliary energy for the cooling emission</t>
  </si>
  <si>
    <t>Required cooling air supply temperature</t>
  </si>
  <si>
    <t>Equivalent internal temperature</t>
  </si>
  <si>
    <t>Factor for the cooling distribution losses (simplified calculation)</t>
  </si>
  <si>
    <t>Factor for the cooling distribution auxiliary energy (simplified calculation)</t>
  </si>
  <si>
    <t>Weighting factor for thermal energy</t>
  </si>
  <si>
    <t>Weighting factor for electric energy</t>
  </si>
  <si>
    <t>standard FV</t>
  </si>
  <si>
    <t>simplified calculation added</t>
  </si>
  <si>
    <t>System type</t>
  </si>
  <si>
    <t>Water based system</t>
  </si>
  <si>
    <t>DX</t>
  </si>
  <si>
    <t>Water</t>
  </si>
  <si>
    <t>Direct expansion system</t>
  </si>
  <si>
    <t>Emitter type</t>
  </si>
  <si>
    <r>
      <t>Q</t>
    </r>
    <r>
      <rPr>
        <i/>
        <vertAlign val="subscript"/>
        <sz val="9"/>
        <rFont val="Arial"/>
        <family val="2"/>
      </rPr>
      <t>C;out;zt,j</t>
    </r>
  </si>
  <si>
    <r>
      <t>Q</t>
    </r>
    <r>
      <rPr>
        <i/>
        <vertAlign val="subscript"/>
        <sz val="9"/>
        <rFont val="Arial"/>
        <family val="2"/>
      </rPr>
      <t>C;ahu;out;k</t>
    </r>
  </si>
  <si>
    <t>Formula (6)</t>
  </si>
  <si>
    <t>Formula (7)</t>
  </si>
  <si>
    <t>Formula (8)</t>
  </si>
  <si>
    <t>Formula (26)</t>
  </si>
  <si>
    <t xml:space="preserve">Sensible energy need for cooling in thermal zone j=1 </t>
  </si>
  <si>
    <t xml:space="preserve">Sensible energy need for cooling in thermal zone j=2 </t>
  </si>
  <si>
    <t>Heat losses of cooling emission in thermal zone j=1</t>
  </si>
  <si>
    <t>Heat losses of cooling emission in thermal zone j=2</t>
  </si>
  <si>
    <t>Auxiliary energy for cooling emission system in thermal zone j=1</t>
  </si>
  <si>
    <t>Auxiliary energy for cooling emission system in thermal zone j=2</t>
  </si>
  <si>
    <t>Sensible energy need for cooling in thermal zone j=3</t>
  </si>
  <si>
    <t>Sensible energy need for cooling in thermal zone j=4</t>
  </si>
  <si>
    <t>Required AHU cooling coil output for ventilation system k=1</t>
  </si>
  <si>
    <t>Required AHU cooling coil output for ventilation system k=2</t>
  </si>
  <si>
    <t>Heat losses of cooling emission in thermal zone j=3</t>
  </si>
  <si>
    <t>Heat losses of cooling emission in thermal zone j=4</t>
  </si>
  <si>
    <t>Auxiliary energy for cooling emission system in thermal zone j=3</t>
  </si>
  <si>
    <t>Auxiliary energy for cooling emission system in thermal zone j=4</t>
  </si>
  <si>
    <t>Portion of cooling distribution auxiliary energy going to the chilled water for distribution system</t>
  </si>
  <si>
    <r>
      <t>f</t>
    </r>
    <r>
      <rPr>
        <i/>
        <vertAlign val="subscript"/>
        <sz val="9"/>
        <rFont val="Arial"/>
        <family val="2"/>
      </rPr>
      <t>wat;C;dis;aux</t>
    </r>
  </si>
  <si>
    <t>input table adjusted</t>
  </si>
  <si>
    <t>feedback Pim Helm</t>
  </si>
  <si>
    <t>Simplified and detailed calculations separated</t>
  </si>
  <si>
    <r>
      <t>Q</t>
    </r>
    <r>
      <rPr>
        <i/>
        <vertAlign val="subscript"/>
        <sz val="9"/>
        <rFont val="Arial"/>
        <family val="2"/>
      </rPr>
      <t>C;nd;zt;j</t>
    </r>
  </si>
  <si>
    <r>
      <t>J</t>
    </r>
    <r>
      <rPr>
        <vertAlign val="subscript"/>
        <sz val="9"/>
        <rFont val="Arial"/>
        <family val="2"/>
      </rPr>
      <t>SUP;C;req</t>
    </r>
  </si>
  <si>
    <r>
      <t>Q</t>
    </r>
    <r>
      <rPr>
        <i/>
        <vertAlign val="subscript"/>
        <sz val="9"/>
        <rFont val="Arial"/>
        <family val="2"/>
      </rPr>
      <t>C;em,ls;zt,j</t>
    </r>
  </si>
  <si>
    <r>
      <t>W</t>
    </r>
    <r>
      <rPr>
        <i/>
        <vertAlign val="subscript"/>
        <sz val="9"/>
        <rFont val="Arial"/>
        <family val="2"/>
      </rPr>
      <t>C;aux;em;j</t>
    </r>
  </si>
  <si>
    <r>
      <t>J</t>
    </r>
    <r>
      <rPr>
        <i/>
        <vertAlign val="subscript"/>
        <sz val="9"/>
        <rFont val="Arial"/>
        <family val="2"/>
      </rPr>
      <t>int;inc</t>
    </r>
  </si>
  <si>
    <r>
      <t>f</t>
    </r>
    <r>
      <rPr>
        <vertAlign val="subscript"/>
        <sz val="10"/>
        <rFont val="Arial"/>
        <family val="2"/>
      </rPr>
      <t>C;ls;dis</t>
    </r>
  </si>
  <si>
    <r>
      <t>f</t>
    </r>
    <r>
      <rPr>
        <vertAlign val="subscript"/>
        <sz val="10"/>
        <rFont val="Arial"/>
        <family val="2"/>
      </rPr>
      <t>C;aux;dis</t>
    </r>
  </si>
  <si>
    <r>
      <t>f</t>
    </r>
    <r>
      <rPr>
        <i/>
        <vertAlign val="subscript"/>
        <sz val="10"/>
        <rFont val="Arial"/>
        <family val="2"/>
      </rPr>
      <t>W;th</t>
    </r>
  </si>
  <si>
    <r>
      <t>f</t>
    </r>
    <r>
      <rPr>
        <i/>
        <vertAlign val="subscript"/>
        <sz val="10"/>
        <rFont val="Arial"/>
        <family val="2"/>
      </rPr>
      <t>W;el</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</si>
  <si>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C;int;inc</t>
    </r>
  </si>
  <si>
    <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SUP;C;req</t>
    </r>
  </si>
  <si>
    <t>Formula (1c)</t>
  </si>
  <si>
    <t>Formula (1d)</t>
  </si>
  <si>
    <r>
      <t>ϑ</t>
    </r>
    <r>
      <rPr>
        <i/>
        <vertAlign val="subscript"/>
        <sz val="10"/>
        <rFont val="Arial"/>
        <family val="2"/>
      </rPr>
      <t>C;dis;in;flw;req</t>
    </r>
  </si>
  <si>
    <r>
      <t>ϑ</t>
    </r>
    <r>
      <rPr>
        <i/>
        <vertAlign val="subscript"/>
        <sz val="10"/>
        <rFont val="Arial"/>
        <family val="2"/>
      </rPr>
      <t>C;dis;in;flw;req</t>
    </r>
    <r>
      <rPr>
        <i/>
        <sz val="10"/>
        <rFont val="Arial"/>
        <family val="2"/>
      </rPr>
      <t xml:space="preserve"> = ϑ</t>
    </r>
    <r>
      <rPr>
        <i/>
        <vertAlign val="subscript"/>
        <sz val="10"/>
        <rFont val="Arial"/>
        <family val="2"/>
      </rPr>
      <t>C;dis;flw;set</t>
    </r>
  </si>
  <si>
    <r>
      <t>ϑ</t>
    </r>
    <r>
      <rPr>
        <i/>
        <vertAlign val="subscript"/>
        <sz val="10"/>
        <rFont val="Arial"/>
        <family val="2"/>
      </rPr>
      <t>C;dis;in;flw;req</t>
    </r>
    <r>
      <rPr>
        <i/>
        <sz val="10"/>
        <rFont val="Arial"/>
        <family val="2"/>
      </rPr>
      <t xml:space="preserve"> = min[ϑ</t>
    </r>
    <r>
      <rPr>
        <i/>
        <vertAlign val="subscript"/>
        <sz val="10"/>
        <rFont val="Arial"/>
        <family val="2"/>
      </rPr>
      <t>C;dis;flw;set;max;</t>
    </r>
    <r>
      <rPr>
        <i/>
        <sz val="10"/>
        <rFont val="Arial"/>
        <family val="2"/>
      </rPr>
      <t>; max(ϑ</t>
    </r>
    <r>
      <rPr>
        <i/>
        <vertAlign val="subscript"/>
        <sz val="10"/>
        <rFont val="Arial"/>
        <family val="2"/>
      </rPr>
      <t xml:space="preserve">C;dis;flw;set;min </t>
    </r>
    <r>
      <rPr>
        <i/>
        <sz val="10"/>
        <rFont val="Arial"/>
        <family val="2"/>
      </rPr>
      <t>; f</t>
    </r>
    <r>
      <rPr>
        <i/>
        <vertAlign val="subscript"/>
        <sz val="10"/>
        <rFont val="Arial"/>
        <family val="2"/>
      </rPr>
      <t>e</t>
    </r>
    <r>
      <rPr>
        <i/>
        <sz val="10"/>
        <rFont val="Arial"/>
        <family val="2"/>
      </rPr>
      <t xml:space="preserve"> </t>
    </r>
    <r>
      <rPr>
        <i/>
        <sz val="10"/>
        <rFont val="Symbol"/>
        <family val="1"/>
        <charset val="2"/>
      </rPr>
      <t>×</t>
    </r>
    <r>
      <rPr>
        <i/>
        <sz val="10"/>
        <rFont val="Arial"/>
        <family val="2"/>
      </rPr>
      <t xml:space="preserve"> </t>
    </r>
    <r>
      <rPr>
        <i/>
        <sz val="10"/>
        <rFont val="Symbol"/>
        <family val="1"/>
        <charset val="2"/>
      </rPr>
      <t>J</t>
    </r>
    <r>
      <rPr>
        <i/>
        <vertAlign val="subscript"/>
        <sz val="10"/>
        <rFont val="Arial"/>
        <family val="2"/>
      </rPr>
      <t>e</t>
    </r>
    <r>
      <rPr>
        <i/>
        <sz val="10"/>
        <rFont val="Arial"/>
        <family val="2"/>
      </rPr>
      <t xml:space="preserve"> + </t>
    </r>
    <r>
      <rPr>
        <i/>
        <sz val="10"/>
        <rFont val="Symbol"/>
        <family val="1"/>
        <charset val="2"/>
      </rPr>
      <t>DJ</t>
    </r>
    <r>
      <rPr>
        <i/>
        <vertAlign val="subscript"/>
        <sz val="10"/>
        <rFont val="Arial"/>
        <family val="2"/>
      </rPr>
      <t>off</t>
    </r>
    <r>
      <rPr>
        <i/>
        <sz val="10"/>
        <rFont val="Arial"/>
        <family val="2"/>
      </rPr>
      <t>)]</t>
    </r>
  </si>
  <si>
    <t>Formula (3)</t>
  </si>
  <si>
    <t>Formula (4)</t>
  </si>
  <si>
    <r>
      <t>Q</t>
    </r>
    <r>
      <rPr>
        <i/>
        <vertAlign val="subscript"/>
        <sz val="10"/>
        <rFont val="Arial"/>
        <family val="2"/>
      </rPr>
      <t>C;ls;dis</t>
    </r>
  </si>
  <si>
    <r>
      <t>W</t>
    </r>
    <r>
      <rPr>
        <i/>
        <vertAlign val="subscript"/>
        <sz val="10"/>
        <rFont val="Arial"/>
        <family val="2"/>
      </rPr>
      <t>C;aux;dis</t>
    </r>
  </si>
  <si>
    <t>Formula (25)</t>
  </si>
  <si>
    <r>
      <t>W</t>
    </r>
    <r>
      <rPr>
        <i/>
        <vertAlign val="subscript"/>
        <sz val="10"/>
        <rFont val="Arial"/>
        <family val="2"/>
      </rPr>
      <t>C;aux;em</t>
    </r>
  </si>
  <si>
    <t>Formula (28)</t>
  </si>
  <si>
    <r>
      <t>E</t>
    </r>
    <r>
      <rPr>
        <vertAlign val="subscript"/>
        <sz val="9"/>
        <rFont val="Arial"/>
        <family val="2"/>
      </rPr>
      <t>C;gen;el;in</t>
    </r>
  </si>
  <si>
    <r>
      <t>W</t>
    </r>
    <r>
      <rPr>
        <vertAlign val="subscript"/>
        <sz val="9"/>
        <rFont val="Arial"/>
        <family val="2"/>
      </rPr>
      <t>C;aux;em</t>
    </r>
  </si>
  <si>
    <r>
      <t>W</t>
    </r>
    <r>
      <rPr>
        <vertAlign val="subscript"/>
        <sz val="9"/>
        <rFont val="Arial"/>
        <family val="2"/>
      </rPr>
      <t>C;aux;dis</t>
    </r>
  </si>
  <si>
    <r>
      <t>W</t>
    </r>
    <r>
      <rPr>
        <vertAlign val="subscript"/>
        <sz val="9"/>
        <rFont val="Arial"/>
        <family val="2"/>
      </rPr>
      <t>C;aux;gen</t>
    </r>
  </si>
  <si>
    <t>DX_CLG_DIS_TYPE</t>
  </si>
  <si>
    <t>ZONE_BASED</t>
  </si>
  <si>
    <t>AIR_BASED</t>
  </si>
  <si>
    <t>zone based emitters</t>
  </si>
  <si>
    <t>air based distribution</t>
  </si>
  <si>
    <t>Formula (5a)</t>
  </si>
  <si>
    <t>Formula (5b)</t>
  </si>
  <si>
    <t>Adjustment to last FV standard version</t>
  </si>
  <si>
    <t>DX_CLG_DIS_TYPE option added, formula (5) separated</t>
  </si>
  <si>
    <t>Cooling generation outlet temperature setpoint</t>
  </si>
  <si>
    <r>
      <t>ϑ</t>
    </r>
    <r>
      <rPr>
        <vertAlign val="subscript"/>
        <sz val="10"/>
        <rFont val="Arial"/>
        <family val="2"/>
      </rPr>
      <t>C;gen;out;set</t>
    </r>
  </si>
  <si>
    <t>Required coolinig generation outlet temperature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</si>
</sst>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35"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sz val="9"/>
      <name val="Arial"/>
      <family val="2"/>
    </font>
    <font>
      <i/>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sz val="10"/>
      <color rgb="FFFF0000"/>
      <name val="Arial"/>
      <family val="2"/>
    </font>
    <font>
      <i/>
      <vertAlign val="subscript"/>
      <sz val="9"/>
      <name val="Arial"/>
      <family val="2"/>
    </font>
    <font>
      <vertAlign val="superscript"/>
      <sz val="10"/>
      <name val="Arial"/>
      <family val="2"/>
    </font>
    <font>
      <sz val="10"/>
      <color rgb="FFFF0000"/>
      <name val="Arial"/>
      <family val="2"/>
    </font>
    <font>
      <sz val="10"/>
      <color theme="1"/>
      <name val="Arial"/>
      <family val="2"/>
    </font>
    <font>
      <i/>
      <sz val="9"/>
      <name val="Symbol"/>
      <family val="1"/>
      <charset val="2"/>
    </font>
    <font>
      <vertAlign val="superscript"/>
      <sz val="9"/>
      <name val="Arial"/>
      <family val="2"/>
    </font>
    <font>
      <sz val="9"/>
      <color rgb="FF000000"/>
      <name val="Arial"/>
      <family val="2"/>
    </font>
    <font>
      <i/>
      <sz val="9"/>
      <color rgb="FF000000"/>
      <name val="Arial"/>
      <family val="2"/>
    </font>
    <font>
      <i/>
      <vertAlign val="subscript"/>
      <sz val="9"/>
      <color rgb="FF000000"/>
      <name val="Arial"/>
      <family val="2"/>
    </font>
    <font>
      <b/>
      <i/>
      <sz val="11"/>
      <name val="Arial"/>
      <family val="2"/>
    </font>
    <font>
      <b/>
      <i/>
      <sz val="18"/>
      <name val="Arial"/>
      <family val="2"/>
    </font>
    <font>
      <vertAlign val="subscript"/>
      <sz val="9"/>
      <name val="Arial"/>
      <family val="2"/>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indexed="9"/>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style="thin">
        <color indexed="64"/>
      </bottom>
      <diagonal/>
    </border>
  </borders>
  <cellStyleXfs count="7">
    <xf numFmtId="0" fontId="0" fillId="0" borderId="0"/>
    <xf numFmtId="0" fontId="4" fillId="0" borderId="0"/>
    <xf numFmtId="0" fontId="26" fillId="0" borderId="0"/>
    <xf numFmtId="0" fontId="26" fillId="0" borderId="0"/>
    <xf numFmtId="0" fontId="26" fillId="0" borderId="0"/>
    <xf numFmtId="0" fontId="26" fillId="0" borderId="0"/>
    <xf numFmtId="0" fontId="26" fillId="0" borderId="0"/>
  </cellStyleXfs>
  <cellXfs count="45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0" xfId="0" applyBorder="1" applyAlignment="1">
      <alignment horizontal="center" vertical="center" wrapText="1"/>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0" fontId="5" fillId="0" borderId="0" xfId="0" quotePrefix="1"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2" xfId="0"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wrapText="1"/>
    </xf>
    <xf numFmtId="0" fontId="5" fillId="0" borderId="3" xfId="0" applyFont="1" applyBorder="1" applyAlignment="1">
      <alignment horizontal="center" vertical="center" wrapText="1"/>
    </xf>
    <xf numFmtId="0" fontId="0" fillId="0" borderId="13" xfId="0" applyBorder="1" applyAlignment="1">
      <alignment horizontal="center" vertical="center" wrapText="1"/>
    </xf>
    <xf numFmtId="0" fontId="5" fillId="0" borderId="14" xfId="0" applyFont="1" applyBorder="1" applyAlignment="1">
      <alignment horizontal="left" vertical="center" wrapText="1"/>
    </xf>
    <xf numFmtId="0" fontId="5" fillId="0" borderId="15" xfId="0" applyFont="1" applyBorder="1" applyAlignment="1">
      <alignment horizontal="left"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0" fillId="0" borderId="0" xfId="0" applyFont="1" applyAlignment="1">
      <alignment horizontal="left" vertical="center" wrapText="1"/>
    </xf>
    <xf numFmtId="0" fontId="10" fillId="0" borderId="0" xfId="0" applyFont="1" applyAlignment="1">
      <alignment vertical="center"/>
    </xf>
    <xf numFmtId="0" fontId="5" fillId="0" borderId="18" xfId="0" applyFont="1" applyBorder="1" applyAlignment="1">
      <alignment horizontal="left" vertical="center" wrapText="1"/>
    </xf>
    <xf numFmtId="0" fontId="5" fillId="0" borderId="19" xfId="0" applyFont="1" applyBorder="1" applyAlignment="1">
      <alignment horizontal="left"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5" fillId="0" borderId="14" xfId="0" applyFont="1" applyBorder="1" applyAlignment="1">
      <alignment horizontal="justify" vertical="center" wrapText="1"/>
    </xf>
    <xf numFmtId="0" fontId="6" fillId="0" borderId="0" xfId="0" applyFont="1" applyBorder="1" applyAlignment="1">
      <alignment horizontal="center" vertical="center"/>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10"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12" fillId="0" borderId="1" xfId="0" applyFont="1" applyBorder="1" applyAlignment="1">
      <alignment horizontal="center" vertical="center" textRotation="90" wrapText="1"/>
    </xf>
    <xf numFmtId="164" fontId="5" fillId="0" borderId="1" xfId="0" applyNumberFormat="1" applyFont="1" applyBorder="1" applyAlignment="1">
      <alignment horizontal="center" vertical="center" wrapText="1"/>
    </xf>
    <xf numFmtId="164" fontId="19" fillId="2" borderId="1" xfId="0" applyNumberFormat="1" applyFont="1" applyFill="1" applyBorder="1" applyAlignment="1">
      <alignment horizontal="center" vertical="center" wrapText="1"/>
    </xf>
    <xf numFmtId="164" fontId="19" fillId="0" borderId="1" xfId="0" applyNumberFormat="1" applyFont="1" applyFill="1" applyBorder="1" applyAlignment="1">
      <alignment horizontal="center" vertical="center" wrapText="1"/>
    </xf>
    <xf numFmtId="2" fontId="19" fillId="2" borderId="1" xfId="0" applyNumberFormat="1" applyFont="1" applyFill="1" applyBorder="1" applyAlignment="1">
      <alignment horizontal="center" vertical="center" wrapText="1"/>
    </xf>
    <xf numFmtId="0" fontId="19"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2" xfId="0" applyBorder="1" applyAlignment="1">
      <alignment horizontal="left" vertical="center" wrapText="1"/>
    </xf>
    <xf numFmtId="0" fontId="0" fillId="0" borderId="22" xfId="0" applyBorder="1" applyAlignment="1">
      <alignment horizontal="center" vertical="center" wrapText="1"/>
    </xf>
    <xf numFmtId="0" fontId="0" fillId="0" borderId="0" xfId="0" applyBorder="1" applyAlignment="1">
      <alignment horizontal="left" vertical="center" wrapText="1"/>
    </xf>
    <xf numFmtId="0" fontId="5" fillId="0" borderId="12" xfId="0" applyFont="1" applyBorder="1" applyAlignment="1">
      <alignment horizontal="left" vertical="center" wrapText="1"/>
    </xf>
    <xf numFmtId="0" fontId="5" fillId="0" borderId="13" xfId="0" applyFont="1" applyBorder="1" applyAlignment="1">
      <alignment horizontal="left" vertical="center" wrapText="1"/>
    </xf>
    <xf numFmtId="0" fontId="5" fillId="0" borderId="20" xfId="0" applyFont="1" applyBorder="1" applyAlignment="1">
      <alignment horizontal="left" vertical="center" wrapText="1"/>
    </xf>
    <xf numFmtId="0" fontId="5" fillId="0" borderId="0" xfId="0" applyFont="1" applyBorder="1" applyAlignment="1">
      <alignment horizontal="justify" vertical="center" wrapText="1"/>
    </xf>
    <xf numFmtId="0" fontId="12" fillId="0" borderId="1" xfId="0" applyFont="1" applyBorder="1" applyAlignment="1">
      <alignment horizontal="center" vertical="center" wrapText="1"/>
    </xf>
    <xf numFmtId="0" fontId="0" fillId="0" borderId="19" xfId="0" applyBorder="1" applyAlignment="1">
      <alignment horizontal="center" vertical="center" wrapText="1"/>
    </xf>
    <xf numFmtId="0" fontId="0" fillId="0" borderId="14" xfId="0" applyBorder="1" applyAlignment="1">
      <alignment horizontal="center" vertical="center" wrapText="1"/>
    </xf>
    <xf numFmtId="0" fontId="5" fillId="0" borderId="23" xfId="0" applyFont="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0" fillId="0" borderId="27" xfId="0" applyBorder="1" applyAlignment="1">
      <alignment horizontal="center" vertic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5" fillId="0" borderId="30" xfId="0" applyFont="1" applyBorder="1" applyAlignment="1">
      <alignment horizontal="left" vertical="center" wrapText="1"/>
    </xf>
    <xf numFmtId="0" fontId="5" fillId="0" borderId="31" xfId="0" applyFont="1" applyBorder="1" applyAlignment="1">
      <alignment horizontal="left" vertical="center" wrapText="1"/>
    </xf>
    <xf numFmtId="0" fontId="0" fillId="0" borderId="32" xfId="0" applyBorder="1" applyAlignment="1">
      <alignment horizontal="center" vertical="center" wrapText="1"/>
    </xf>
    <xf numFmtId="0" fontId="5" fillId="0" borderId="33" xfId="0" applyFont="1" applyBorder="1" applyAlignment="1">
      <alignment horizontal="center" vertical="center" wrapText="1"/>
    </xf>
    <xf numFmtId="0" fontId="8" fillId="0" borderId="34" xfId="0" applyFont="1" applyBorder="1" applyAlignment="1">
      <alignment horizontal="center" vertical="center" wrapText="1"/>
    </xf>
    <xf numFmtId="0" fontId="5" fillId="0" borderId="28" xfId="0" applyFont="1" applyBorder="1" applyAlignment="1">
      <alignment horizontal="left" vertical="center" wrapText="1"/>
    </xf>
    <xf numFmtId="0" fontId="5" fillId="0" borderId="29" xfId="0" applyFont="1" applyBorder="1" applyAlignment="1">
      <alignment horizontal="center" vertical="center" wrapText="1"/>
    </xf>
    <xf numFmtId="0" fontId="5" fillId="0" borderId="35" xfId="0" applyFont="1" applyBorder="1" applyAlignment="1">
      <alignment horizontal="center" vertical="center" wrapText="1"/>
    </xf>
    <xf numFmtId="0" fontId="14"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5" fillId="0" borderId="36" xfId="0" applyFont="1" applyBorder="1" applyAlignment="1">
      <alignment horizontal="justify" vertical="center"/>
    </xf>
    <xf numFmtId="0" fontId="5" fillId="0" borderId="10" xfId="0" applyFont="1" applyBorder="1" applyAlignment="1">
      <alignment horizontal="justify" vertical="center"/>
    </xf>
    <xf numFmtId="0" fontId="6" fillId="0" borderId="10" xfId="0" applyFont="1" applyBorder="1" applyAlignment="1">
      <alignment horizontal="center" vertical="center"/>
    </xf>
    <xf numFmtId="0" fontId="5" fillId="0" borderId="10" xfId="0" applyFont="1" applyBorder="1" applyAlignment="1">
      <alignment horizontal="center" vertical="center" wrapText="1"/>
    </xf>
    <xf numFmtId="0" fontId="19" fillId="2" borderId="37" xfId="0" applyFont="1" applyFill="1" applyBorder="1" applyAlignment="1">
      <alignment horizontal="center" vertical="center" wrapText="1"/>
    </xf>
    <xf numFmtId="0" fontId="11" fillId="0" borderId="19" xfId="0" applyFont="1" applyBorder="1" applyAlignment="1">
      <alignment horizontal="left" vertical="center" wrapText="1"/>
    </xf>
    <xf numFmtId="0" fontId="11" fillId="0" borderId="20" xfId="0" applyFont="1" applyBorder="1" applyAlignment="1">
      <alignment horizontal="left" vertical="center" wrapText="1"/>
    </xf>
    <xf numFmtId="0" fontId="5" fillId="0" borderId="21" xfId="0" applyFont="1" applyBorder="1" applyAlignment="1">
      <alignment horizontal="center"/>
    </xf>
    <xf numFmtId="0" fontId="0" fillId="0" borderId="14" xfId="0" applyBorder="1" applyAlignment="1">
      <alignment horizontal="left" vertical="center" wrapText="1"/>
    </xf>
    <xf numFmtId="0" fontId="0" fillId="0" borderId="16" xfId="0" applyBorder="1" applyAlignment="1">
      <alignment horizontal="center" vertical="center" wrapText="1"/>
    </xf>
    <xf numFmtId="0" fontId="5" fillId="0" borderId="38" xfId="0" applyFont="1" applyBorder="1" applyAlignment="1">
      <alignment horizontal="left" vertical="center" wrapText="1"/>
    </xf>
    <xf numFmtId="0" fontId="13" fillId="2" borderId="1" xfId="0" applyFont="1" applyFill="1" applyBorder="1" applyAlignment="1">
      <alignment horizontal="center" vertical="center" wrapText="1"/>
    </xf>
    <xf numFmtId="164" fontId="13" fillId="2" borderId="1" xfId="0" applyNumberFormat="1" applyFont="1" applyFill="1" applyBorder="1" applyAlignment="1">
      <alignment horizontal="center" vertical="center" wrapText="1"/>
    </xf>
    <xf numFmtId="0" fontId="0" fillId="0" borderId="38" xfId="0" applyBorder="1" applyAlignment="1">
      <alignment horizontal="center" vertical="center" wrapText="1"/>
    </xf>
    <xf numFmtId="0" fontId="5" fillId="0" borderId="2" xfId="0" applyFont="1" applyBorder="1" applyAlignment="1">
      <alignment horizontal="justify" vertical="center"/>
    </xf>
    <xf numFmtId="0" fontId="5" fillId="0" borderId="3" xfId="0" applyFont="1" applyBorder="1" applyAlignment="1">
      <alignment horizontal="justify" vertical="center"/>
    </xf>
    <xf numFmtId="0" fontId="0" fillId="0" borderId="39" xfId="0" applyBorder="1" applyAlignment="1">
      <alignment horizontal="center" vertical="center" wrapText="1"/>
    </xf>
    <xf numFmtId="164" fontId="19" fillId="2" borderId="3" xfId="0" applyNumberFormat="1" applyFont="1" applyFill="1" applyBorder="1" applyAlignment="1">
      <alignment horizontal="center" vertical="center" wrapText="1"/>
    </xf>
    <xf numFmtId="164" fontId="19" fillId="0" borderId="3" xfId="0" applyNumberFormat="1" applyFont="1" applyFill="1" applyBorder="1" applyAlignment="1">
      <alignment horizontal="center" vertical="center" wrapText="1"/>
    </xf>
    <xf numFmtId="0" fontId="5" fillId="0" borderId="4" xfId="0" applyFont="1" applyBorder="1" applyAlignment="1">
      <alignment horizontal="justify" vertical="center"/>
    </xf>
    <xf numFmtId="0" fontId="5" fillId="0" borderId="5" xfId="0" applyFont="1" applyBorder="1" applyAlignment="1">
      <alignment horizontal="justify" vertical="center"/>
    </xf>
    <xf numFmtId="0" fontId="5" fillId="0" borderId="6" xfId="0" applyFont="1" applyBorder="1" applyAlignment="1">
      <alignment horizontal="justify" vertical="center"/>
    </xf>
    <xf numFmtId="0" fontId="0" fillId="0" borderId="31"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0" xfId="0" applyBorder="1" applyAlignment="1">
      <alignment horizontal="center" vertical="center" wrapText="1"/>
    </xf>
    <xf numFmtId="164" fontId="19" fillId="2" borderId="6" xfId="0" applyNumberFormat="1" applyFont="1" applyFill="1" applyBorder="1" applyAlignment="1">
      <alignment horizontal="center" vertical="center" wrapText="1"/>
    </xf>
    <xf numFmtId="0" fontId="0" fillId="0" borderId="31" xfId="0" applyBorder="1" applyAlignment="1">
      <alignment horizontal="center" vertical="center" wrapText="1"/>
    </xf>
    <xf numFmtId="0" fontId="5" fillId="0" borderId="3" xfId="0" quotePrefix="1" applyFont="1" applyBorder="1" applyAlignment="1">
      <alignment horizontal="center" vertical="center" wrapText="1"/>
    </xf>
    <xf numFmtId="0" fontId="5"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19" fillId="2" borderId="9" xfId="0" applyNumberFormat="1" applyFont="1" applyFill="1" applyBorder="1" applyAlignment="1">
      <alignment horizontal="center" vertical="center" wrapText="1"/>
    </xf>
    <xf numFmtId="2" fontId="19" fillId="2" borderId="6" xfId="0" applyNumberFormat="1" applyFont="1" applyFill="1" applyBorder="1" applyAlignment="1">
      <alignment horizontal="center" vertical="center" wrapText="1"/>
    </xf>
    <xf numFmtId="2" fontId="19"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19" fillId="2" borderId="6" xfId="0" applyFont="1" applyFill="1" applyBorder="1" applyAlignment="1">
      <alignment horizontal="center" vertical="center" wrapText="1"/>
    </xf>
    <xf numFmtId="0" fontId="6" fillId="0" borderId="9" xfId="0" applyFont="1" applyBorder="1" applyAlignment="1">
      <alignment horizontal="center"/>
    </xf>
    <xf numFmtId="0" fontId="5" fillId="0" borderId="22" xfId="0" applyFont="1" applyBorder="1" applyAlignment="1">
      <alignment horizontal="justify" vertical="center"/>
    </xf>
    <xf numFmtId="0" fontId="5" fillId="0" borderId="22" xfId="0" applyFont="1" applyBorder="1" applyAlignment="1">
      <alignment horizontal="center" vertical="center" wrapText="1"/>
    </xf>
    <xf numFmtId="164" fontId="5" fillId="0" borderId="38" xfId="0" applyNumberFormat="1" applyFont="1" applyBorder="1" applyAlignment="1">
      <alignment horizontal="center" vertical="center" wrapText="1"/>
    </xf>
    <xf numFmtId="0" fontId="6" fillId="0" borderId="22" xfId="0" applyFont="1" applyBorder="1" applyAlignment="1">
      <alignment horizontal="center" vertical="center"/>
    </xf>
    <xf numFmtId="164" fontId="0" fillId="0" borderId="22" xfId="0" applyNumberFormat="1" applyBorder="1" applyAlignment="1">
      <alignment horizontal="center" vertical="center" wrapText="1"/>
    </xf>
    <xf numFmtId="0" fontId="20" fillId="2" borderId="1" xfId="0" applyFont="1" applyFill="1" applyBorder="1" applyAlignment="1">
      <alignment horizontal="center" vertical="center" wrapText="1"/>
    </xf>
    <xf numFmtId="2" fontId="20" fillId="2" borderId="3" xfId="0" applyNumberFormat="1" applyFont="1" applyFill="1" applyBorder="1" applyAlignment="1">
      <alignment horizontal="center" vertical="center" wrapText="1"/>
    </xf>
    <xf numFmtId="2" fontId="20" fillId="2" borderId="1" xfId="0" applyNumberFormat="1" applyFont="1" applyFill="1" applyBorder="1" applyAlignment="1">
      <alignment horizontal="center" vertical="center" wrapText="1"/>
    </xf>
    <xf numFmtId="0" fontId="0" fillId="3" borderId="23" xfId="0" applyFill="1" applyBorder="1" applyAlignment="1">
      <alignment horizontal="center" vertical="center"/>
    </xf>
    <xf numFmtId="0" fontId="0" fillId="3" borderId="24" xfId="0" applyFill="1" applyBorder="1" applyAlignment="1">
      <alignment horizontal="center" vertical="center"/>
    </xf>
    <xf numFmtId="0" fontId="0" fillId="3" borderId="0" xfId="0" applyFill="1" applyBorder="1" applyAlignment="1">
      <alignment horizontal="center" vertical="center"/>
    </xf>
    <xf numFmtId="0" fontId="0" fillId="3" borderId="27" xfId="0" applyFill="1" applyBorder="1" applyAlignment="1">
      <alignment horizontal="center" vertical="center"/>
    </xf>
    <xf numFmtId="0" fontId="0" fillId="3" borderId="41" xfId="0" applyFill="1" applyBorder="1" applyAlignment="1">
      <alignment horizontal="left" vertical="center"/>
    </xf>
    <xf numFmtId="0" fontId="0" fillId="3" borderId="13" xfId="0" applyFill="1" applyBorder="1" applyAlignment="1">
      <alignment horizontal="center" vertical="center"/>
    </xf>
    <xf numFmtId="0" fontId="0" fillId="3" borderId="42" xfId="0" applyFill="1" applyBorder="1" applyAlignment="1">
      <alignment horizontal="left" vertical="center"/>
    </xf>
    <xf numFmtId="0" fontId="0" fillId="3" borderId="43" xfId="0" applyFill="1" applyBorder="1" applyAlignment="1">
      <alignment horizontal="center" vertical="center"/>
    </xf>
    <xf numFmtId="0" fontId="8" fillId="3" borderId="34" xfId="0" applyFont="1" applyFill="1" applyBorder="1" applyAlignment="1">
      <alignment horizontal="left" vertical="center"/>
    </xf>
    <xf numFmtId="0" fontId="6" fillId="3" borderId="44" xfId="0" applyFont="1" applyFill="1" applyBorder="1" applyAlignment="1">
      <alignment horizontal="left" vertical="center"/>
    </xf>
    <xf numFmtId="0" fontId="0" fillId="4" borderId="45" xfId="0" applyFill="1" applyBorder="1" applyAlignment="1">
      <alignment horizontal="center" vertical="center"/>
    </xf>
    <xf numFmtId="0" fontId="0" fillId="4" borderId="46" xfId="0" applyFill="1" applyBorder="1" applyAlignment="1">
      <alignment horizontal="center" vertical="center"/>
    </xf>
    <xf numFmtId="0" fontId="0" fillId="3" borderId="12"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10" xfId="0" applyFill="1" applyBorder="1" applyAlignment="1">
      <alignment horizontal="center" vertical="center" wrapText="1"/>
    </xf>
    <xf numFmtId="0" fontId="0" fillId="0" borderId="42" xfId="0" applyBorder="1" applyAlignment="1">
      <alignment horizontal="center" vertical="center" wrapText="1"/>
    </xf>
    <xf numFmtId="0" fontId="5" fillId="0" borderId="47" xfId="0" applyFont="1"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left" vertical="center" wrapText="1"/>
    </xf>
    <xf numFmtId="0" fontId="0" fillId="0" borderId="52" xfId="0" applyBorder="1" applyAlignment="1">
      <alignment horizontal="left" vertical="center" wrapText="1"/>
    </xf>
    <xf numFmtId="0" fontId="0" fillId="0" borderId="53" xfId="0" applyBorder="1" applyAlignment="1">
      <alignment horizontal="center" vertical="center" wrapText="1"/>
    </xf>
    <xf numFmtId="0" fontId="5" fillId="0" borderId="54" xfId="0" applyFont="1" applyBorder="1" applyAlignment="1">
      <alignment horizontal="center" vertical="center" wrapText="1"/>
    </xf>
    <xf numFmtId="0" fontId="5" fillId="0" borderId="55" xfId="0" applyFont="1" applyBorder="1" applyAlignment="1">
      <alignment horizontal="left" vertical="center" wrapText="1"/>
    </xf>
    <xf numFmtId="0" fontId="5" fillId="0" borderId="56" xfId="0" applyFont="1" applyBorder="1" applyAlignment="1">
      <alignment horizontal="left" vertical="center" wrapText="1"/>
    </xf>
    <xf numFmtId="0" fontId="0" fillId="0" borderId="57" xfId="0" applyBorder="1" applyAlignment="1">
      <alignment horizontal="center" vertical="center" wrapText="1"/>
    </xf>
    <xf numFmtId="0" fontId="5" fillId="0" borderId="58" xfId="0" applyFont="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33"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59" xfId="0" applyFont="1" applyBorder="1" applyAlignment="1">
      <alignment horizontal="center"/>
    </xf>
    <xf numFmtId="0" fontId="8" fillId="0" borderId="60" xfId="0" applyFont="1" applyBorder="1" applyAlignment="1">
      <alignment horizontal="center"/>
    </xf>
    <xf numFmtId="0" fontId="8" fillId="0" borderId="61" xfId="0" applyFont="1" applyBorder="1" applyAlignment="1">
      <alignment horizontal="center" wrapText="1"/>
    </xf>
    <xf numFmtId="0" fontId="0" fillId="0" borderId="62" xfId="0" applyBorder="1" applyAlignment="1">
      <alignment horizontal="center"/>
    </xf>
    <xf numFmtId="0" fontId="0" fillId="0" borderId="63"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0" fillId="0" borderId="59" xfId="0" applyFont="1" applyBorder="1" applyAlignment="1">
      <alignment horizontal="center" vertical="center" wrapText="1"/>
    </xf>
    <xf numFmtId="0" fontId="10" fillId="0" borderId="60" xfId="0" applyFont="1" applyBorder="1" applyAlignment="1">
      <alignment horizontal="center" vertical="center" wrapText="1"/>
    </xf>
    <xf numFmtId="0" fontId="10" fillId="0" borderId="61" xfId="0" applyFont="1" applyBorder="1" applyAlignment="1">
      <alignment horizontal="center" vertical="center" wrapText="1"/>
    </xf>
    <xf numFmtId="0" fontId="5" fillId="3" borderId="0" xfId="0" applyFont="1" applyFill="1" applyBorder="1" applyAlignment="1">
      <alignment horizontal="left" vertical="center"/>
    </xf>
    <xf numFmtId="0" fontId="4"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8" borderId="42" xfId="0" applyFill="1" applyBorder="1" applyAlignment="1">
      <alignment horizontal="center" vertical="center" wrapText="1"/>
    </xf>
    <xf numFmtId="0" fontId="0" fillId="8" borderId="31" xfId="0" applyFill="1" applyBorder="1" applyAlignment="1">
      <alignment horizontal="center" vertical="center" wrapText="1"/>
    </xf>
    <xf numFmtId="0" fontId="5"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25" xfId="0" applyFill="1" applyBorder="1" applyAlignment="1">
      <alignment horizontal="center" vertical="center" wrapText="1"/>
    </xf>
    <xf numFmtId="0" fontId="0" fillId="8" borderId="0" xfId="0" applyFill="1" applyBorder="1" applyAlignment="1">
      <alignment horizontal="center" vertical="center" wrapText="1"/>
    </xf>
    <xf numFmtId="0" fontId="5" fillId="8" borderId="1"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0" xfId="0" applyFill="1" applyAlignment="1">
      <alignment horizontal="left" vertical="center" wrapText="1"/>
    </xf>
    <xf numFmtId="0" fontId="11" fillId="0" borderId="59" xfId="0" applyFont="1" applyBorder="1" applyAlignment="1">
      <alignment horizontal="left" vertical="center" wrapText="1"/>
    </xf>
    <xf numFmtId="0" fontId="11" fillId="0" borderId="60" xfId="0" applyFont="1" applyBorder="1" applyAlignment="1">
      <alignment horizontal="left"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0" borderId="9" xfId="0" applyFont="1" applyBorder="1" applyAlignment="1">
      <alignment horizontal="justify" vertical="center"/>
    </xf>
    <xf numFmtId="0" fontId="4" fillId="0" borderId="6" xfId="0" applyFont="1" applyBorder="1" applyAlignment="1">
      <alignment horizontal="center" vertical="center" wrapText="1"/>
    </xf>
    <xf numFmtId="0" fontId="11" fillId="0" borderId="1" xfId="0" applyFont="1" applyBorder="1" applyAlignment="1">
      <alignment horizontal="left" vertical="center" indent="1"/>
    </xf>
    <xf numFmtId="0" fontId="0" fillId="0" borderId="68" xfId="0" applyBorder="1" applyAlignment="1">
      <alignment horizontal="center" vertical="center" wrapText="1"/>
    </xf>
    <xf numFmtId="0" fontId="0" fillId="0" borderId="70" xfId="0"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4" fillId="2" borderId="28" xfId="0" applyFont="1" applyFill="1" applyBorder="1" applyAlignment="1">
      <alignment horizontal="left" vertical="center" wrapText="1"/>
    </xf>
    <xf numFmtId="0" fontId="4" fillId="2" borderId="55" xfId="0" applyFont="1" applyFill="1" applyBorder="1" applyAlignment="1">
      <alignment horizontal="left" vertical="center" wrapText="1"/>
    </xf>
    <xf numFmtId="0" fontId="4" fillId="4" borderId="50" xfId="0" applyFont="1" applyFill="1" applyBorder="1" applyAlignment="1">
      <alignment horizontal="center" vertical="center" wrapText="1"/>
    </xf>
    <xf numFmtId="0" fontId="4" fillId="4" borderId="35" xfId="0" applyFont="1" applyFill="1" applyBorder="1" applyAlignment="1">
      <alignment horizontal="center" vertical="center" wrapText="1"/>
    </xf>
    <xf numFmtId="0" fontId="4" fillId="4" borderId="58" xfId="0" applyFont="1" applyFill="1" applyBorder="1" applyAlignment="1">
      <alignment horizontal="center" vertical="center" wrapText="1"/>
    </xf>
    <xf numFmtId="0" fontId="5" fillId="4" borderId="50" xfId="0" applyFont="1" applyFill="1" applyBorder="1" applyAlignment="1">
      <alignment horizontal="center" vertical="center" wrapText="1"/>
    </xf>
    <xf numFmtId="0" fontId="4" fillId="4" borderId="54" xfId="0" applyFont="1" applyFill="1" applyBorder="1" applyAlignment="1">
      <alignment horizontal="center" vertical="center" wrapText="1"/>
    </xf>
    <xf numFmtId="0" fontId="5" fillId="4" borderId="58" xfId="0" applyFont="1" applyFill="1" applyBorder="1" applyAlignment="1">
      <alignment horizontal="center" vertical="center" wrapText="1"/>
    </xf>
    <xf numFmtId="0" fontId="5" fillId="2" borderId="47" xfId="0" applyFont="1" applyFill="1" applyBorder="1" applyAlignment="1">
      <alignment horizontal="left" vertical="center" wrapText="1"/>
    </xf>
    <xf numFmtId="0" fontId="5" fillId="2" borderId="51" xfId="0" applyFont="1" applyFill="1" applyBorder="1" applyAlignment="1">
      <alignment horizontal="left" vertical="center" wrapText="1"/>
    </xf>
    <xf numFmtId="0" fontId="5" fillId="2" borderId="55" xfId="0" applyFont="1" applyFill="1" applyBorder="1" applyAlignment="1">
      <alignment horizontal="left" vertical="center" wrapText="1"/>
    </xf>
    <xf numFmtId="0" fontId="4" fillId="2" borderId="69" xfId="0" applyFont="1" applyFill="1" applyBorder="1" applyAlignment="1">
      <alignment horizontal="left" vertical="center" wrapText="1"/>
    </xf>
    <xf numFmtId="0" fontId="5" fillId="4" borderId="54" xfId="0" applyFont="1" applyFill="1" applyBorder="1" applyAlignment="1">
      <alignment horizontal="center" vertical="center" wrapText="1"/>
    </xf>
    <xf numFmtId="0" fontId="4" fillId="0" borderId="1" xfId="0" applyFont="1" applyBorder="1" applyAlignment="1">
      <alignment horizontal="justify" vertical="center"/>
    </xf>
    <xf numFmtId="0" fontId="0" fillId="0" borderId="0" xfId="0" applyAlignment="1">
      <alignment horizontal="center" vertical="center" wrapText="1"/>
    </xf>
    <xf numFmtId="0" fontId="4" fillId="5" borderId="0" xfId="0" applyFont="1" applyFill="1" applyAlignment="1">
      <alignment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16"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0" fillId="0" borderId="2" xfId="0" applyFont="1" applyBorder="1" applyAlignment="1">
      <alignment horizontal="left" vertical="center" wrapText="1"/>
    </xf>
    <xf numFmtId="0" fontId="0" fillId="0" borderId="71" xfId="0" applyBorder="1" applyAlignment="1">
      <alignment horizontal="center" vertical="center" wrapText="1"/>
    </xf>
    <xf numFmtId="0" fontId="21" fillId="0" borderId="1" xfId="0" applyFont="1" applyBorder="1" applyAlignment="1">
      <alignment horizontal="center" vertical="center"/>
    </xf>
    <xf numFmtId="0" fontId="0" fillId="6" borderId="1" xfId="0" applyFill="1" applyBorder="1" applyAlignment="1">
      <alignment horizontal="center" vertical="center" wrapText="1"/>
    </xf>
    <xf numFmtId="0" fontId="4" fillId="0" borderId="1" xfId="0" applyFont="1" applyBorder="1" applyAlignment="1">
      <alignment horizontal="left" vertical="center" wrapText="1"/>
    </xf>
    <xf numFmtId="0" fontId="11" fillId="0" borderId="1" xfId="0" applyFont="1" applyBorder="1" applyAlignment="1">
      <alignment horizontal="lef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0" xfId="0" applyAlignment="1">
      <alignment horizontal="center" vertical="center" wrapText="1"/>
    </xf>
    <xf numFmtId="0" fontId="4" fillId="2" borderId="64" xfId="0" applyFont="1" applyFill="1" applyBorder="1" applyAlignment="1">
      <alignment horizontal="left" vertical="center" wrapText="1"/>
    </xf>
    <xf numFmtId="0" fontId="5" fillId="2" borderId="67" xfId="0" applyFont="1" applyFill="1" applyBorder="1" applyAlignment="1">
      <alignment horizontal="left" vertical="center" wrapText="1"/>
    </xf>
    <xf numFmtId="0" fontId="5" fillId="4" borderId="72" xfId="0" applyFont="1" applyFill="1" applyBorder="1" applyAlignment="1">
      <alignment horizontal="center" vertical="center" wrapText="1"/>
    </xf>
    <xf numFmtId="0" fontId="15" fillId="0" borderId="73" xfId="0" applyFont="1" applyBorder="1" applyAlignment="1">
      <alignment horizontal="justify" vertical="center" wrapText="1"/>
    </xf>
    <xf numFmtId="0" fontId="0" fillId="0" borderId="74" xfId="0" applyBorder="1" applyAlignment="1">
      <alignment horizontal="center" vertical="center" wrapText="1"/>
    </xf>
    <xf numFmtId="0" fontId="4" fillId="0" borderId="75" xfId="0" applyFont="1" applyBorder="1" applyAlignment="1">
      <alignment horizontal="center" vertical="center" wrapText="1"/>
    </xf>
    <xf numFmtId="0" fontId="15" fillId="0" borderId="76" xfId="0" applyFont="1" applyBorder="1" applyAlignment="1">
      <alignment horizontal="justify" vertical="center" wrapText="1"/>
    </xf>
    <xf numFmtId="0" fontId="0" fillId="0" borderId="77" xfId="0" applyBorder="1" applyAlignment="1">
      <alignment horizontal="center" vertical="center" wrapText="1"/>
    </xf>
    <xf numFmtId="0" fontId="4" fillId="0" borderId="78" xfId="0" applyFont="1" applyBorder="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justify" vertical="center" wrapText="1"/>
    </xf>
    <xf numFmtId="0" fontId="4"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xf>
    <xf numFmtId="0" fontId="4" fillId="0" borderId="0" xfId="0" applyFont="1" applyAlignment="1">
      <alignment horizontal="left" vertical="center"/>
    </xf>
    <xf numFmtId="0" fontId="4" fillId="0" borderId="0" xfId="0" applyFont="1" applyAlignment="1">
      <alignment horizontal="left" vertical="center" wrapText="1"/>
    </xf>
    <xf numFmtId="2" fontId="0" fillId="2" borderId="1" xfId="0" applyNumberFormat="1" applyFill="1" applyBorder="1" applyAlignment="1">
      <alignment horizontal="center" vertical="center" wrapText="1"/>
    </xf>
    <xf numFmtId="164" fontId="0" fillId="2" borderId="1" xfId="0" applyNumberFormat="1" applyFill="1" applyBorder="1" applyAlignment="1">
      <alignment horizontal="center" vertical="center" wrapText="1"/>
    </xf>
    <xf numFmtId="0" fontId="0" fillId="10" borderId="1" xfId="0" applyFill="1" applyBorder="1" applyAlignment="1">
      <alignment vertical="center"/>
    </xf>
    <xf numFmtId="0" fontId="0" fillId="10"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79" xfId="0" applyBorder="1" applyAlignment="1">
      <alignment horizontal="center" vertical="center" wrapText="1"/>
    </xf>
    <xf numFmtId="0" fontId="4" fillId="0" borderId="1" xfId="0" applyFont="1" applyBorder="1" applyAlignment="1">
      <alignment wrapText="1"/>
    </xf>
    <xf numFmtId="0" fontId="15" fillId="0" borderId="1" xfId="0" applyFont="1" applyBorder="1" applyAlignment="1">
      <alignment horizontal="left" vertical="center" wrapText="1"/>
    </xf>
    <xf numFmtId="0" fontId="0" fillId="0" borderId="1" xfId="0" applyBorder="1" applyAlignment="1">
      <alignment horizontal="center" vertical="center"/>
    </xf>
    <xf numFmtId="0" fontId="0" fillId="0" borderId="0" xfId="0" applyAlignment="1">
      <alignment horizontal="center" vertical="center" wrapText="1"/>
    </xf>
    <xf numFmtId="0" fontId="0" fillId="0" borderId="1" xfId="0" applyFill="1" applyBorder="1" applyAlignment="1">
      <alignment horizontal="center" vertical="center"/>
    </xf>
    <xf numFmtId="0" fontId="15" fillId="0" borderId="1" xfId="0" applyFont="1" applyBorder="1" applyAlignment="1">
      <alignment horizontal="center" vertical="center" textRotation="90" wrapText="1"/>
    </xf>
    <xf numFmtId="165" fontId="0" fillId="0" borderId="1" xfId="0" applyNumberFormat="1" applyBorder="1" applyAlignment="1">
      <alignment horizontal="center" vertical="center" wrapText="1"/>
    </xf>
    <xf numFmtId="165" fontId="0" fillId="0" borderId="9" xfId="0" applyNumberFormat="1" applyBorder="1" applyAlignment="1">
      <alignment horizontal="center" vertical="center" wrapText="1"/>
    </xf>
    <xf numFmtId="0" fontId="4" fillId="0" borderId="1" xfId="0" applyFont="1" applyBorder="1"/>
    <xf numFmtId="165" fontId="0" fillId="0" borderId="0" xfId="0" applyNumberForma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5" fillId="0" borderId="1" xfId="0" applyFont="1" applyBorder="1" applyAlignment="1">
      <alignment horizontal="center" vertical="center" wrapText="1"/>
    </xf>
    <xf numFmtId="0" fontId="4" fillId="0" borderId="0" xfId="1"/>
    <xf numFmtId="0" fontId="4" fillId="0" borderId="7" xfId="0" applyFont="1" applyBorder="1" applyAlignment="1">
      <alignment wrapText="1"/>
    </xf>
    <xf numFmtId="0" fontId="0" fillId="0" borderId="0" xfId="0" applyAlignment="1">
      <alignment horizontal="center" vertical="center" wrapText="1"/>
    </xf>
    <xf numFmtId="0" fontId="4"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27" fillId="0" borderId="1" xfId="0" applyFont="1" applyBorder="1" applyAlignment="1">
      <alignment horizontal="center" vertical="center" wrapText="1"/>
    </xf>
    <xf numFmtId="0" fontId="15" fillId="0" borderId="1" xfId="0" applyFont="1" applyBorder="1" applyAlignment="1">
      <alignment horizontal="justify" vertical="center"/>
    </xf>
    <xf numFmtId="0" fontId="16" fillId="0" borderId="1" xfId="0" applyFont="1" applyBorder="1" applyAlignment="1">
      <alignment horizontal="center" vertical="center"/>
    </xf>
    <xf numFmtId="0" fontId="27" fillId="0" borderId="1" xfId="0" applyFont="1" applyBorder="1" applyAlignment="1">
      <alignment horizontal="center" vertical="center"/>
    </xf>
    <xf numFmtId="0" fontId="15" fillId="0" borderId="1" xfId="0" applyFont="1" applyBorder="1" applyAlignment="1">
      <alignment horizontal="justify" vertical="center" wrapText="1"/>
    </xf>
    <xf numFmtId="0" fontId="29" fillId="0" borderId="1" xfId="0" applyFont="1" applyBorder="1" applyAlignment="1">
      <alignment horizontal="justify" vertical="center" wrapText="1"/>
    </xf>
    <xf numFmtId="0" fontId="30" fillId="0" borderId="1" xfId="0" applyFont="1" applyBorder="1" applyAlignment="1">
      <alignment horizontal="center" vertical="center"/>
    </xf>
    <xf numFmtId="0" fontId="15" fillId="0" borderId="1" xfId="0" applyFont="1" applyBorder="1" applyAlignment="1">
      <alignment horizontal="left" vertical="center"/>
    </xf>
    <xf numFmtId="0" fontId="8" fillId="0" borderId="34" xfId="0" applyFont="1" applyBorder="1" applyAlignment="1">
      <alignment horizontal="center" vertical="center"/>
    </xf>
    <xf numFmtId="0" fontId="0" fillId="0" borderId="81" xfId="0" applyBorder="1" applyAlignment="1">
      <alignment horizontal="center" vertical="center" wrapText="1"/>
    </xf>
    <xf numFmtId="0" fontId="4" fillId="0" borderId="82" xfId="0" applyFont="1" applyBorder="1" applyAlignment="1">
      <alignment horizontal="center" vertical="center" wrapText="1"/>
    </xf>
    <xf numFmtId="0" fontId="0" fillId="0" borderId="84" xfId="0" applyBorder="1" applyAlignment="1">
      <alignment horizontal="center" vertical="center" wrapText="1"/>
    </xf>
    <xf numFmtId="0" fontId="4" fillId="0" borderId="85" xfId="0" applyFont="1" applyBorder="1" applyAlignment="1">
      <alignment horizontal="center" vertical="center" wrapText="1"/>
    </xf>
    <xf numFmtId="0" fontId="15" fillId="0" borderId="80" xfId="0" applyFont="1" applyBorder="1" applyAlignment="1">
      <alignment vertical="center" wrapText="1"/>
    </xf>
    <xf numFmtId="0" fontId="10" fillId="0" borderId="86"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8" fillId="0" borderId="34" xfId="0" applyFont="1" applyBorder="1" applyAlignment="1">
      <alignment horizontal="left" vertical="center"/>
    </xf>
    <xf numFmtId="0" fontId="15" fillId="0" borderId="83" xfId="0" applyFont="1" applyBorder="1" applyAlignment="1">
      <alignment vertical="center"/>
    </xf>
    <xf numFmtId="0" fontId="16" fillId="0" borderId="9" xfId="0" applyFont="1" applyBorder="1" applyAlignment="1">
      <alignment horizontal="center" vertical="center"/>
    </xf>
    <xf numFmtId="0" fontId="15" fillId="0" borderId="9" xfId="0" applyFont="1" applyBorder="1" applyAlignment="1">
      <alignment horizontal="center" vertical="center" wrapText="1"/>
    </xf>
    <xf numFmtId="0" fontId="29" fillId="0" borderId="1" xfId="0" applyFont="1" applyBorder="1" applyAlignment="1">
      <alignment horizontal="center" vertical="center" wrapText="1"/>
    </xf>
    <xf numFmtId="0" fontId="29" fillId="8" borderId="1" xfId="0" applyFont="1" applyFill="1" applyBorder="1" applyAlignment="1">
      <alignment horizontal="center" vertical="center" wrapText="1"/>
    </xf>
    <xf numFmtId="0" fontId="4" fillId="0" borderId="1" xfId="0" applyFont="1" applyBorder="1" applyAlignment="1">
      <alignment vertical="center" wrapText="1"/>
    </xf>
    <xf numFmtId="0" fontId="4" fillId="0" borderId="9" xfId="0" applyFont="1" applyBorder="1" applyAlignment="1">
      <alignment horizontal="left" vertical="center" wrapText="1"/>
    </xf>
    <xf numFmtId="0" fontId="4" fillId="0" borderId="9" xfId="0" applyFont="1" applyBorder="1" applyAlignment="1">
      <alignment horizontal="center" vertical="center"/>
    </xf>
    <xf numFmtId="0" fontId="15" fillId="0" borderId="38" xfId="0" applyFont="1" applyBorder="1" applyAlignment="1">
      <alignment horizontal="center" vertical="center" wrapText="1"/>
    </xf>
    <xf numFmtId="0" fontId="4" fillId="0" borderId="38" xfId="0" applyFont="1" applyBorder="1" applyAlignment="1">
      <alignment horizontal="center" vertical="center"/>
    </xf>
    <xf numFmtId="0" fontId="0" fillId="0" borderId="0" xfId="0" applyAlignment="1">
      <alignment horizontal="center" vertical="center" wrapText="1"/>
    </xf>
    <xf numFmtId="0" fontId="0" fillId="0" borderId="11" xfId="0" applyBorder="1" applyAlignment="1">
      <alignment horizontal="center" vertical="center" wrapText="1"/>
    </xf>
    <xf numFmtId="0" fontId="4" fillId="0" borderId="1" xfId="0" applyFont="1" applyFill="1" applyBorder="1" applyAlignment="1">
      <alignment horizontal="center" vertical="center" wrapText="1"/>
    </xf>
    <xf numFmtId="0" fontId="32" fillId="0" borderId="1" xfId="0" applyFont="1" applyBorder="1" applyAlignment="1">
      <alignment horizontal="left" vertical="center"/>
    </xf>
    <xf numFmtId="0" fontId="4" fillId="5" borderId="1" xfId="0" applyFont="1" applyFill="1" applyBorder="1" applyAlignment="1">
      <alignment horizontal="left" vertical="center" wrapText="1"/>
    </xf>
    <xf numFmtId="0" fontId="6"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7" fillId="5" borderId="1" xfId="0" applyFont="1" applyFill="1" applyBorder="1" applyAlignment="1">
      <alignment horizontal="center" vertical="center"/>
    </xf>
    <xf numFmtId="0" fontId="7" fillId="5" borderId="1" xfId="0" applyFont="1" applyFill="1" applyBorder="1" applyAlignment="1">
      <alignment horizontal="left" vertical="center"/>
    </xf>
    <xf numFmtId="0" fontId="4" fillId="6" borderId="1" xfId="0" applyFont="1" applyFill="1" applyBorder="1" applyAlignment="1">
      <alignment horizontal="center" vertical="center" wrapText="1"/>
    </xf>
    <xf numFmtId="164" fontId="4" fillId="6" borderId="1" xfId="0" applyNumberFormat="1" applyFont="1" applyFill="1" applyBorder="1" applyAlignment="1">
      <alignment horizontal="center" vertical="center" wrapText="1"/>
    </xf>
    <xf numFmtId="0" fontId="0" fillId="0" borderId="3" xfId="0" applyFill="1" applyBorder="1" applyAlignment="1">
      <alignment horizontal="center" vertical="center"/>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164" fontId="0" fillId="0" borderId="9" xfId="0" applyNumberFormat="1" applyBorder="1" applyAlignment="1">
      <alignment horizontal="center" vertical="center" wrapText="1"/>
    </xf>
    <xf numFmtId="165" fontId="0" fillId="0" borderId="0" xfId="0" applyNumberFormat="1" applyAlignment="1">
      <alignment horizontal="center" vertical="center" wrapText="1"/>
    </xf>
    <xf numFmtId="0" fontId="15" fillId="0" borderId="0" xfId="0" applyFont="1" applyBorder="1" applyAlignment="1">
      <alignment horizontal="center" vertical="center" textRotation="90" wrapText="1"/>
    </xf>
    <xf numFmtId="0" fontId="16" fillId="0" borderId="0" xfId="0" applyFont="1" applyBorder="1" applyAlignment="1">
      <alignment horizontal="center" vertical="center" wrapText="1"/>
    </xf>
    <xf numFmtId="0" fontId="15" fillId="0" borderId="0" xfId="0" applyFont="1" applyBorder="1" applyAlignment="1">
      <alignment horizontal="center" vertical="center" wrapText="1"/>
    </xf>
    <xf numFmtId="0" fontId="4" fillId="5" borderId="1" xfId="0" applyFont="1" applyFill="1" applyBorder="1" applyAlignment="1">
      <alignment vertical="center" wrapText="1"/>
    </xf>
    <xf numFmtId="0" fontId="4" fillId="5" borderId="1" xfId="0" applyFont="1" applyFill="1" applyBorder="1" applyAlignment="1">
      <alignment horizontal="justify" vertical="center"/>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33" fillId="0" borderId="0" xfId="1" applyFont="1"/>
    <xf numFmtId="11" fontId="0" fillId="6" borderId="1" xfId="0" applyNumberFormat="1" applyFill="1" applyBorder="1" applyAlignment="1">
      <alignment horizontal="center" vertical="center" wrapText="1"/>
    </xf>
    <xf numFmtId="165" fontId="0" fillId="0" borderId="0" xfId="0" applyNumberFormat="1" applyAlignment="1">
      <alignment horizontal="center" vertical="center"/>
    </xf>
    <xf numFmtId="165" fontId="0" fillId="0" borderId="1" xfId="0" applyNumberFormat="1" applyBorder="1"/>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5" fillId="0" borderId="11" xfId="0" applyFont="1" applyBorder="1" applyAlignment="1">
      <alignment horizontal="center" vertical="center" wrapText="1"/>
    </xf>
    <xf numFmtId="0" fontId="0" fillId="0" borderId="0" xfId="0" applyAlignment="1">
      <alignment horizontal="center" vertical="center" wrapText="1"/>
    </xf>
    <xf numFmtId="0" fontId="25" fillId="0" borderId="0" xfId="0" applyFont="1" applyAlignment="1">
      <alignment horizontal="center" vertical="center" wrapText="1"/>
    </xf>
    <xf numFmtId="0" fontId="25" fillId="0" borderId="0" xfId="0" applyFont="1"/>
    <xf numFmtId="0" fontId="8" fillId="3" borderId="23" xfId="0" applyFont="1" applyFill="1" applyBorder="1" applyAlignment="1">
      <alignment horizontal="left" vertical="center"/>
    </xf>
    <xf numFmtId="0" fontId="6" fillId="3" borderId="0" xfId="0" applyFont="1" applyFill="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vertical="center" wrapText="1"/>
    </xf>
    <xf numFmtId="0" fontId="25" fillId="5" borderId="0" xfId="0" applyFont="1" applyFill="1" applyAlignment="1">
      <alignment horizontal="center" vertical="center" wrapText="1"/>
    </xf>
    <xf numFmtId="0" fontId="25" fillId="5" borderId="0" xfId="0" applyFont="1" applyFill="1"/>
    <xf numFmtId="0" fontId="0" fillId="0" borderId="0" xfId="0" applyAlignment="1">
      <alignment horizontal="center" vertical="center" wrapText="1"/>
    </xf>
    <xf numFmtId="0" fontId="15" fillId="0" borderId="87" xfId="0" applyFont="1" applyBorder="1" applyAlignment="1">
      <alignment vertical="center" wrapText="1"/>
    </xf>
    <xf numFmtId="0" fontId="4" fillId="0" borderId="88" xfId="0" applyFont="1" applyBorder="1" applyAlignment="1">
      <alignment horizontal="center" vertical="center" wrapText="1"/>
    </xf>
    <xf numFmtId="0" fontId="15" fillId="0" borderId="5" xfId="0" applyFont="1" applyBorder="1" applyAlignment="1">
      <alignment vertical="center"/>
    </xf>
    <xf numFmtId="0" fontId="4" fillId="0" borderId="8" xfId="0" applyFont="1" applyBorder="1" applyAlignment="1">
      <alignment horizontal="center" vertical="center" wrapText="1"/>
    </xf>
    <xf numFmtId="0" fontId="4" fillId="0" borderId="1" xfId="0" applyFont="1" applyBorder="1" applyAlignment="1">
      <alignment horizontal="center" vertical="center"/>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15" fillId="0" borderId="9" xfId="0" applyFont="1" applyBorder="1" applyAlignment="1">
      <alignment horizontal="justify" vertical="center"/>
    </xf>
    <xf numFmtId="0" fontId="4" fillId="8" borderId="9" xfId="0" applyFont="1" applyFill="1" applyBorder="1" applyAlignment="1">
      <alignment horizontal="center" vertical="center" wrapText="1"/>
    </xf>
    <xf numFmtId="0" fontId="4" fillId="0" borderId="9" xfId="0" applyFont="1" applyBorder="1" applyAlignment="1">
      <alignment horizontal="center" vertical="center" wrapText="1"/>
    </xf>
    <xf numFmtId="0" fontId="4" fillId="8" borderId="1" xfId="0" applyFont="1" applyFill="1" applyBorder="1" applyAlignment="1">
      <alignment horizontal="center" vertical="center" wrapText="1"/>
    </xf>
    <xf numFmtId="0" fontId="4" fillId="6" borderId="38" xfId="0" applyFont="1" applyFill="1" applyBorder="1" applyAlignment="1">
      <alignment horizontal="center" vertical="center" wrapText="1"/>
    </xf>
    <xf numFmtId="164" fontId="4" fillId="5" borderId="1" xfId="0" applyNumberFormat="1" applyFont="1" applyFill="1" applyBorder="1" applyAlignment="1">
      <alignment horizontal="center" vertical="center" wrapText="1"/>
    </xf>
    <xf numFmtId="2" fontId="4" fillId="0" borderId="1" xfId="0" applyNumberFormat="1" applyFont="1" applyBorder="1" applyAlignment="1">
      <alignment horizontal="center" vertical="center" wrapText="1"/>
    </xf>
    <xf numFmtId="0" fontId="6" fillId="0" borderId="1" xfId="0" applyFont="1" applyBorder="1" applyAlignment="1">
      <alignment vertical="center"/>
    </xf>
    <xf numFmtId="164" fontId="4" fillId="0" borderId="1" xfId="0" applyNumberFormat="1" applyFont="1" applyBorder="1" applyAlignment="1">
      <alignment horizontal="center" vertical="center" wrapText="1"/>
    </xf>
    <xf numFmtId="0" fontId="6" fillId="0" borderId="1" xfId="0" applyFont="1" applyBorder="1" applyAlignment="1">
      <alignment horizontal="left" vertical="center"/>
    </xf>
    <xf numFmtId="2" fontId="4" fillId="5" borderId="1" xfId="0" applyNumberFormat="1" applyFont="1" applyFill="1" applyBorder="1" applyAlignment="1">
      <alignment horizontal="center" vertical="center" wrapText="1"/>
    </xf>
    <xf numFmtId="0" fontId="4" fillId="5" borderId="1" xfId="0" applyFont="1" applyFill="1" applyBorder="1"/>
    <xf numFmtId="0" fontId="4" fillId="0" borderId="1" xfId="0" applyFont="1" applyFill="1" applyBorder="1" applyAlignment="1">
      <alignment horizontal="left" vertical="center" wrapText="1"/>
    </xf>
    <xf numFmtId="0" fontId="6" fillId="0" borderId="1" xfId="0" applyFont="1" applyFill="1" applyBorder="1" applyAlignment="1">
      <alignment horizontal="center" vertical="center"/>
    </xf>
    <xf numFmtId="2" fontId="4" fillId="0" borderId="1" xfId="0" applyNumberFormat="1" applyFont="1" applyFill="1" applyBorder="1" applyAlignment="1">
      <alignment horizontal="center" vertical="center" wrapText="1"/>
    </xf>
    <xf numFmtId="0" fontId="4" fillId="0" borderId="38" xfId="0" applyFont="1" applyBorder="1"/>
    <xf numFmtId="0" fontId="4" fillId="5" borderId="9" xfId="0" applyFont="1" applyFill="1" applyBorder="1"/>
    <xf numFmtId="165" fontId="4" fillId="0" borderId="1"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4" fillId="0" borderId="1" xfId="0" applyFont="1" applyBorder="1" applyAlignment="1">
      <alignment horizontal="center" vertical="center"/>
    </xf>
    <xf numFmtId="0" fontId="0" fillId="0" borderId="0" xfId="0" applyAlignment="1">
      <alignment horizontal="center" vertical="center" wrapText="1"/>
    </xf>
    <xf numFmtId="0" fontId="0" fillId="5" borderId="0" xfId="0" applyFill="1" applyAlignment="1">
      <alignment horizontal="left" vertical="center"/>
    </xf>
    <xf numFmtId="0" fontId="0" fillId="5" borderId="1" xfId="0" applyFill="1" applyBorder="1"/>
    <xf numFmtId="0" fontId="4" fillId="0" borderId="7" xfId="0" applyFont="1" applyBorder="1"/>
    <xf numFmtId="165" fontId="4" fillId="0" borderId="1" xfId="0" applyNumberFormat="1" applyFont="1" applyFill="1" applyBorder="1" applyAlignment="1">
      <alignment horizontal="center" vertical="center" wrapText="1"/>
    </xf>
    <xf numFmtId="165" fontId="0" fillId="0" borderId="1" xfId="0" applyNumberFormat="1" applyFill="1" applyBorder="1" applyAlignment="1">
      <alignment horizontal="center" vertical="center" wrapText="1"/>
    </xf>
    <xf numFmtId="0" fontId="0" fillId="0" borderId="1" xfId="0" applyBorder="1" applyAlignment="1">
      <alignment horizontal="center"/>
    </xf>
    <xf numFmtId="0" fontId="29" fillId="0" borderId="1" xfId="0" applyFont="1" applyBorder="1" applyAlignment="1">
      <alignment horizontal="center" vertical="center" textRotation="90" wrapText="1"/>
    </xf>
    <xf numFmtId="0" fontId="4" fillId="0" borderId="41" xfId="0" applyFont="1" applyBorder="1" applyAlignment="1">
      <alignment horizontal="left" vertical="center"/>
    </xf>
    <xf numFmtId="0" fontId="4" fillId="0" borderId="13" xfId="0" applyFont="1" applyBorder="1" applyAlignment="1">
      <alignment horizontal="left" vertical="center"/>
    </xf>
    <xf numFmtId="0" fontId="0" fillId="0" borderId="45" xfId="0" applyBorder="1" applyAlignment="1">
      <alignment horizontal="center" vertical="center" wrapText="1"/>
    </xf>
    <xf numFmtId="0" fontId="4" fillId="0" borderId="42" xfId="0" applyFont="1" applyBorder="1" applyAlignment="1">
      <alignment horizontal="left" vertical="center"/>
    </xf>
    <xf numFmtId="0" fontId="4" fillId="0" borderId="43" xfId="0" applyFont="1" applyBorder="1" applyAlignment="1">
      <alignment horizontal="left" vertical="center"/>
    </xf>
    <xf numFmtId="0" fontId="0" fillId="0" borderId="43" xfId="0" applyBorder="1" applyAlignment="1">
      <alignment horizontal="center" vertical="center" wrapText="1"/>
    </xf>
    <xf numFmtId="0" fontId="0" fillId="0" borderId="46" xfId="0" applyBorder="1" applyAlignment="1">
      <alignment horizontal="center" vertical="center" wrapText="1"/>
    </xf>
    <xf numFmtId="0" fontId="0" fillId="5" borderId="37" xfId="0" applyFill="1" applyBorder="1" applyAlignment="1">
      <alignment horizontal="center" vertical="center" wrapText="1"/>
    </xf>
    <xf numFmtId="0" fontId="4" fillId="3" borderId="41" xfId="0" applyFont="1" applyFill="1" applyBorder="1" applyAlignment="1">
      <alignment horizontal="left" vertical="center"/>
    </xf>
    <xf numFmtId="0" fontId="4" fillId="3" borderId="13" xfId="0" applyFont="1" applyFill="1" applyBorder="1" applyAlignment="1">
      <alignment horizontal="left" vertical="center"/>
    </xf>
    <xf numFmtId="165" fontId="25" fillId="0" borderId="1" xfId="0" applyNumberFormat="1" applyFont="1" applyBorder="1"/>
    <xf numFmtId="2" fontId="4" fillId="0" borderId="1" xfId="0" applyNumberFormat="1" applyFont="1" applyBorder="1" applyAlignment="1">
      <alignment horizontal="center" vertical="center"/>
    </xf>
    <xf numFmtId="165" fontId="0" fillId="0" borderId="9" xfId="0" applyNumberFormat="1" applyFill="1" applyBorder="1" applyAlignment="1">
      <alignment horizontal="center" vertical="center"/>
    </xf>
    <xf numFmtId="164" fontId="4" fillId="11" borderId="1" xfId="0" applyNumberFormat="1" applyFont="1" applyFill="1" applyBorder="1" applyAlignment="1">
      <alignment horizontal="center" vertical="center"/>
    </xf>
    <xf numFmtId="0" fontId="0" fillId="0" borderId="1" xfId="0" applyBorder="1" applyAlignment="1">
      <alignment horizontal="centerContinuous" vertical="center"/>
    </xf>
    <xf numFmtId="0" fontId="0" fillId="0" borderId="34" xfId="0" applyBorder="1" applyAlignment="1">
      <alignment horizontal="center" vertical="center"/>
    </xf>
    <xf numFmtId="0" fontId="0" fillId="0" borderId="18" xfId="0" applyBorder="1" applyAlignment="1">
      <alignment horizontal="center" vertical="center"/>
    </xf>
    <xf numFmtId="0" fontId="0" fillId="0" borderId="13" xfId="0" applyBorder="1" applyAlignment="1">
      <alignment horizontal="center" vertical="center"/>
    </xf>
    <xf numFmtId="0" fontId="11" fillId="0" borderId="13" xfId="0" applyFont="1" applyBorder="1" applyAlignment="1">
      <alignment horizontal="center" vertical="center"/>
    </xf>
    <xf numFmtId="0" fontId="0" fillId="0" borderId="11" xfId="0" applyBorder="1" applyAlignment="1">
      <alignment horizontal="center" vertical="center"/>
    </xf>
    <xf numFmtId="0" fontId="4" fillId="7" borderId="36"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7" xfId="0" applyFill="1" applyBorder="1" applyAlignment="1">
      <alignment horizontal="center" vertical="center" wrapText="1"/>
    </xf>
    <xf numFmtId="0" fontId="4" fillId="3" borderId="1" xfId="0" applyFont="1" applyFill="1" applyBorder="1" applyAlignment="1">
      <alignment horizontal="center" vertical="center" wrapText="1"/>
    </xf>
    <xf numFmtId="0" fontId="0" fillId="0" borderId="1" xfId="0" applyBorder="1" applyAlignment="1">
      <alignment horizontal="center" vertical="center" wrapText="1"/>
    </xf>
    <xf numFmtId="0" fontId="8" fillId="0" borderId="1" xfId="0" applyFont="1" applyBorder="1" applyAlignment="1">
      <alignment horizontal="center" vertical="center"/>
    </xf>
    <xf numFmtId="0" fontId="0" fillId="0" borderId="1" xfId="0" applyBorder="1" applyAlignment="1">
      <alignment horizontal="center" vertical="center"/>
    </xf>
    <xf numFmtId="0" fontId="4" fillId="0" borderId="1" xfId="0" applyFont="1" applyBorder="1" applyAlignment="1">
      <alignment horizontal="center" vertical="center"/>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18"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7" borderId="10" xfId="0" applyFill="1" applyBorder="1" applyAlignment="1">
      <alignment horizontal="center" vertical="center"/>
    </xf>
    <xf numFmtId="0" fontId="0" fillId="7" borderId="37" xfId="0" applyFill="1" applyBorder="1" applyAlignment="1">
      <alignment horizontal="center" vertical="center"/>
    </xf>
    <xf numFmtId="0" fontId="5" fillId="7" borderId="10" xfId="0" applyFont="1" applyFill="1" applyBorder="1" applyAlignment="1">
      <alignment horizontal="center" vertical="center" wrapText="1"/>
    </xf>
    <xf numFmtId="0" fontId="5" fillId="7" borderId="37" xfId="0" applyFont="1" applyFill="1" applyBorder="1" applyAlignment="1">
      <alignment horizontal="center" vertical="center" wrapText="1"/>
    </xf>
    <xf numFmtId="0" fontId="4" fillId="7" borderId="0" xfId="0" applyFont="1" applyFill="1" applyAlignment="1">
      <alignment horizontal="center" vertical="center" wrapText="1"/>
    </xf>
    <xf numFmtId="0" fontId="0" fillId="7" borderId="0" xfId="0" applyFill="1" applyAlignment="1">
      <alignment horizontal="center" vertical="center" wrapText="1"/>
    </xf>
    <xf numFmtId="0" fontId="8" fillId="7" borderId="36" xfId="0" applyFont="1" applyFill="1" applyBorder="1" applyAlignment="1">
      <alignment horizontal="center" vertical="center" wrapText="1"/>
    </xf>
    <xf numFmtId="0" fontId="8" fillId="7" borderId="10" xfId="0" applyFont="1" applyFill="1" applyBorder="1" applyAlignment="1">
      <alignment horizontal="center" vertical="center" wrapText="1"/>
    </xf>
    <xf numFmtId="0" fontId="4" fillId="0" borderId="65" xfId="0" applyFont="1" applyBorder="1" applyAlignment="1">
      <alignment horizontal="left" vertical="center" wrapText="1"/>
    </xf>
    <xf numFmtId="0" fontId="4" fillId="0" borderId="66" xfId="0" applyFont="1" applyBorder="1" applyAlignment="1">
      <alignment horizontal="left" vertical="center" wrapText="1"/>
    </xf>
    <xf numFmtId="0" fontId="4" fillId="0" borderId="89" xfId="0" applyFont="1" applyBorder="1" applyAlignment="1">
      <alignment horizontal="left" vertical="center" wrapText="1"/>
    </xf>
  </cellXfs>
  <cellStyles count="7">
    <cellStyle name="Normale 2" xfId="2"/>
    <cellStyle name="Normale 2 2" xfId="3"/>
    <cellStyle name="Normale 3" xfId="4"/>
    <cellStyle name="Normale 3 2" xfId="5"/>
    <cellStyle name="Normale 4" xfId="6"/>
    <cellStyle name="Standard" xfId="0" builtinId="0"/>
    <cellStyle name="Standard 2" xfId="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Output_series!$C$13</c:f>
              <c:strCache>
                <c:ptCount val="1"/>
                <c:pt idx="0">
                  <c:v>Auxiliary energy for the cooling emission</c:v>
                </c:pt>
              </c:strCache>
            </c:strRef>
          </c:tx>
          <c:spPr>
            <a:solidFill>
              <a:schemeClr val="accent1"/>
            </a:solidFill>
            <a:ln>
              <a:solidFill>
                <a:schemeClr val="accent1"/>
              </a:solidFill>
            </a:ln>
          </c:spPr>
          <c:invertIfNegative val="0"/>
          <c:cat>
            <c:numRef>
              <c:f>Output_series!#REF!</c:f>
              <c:numCache>
                <c:formatCode>General</c:formatCode>
                <c:ptCount val="24"/>
                <c:pt idx="0">
                  <c:v>4801</c:v>
                </c:pt>
                <c:pt idx="1">
                  <c:v>4802</c:v>
                </c:pt>
                <c:pt idx="2">
                  <c:v>4803</c:v>
                </c:pt>
                <c:pt idx="3">
                  <c:v>4804</c:v>
                </c:pt>
                <c:pt idx="4">
                  <c:v>4805</c:v>
                </c:pt>
                <c:pt idx="5">
                  <c:v>4806</c:v>
                </c:pt>
                <c:pt idx="6">
                  <c:v>4807</c:v>
                </c:pt>
                <c:pt idx="7">
                  <c:v>4808</c:v>
                </c:pt>
                <c:pt idx="8">
                  <c:v>4809</c:v>
                </c:pt>
                <c:pt idx="9">
                  <c:v>4810</c:v>
                </c:pt>
                <c:pt idx="10">
                  <c:v>4811</c:v>
                </c:pt>
                <c:pt idx="11">
                  <c:v>4812</c:v>
                </c:pt>
                <c:pt idx="12">
                  <c:v>4813</c:v>
                </c:pt>
                <c:pt idx="13">
                  <c:v>4814</c:v>
                </c:pt>
                <c:pt idx="14">
                  <c:v>4815</c:v>
                </c:pt>
                <c:pt idx="15">
                  <c:v>4816</c:v>
                </c:pt>
                <c:pt idx="16">
                  <c:v>4817</c:v>
                </c:pt>
                <c:pt idx="17">
                  <c:v>4818</c:v>
                </c:pt>
                <c:pt idx="18">
                  <c:v>4819</c:v>
                </c:pt>
                <c:pt idx="19">
                  <c:v>4820</c:v>
                </c:pt>
                <c:pt idx="20">
                  <c:v>4821</c:v>
                </c:pt>
                <c:pt idx="21">
                  <c:v>4822</c:v>
                </c:pt>
                <c:pt idx="22">
                  <c:v>4823</c:v>
                </c:pt>
                <c:pt idx="23">
                  <c:v>4824</c:v>
                </c:pt>
              </c:numCache>
            </c:numRef>
          </c:cat>
          <c:val>
            <c:numRef>
              <c:f>Output_series!$C$18:$C$29</c:f>
              <c:numCache>
                <c:formatCode>0.000</c:formatCode>
                <c:ptCount val="12"/>
                <c:pt idx="0">
                  <c:v>0</c:v>
                </c:pt>
                <c:pt idx="1">
                  <c:v>0</c:v>
                </c:pt>
                <c:pt idx="2">
                  <c:v>0</c:v>
                </c:pt>
                <c:pt idx="3">
                  <c:v>0</c:v>
                </c:pt>
                <c:pt idx="4">
                  <c:v>7.8116463600000005E-3</c:v>
                </c:pt>
                <c:pt idx="5">
                  <c:v>2.3129986054799989</c:v>
                </c:pt>
                <c:pt idx="6">
                  <c:v>1.8654707300510003</c:v>
                </c:pt>
                <c:pt idx="7">
                  <c:v>1.682966471087</c:v>
                </c:pt>
                <c:pt idx="8">
                  <c:v>3.7824112820000005E-2</c:v>
                </c:pt>
                <c:pt idx="9">
                  <c:v>0</c:v>
                </c:pt>
                <c:pt idx="10">
                  <c:v>0</c:v>
                </c:pt>
                <c:pt idx="11">
                  <c:v>0</c:v>
                </c:pt>
              </c:numCache>
            </c:numRef>
          </c:val>
        </c:ser>
        <c:dLbls>
          <c:showLegendKey val="0"/>
          <c:showVal val="0"/>
          <c:showCatName val="0"/>
          <c:showSerName val="0"/>
          <c:showPercent val="0"/>
          <c:showBubbleSize val="0"/>
        </c:dLbls>
        <c:gapWidth val="150"/>
        <c:axId val="114078848"/>
        <c:axId val="114080384"/>
      </c:barChart>
      <c:catAx>
        <c:axId val="114078848"/>
        <c:scaling>
          <c:orientation val="minMax"/>
        </c:scaling>
        <c:delete val="0"/>
        <c:axPos val="b"/>
        <c:numFmt formatCode="General" sourceLinked="1"/>
        <c:majorTickMark val="out"/>
        <c:minorTickMark val="none"/>
        <c:tickLblPos val="nextTo"/>
        <c:crossAx val="114080384"/>
        <c:crosses val="autoZero"/>
        <c:auto val="1"/>
        <c:lblAlgn val="ctr"/>
        <c:lblOffset val="100"/>
        <c:noMultiLvlLbl val="1"/>
      </c:catAx>
      <c:valAx>
        <c:axId val="11408038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14078848"/>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2"/>
          <c:order val="0"/>
          <c:tx>
            <c:strRef>
              <c:f>Output_series!$D$13</c:f>
              <c:strCache>
                <c:ptCount val="1"/>
                <c:pt idx="0">
                  <c:v>Auxiliary energy for the cooling distribution</c:v>
                </c:pt>
              </c:strCache>
            </c:strRef>
          </c:tx>
          <c:spPr>
            <a:ln>
              <a:solidFill>
                <a:schemeClr val="accent1"/>
              </a:solidFill>
            </a:ln>
          </c:spPr>
          <c:marker>
            <c:symbol val="none"/>
          </c:marker>
          <c:xVal>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Output_series!$D$18:$D$29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dLbls>
          <c:showLegendKey val="0"/>
          <c:showVal val="0"/>
          <c:showCatName val="0"/>
          <c:showSerName val="0"/>
          <c:showPercent val="0"/>
          <c:showBubbleSize val="0"/>
        </c:dLbls>
        <c:axId val="114199168"/>
        <c:axId val="153293952"/>
      </c:scatterChart>
      <c:valAx>
        <c:axId val="114199168"/>
        <c:scaling>
          <c:orientation val="minMax"/>
        </c:scaling>
        <c:delete val="0"/>
        <c:axPos val="b"/>
        <c:numFmt formatCode="General" sourceLinked="1"/>
        <c:majorTickMark val="out"/>
        <c:minorTickMark val="none"/>
        <c:tickLblPos val="nextTo"/>
        <c:crossAx val="153293952"/>
        <c:crosses val="autoZero"/>
        <c:crossBetween val="midCat"/>
      </c:valAx>
      <c:valAx>
        <c:axId val="15329395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14199168"/>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Output_series!$E$13</c:f>
              <c:strCache>
                <c:ptCount val="1"/>
                <c:pt idx="0">
                  <c:v>Auxiliary energy of the cooling generation</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Output_series!$E$18:$E$29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axId val="170927232"/>
        <c:axId val="171012864"/>
      </c:barChart>
      <c:catAx>
        <c:axId val="170927232"/>
        <c:scaling>
          <c:orientation val="minMax"/>
        </c:scaling>
        <c:delete val="0"/>
        <c:axPos val="b"/>
        <c:numFmt formatCode="General" sourceLinked="1"/>
        <c:majorTickMark val="out"/>
        <c:minorTickMark val="none"/>
        <c:tickLblPos val="nextTo"/>
        <c:crossAx val="171012864"/>
        <c:crosses val="autoZero"/>
        <c:auto val="1"/>
        <c:lblAlgn val="ctr"/>
        <c:lblOffset val="100"/>
        <c:noMultiLvlLbl val="1"/>
      </c:catAx>
      <c:valAx>
        <c:axId val="17101286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7092723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Output_series!$F$13</c:f>
              <c:strCache>
                <c:ptCount val="1"/>
                <c:pt idx="0">
                  <c:v>Cooling energy extracted from thermal zone j=1</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Output_series!$F$18:$F$29</c:f>
              <c:numCache>
                <c:formatCode>0.000</c:formatCode>
                <c:ptCount val="12"/>
                <c:pt idx="0">
                  <c:v>0</c:v>
                </c:pt>
                <c:pt idx="1">
                  <c:v>0</c:v>
                </c:pt>
                <c:pt idx="2">
                  <c:v>0</c:v>
                </c:pt>
                <c:pt idx="3">
                  <c:v>0</c:v>
                </c:pt>
                <c:pt idx="4">
                  <c:v>0.41858803999999999</c:v>
                </c:pt>
                <c:pt idx="5">
                  <c:v>110.977553953</c:v>
                </c:pt>
                <c:pt idx="6">
                  <c:v>72.811080179000001</c:v>
                </c:pt>
                <c:pt idx="7">
                  <c:v>67.421570922399994</c:v>
                </c:pt>
                <c:pt idx="8">
                  <c:v>1.868553972</c:v>
                </c:pt>
                <c:pt idx="9">
                  <c:v>0</c:v>
                </c:pt>
                <c:pt idx="10">
                  <c:v>0</c:v>
                </c:pt>
                <c:pt idx="11">
                  <c:v>0</c:v>
                </c:pt>
              </c:numCache>
            </c:numRef>
          </c:val>
        </c:ser>
        <c:dLbls>
          <c:showLegendKey val="0"/>
          <c:showVal val="0"/>
          <c:showCatName val="0"/>
          <c:showSerName val="0"/>
          <c:showPercent val="0"/>
          <c:showBubbleSize val="0"/>
        </c:dLbls>
        <c:gapWidth val="150"/>
        <c:axId val="171554688"/>
        <c:axId val="184226944"/>
      </c:barChart>
      <c:catAx>
        <c:axId val="171554688"/>
        <c:scaling>
          <c:orientation val="minMax"/>
        </c:scaling>
        <c:delete val="0"/>
        <c:axPos val="b"/>
        <c:numFmt formatCode="General" sourceLinked="1"/>
        <c:majorTickMark val="out"/>
        <c:minorTickMark val="none"/>
        <c:tickLblPos val="nextTo"/>
        <c:crossAx val="184226944"/>
        <c:crosses val="autoZero"/>
        <c:auto val="1"/>
        <c:lblAlgn val="ctr"/>
        <c:lblOffset val="100"/>
        <c:noMultiLvlLbl val="1"/>
      </c:catAx>
      <c:valAx>
        <c:axId val="18422694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71554688"/>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Output_series!$G$13</c:f>
              <c:strCache>
                <c:ptCount val="1"/>
                <c:pt idx="0">
                  <c:v>Cooling energy extracted from thermal zone j=2</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Output_series!$G$18:$G$29</c:f>
              <c:numCache>
                <c:formatCode>0.000</c:formatCode>
                <c:ptCount val="12"/>
                <c:pt idx="0">
                  <c:v>0</c:v>
                </c:pt>
                <c:pt idx="1">
                  <c:v>0</c:v>
                </c:pt>
                <c:pt idx="2">
                  <c:v>0</c:v>
                </c:pt>
                <c:pt idx="3">
                  <c:v>0</c:v>
                </c:pt>
                <c:pt idx="4">
                  <c:v>0</c:v>
                </c:pt>
                <c:pt idx="5">
                  <c:v>16.323896420000001</c:v>
                </c:pt>
                <c:pt idx="6">
                  <c:v>25.599985860999997</c:v>
                </c:pt>
                <c:pt idx="7">
                  <c:v>26.246903384500001</c:v>
                </c:pt>
                <c:pt idx="8">
                  <c:v>0</c:v>
                </c:pt>
                <c:pt idx="9">
                  <c:v>0</c:v>
                </c:pt>
                <c:pt idx="10">
                  <c:v>0</c:v>
                </c:pt>
                <c:pt idx="11">
                  <c:v>0</c:v>
                </c:pt>
              </c:numCache>
            </c:numRef>
          </c:val>
        </c:ser>
        <c:dLbls>
          <c:showLegendKey val="0"/>
          <c:showVal val="0"/>
          <c:showCatName val="0"/>
          <c:showSerName val="0"/>
          <c:showPercent val="0"/>
          <c:showBubbleSize val="0"/>
        </c:dLbls>
        <c:gapWidth val="150"/>
        <c:axId val="184262016"/>
        <c:axId val="205137024"/>
      </c:barChart>
      <c:catAx>
        <c:axId val="184262016"/>
        <c:scaling>
          <c:orientation val="minMax"/>
        </c:scaling>
        <c:delete val="0"/>
        <c:axPos val="b"/>
        <c:numFmt formatCode="General" sourceLinked="1"/>
        <c:majorTickMark val="out"/>
        <c:minorTickMark val="none"/>
        <c:tickLblPos val="nextTo"/>
        <c:crossAx val="205137024"/>
        <c:crosses val="autoZero"/>
        <c:auto val="1"/>
        <c:lblAlgn val="ctr"/>
        <c:lblOffset val="100"/>
        <c:noMultiLvlLbl val="1"/>
      </c:catAx>
      <c:valAx>
        <c:axId val="20513702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184262016"/>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Output_series!$H$13</c:f>
              <c:strCache>
                <c:ptCount val="1"/>
                <c:pt idx="0">
                  <c:v>Cooling energy extracted from thermal zone j=3</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Output_series!$H$18:$H$29</c:f>
              <c:numCache>
                <c:formatCode>0.000</c:formatCode>
                <c:ptCount val="12"/>
                <c:pt idx="0">
                  <c:v>0</c:v>
                </c:pt>
                <c:pt idx="1">
                  <c:v>0</c:v>
                </c:pt>
                <c:pt idx="2">
                  <c:v>0</c:v>
                </c:pt>
                <c:pt idx="3">
                  <c:v>0</c:v>
                </c:pt>
                <c:pt idx="4">
                  <c:v>0.36257659599999997</c:v>
                </c:pt>
                <c:pt idx="5">
                  <c:v>92.406979746999895</c:v>
                </c:pt>
                <c:pt idx="6">
                  <c:v>66.130369138000006</c:v>
                </c:pt>
                <c:pt idx="7">
                  <c:v>54.601771639799999</c:v>
                </c:pt>
                <c:pt idx="8">
                  <c:v>1.91385731</c:v>
                </c:pt>
                <c:pt idx="9">
                  <c:v>0</c:v>
                </c:pt>
                <c:pt idx="10">
                  <c:v>0</c:v>
                </c:pt>
                <c:pt idx="11">
                  <c:v>0</c:v>
                </c:pt>
              </c:numCache>
            </c:numRef>
          </c:val>
        </c:ser>
        <c:dLbls>
          <c:showLegendKey val="0"/>
          <c:showVal val="0"/>
          <c:showCatName val="0"/>
          <c:showSerName val="0"/>
          <c:showPercent val="0"/>
          <c:showBubbleSize val="0"/>
        </c:dLbls>
        <c:gapWidth val="150"/>
        <c:axId val="220190592"/>
        <c:axId val="229133696"/>
      </c:barChart>
      <c:catAx>
        <c:axId val="220190592"/>
        <c:scaling>
          <c:orientation val="minMax"/>
        </c:scaling>
        <c:delete val="0"/>
        <c:axPos val="b"/>
        <c:numFmt formatCode="General" sourceLinked="1"/>
        <c:majorTickMark val="out"/>
        <c:minorTickMark val="none"/>
        <c:tickLblPos val="nextTo"/>
        <c:crossAx val="229133696"/>
        <c:crosses val="autoZero"/>
        <c:auto val="1"/>
        <c:lblAlgn val="ctr"/>
        <c:lblOffset val="100"/>
        <c:noMultiLvlLbl val="1"/>
      </c:catAx>
      <c:valAx>
        <c:axId val="22913369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2019059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Output_series!$I$13</c:f>
              <c:strCache>
                <c:ptCount val="1"/>
                <c:pt idx="0">
                  <c:v>Cooling energy extracted from thermal zone j=4</c:v>
                </c:pt>
              </c:strCache>
            </c:strRef>
          </c:tx>
          <c:spPr>
            <a:ln>
              <a:solidFill>
                <a:schemeClr val="accent1"/>
              </a:solidFill>
            </a:ln>
          </c:spPr>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Output_series!$I$18:$I$29</c:f>
              <c:numCache>
                <c:formatCode>0.000</c:formatCode>
                <c:ptCount val="12"/>
                <c:pt idx="0">
                  <c:v>0</c:v>
                </c:pt>
                <c:pt idx="1">
                  <c:v>0</c:v>
                </c:pt>
                <c:pt idx="2">
                  <c:v>0</c:v>
                </c:pt>
                <c:pt idx="3">
                  <c:v>0</c:v>
                </c:pt>
                <c:pt idx="4">
                  <c:v>0</c:v>
                </c:pt>
                <c:pt idx="5">
                  <c:v>11.591430428000001</c:v>
                </c:pt>
                <c:pt idx="6">
                  <c:v>22.005637827099999</c:v>
                </c:pt>
                <c:pt idx="7">
                  <c:v>20.026401161999999</c:v>
                </c:pt>
                <c:pt idx="8">
                  <c:v>0</c:v>
                </c:pt>
                <c:pt idx="9">
                  <c:v>0</c:v>
                </c:pt>
                <c:pt idx="10">
                  <c:v>0</c:v>
                </c:pt>
                <c:pt idx="11">
                  <c:v>0</c:v>
                </c:pt>
              </c:numCache>
            </c:numRef>
          </c:val>
        </c:ser>
        <c:dLbls>
          <c:showLegendKey val="0"/>
          <c:showVal val="0"/>
          <c:showCatName val="0"/>
          <c:showSerName val="0"/>
          <c:showPercent val="0"/>
          <c:showBubbleSize val="0"/>
        </c:dLbls>
        <c:gapWidth val="150"/>
        <c:axId val="230891520"/>
        <c:axId val="230984704"/>
      </c:barChart>
      <c:catAx>
        <c:axId val="230891520"/>
        <c:scaling>
          <c:orientation val="minMax"/>
        </c:scaling>
        <c:delete val="0"/>
        <c:axPos val="b"/>
        <c:numFmt formatCode="General" sourceLinked="1"/>
        <c:majorTickMark val="out"/>
        <c:minorTickMark val="none"/>
        <c:tickLblPos val="nextTo"/>
        <c:crossAx val="230984704"/>
        <c:crosses val="autoZero"/>
        <c:auto val="1"/>
        <c:lblAlgn val="ctr"/>
        <c:lblOffset val="100"/>
        <c:noMultiLvlLbl val="1"/>
      </c:catAx>
      <c:valAx>
        <c:axId val="230984704"/>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30891520"/>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Output_series!$K$13</c:f>
              <c:strCache>
                <c:ptCount val="1"/>
                <c:pt idx="0">
                  <c:v>Required cooling energy by the cooling generation system</c:v>
                </c:pt>
              </c:strCache>
            </c:strRef>
          </c:tx>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Output_series!$K$18:$K$29</c:f>
              <c:numCache>
                <c:formatCode>0.000</c:formatCode>
                <c:ptCount val="12"/>
                <c:pt idx="0">
                  <c:v>0</c:v>
                </c:pt>
                <c:pt idx="1">
                  <c:v>0</c:v>
                </c:pt>
                <c:pt idx="2">
                  <c:v>0</c:v>
                </c:pt>
                <c:pt idx="3">
                  <c:v>0</c:v>
                </c:pt>
                <c:pt idx="4">
                  <c:v>0.82022286779999998</c:v>
                </c:pt>
                <c:pt idx="5">
                  <c:v>242.86485357539988</c:v>
                </c:pt>
                <c:pt idx="6">
                  <c:v>195.87442665535502</c:v>
                </c:pt>
                <c:pt idx="7">
                  <c:v>176.71147946413498</c:v>
                </c:pt>
                <c:pt idx="8">
                  <c:v>3.9715318461000004</c:v>
                </c:pt>
                <c:pt idx="9">
                  <c:v>0</c:v>
                </c:pt>
                <c:pt idx="10">
                  <c:v>0</c:v>
                </c:pt>
                <c:pt idx="11">
                  <c:v>0</c:v>
                </c:pt>
              </c:numCache>
            </c:numRef>
          </c:val>
        </c:ser>
        <c:dLbls>
          <c:showLegendKey val="0"/>
          <c:showVal val="0"/>
          <c:showCatName val="0"/>
          <c:showSerName val="0"/>
          <c:showPercent val="0"/>
          <c:showBubbleSize val="0"/>
        </c:dLbls>
        <c:gapWidth val="150"/>
        <c:axId val="250946304"/>
        <c:axId val="250947840"/>
      </c:barChart>
      <c:catAx>
        <c:axId val="250946304"/>
        <c:scaling>
          <c:orientation val="minMax"/>
        </c:scaling>
        <c:delete val="0"/>
        <c:axPos val="b"/>
        <c:numFmt formatCode="General" sourceLinked="1"/>
        <c:majorTickMark val="out"/>
        <c:minorTickMark val="none"/>
        <c:tickLblPos val="nextTo"/>
        <c:crossAx val="250947840"/>
        <c:crosses val="autoZero"/>
        <c:auto val="1"/>
        <c:lblAlgn val="ctr"/>
        <c:lblOffset val="100"/>
        <c:noMultiLvlLbl val="1"/>
      </c:catAx>
      <c:valAx>
        <c:axId val="25094784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50946304"/>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Output_series!$L$13</c:f>
              <c:strCache>
                <c:ptCount val="1"/>
                <c:pt idx="0">
                  <c:v>AHU cooling coil output for ventilation system k=1</c:v>
                </c:pt>
              </c:strCache>
            </c:strRef>
          </c:tx>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Output_series!$L$18:$L$29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axId val="220281472"/>
        <c:axId val="220295552"/>
      </c:barChart>
      <c:catAx>
        <c:axId val="220281472"/>
        <c:scaling>
          <c:orientation val="minMax"/>
        </c:scaling>
        <c:delete val="0"/>
        <c:axPos val="b"/>
        <c:numFmt formatCode="General" sourceLinked="1"/>
        <c:majorTickMark val="out"/>
        <c:minorTickMark val="none"/>
        <c:tickLblPos val="nextTo"/>
        <c:crossAx val="220295552"/>
        <c:crosses val="autoZero"/>
        <c:auto val="1"/>
        <c:lblAlgn val="ctr"/>
        <c:lblOffset val="100"/>
        <c:noMultiLvlLbl val="1"/>
      </c:catAx>
      <c:valAx>
        <c:axId val="22029555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20281472"/>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Output_series!$M$13</c:f>
              <c:strCache>
                <c:ptCount val="1"/>
                <c:pt idx="0">
                  <c:v>AHU cooling coil output for ventilation system k=2</c:v>
                </c:pt>
              </c:strCache>
            </c:strRef>
          </c:tx>
          <c:invertIfNegative val="0"/>
          <c:cat>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Output_series!$M$18:$M$29</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axId val="220328320"/>
        <c:axId val="220329856"/>
      </c:barChart>
      <c:catAx>
        <c:axId val="220328320"/>
        <c:scaling>
          <c:orientation val="minMax"/>
        </c:scaling>
        <c:delete val="0"/>
        <c:axPos val="b"/>
        <c:numFmt formatCode="General" sourceLinked="1"/>
        <c:majorTickMark val="out"/>
        <c:minorTickMark val="none"/>
        <c:tickLblPos val="nextTo"/>
        <c:crossAx val="220329856"/>
        <c:crosses val="autoZero"/>
        <c:auto val="1"/>
        <c:lblAlgn val="ctr"/>
        <c:lblOffset val="100"/>
        <c:noMultiLvlLbl val="1"/>
      </c:catAx>
      <c:valAx>
        <c:axId val="22032985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20328320"/>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Output_series!$J$13</c:f>
              <c:strCache>
                <c:ptCount val="1"/>
                <c:pt idx="0">
                  <c:v>Required coolinig generation outlet temperature</c:v>
                </c:pt>
              </c:strCache>
            </c:strRef>
          </c:tx>
          <c:spPr>
            <a:ln>
              <a:solidFill>
                <a:schemeClr val="accent3">
                  <a:lumMod val="75000"/>
                </a:schemeClr>
              </a:solidFill>
            </a:ln>
          </c:spPr>
          <c:marker>
            <c:symbol val="none"/>
          </c:marker>
          <c:xVal>
            <c:numRef>
              <c:f>Output_series!$A$18:$A$29</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Output_series!$J$18:$J$29</c:f>
              <c:numCache>
                <c:formatCode>0.0</c:formatCode>
                <c:ptCount val="12"/>
                <c:pt idx="0">
                  <c:v>24</c:v>
                </c:pt>
                <c:pt idx="1">
                  <c:v>24</c:v>
                </c:pt>
                <c:pt idx="2">
                  <c:v>24</c:v>
                </c:pt>
                <c:pt idx="3">
                  <c:v>24</c:v>
                </c:pt>
                <c:pt idx="4">
                  <c:v>25</c:v>
                </c:pt>
                <c:pt idx="5">
                  <c:v>26</c:v>
                </c:pt>
                <c:pt idx="6">
                  <c:v>26</c:v>
                </c:pt>
                <c:pt idx="7">
                  <c:v>26</c:v>
                </c:pt>
                <c:pt idx="8">
                  <c:v>25</c:v>
                </c:pt>
                <c:pt idx="9">
                  <c:v>24</c:v>
                </c:pt>
                <c:pt idx="10">
                  <c:v>24</c:v>
                </c:pt>
                <c:pt idx="11">
                  <c:v>24</c:v>
                </c:pt>
              </c:numCache>
            </c:numRef>
          </c:yVal>
          <c:smooth val="0"/>
        </c:ser>
        <c:dLbls>
          <c:showLegendKey val="0"/>
          <c:showVal val="0"/>
          <c:showCatName val="0"/>
          <c:showSerName val="0"/>
          <c:showPercent val="0"/>
          <c:showBubbleSize val="0"/>
        </c:dLbls>
        <c:axId val="220374912"/>
        <c:axId val="220376448"/>
      </c:scatterChart>
      <c:valAx>
        <c:axId val="220374912"/>
        <c:scaling>
          <c:orientation val="minMax"/>
          <c:max val="12"/>
          <c:min val="1"/>
        </c:scaling>
        <c:delete val="0"/>
        <c:axPos val="b"/>
        <c:numFmt formatCode="General" sourceLinked="1"/>
        <c:majorTickMark val="out"/>
        <c:minorTickMark val="none"/>
        <c:tickLblPos val="nextTo"/>
        <c:crossAx val="220376448"/>
        <c:crosses val="autoZero"/>
        <c:crossBetween val="midCat"/>
      </c:valAx>
      <c:valAx>
        <c:axId val="220376448"/>
        <c:scaling>
          <c:orientation val="minMax"/>
        </c:scaling>
        <c:delete val="0"/>
        <c:axPos val="l"/>
        <c:majorGridlines/>
        <c:title>
          <c:tx>
            <c:rich>
              <a:bodyPr rot="-5400000" vert="horz"/>
              <a:lstStyle/>
              <a:p>
                <a:pPr>
                  <a:defRPr/>
                </a:pPr>
                <a:r>
                  <a:rPr lang="de-CH"/>
                  <a:t>kWh</a:t>
                </a:r>
              </a:p>
            </c:rich>
          </c:tx>
          <c:overlay val="0"/>
        </c:title>
        <c:numFmt formatCode="0.0" sourceLinked="1"/>
        <c:majorTickMark val="out"/>
        <c:minorTickMark val="none"/>
        <c:tickLblPos val="nextTo"/>
        <c:crossAx val="220374912"/>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2"/>
          <c:order val="0"/>
          <c:tx>
            <c:strRef>
              <c:f>Output_series!$B$13</c:f>
              <c:strCache>
                <c:ptCount val="1"/>
                <c:pt idx="0">
                  <c:v>Electric energy input to the cooling generation</c:v>
                </c:pt>
              </c:strCache>
            </c:strRef>
          </c:tx>
          <c:spPr>
            <a:solidFill>
              <a:schemeClr val="accent1"/>
            </a:solidFill>
            <a:ln>
              <a:solidFill>
                <a:schemeClr val="accent1"/>
              </a:solidFill>
            </a:ln>
          </c:spPr>
          <c:invertIfNegative val="0"/>
          <c:cat>
            <c:numRef>
              <c:f>Output_series!#REF!</c:f>
              <c:numCache>
                <c:formatCode>General</c:formatCode>
                <c:ptCount val="24"/>
                <c:pt idx="0">
                  <c:v>4801</c:v>
                </c:pt>
                <c:pt idx="1">
                  <c:v>4802</c:v>
                </c:pt>
                <c:pt idx="2">
                  <c:v>4803</c:v>
                </c:pt>
                <c:pt idx="3">
                  <c:v>4804</c:v>
                </c:pt>
                <c:pt idx="4">
                  <c:v>4805</c:v>
                </c:pt>
                <c:pt idx="5">
                  <c:v>4806</c:v>
                </c:pt>
                <c:pt idx="6">
                  <c:v>4807</c:v>
                </c:pt>
                <c:pt idx="7">
                  <c:v>4808</c:v>
                </c:pt>
                <c:pt idx="8">
                  <c:v>4809</c:v>
                </c:pt>
                <c:pt idx="9">
                  <c:v>4810</c:v>
                </c:pt>
                <c:pt idx="10">
                  <c:v>4811</c:v>
                </c:pt>
                <c:pt idx="11">
                  <c:v>4812</c:v>
                </c:pt>
                <c:pt idx="12">
                  <c:v>4813</c:v>
                </c:pt>
                <c:pt idx="13">
                  <c:v>4814</c:v>
                </c:pt>
                <c:pt idx="14">
                  <c:v>4815</c:v>
                </c:pt>
                <c:pt idx="15">
                  <c:v>4816</c:v>
                </c:pt>
                <c:pt idx="16">
                  <c:v>4817</c:v>
                </c:pt>
                <c:pt idx="17">
                  <c:v>4818</c:v>
                </c:pt>
                <c:pt idx="18">
                  <c:v>4819</c:v>
                </c:pt>
                <c:pt idx="19">
                  <c:v>4820</c:v>
                </c:pt>
                <c:pt idx="20">
                  <c:v>4821</c:v>
                </c:pt>
                <c:pt idx="21">
                  <c:v>4822</c:v>
                </c:pt>
                <c:pt idx="22">
                  <c:v>4823</c:v>
                </c:pt>
                <c:pt idx="23">
                  <c:v>4824</c:v>
                </c:pt>
              </c:numCache>
            </c:numRef>
          </c:cat>
          <c:val>
            <c:numRef>
              <c:f>Output_series!$B$18:$B$29</c:f>
              <c:numCache>
                <c:formatCode>0.000</c:formatCode>
                <c:ptCount val="12"/>
                <c:pt idx="0">
                  <c:v>0</c:v>
                </c:pt>
                <c:pt idx="1">
                  <c:v>0</c:v>
                </c:pt>
                <c:pt idx="2">
                  <c:v>0</c:v>
                </c:pt>
                <c:pt idx="3">
                  <c:v>0</c:v>
                </c:pt>
                <c:pt idx="4">
                  <c:v>0.20505571694999999</c:v>
                </c:pt>
                <c:pt idx="5">
                  <c:v>60.716213393849969</c:v>
                </c:pt>
                <c:pt idx="6">
                  <c:v>48.968606663838756</c:v>
                </c:pt>
                <c:pt idx="7">
                  <c:v>48.816546201967299</c:v>
                </c:pt>
                <c:pt idx="8">
                  <c:v>1.0971356724851253</c:v>
                </c:pt>
                <c:pt idx="9">
                  <c:v>0</c:v>
                </c:pt>
                <c:pt idx="10">
                  <c:v>0</c:v>
                </c:pt>
                <c:pt idx="11">
                  <c:v>0</c:v>
                </c:pt>
              </c:numCache>
            </c:numRef>
          </c:val>
        </c:ser>
        <c:dLbls>
          <c:showLegendKey val="0"/>
          <c:showVal val="0"/>
          <c:showCatName val="0"/>
          <c:showSerName val="0"/>
          <c:showPercent val="0"/>
          <c:showBubbleSize val="0"/>
        </c:dLbls>
        <c:gapWidth val="150"/>
        <c:axId val="220405760"/>
        <c:axId val="220407296"/>
      </c:barChart>
      <c:catAx>
        <c:axId val="220405760"/>
        <c:scaling>
          <c:orientation val="minMax"/>
        </c:scaling>
        <c:delete val="0"/>
        <c:axPos val="b"/>
        <c:numFmt formatCode="General" sourceLinked="1"/>
        <c:majorTickMark val="out"/>
        <c:minorTickMark val="none"/>
        <c:tickLblPos val="nextTo"/>
        <c:crossAx val="220407296"/>
        <c:crosses val="autoZero"/>
        <c:auto val="1"/>
        <c:lblAlgn val="ctr"/>
        <c:lblOffset val="100"/>
        <c:noMultiLvlLbl val="1"/>
      </c:catAx>
      <c:valAx>
        <c:axId val="22040729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20405760"/>
        <c:crosses val="autoZero"/>
        <c:crossBetween val="between"/>
      </c:valAx>
    </c:plotArea>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5" fmlaRange="$A$27:$A$31" noThreeD="1" sel="4" val="0"/>
</file>

<file path=xl/ctrlProps/ctrlProp2.xml><?xml version="1.0" encoding="utf-8"?>
<formControlPr xmlns="http://schemas.microsoft.com/office/spreadsheetml/2009/9/main" objectType="Drop" dropStyle="combo" dx="15" fmlaLink="$A$17" fmlaRange="$A$19:$A$21" noThreeD="1" sel="2" val="0"/>
</file>

<file path=xl/ctrlProps/ctrlProp3.xml><?xml version="1.0" encoding="utf-8"?>
<formControlPr xmlns="http://schemas.microsoft.com/office/spreadsheetml/2009/9/main" objectType="Drop" dropStyle="combo" dx="15" fmlaLink="$A$9" fmlaRange="$A$11:$A$13" noThreeD="1" val="0"/>
</file>

<file path=xl/ctrlProps/ctrlProp4.xml><?xml version="1.0" encoding="utf-8"?>
<formControlPr xmlns="http://schemas.microsoft.com/office/spreadsheetml/2009/9/main" objectType="Drop" dropStyle="combo" dx="15" fmlaLink="$A$23" fmlaRange="$A$25:$A$26" noThreeD="1" sel="2" val="0"/>
</file>

<file path=xl/ctrlProps/ctrlProp5.xml><?xml version="1.0" encoding="utf-8"?>
<formControlPr xmlns="http://schemas.microsoft.com/office/spreadsheetml/2009/9/main" objectType="Drop" dropStyle="combo" dx="15" fmlaLink="$A$30" fmlaRange="$A$32:$A$33" noThreeD="1" sel="2" val="0"/>
</file>

<file path=xl/ctrlProps/ctrlProp6.xml><?xml version="1.0" encoding="utf-8"?>
<formControlPr xmlns="http://schemas.microsoft.com/office/spreadsheetml/2009/9/main" objectType="Drop" dropStyle="combo" dx="15" fmlaLink="$A$9" fmlaRange="$A$11:$A$12" noThreeD="1" sel="2" val="0"/>
</file>

<file path=xl/ctrlProps/ctrlProp7.xml><?xml version="1.0" encoding="utf-8"?>
<formControlPr xmlns="http://schemas.microsoft.com/office/spreadsheetml/2009/9/main" objectType="Drop" dropStyle="combo" dx="15" fmlaLink="$A$16" fmlaRange="$A$18:$A$19" noThreeD="1" val="0"/>
</file>

<file path=xl/ctrlProps/ctrlProp8.xml><?xml version="1.0" encoding="utf-8"?>
<formControlPr xmlns="http://schemas.microsoft.com/office/spreadsheetml/2009/9/main" objectType="Drop" dropStyle="combo" dx="15" fmlaLink="$C$36" fmlaRange="$A$38:$A$49" noThreeD="1" sel="2" val="0"/>
</file>

<file path=xl/ctrlProps/ctrlProp9.xml><?xml version="1.0" encoding="utf-8"?>
<formControlPr xmlns="http://schemas.microsoft.com/office/spreadsheetml/2009/9/main" objectType="Drop" dropStyle="combo" dx="15" fmlaLink="$C$55" fmlaRange="$A$57:$A$60" noThreeD="1" val="0"/>
</file>

<file path=xl/ctrlProps/ctrlProp10.xml><?xml version="1.0" encoding="utf-8"?>
<formControlPr xmlns="http://schemas.microsoft.com/office/spreadsheetml/2009/9/main" objectType="Drop" dropStyle="combo" dx="15" fmlaLink="$C$55" fmlaRange="$A$66:$A$69" noThreeD="1" val="0"/>
</file>

<file path=xl/ctrlProps/ctrlProp11.xml><?xml version="1.0" encoding="utf-8"?>
<formControlPr xmlns="http://schemas.microsoft.com/office/spreadsheetml/2009/9/main" objectType="Drop" dropStyle="combo" dx="15" fmlaLink="$A$23" fmlaRange="$A$25:$A$26" noThreeD="1" sel="2" val="0"/>
</file>

<file path=xl/ctrlProps/ctrlProp12.xml><?xml version="1.0" encoding="utf-8"?>
<formControlPr xmlns="http://schemas.microsoft.com/office/spreadsheetml/2009/9/main" objectType="Drop" dropStyle="combo" dx="15" fmlaLink="$A$15" fmlaRange="$A$17:$A$19" noThreeD="1" val="0"/>
</file>

<file path=xl/ctrlProps/ctrlProp13.xml><?xml version="1.0" encoding="utf-8"?>
<formControlPr xmlns="http://schemas.microsoft.com/office/spreadsheetml/2009/9/main" objectType="Drop" dropStyle="combo" dx="15" fmlaLink="$A$7" fmlaRange="$A$9:$A$11" noThreeD="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w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6.wmf"/><Relationship Id="rId4" Type="http://schemas.openxmlformats.org/officeDocument/2006/relationships/image" Target="../media/image9.w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7.wmf"/><Relationship Id="rId3" Type="http://schemas.openxmlformats.org/officeDocument/2006/relationships/image" Target="../media/image12.wmf"/><Relationship Id="rId7" Type="http://schemas.openxmlformats.org/officeDocument/2006/relationships/image" Target="../media/image16.wmf"/><Relationship Id="rId2" Type="http://schemas.openxmlformats.org/officeDocument/2006/relationships/image" Target="../media/image11.wmf"/><Relationship Id="rId1" Type="http://schemas.openxmlformats.org/officeDocument/2006/relationships/image" Target="../media/image10.wmf"/><Relationship Id="rId6" Type="http://schemas.openxmlformats.org/officeDocument/2006/relationships/image" Target="../media/image15.wmf"/><Relationship Id="rId11" Type="http://schemas.openxmlformats.org/officeDocument/2006/relationships/image" Target="../media/image20.wmf"/><Relationship Id="rId5" Type="http://schemas.openxmlformats.org/officeDocument/2006/relationships/image" Target="../media/image14.wmf"/><Relationship Id="rId10" Type="http://schemas.openxmlformats.org/officeDocument/2006/relationships/image" Target="../media/image19.wmf"/><Relationship Id="rId4" Type="http://schemas.openxmlformats.org/officeDocument/2006/relationships/image" Target="../media/image13.wmf"/><Relationship Id="rId9" Type="http://schemas.openxmlformats.org/officeDocument/2006/relationships/image" Target="../media/image18.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14</xdr:row>
          <xdr:rowOff>76200</xdr:rowOff>
        </xdr:from>
        <xdr:to>
          <xdr:col>6</xdr:col>
          <xdr:colOff>1684020</xdr:colOff>
          <xdr:row>14</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60960</xdr:colOff>
          <xdr:row>15</xdr:row>
          <xdr:rowOff>106680</xdr:rowOff>
        </xdr:from>
        <xdr:to>
          <xdr:col>6</xdr:col>
          <xdr:colOff>1684020</xdr:colOff>
          <xdr:row>15</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xdr:colOff>
          <xdr:row>16</xdr:row>
          <xdr:rowOff>83820</xdr:rowOff>
        </xdr:from>
        <xdr:to>
          <xdr:col>6</xdr:col>
          <xdr:colOff>1684020</xdr:colOff>
          <xdr:row>16</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oneCellAnchor>
    <xdr:from>
      <xdr:col>2</xdr:col>
      <xdr:colOff>106468</xdr:colOff>
      <xdr:row>8</xdr:row>
      <xdr:rowOff>21030</xdr:rowOff>
    </xdr:from>
    <xdr:ext cx="3032300" cy="937629"/>
    <xdr:sp macro="" textlink="">
      <xdr:nvSpPr>
        <xdr:cNvPr id="6" name="Rechteck 5"/>
        <xdr:cNvSpPr/>
      </xdr:nvSpPr>
      <xdr:spPr>
        <a:xfrm rot="19993232">
          <a:off x="3954568" y="2131770"/>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24</xdr:row>
          <xdr:rowOff>68580</xdr:rowOff>
        </xdr:from>
        <xdr:to>
          <xdr:col>0</xdr:col>
          <xdr:colOff>2575560</xdr:colOff>
          <xdr:row>24</xdr:row>
          <xdr:rowOff>266700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xdr:oneCellAnchor>
    <xdr:from>
      <xdr:col>2</xdr:col>
      <xdr:colOff>403859</xdr:colOff>
      <xdr:row>13</xdr:row>
      <xdr:rowOff>76200</xdr:rowOff>
    </xdr:from>
    <xdr:ext cx="3032300" cy="937629"/>
    <xdr:sp macro="" textlink="">
      <xdr:nvSpPr>
        <xdr:cNvPr id="5" name="Rechteck 4"/>
        <xdr:cNvSpPr/>
      </xdr:nvSpPr>
      <xdr:spPr>
        <a:xfrm rot="19993232">
          <a:off x="4328159" y="3025140"/>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25</xdr:row>
          <xdr:rowOff>106680</xdr:rowOff>
        </xdr:from>
        <xdr:to>
          <xdr:col>9</xdr:col>
          <xdr:colOff>350520</xdr:colOff>
          <xdr:row>25</xdr:row>
          <xdr:rowOff>617220</xdr:rowOff>
        </xdr:to>
        <xdr:sp macro="" textlink="">
          <xdr:nvSpPr>
            <xdr:cNvPr id="9255" name="Object 39" hidden="1">
              <a:extLst>
                <a:ext uri="{63B3BB69-23CF-44E3-9099-C40C66FF867C}">
                  <a14:compatExt spid="_x0000_s9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21</xdr:row>
          <xdr:rowOff>22860</xdr:rowOff>
        </xdr:from>
        <xdr:to>
          <xdr:col>10</xdr:col>
          <xdr:colOff>640080</xdr:colOff>
          <xdr:row>24</xdr:row>
          <xdr:rowOff>617220</xdr:rowOff>
        </xdr:to>
        <xdr:sp macro="" textlink="">
          <xdr:nvSpPr>
            <xdr:cNvPr id="9256" name="Object 40" hidden="1">
              <a:extLst>
                <a:ext uri="{63B3BB69-23CF-44E3-9099-C40C66FF867C}">
                  <a14:compatExt spid="_x0000_s9256"/>
                </a:ext>
              </a:extLst>
            </xdr:cNvPr>
            <xdr:cNvSpPr/>
          </xdr:nvSpPr>
          <xdr:spPr>
            <a:xfrm>
              <a:off x="0" y="0"/>
              <a:ext cx="0" cy="0"/>
            </a:xfrm>
            <a:prstGeom prst="rect">
              <a:avLst/>
            </a:prstGeom>
          </xdr:spPr>
        </xdr:sp>
        <xdr:clientData/>
      </xdr:twoCellAnchor>
    </mc:Choice>
    <mc:Fallback/>
  </mc:AlternateContent>
  <xdr:oneCellAnchor>
    <xdr:from>
      <xdr:col>0</xdr:col>
      <xdr:colOff>2834640</xdr:colOff>
      <xdr:row>8</xdr:row>
      <xdr:rowOff>76201</xdr:rowOff>
    </xdr:from>
    <xdr:ext cx="3032300" cy="937629"/>
    <xdr:sp macro="" textlink="">
      <xdr:nvSpPr>
        <xdr:cNvPr id="4" name="Rechteck 3"/>
        <xdr:cNvSpPr/>
      </xdr:nvSpPr>
      <xdr:spPr>
        <a:xfrm rot="19993232">
          <a:off x="2834640" y="2415541"/>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22</xdr:row>
          <xdr:rowOff>60960</xdr:rowOff>
        </xdr:from>
        <xdr:to>
          <xdr:col>0</xdr:col>
          <xdr:colOff>2514600</xdr:colOff>
          <xdr:row>22</xdr:row>
          <xdr:rowOff>259080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29</xdr:row>
          <xdr:rowOff>68580</xdr:rowOff>
        </xdr:from>
        <xdr:to>
          <xdr:col>0</xdr:col>
          <xdr:colOff>2575560</xdr:colOff>
          <xdr:row>29</xdr:row>
          <xdr:rowOff>266700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60960</xdr:rowOff>
        </xdr:from>
        <xdr:to>
          <xdr:col>0</xdr:col>
          <xdr:colOff>2514600</xdr:colOff>
          <xdr:row>8</xdr:row>
          <xdr:rowOff>259080</xdr:rowOff>
        </xdr:to>
        <xdr:sp macro="" textlink="">
          <xdr:nvSpPr>
            <xdr:cNvPr id="20489" name="Drop Down 9" hidden="1">
              <a:extLst>
                <a:ext uri="{63B3BB69-23CF-44E3-9099-C40C66FF867C}">
                  <a14:compatExt spid="_x0000_s204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15</xdr:row>
          <xdr:rowOff>68580</xdr:rowOff>
        </xdr:from>
        <xdr:to>
          <xdr:col>0</xdr:col>
          <xdr:colOff>2575560</xdr:colOff>
          <xdr:row>15</xdr:row>
          <xdr:rowOff>266700</xdr:rowOff>
        </xdr:to>
        <xdr:sp macro="" textlink="">
          <xdr:nvSpPr>
            <xdr:cNvPr id="20490" name="Drop Down 10" hidden="1">
              <a:extLst>
                <a:ext uri="{63B3BB69-23CF-44E3-9099-C40C66FF867C}">
                  <a14:compatExt spid="_x0000_s2049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34</xdr:row>
          <xdr:rowOff>121920</xdr:rowOff>
        </xdr:from>
        <xdr:to>
          <xdr:col>0</xdr:col>
          <xdr:colOff>2621280</xdr:colOff>
          <xdr:row>35</xdr:row>
          <xdr:rowOff>182880</xdr:rowOff>
        </xdr:to>
        <xdr:sp macro="" textlink="">
          <xdr:nvSpPr>
            <xdr:cNvPr id="6148" name="Drop Down 4"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54</xdr:row>
          <xdr:rowOff>30480</xdr:rowOff>
        </xdr:from>
        <xdr:to>
          <xdr:col>0</xdr:col>
          <xdr:colOff>2583180</xdr:colOff>
          <xdr:row>54</xdr:row>
          <xdr:rowOff>228600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64</xdr:row>
          <xdr:rowOff>30480</xdr:rowOff>
        </xdr:from>
        <xdr:to>
          <xdr:col>0</xdr:col>
          <xdr:colOff>2583180</xdr:colOff>
          <xdr:row>64</xdr:row>
          <xdr:rowOff>228600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60960</xdr:rowOff>
        </xdr:from>
        <xdr:to>
          <xdr:col>0</xdr:col>
          <xdr:colOff>2514600</xdr:colOff>
          <xdr:row>22</xdr:row>
          <xdr:rowOff>259080</xdr:rowOff>
        </xdr:to>
        <xdr:sp macro="" textlink="">
          <xdr:nvSpPr>
            <xdr:cNvPr id="6154" name="Drop Down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60960</xdr:rowOff>
        </xdr:from>
        <xdr:to>
          <xdr:col>0</xdr:col>
          <xdr:colOff>2514600</xdr:colOff>
          <xdr:row>14</xdr:row>
          <xdr:rowOff>259080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79</xdr:row>
          <xdr:rowOff>99060</xdr:rowOff>
        </xdr:from>
        <xdr:to>
          <xdr:col>3</xdr:col>
          <xdr:colOff>1569720</xdr:colOff>
          <xdr:row>79</xdr:row>
          <xdr:rowOff>495300</xdr:rowOff>
        </xdr:to>
        <xdr:sp macro="" textlink="">
          <xdr:nvSpPr>
            <xdr:cNvPr id="6157" name="Object 13" hidden="1">
              <a:extLst>
                <a:ext uri="{63B3BB69-23CF-44E3-9099-C40C66FF867C}">
                  <a14:compatExt spid="_x0000_s6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83</xdr:row>
          <xdr:rowOff>60960</xdr:rowOff>
        </xdr:from>
        <xdr:to>
          <xdr:col>3</xdr:col>
          <xdr:colOff>1554480</xdr:colOff>
          <xdr:row>83</xdr:row>
          <xdr:rowOff>411480</xdr:rowOff>
        </xdr:to>
        <xdr:sp macro="" textlink="">
          <xdr:nvSpPr>
            <xdr:cNvPr id="6158" name="Object 14" hidden="1">
              <a:extLst>
                <a:ext uri="{63B3BB69-23CF-44E3-9099-C40C66FF867C}">
                  <a14:compatExt spid="_x0000_s6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86</xdr:row>
          <xdr:rowOff>60960</xdr:rowOff>
        </xdr:from>
        <xdr:to>
          <xdr:col>3</xdr:col>
          <xdr:colOff>1516380</xdr:colOff>
          <xdr:row>86</xdr:row>
          <xdr:rowOff>441960</xdr:rowOff>
        </xdr:to>
        <xdr:sp macro="" textlink="">
          <xdr:nvSpPr>
            <xdr:cNvPr id="6160" name="Object 16" hidden="1">
              <a:extLst>
                <a:ext uri="{63B3BB69-23CF-44E3-9099-C40C66FF867C}">
                  <a14:compatExt spid="_x0000_s6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90</xdr:row>
          <xdr:rowOff>38100</xdr:rowOff>
        </xdr:from>
        <xdr:to>
          <xdr:col>3</xdr:col>
          <xdr:colOff>1531620</xdr:colOff>
          <xdr:row>90</xdr:row>
          <xdr:rowOff>480060</xdr:rowOff>
        </xdr:to>
        <xdr:sp macro="" textlink="">
          <xdr:nvSpPr>
            <xdr:cNvPr id="6161" name="Object 17" hidden="1">
              <a:extLst>
                <a:ext uri="{63B3BB69-23CF-44E3-9099-C40C66FF867C}">
                  <a14:compatExt spid="_x0000_s6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94</xdr:row>
          <xdr:rowOff>38100</xdr:rowOff>
        </xdr:from>
        <xdr:to>
          <xdr:col>3</xdr:col>
          <xdr:colOff>1531620</xdr:colOff>
          <xdr:row>94</xdr:row>
          <xdr:rowOff>480060</xdr:rowOff>
        </xdr:to>
        <xdr:sp macro="" textlink="">
          <xdr:nvSpPr>
            <xdr:cNvPr id="6162" name="Object 18" hidden="1">
              <a:extLst>
                <a:ext uri="{63B3BB69-23CF-44E3-9099-C40C66FF867C}">
                  <a14:compatExt spid="_x0000_s6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98</xdr:row>
          <xdr:rowOff>38100</xdr:rowOff>
        </xdr:from>
        <xdr:to>
          <xdr:col>3</xdr:col>
          <xdr:colOff>1531620</xdr:colOff>
          <xdr:row>98</xdr:row>
          <xdr:rowOff>480060</xdr:rowOff>
        </xdr:to>
        <xdr:sp macro="" textlink="">
          <xdr:nvSpPr>
            <xdr:cNvPr id="6163" name="Object 19" hidden="1">
              <a:extLst>
                <a:ext uri="{63B3BB69-23CF-44E3-9099-C40C66FF867C}">
                  <a14:compatExt spid="_x0000_s6163"/>
                </a:ext>
              </a:extLst>
            </xdr:cNvPr>
            <xdr:cNvSpPr/>
          </xdr:nvSpPr>
          <xdr:spPr>
            <a:xfrm>
              <a:off x="0" y="0"/>
              <a:ext cx="0" cy="0"/>
            </a:xfrm>
            <a:prstGeom prst="rect">
              <a:avLst/>
            </a:prstGeom>
          </xdr:spPr>
        </xdr:sp>
        <xdr:clientData/>
      </xdr:twoCellAnchor>
    </mc:Choice>
    <mc:Fallback/>
  </mc:AlternateContent>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xdr:oneCellAnchor>
    <xdr:from>
      <xdr:col>4</xdr:col>
      <xdr:colOff>0</xdr:colOff>
      <xdr:row>41</xdr:row>
      <xdr:rowOff>0</xdr:rowOff>
    </xdr:from>
    <xdr:ext cx="2296078" cy="937629"/>
    <xdr:sp macro="" textlink="">
      <xdr:nvSpPr>
        <xdr:cNvPr id="17" name="Rechteck 16"/>
        <xdr:cNvSpPr/>
      </xdr:nvSpPr>
      <xdr:spPr>
        <a:xfrm>
          <a:off x="5334000" y="9136380"/>
          <a:ext cx="2296078" cy="937629"/>
        </a:xfrm>
        <a:prstGeom prst="rect">
          <a:avLst/>
        </a:prstGeom>
        <a:noFill/>
      </xdr:spPr>
      <xdr:txBody>
        <a:bodyPr wrap="non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oneCellAnchor>
    <xdr:from>
      <xdr:col>3</xdr:col>
      <xdr:colOff>500111</xdr:colOff>
      <xdr:row>3</xdr:row>
      <xdr:rowOff>167457</xdr:rowOff>
    </xdr:from>
    <xdr:ext cx="3444850" cy="937629"/>
    <xdr:sp macro="" textlink="">
      <xdr:nvSpPr>
        <xdr:cNvPr id="18" name="Rechteck 17"/>
        <xdr:cNvSpPr/>
      </xdr:nvSpPr>
      <xdr:spPr>
        <a:xfrm rot="19875056">
          <a:off x="4150091" y="1775277"/>
          <a:ext cx="344485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13</xdr:row>
          <xdr:rowOff>0</xdr:rowOff>
        </xdr:from>
        <xdr:to>
          <xdr:col>5</xdr:col>
          <xdr:colOff>2651760</xdr:colOff>
          <xdr:row>14</xdr:row>
          <xdr:rowOff>7620</xdr:rowOff>
        </xdr:to>
        <xdr:sp macro="" textlink="">
          <xdr:nvSpPr>
            <xdr:cNvPr id="5310" name="Object 190" hidden="1">
              <a:extLst>
                <a:ext uri="{63B3BB69-23CF-44E3-9099-C40C66FF867C}">
                  <a14:compatExt spid="_x0000_s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5</xdr:col>
          <xdr:colOff>2651760</xdr:colOff>
          <xdr:row>14</xdr:row>
          <xdr:rowOff>7620</xdr:rowOff>
        </xdr:to>
        <xdr:sp macro="" textlink="">
          <xdr:nvSpPr>
            <xdr:cNvPr id="5311" name="Object 191" hidden="1">
              <a:extLst>
                <a:ext uri="{63B3BB69-23CF-44E3-9099-C40C66FF867C}">
                  <a14:compatExt spid="_x0000_s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5</xdr:col>
          <xdr:colOff>2651760</xdr:colOff>
          <xdr:row>15</xdr:row>
          <xdr:rowOff>7620</xdr:rowOff>
        </xdr:to>
        <xdr:sp macro="" textlink="">
          <xdr:nvSpPr>
            <xdr:cNvPr id="5312" name="Object 192" hidden="1">
              <a:extLst>
                <a:ext uri="{63B3BB69-23CF-44E3-9099-C40C66FF867C}">
                  <a14:compatExt spid="_x0000_s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2651760</xdr:colOff>
          <xdr:row>16</xdr:row>
          <xdr:rowOff>7620</xdr:rowOff>
        </xdr:to>
        <xdr:sp macro="" textlink="">
          <xdr:nvSpPr>
            <xdr:cNvPr id="5313" name="Object 193" hidden="1">
              <a:extLst>
                <a:ext uri="{63B3BB69-23CF-44E3-9099-C40C66FF867C}">
                  <a14:compatExt spid="_x0000_s5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2651760</xdr:colOff>
          <xdr:row>17</xdr:row>
          <xdr:rowOff>7620</xdr:rowOff>
        </xdr:to>
        <xdr:sp macro="" textlink="">
          <xdr:nvSpPr>
            <xdr:cNvPr id="5314" name="Object 194" hidden="1">
              <a:extLst>
                <a:ext uri="{63B3BB69-23CF-44E3-9099-C40C66FF867C}">
                  <a14:compatExt spid="_x0000_s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5</xdr:col>
          <xdr:colOff>3238500</xdr:colOff>
          <xdr:row>18</xdr:row>
          <xdr:rowOff>0</xdr:rowOff>
        </xdr:to>
        <xdr:sp macro="" textlink="">
          <xdr:nvSpPr>
            <xdr:cNvPr id="5315" name="Object 195" hidden="1">
              <a:extLst>
                <a:ext uri="{63B3BB69-23CF-44E3-9099-C40C66FF867C}">
                  <a14:compatExt spid="_x0000_s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5</xdr:col>
          <xdr:colOff>3238500</xdr:colOff>
          <xdr:row>19</xdr:row>
          <xdr:rowOff>0</xdr:rowOff>
        </xdr:to>
        <xdr:sp macro="" textlink="">
          <xdr:nvSpPr>
            <xdr:cNvPr id="5317" name="Object 197" hidden="1">
              <a:extLst>
                <a:ext uri="{63B3BB69-23CF-44E3-9099-C40C66FF867C}">
                  <a14:compatExt spid="_x0000_s5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30480</xdr:rowOff>
        </xdr:from>
        <xdr:to>
          <xdr:col>6</xdr:col>
          <xdr:colOff>426720</xdr:colOff>
          <xdr:row>24</xdr:row>
          <xdr:rowOff>518160</xdr:rowOff>
        </xdr:to>
        <xdr:sp macro="" textlink="">
          <xdr:nvSpPr>
            <xdr:cNvPr id="5343" name="Object 223" hidden="1">
              <a:extLst>
                <a:ext uri="{63B3BB69-23CF-44E3-9099-C40C66FF867C}">
                  <a14:compatExt spid="_x0000_s5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1836420</xdr:colOff>
          <xdr:row>23</xdr:row>
          <xdr:rowOff>365760</xdr:rowOff>
        </xdr:to>
        <xdr:sp macro="" textlink="">
          <xdr:nvSpPr>
            <xdr:cNvPr id="5345" name="Object 225" hidden="1">
              <a:extLst>
                <a:ext uri="{63B3BB69-23CF-44E3-9099-C40C66FF867C}">
                  <a14:compatExt spid="_x0000_s5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6</xdr:col>
          <xdr:colOff>624840</xdr:colOff>
          <xdr:row>25</xdr:row>
          <xdr:rowOff>487680</xdr:rowOff>
        </xdr:to>
        <xdr:sp macro="" textlink="">
          <xdr:nvSpPr>
            <xdr:cNvPr id="5347" name="Object 227" hidden="1">
              <a:extLst>
                <a:ext uri="{63B3BB69-23CF-44E3-9099-C40C66FF867C}">
                  <a14:compatExt spid="_x0000_s5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28</xdr:row>
          <xdr:rowOff>0</xdr:rowOff>
        </xdr:from>
        <xdr:to>
          <xdr:col>5</xdr:col>
          <xdr:colOff>1661160</xdr:colOff>
          <xdr:row>29</xdr:row>
          <xdr:rowOff>0</xdr:rowOff>
        </xdr:to>
        <xdr:sp macro="" textlink="">
          <xdr:nvSpPr>
            <xdr:cNvPr id="5352" name="Object 232" hidden="1">
              <a:extLst>
                <a:ext uri="{63B3BB69-23CF-44E3-9099-C40C66FF867C}">
                  <a14:compatExt spid="_x0000_s5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5</xdr:col>
          <xdr:colOff>1386840</xdr:colOff>
          <xdr:row>29</xdr:row>
          <xdr:rowOff>15240</xdr:rowOff>
        </xdr:to>
        <xdr:sp macro="" textlink="">
          <xdr:nvSpPr>
            <xdr:cNvPr id="5354" name="Object 234" hidden="1">
              <a:extLst>
                <a:ext uri="{63B3BB69-23CF-44E3-9099-C40C66FF867C}">
                  <a14:compatExt spid="_x0000_s5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6</xdr:col>
          <xdr:colOff>678180</xdr:colOff>
          <xdr:row>29</xdr:row>
          <xdr:rowOff>716280</xdr:rowOff>
        </xdr:to>
        <xdr:sp macro="" textlink="">
          <xdr:nvSpPr>
            <xdr:cNvPr id="5360" name="Object 240" hidden="1">
              <a:extLst>
                <a:ext uri="{63B3BB69-23CF-44E3-9099-C40C66FF867C}">
                  <a14:compatExt spid="_x0000_s5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27</xdr:row>
          <xdr:rowOff>45720</xdr:rowOff>
        </xdr:from>
        <xdr:to>
          <xdr:col>7</xdr:col>
          <xdr:colOff>152400</xdr:colOff>
          <xdr:row>27</xdr:row>
          <xdr:rowOff>701040</xdr:rowOff>
        </xdr:to>
        <xdr:sp macro="" textlink="">
          <xdr:nvSpPr>
            <xdr:cNvPr id="5363" name="Object 243" hidden="1">
              <a:extLst>
                <a:ext uri="{63B3BB69-23CF-44E3-9099-C40C66FF867C}">
                  <a14:compatExt spid="_x0000_s5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20</xdr:row>
          <xdr:rowOff>76200</xdr:rowOff>
        </xdr:from>
        <xdr:to>
          <xdr:col>5</xdr:col>
          <xdr:colOff>2278380</xdr:colOff>
          <xdr:row>20</xdr:row>
          <xdr:rowOff>434340</xdr:rowOff>
        </xdr:to>
        <xdr:sp macro="" textlink="">
          <xdr:nvSpPr>
            <xdr:cNvPr id="5365" name="Object 245" hidden="1">
              <a:extLst>
                <a:ext uri="{63B3BB69-23CF-44E3-9099-C40C66FF867C}">
                  <a14:compatExt spid="_x0000_s5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21</xdr:row>
          <xdr:rowOff>68580</xdr:rowOff>
        </xdr:from>
        <xdr:to>
          <xdr:col>5</xdr:col>
          <xdr:colOff>1722120</xdr:colOff>
          <xdr:row>21</xdr:row>
          <xdr:rowOff>419100</xdr:rowOff>
        </xdr:to>
        <xdr:sp macro="" textlink="">
          <xdr:nvSpPr>
            <xdr:cNvPr id="5366" name="Object 246" hidden="1">
              <a:extLst>
                <a:ext uri="{63B3BB69-23CF-44E3-9099-C40C66FF867C}">
                  <a14:compatExt spid="_x0000_s5366"/>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3</xdr:col>
          <xdr:colOff>518160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10</xdr:row>
          <xdr:rowOff>45720</xdr:rowOff>
        </xdr:from>
        <xdr:to>
          <xdr:col>7</xdr:col>
          <xdr:colOff>502920</xdr:colOff>
          <xdr:row>10</xdr:row>
          <xdr:rowOff>297180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449580</xdr:colOff>
          <xdr:row>10</xdr:row>
          <xdr:rowOff>45720</xdr:rowOff>
        </xdr:from>
        <xdr:to>
          <xdr:col>11</xdr:col>
          <xdr:colOff>304800</xdr:colOff>
          <xdr:row>10</xdr:row>
          <xdr:rowOff>297180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302895</xdr:colOff>
      <xdr:row>2</xdr:row>
      <xdr:rowOff>59055</xdr:rowOff>
    </xdr:from>
    <xdr:to>
      <xdr:col>12</xdr:col>
      <xdr:colOff>302895</xdr:colOff>
      <xdr:row>19</xdr:row>
      <xdr:rowOff>49530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2</xdr:row>
      <xdr:rowOff>50800</xdr:rowOff>
    </xdr:from>
    <xdr:to>
      <xdr:col>18</xdr:col>
      <xdr:colOff>495300</xdr:colOff>
      <xdr:row>19</xdr:row>
      <xdr:rowOff>41275</xdr:rowOff>
    </xdr:to>
    <xdr:graphicFrame macro="">
      <xdr:nvGraphicFramePr>
        <xdr:cNvPr id="20" name="Diagramm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622300</xdr:colOff>
      <xdr:row>2</xdr:row>
      <xdr:rowOff>50800</xdr:rowOff>
    </xdr:from>
    <xdr:to>
      <xdr:col>24</xdr:col>
      <xdr:colOff>622300</xdr:colOff>
      <xdr:row>19</xdr:row>
      <xdr:rowOff>41275</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127000</xdr:colOff>
      <xdr:row>20</xdr:row>
      <xdr:rowOff>114300</xdr:rowOff>
    </xdr:from>
    <xdr:to>
      <xdr:col>6</xdr:col>
      <xdr:colOff>127000</xdr:colOff>
      <xdr:row>37</xdr:row>
      <xdr:rowOff>104775</xdr:rowOff>
    </xdr:to>
    <xdr:graphicFrame macro="">
      <xdr:nvGraphicFramePr>
        <xdr:cNvPr id="26" name="Diagramm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254000</xdr:colOff>
      <xdr:row>20</xdr:row>
      <xdr:rowOff>114300</xdr:rowOff>
    </xdr:from>
    <xdr:to>
      <xdr:col>12</xdr:col>
      <xdr:colOff>254000</xdr:colOff>
      <xdr:row>37</xdr:row>
      <xdr:rowOff>104775</xdr:rowOff>
    </xdr:to>
    <xdr:graphicFrame macro="">
      <xdr:nvGraphicFramePr>
        <xdr:cNvPr id="27" name="Diagramm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381000</xdr:colOff>
      <xdr:row>20</xdr:row>
      <xdr:rowOff>114300</xdr:rowOff>
    </xdr:from>
    <xdr:to>
      <xdr:col>18</xdr:col>
      <xdr:colOff>381000</xdr:colOff>
      <xdr:row>37</xdr:row>
      <xdr:rowOff>104775</xdr:rowOff>
    </xdr:to>
    <xdr:graphicFrame macro="">
      <xdr:nvGraphicFramePr>
        <xdr:cNvPr id="28" name="Diagramm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584200</xdr:colOff>
      <xdr:row>20</xdr:row>
      <xdr:rowOff>152400</xdr:rowOff>
    </xdr:from>
    <xdr:to>
      <xdr:col>24</xdr:col>
      <xdr:colOff>584200</xdr:colOff>
      <xdr:row>37</xdr:row>
      <xdr:rowOff>142875</xdr:rowOff>
    </xdr:to>
    <xdr:graphicFrame macro="">
      <xdr:nvGraphicFramePr>
        <xdr:cNvPr id="29" name="Diagramm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101600</xdr:colOff>
      <xdr:row>40</xdr:row>
      <xdr:rowOff>88900</xdr:rowOff>
    </xdr:from>
    <xdr:to>
      <xdr:col>6</xdr:col>
      <xdr:colOff>101600</xdr:colOff>
      <xdr:row>57</xdr:row>
      <xdr:rowOff>79375</xdr:rowOff>
    </xdr:to>
    <xdr:graphicFrame macro="">
      <xdr:nvGraphicFramePr>
        <xdr:cNvPr id="30" name="Diagramm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215900</xdr:colOff>
      <xdr:row>40</xdr:row>
      <xdr:rowOff>101600</xdr:rowOff>
    </xdr:from>
    <xdr:to>
      <xdr:col>12</xdr:col>
      <xdr:colOff>215900</xdr:colOff>
      <xdr:row>57</xdr:row>
      <xdr:rowOff>92075</xdr:rowOff>
    </xdr:to>
    <xdr:graphicFrame macro="">
      <xdr:nvGraphicFramePr>
        <xdr:cNvPr id="31" name="Diagramm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381000</xdr:colOff>
      <xdr:row>40</xdr:row>
      <xdr:rowOff>88900</xdr:rowOff>
    </xdr:from>
    <xdr:to>
      <xdr:col>18</xdr:col>
      <xdr:colOff>381000</xdr:colOff>
      <xdr:row>57</xdr:row>
      <xdr:rowOff>79375</xdr:rowOff>
    </xdr:to>
    <xdr:graphicFrame macro="">
      <xdr:nvGraphicFramePr>
        <xdr:cNvPr id="32" name="Diagramm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584200</xdr:colOff>
      <xdr:row>40</xdr:row>
      <xdr:rowOff>101600</xdr:rowOff>
    </xdr:from>
    <xdr:to>
      <xdr:col>24</xdr:col>
      <xdr:colOff>584200</xdr:colOff>
      <xdr:row>57</xdr:row>
      <xdr:rowOff>92075</xdr:rowOff>
    </xdr:to>
    <xdr:graphicFrame macro="">
      <xdr:nvGraphicFramePr>
        <xdr:cNvPr id="37" name="Diagramm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152400</xdr:colOff>
      <xdr:row>2</xdr:row>
      <xdr:rowOff>114300</xdr:rowOff>
    </xdr:from>
    <xdr:to>
      <xdr:col>6</xdr:col>
      <xdr:colOff>152400</xdr:colOff>
      <xdr:row>19</xdr:row>
      <xdr:rowOff>104775</xdr:rowOff>
    </xdr:to>
    <xdr:graphicFrame macro="">
      <xdr:nvGraphicFramePr>
        <xdr:cNvPr id="25" name="Diagramm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en/Kommissionen/CEN_TC_156/WG_21/140815/prEN_16798-5-1/SPREADSHEET_M5-6_8_prEN_16798-5-1_2014-1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PS_FprEN16798-9_160131_det_ser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System_configuration"/>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6">
          <cell r="E6">
            <v>1</v>
          </cell>
        </row>
        <row r="7">
          <cell r="E7">
            <v>21.8</v>
          </cell>
        </row>
        <row r="8">
          <cell r="E8">
            <v>1.15E-2</v>
          </cell>
        </row>
        <row r="9">
          <cell r="E9">
            <v>26</v>
          </cell>
        </row>
        <row r="10">
          <cell r="E10">
            <v>28</v>
          </cell>
        </row>
        <row r="11">
          <cell r="E11">
            <v>1.15E-2</v>
          </cell>
        </row>
        <row r="12">
          <cell r="E12">
            <v>0.79846847027928836</v>
          </cell>
        </row>
        <row r="13">
          <cell r="E13">
            <v>1.3743489064884051</v>
          </cell>
        </row>
        <row r="14">
          <cell r="E14">
            <v>14.433173244798617</v>
          </cell>
        </row>
        <row r="15">
          <cell r="E15">
            <v>1</v>
          </cell>
        </row>
        <row r="16">
          <cell r="E16">
            <v>500</v>
          </cell>
        </row>
        <row r="17">
          <cell r="E17">
            <v>500</v>
          </cell>
        </row>
        <row r="18">
          <cell r="E18">
            <v>250</v>
          </cell>
        </row>
        <row r="19">
          <cell r="E19">
            <v>25</v>
          </cell>
        </row>
        <row r="20">
          <cell r="E20">
            <v>7.0000000000000001E-3</v>
          </cell>
        </row>
        <row r="21">
          <cell r="E21">
            <v>1.0999999999999999E-2</v>
          </cell>
        </row>
        <row r="22">
          <cell r="E22">
            <v>26</v>
          </cell>
        </row>
        <row r="23">
          <cell r="E23">
            <v>1.3000000000098273E-2</v>
          </cell>
        </row>
        <row r="24">
          <cell r="E24">
            <v>0.9</v>
          </cell>
        </row>
        <row r="25">
          <cell r="E25">
            <v>0.9</v>
          </cell>
        </row>
        <row r="26">
          <cell r="E26">
            <v>1</v>
          </cell>
        </row>
      </sheetData>
      <sheetData sheetId="8" refreshError="1"/>
      <sheetData sheetId="9">
        <row r="6">
          <cell r="E6">
            <v>1.0093970763060194E-2</v>
          </cell>
        </row>
        <row r="7">
          <cell r="E7">
            <v>0</v>
          </cell>
        </row>
        <row r="8">
          <cell r="E8">
            <v>0.10043597910942585</v>
          </cell>
        </row>
        <row r="9">
          <cell r="E9">
            <v>0</v>
          </cell>
        </row>
        <row r="10">
          <cell r="E10">
            <v>-1.8841383106322239E-2</v>
          </cell>
        </row>
        <row r="11">
          <cell r="E11">
            <v>0</v>
          </cell>
        </row>
        <row r="12">
          <cell r="E12">
            <v>0.79846847028049339</v>
          </cell>
        </row>
        <row r="13">
          <cell r="E13">
            <v>1.3743489065107652</v>
          </cell>
        </row>
        <row r="14">
          <cell r="E14">
            <v>0</v>
          </cell>
        </row>
        <row r="15">
          <cell r="E15">
            <v>0</v>
          </cell>
        </row>
        <row r="16">
          <cell r="E16">
            <v>4.2058211512750803E-3</v>
          </cell>
        </row>
        <row r="17">
          <cell r="E17">
            <v>0</v>
          </cell>
        </row>
        <row r="19">
          <cell r="E19">
            <v>21.350170609421149</v>
          </cell>
        </row>
        <row r="20">
          <cell r="E20">
            <v>14.433173244790401</v>
          </cell>
        </row>
        <row r="21">
          <cell r="E21">
            <v>500</v>
          </cell>
        </row>
        <row r="22">
          <cell r="E22">
            <v>500</v>
          </cell>
        </row>
        <row r="23">
          <cell r="E23">
            <v>10.000000000000009</v>
          </cell>
        </row>
        <row r="24">
          <cell r="E24">
            <v>10.000000000000009</v>
          </cell>
        </row>
        <row r="25">
          <cell r="E25">
            <v>0.90900000000000003</v>
          </cell>
        </row>
        <row r="26">
          <cell r="E26">
            <v>20.28011910997186</v>
          </cell>
        </row>
        <row r="27">
          <cell r="E27">
            <v>1.1000000000004725E-2</v>
          </cell>
        </row>
      </sheetData>
      <sheetData sheetId="10">
        <row r="13">
          <cell r="B13" t="str">
            <v>Ventilation generation input</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 val="SPS_FprEN16798-9_160131_det_ser"/>
    </sheetNames>
    <definedNames>
      <definedName name="Clear_results"/>
      <definedName name="Run_the_method"/>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w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5" Type="http://schemas.openxmlformats.org/officeDocument/2006/relationships/image" Target="../media/image4.wmf"/><Relationship Id="rId4" Type="http://schemas.openxmlformats.org/officeDocument/2006/relationships/oleObject" Target="../embeddings/oleObject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8.bin"/><Relationship Id="rId13" Type="http://schemas.openxmlformats.org/officeDocument/2006/relationships/oleObject" Target="../embeddings/oleObject11.bin"/><Relationship Id="rId18" Type="http://schemas.openxmlformats.org/officeDocument/2006/relationships/ctrlProp" Target="../ctrlProps/ctrlProp12.xml"/><Relationship Id="rId3" Type="http://schemas.openxmlformats.org/officeDocument/2006/relationships/vmlDrawing" Target="../drawings/vmlDrawing5.vml"/><Relationship Id="rId7" Type="http://schemas.openxmlformats.org/officeDocument/2006/relationships/image" Target="../media/image7.wmf"/><Relationship Id="rId12" Type="http://schemas.openxmlformats.org/officeDocument/2006/relationships/oleObject" Target="../embeddings/oleObject10.bin"/><Relationship Id="rId17" Type="http://schemas.openxmlformats.org/officeDocument/2006/relationships/ctrlProp" Target="../ctrlProps/ctrlProp11.xml"/><Relationship Id="rId2" Type="http://schemas.openxmlformats.org/officeDocument/2006/relationships/drawing" Target="../drawings/drawing5.xml"/><Relationship Id="rId16" Type="http://schemas.openxmlformats.org/officeDocument/2006/relationships/ctrlProp" Target="../ctrlProps/ctrlProp10.xml"/><Relationship Id="rId20" Type="http://schemas.openxmlformats.org/officeDocument/2006/relationships/comments" Target="../comments3.xml"/><Relationship Id="rId1" Type="http://schemas.openxmlformats.org/officeDocument/2006/relationships/printerSettings" Target="../printerSettings/printerSettings5.bin"/><Relationship Id="rId6" Type="http://schemas.openxmlformats.org/officeDocument/2006/relationships/oleObject" Target="../embeddings/oleObject7.bin"/><Relationship Id="rId11" Type="http://schemas.openxmlformats.org/officeDocument/2006/relationships/image" Target="../media/image9.wmf"/><Relationship Id="rId5" Type="http://schemas.openxmlformats.org/officeDocument/2006/relationships/image" Target="../media/image6.wmf"/><Relationship Id="rId15" Type="http://schemas.openxmlformats.org/officeDocument/2006/relationships/ctrlProp" Target="../ctrlProps/ctrlProp9.xml"/><Relationship Id="rId10" Type="http://schemas.openxmlformats.org/officeDocument/2006/relationships/oleObject" Target="../embeddings/oleObject9.bin"/><Relationship Id="rId19" Type="http://schemas.openxmlformats.org/officeDocument/2006/relationships/ctrlProp" Target="../ctrlProps/ctrlProp13.xml"/><Relationship Id="rId4" Type="http://schemas.openxmlformats.org/officeDocument/2006/relationships/oleObject" Target="../embeddings/oleObject6.bin"/><Relationship Id="rId9" Type="http://schemas.openxmlformats.org/officeDocument/2006/relationships/image" Target="../media/image8.wmf"/><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15.bin"/><Relationship Id="rId13" Type="http://schemas.openxmlformats.org/officeDocument/2006/relationships/oleObject" Target="../embeddings/oleObject19.bin"/><Relationship Id="rId18" Type="http://schemas.openxmlformats.org/officeDocument/2006/relationships/image" Target="../media/image14.wmf"/><Relationship Id="rId26" Type="http://schemas.openxmlformats.org/officeDocument/2006/relationships/image" Target="../media/image18.wmf"/><Relationship Id="rId3" Type="http://schemas.openxmlformats.org/officeDocument/2006/relationships/vmlDrawing" Target="../drawings/vmlDrawing8.vml"/><Relationship Id="rId21" Type="http://schemas.openxmlformats.org/officeDocument/2006/relationships/oleObject" Target="../embeddings/oleObject23.bin"/><Relationship Id="rId7" Type="http://schemas.openxmlformats.org/officeDocument/2006/relationships/oleObject" Target="../embeddings/oleObject14.bin"/><Relationship Id="rId12" Type="http://schemas.openxmlformats.org/officeDocument/2006/relationships/oleObject" Target="../embeddings/oleObject18.bin"/><Relationship Id="rId17" Type="http://schemas.openxmlformats.org/officeDocument/2006/relationships/oleObject" Target="../embeddings/oleObject21.bin"/><Relationship Id="rId25" Type="http://schemas.openxmlformats.org/officeDocument/2006/relationships/oleObject" Target="../embeddings/oleObject25.bin"/><Relationship Id="rId2" Type="http://schemas.openxmlformats.org/officeDocument/2006/relationships/drawing" Target="../drawings/drawing6.xml"/><Relationship Id="rId16" Type="http://schemas.openxmlformats.org/officeDocument/2006/relationships/image" Target="../media/image13.wmf"/><Relationship Id="rId20" Type="http://schemas.openxmlformats.org/officeDocument/2006/relationships/image" Target="../media/image15.wmf"/><Relationship Id="rId29" Type="http://schemas.openxmlformats.org/officeDocument/2006/relationships/oleObject" Target="../embeddings/oleObject27.bin"/><Relationship Id="rId1" Type="http://schemas.openxmlformats.org/officeDocument/2006/relationships/printerSettings" Target="../printerSettings/printerSettings8.bin"/><Relationship Id="rId6" Type="http://schemas.openxmlformats.org/officeDocument/2006/relationships/oleObject" Target="../embeddings/oleObject13.bin"/><Relationship Id="rId11" Type="http://schemas.openxmlformats.org/officeDocument/2006/relationships/image" Target="../media/image11.wmf"/><Relationship Id="rId24" Type="http://schemas.openxmlformats.org/officeDocument/2006/relationships/image" Target="../media/image17.wmf"/><Relationship Id="rId5" Type="http://schemas.openxmlformats.org/officeDocument/2006/relationships/image" Target="../media/image10.wmf"/><Relationship Id="rId15" Type="http://schemas.openxmlformats.org/officeDocument/2006/relationships/oleObject" Target="../embeddings/oleObject20.bin"/><Relationship Id="rId23" Type="http://schemas.openxmlformats.org/officeDocument/2006/relationships/oleObject" Target="../embeddings/oleObject24.bin"/><Relationship Id="rId28" Type="http://schemas.openxmlformats.org/officeDocument/2006/relationships/image" Target="../media/image19.wmf"/><Relationship Id="rId10" Type="http://schemas.openxmlformats.org/officeDocument/2006/relationships/oleObject" Target="../embeddings/oleObject17.bin"/><Relationship Id="rId19" Type="http://schemas.openxmlformats.org/officeDocument/2006/relationships/oleObject" Target="../embeddings/oleObject22.bin"/><Relationship Id="rId4" Type="http://schemas.openxmlformats.org/officeDocument/2006/relationships/oleObject" Target="../embeddings/oleObject12.bin"/><Relationship Id="rId9" Type="http://schemas.openxmlformats.org/officeDocument/2006/relationships/oleObject" Target="../embeddings/oleObject16.bin"/><Relationship Id="rId14" Type="http://schemas.openxmlformats.org/officeDocument/2006/relationships/image" Target="../media/image12.wmf"/><Relationship Id="rId22" Type="http://schemas.openxmlformats.org/officeDocument/2006/relationships/image" Target="../media/image16.wmf"/><Relationship Id="rId27" Type="http://schemas.openxmlformats.org/officeDocument/2006/relationships/oleObject" Target="../embeddings/oleObject26.bin"/><Relationship Id="rId30" Type="http://schemas.openxmlformats.org/officeDocument/2006/relationships/image" Target="../media/image20.w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6.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18"/>
  <sheetViews>
    <sheetView workbookViewId="0">
      <selection activeCell="B3" sqref="B3"/>
    </sheetView>
  </sheetViews>
  <sheetFormatPr baseColWidth="10" defaultColWidth="8.88671875" defaultRowHeight="13.2" x14ac:dyDescent="0.25"/>
  <cols>
    <col min="1" max="1" width="92.5546875" style="219" customWidth="1"/>
  </cols>
  <sheetData>
    <row r="1" spans="1:1" ht="224.4" x14ac:dyDescent="0.25">
      <c r="A1" s="218" t="s">
        <v>392</v>
      </c>
    </row>
    <row r="2" spans="1:1" ht="39.6" x14ac:dyDescent="0.25">
      <c r="A2" s="218" t="s">
        <v>393</v>
      </c>
    </row>
    <row r="3" spans="1:1" ht="132" x14ac:dyDescent="0.25">
      <c r="A3" s="218" t="s">
        <v>391</v>
      </c>
    </row>
    <row r="4" spans="1:1" ht="66" x14ac:dyDescent="0.25">
      <c r="A4" s="218" t="s">
        <v>390</v>
      </c>
    </row>
    <row r="5" spans="1:1" ht="159" x14ac:dyDescent="0.25">
      <c r="A5" s="218" t="s">
        <v>197</v>
      </c>
    </row>
    <row r="6" spans="1:1" ht="79.2" x14ac:dyDescent="0.25">
      <c r="A6" s="218" t="s">
        <v>198</v>
      </c>
    </row>
    <row r="7" spans="1:1" ht="105.6" x14ac:dyDescent="0.25">
      <c r="A7" s="218" t="s">
        <v>224</v>
      </c>
    </row>
    <row r="8" spans="1:1" x14ac:dyDescent="0.25">
      <c r="A8" s="220" t="s">
        <v>225</v>
      </c>
    </row>
    <row r="9" spans="1:1" ht="52.8" x14ac:dyDescent="0.25">
      <c r="A9" s="218" t="s">
        <v>206</v>
      </c>
    </row>
    <row r="10" spans="1:1" ht="66" x14ac:dyDescent="0.25">
      <c r="A10" s="218" t="s">
        <v>205</v>
      </c>
    </row>
    <row r="11" spans="1:1" ht="66" x14ac:dyDescent="0.25">
      <c r="A11" s="218" t="s">
        <v>203</v>
      </c>
    </row>
    <row r="12" spans="1:1" ht="66" x14ac:dyDescent="0.25">
      <c r="A12" s="218" t="s">
        <v>204</v>
      </c>
    </row>
    <row r="13" spans="1:1" ht="39.6" x14ac:dyDescent="0.25">
      <c r="A13" s="218" t="s">
        <v>207</v>
      </c>
    </row>
    <row r="14" spans="1:1" ht="26.4" x14ac:dyDescent="0.25">
      <c r="A14" s="218" t="s">
        <v>208</v>
      </c>
    </row>
    <row r="15" spans="1:1" ht="39.6" x14ac:dyDescent="0.25">
      <c r="A15" s="238" t="s">
        <v>226</v>
      </c>
    </row>
    <row r="16" spans="1:1" ht="52.8" x14ac:dyDescent="0.25">
      <c r="A16" s="238" t="s">
        <v>227</v>
      </c>
    </row>
    <row r="17" spans="1:1" ht="39.6" x14ac:dyDescent="0.25">
      <c r="A17" s="238" t="s">
        <v>228</v>
      </c>
    </row>
    <row r="18" spans="1:1" ht="39.6" x14ac:dyDescent="0.25">
      <c r="A18" s="218" t="s">
        <v>209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E16" sqref="E16"/>
    </sheetView>
  </sheetViews>
  <sheetFormatPr baseColWidth="10" defaultColWidth="9.109375" defaultRowHeight="13.2" x14ac:dyDescent="0.25"/>
  <cols>
    <col min="1" max="1" width="43.44140625" style="8" customWidth="1"/>
    <col min="2" max="2" width="12.6640625" style="2" customWidth="1"/>
    <col min="3" max="3" width="9.109375" style="2"/>
    <col min="4" max="4" width="11.44140625" style="2" customWidth="1"/>
    <col min="5" max="6" width="12.33203125" style="2" customWidth="1"/>
    <col min="7" max="7" width="26.109375" style="2" customWidth="1"/>
    <col min="8" max="8" width="39.33203125" style="2" customWidth="1"/>
    <col min="9" max="16384" width="9.109375" style="2"/>
  </cols>
  <sheetData>
    <row r="1" spans="1:9" ht="66" customHeight="1" thickBot="1" x14ac:dyDescent="0.3">
      <c r="A1" s="427" t="s">
        <v>223</v>
      </c>
      <c r="B1" s="428"/>
      <c r="C1" s="428"/>
      <c r="D1" s="428"/>
      <c r="E1" s="428"/>
      <c r="F1" s="428"/>
      <c r="G1" s="428"/>
      <c r="H1" s="429"/>
    </row>
    <row r="2" spans="1:9" x14ac:dyDescent="0.25">
      <c r="A2" s="2"/>
    </row>
    <row r="4" spans="1:9" x14ac:dyDescent="0.25">
      <c r="A4" s="3" t="s">
        <v>5</v>
      </c>
      <c r="B4" s="3" t="s">
        <v>9</v>
      </c>
      <c r="C4" s="3" t="s">
        <v>1</v>
      </c>
      <c r="D4" s="3" t="s">
        <v>6</v>
      </c>
      <c r="E4" s="3" t="s">
        <v>54</v>
      </c>
      <c r="F4" s="21" t="s">
        <v>147</v>
      </c>
      <c r="G4" s="21" t="s">
        <v>104</v>
      </c>
      <c r="H4" s="3" t="s">
        <v>8</v>
      </c>
    </row>
    <row r="5" spans="1:9" ht="13.8" x14ac:dyDescent="0.25">
      <c r="A5" s="53" t="s">
        <v>140</v>
      </c>
      <c r="B5" s="3"/>
      <c r="C5" s="3"/>
      <c r="D5" s="3"/>
      <c r="E5" s="3"/>
      <c r="F5" s="3"/>
      <c r="G5" s="3"/>
      <c r="H5" s="3"/>
    </row>
    <row r="6" spans="1:9" ht="15.6" x14ac:dyDescent="0.25">
      <c r="A6" s="54" t="s">
        <v>141</v>
      </c>
      <c r="B6" s="26" t="s">
        <v>210</v>
      </c>
      <c r="C6" s="21" t="s">
        <v>146</v>
      </c>
      <c r="D6" s="3">
        <v>30</v>
      </c>
      <c r="E6" s="192" t="s">
        <v>215</v>
      </c>
      <c r="F6" s="21"/>
      <c r="G6" s="21"/>
      <c r="H6" s="3"/>
      <c r="I6" s="12"/>
    </row>
    <row r="7" spans="1:9" ht="15.6" x14ac:dyDescent="0.25">
      <c r="A7" s="54" t="s">
        <v>142</v>
      </c>
      <c r="B7" s="26" t="s">
        <v>211</v>
      </c>
      <c r="C7" s="21" t="s">
        <v>146</v>
      </c>
      <c r="D7" s="3">
        <v>20</v>
      </c>
      <c r="E7" s="192" t="s">
        <v>216</v>
      </c>
      <c r="F7" s="21"/>
      <c r="G7" s="21"/>
      <c r="H7" s="3"/>
      <c r="I7" s="17"/>
    </row>
    <row r="8" spans="1:9" ht="15.6" x14ac:dyDescent="0.25">
      <c r="A8" s="54" t="s">
        <v>143</v>
      </c>
      <c r="B8" s="26" t="s">
        <v>213</v>
      </c>
      <c r="C8" s="52" t="s">
        <v>11</v>
      </c>
      <c r="D8" s="3">
        <v>3</v>
      </c>
      <c r="E8" s="192" t="s">
        <v>214</v>
      </c>
      <c r="F8" s="21"/>
      <c r="G8" s="21"/>
      <c r="H8" s="3"/>
      <c r="I8" s="17"/>
    </row>
    <row r="9" spans="1:9" ht="15.6" x14ac:dyDescent="0.25">
      <c r="A9" s="54" t="s">
        <v>144</v>
      </c>
      <c r="B9" s="26" t="s">
        <v>212</v>
      </c>
      <c r="C9" s="21" t="s">
        <v>146</v>
      </c>
      <c r="D9" s="3">
        <v>3.1</v>
      </c>
      <c r="E9" s="21" t="s">
        <v>145</v>
      </c>
      <c r="F9" s="21"/>
      <c r="G9" s="21"/>
      <c r="H9" s="3"/>
      <c r="I9" s="17"/>
    </row>
    <row r="10" spans="1:9" x14ac:dyDescent="0.25">
      <c r="A10" s="54"/>
      <c r="B10" s="27"/>
      <c r="C10" s="21"/>
      <c r="D10" s="3"/>
      <c r="E10" s="21"/>
      <c r="F10" s="21"/>
      <c r="G10" s="21"/>
      <c r="H10" s="3"/>
      <c r="I10" s="17"/>
    </row>
    <row r="11" spans="1:9" x14ac:dyDescent="0.25">
      <c r="A11" s="54"/>
      <c r="B11" s="26"/>
      <c r="C11" s="21"/>
      <c r="D11" s="3"/>
      <c r="E11" s="52"/>
      <c r="F11" s="52"/>
      <c r="G11" s="52"/>
      <c r="H11" s="3"/>
    </row>
    <row r="12" spans="1:9" ht="13.8" x14ac:dyDescent="0.25">
      <c r="A12" s="53" t="s">
        <v>148</v>
      </c>
      <c r="B12" s="26"/>
      <c r="C12" s="21"/>
      <c r="D12" s="3"/>
      <c r="E12" s="52"/>
      <c r="F12" s="52"/>
      <c r="G12" s="52"/>
      <c r="H12" s="3"/>
    </row>
    <row r="13" spans="1:9" x14ac:dyDescent="0.25">
      <c r="A13" s="54"/>
      <c r="B13" s="26"/>
      <c r="C13" s="21"/>
      <c r="D13" s="3"/>
      <c r="E13" s="52"/>
      <c r="F13" s="52"/>
      <c r="G13" s="52"/>
      <c r="H13" s="3"/>
    </row>
    <row r="14" spans="1:9" x14ac:dyDescent="0.25">
      <c r="A14" s="54" t="s">
        <v>159</v>
      </c>
      <c r="B14" s="26"/>
      <c r="C14" s="21"/>
      <c r="D14" s="3"/>
      <c r="E14" s="52"/>
      <c r="F14" s="52"/>
      <c r="G14" s="52"/>
      <c r="H14" s="3"/>
    </row>
    <row r="15" spans="1:9" ht="30.75" customHeight="1" x14ac:dyDescent="0.25">
      <c r="A15" s="236" t="s">
        <v>217</v>
      </c>
      <c r="B15" s="26" t="s">
        <v>221</v>
      </c>
      <c r="C15" s="216" t="s">
        <v>146</v>
      </c>
      <c r="D15" s="3">
        <f>0.55*Method_in*D7*D8</f>
        <v>990</v>
      </c>
      <c r="E15" s="52"/>
      <c r="F15" s="52"/>
      <c r="G15" s="95"/>
      <c r="H15" s="3"/>
    </row>
    <row r="16" spans="1:9" ht="30.75" customHeight="1" x14ac:dyDescent="0.25">
      <c r="A16" s="236" t="s">
        <v>218</v>
      </c>
      <c r="B16" s="26" t="s">
        <v>154</v>
      </c>
      <c r="C16" s="216" t="s">
        <v>146</v>
      </c>
      <c r="D16" s="3">
        <f>0.025*Method_in*D7*D8*D9</f>
        <v>139.5</v>
      </c>
      <c r="E16" s="52"/>
      <c r="F16" s="52"/>
      <c r="G16" s="95"/>
      <c r="H16" s="3"/>
    </row>
    <row r="17" spans="1:8" ht="30.75" customHeight="1" x14ac:dyDescent="0.25">
      <c r="A17" s="236" t="s">
        <v>219</v>
      </c>
      <c r="B17" s="26" t="s">
        <v>222</v>
      </c>
      <c r="C17" s="216" t="s">
        <v>146</v>
      </c>
      <c r="D17" s="3">
        <f>2*Method_in+0.01625*Method_in*D7*D7</f>
        <v>255</v>
      </c>
      <c r="E17" s="52"/>
      <c r="F17" s="52"/>
      <c r="G17" s="95"/>
      <c r="H17" s="3"/>
    </row>
    <row r="18" spans="1:8" x14ac:dyDescent="0.25">
      <c r="A18" s="236" t="s">
        <v>220</v>
      </c>
      <c r="B18" s="26"/>
      <c r="C18" s="21"/>
      <c r="D18" s="3"/>
      <c r="E18" s="52"/>
      <c r="F18" s="52"/>
      <c r="G18" s="52"/>
      <c r="H18" s="3"/>
    </row>
    <row r="19" spans="1:8" x14ac:dyDescent="0.25">
      <c r="A19" s="7"/>
      <c r="B19" s="3"/>
      <c r="C19" s="3"/>
      <c r="D19" s="3"/>
      <c r="E19" s="3"/>
      <c r="F19" s="3"/>
      <c r="G19" s="217"/>
      <c r="H19" s="3"/>
    </row>
    <row r="20" spans="1:8" ht="17.399999999999999" x14ac:dyDescent="0.25">
      <c r="A20" s="93" t="s">
        <v>149</v>
      </c>
      <c r="B20" s="3"/>
      <c r="C20" s="3"/>
      <c r="D20" s="3"/>
      <c r="E20" s="3"/>
      <c r="F20" s="3"/>
      <c r="G20" s="3"/>
      <c r="H20" s="3"/>
    </row>
    <row r="21" spans="1:8" ht="15.6" x14ac:dyDescent="0.25">
      <c r="A21" s="54" t="s">
        <v>150</v>
      </c>
      <c r="B21" s="26" t="s">
        <v>154</v>
      </c>
      <c r="C21" s="21" t="s">
        <v>146</v>
      </c>
      <c r="D21" s="3"/>
      <c r="E21" s="21" t="s">
        <v>55</v>
      </c>
      <c r="F21" s="21"/>
      <c r="G21" s="21"/>
      <c r="H21" s="3"/>
    </row>
    <row r="22" spans="1:8" ht="15.6" x14ac:dyDescent="0.25">
      <c r="A22" s="54" t="s">
        <v>152</v>
      </c>
      <c r="B22" s="26" t="s">
        <v>156</v>
      </c>
      <c r="C22" s="21" t="s">
        <v>146</v>
      </c>
      <c r="D22" s="3"/>
      <c r="E22" s="21" t="s">
        <v>158</v>
      </c>
      <c r="F22" s="21"/>
      <c r="G22" s="21"/>
      <c r="H22" s="3"/>
    </row>
    <row r="23" spans="1:8" ht="15.6" x14ac:dyDescent="0.25">
      <c r="A23" s="54" t="s">
        <v>151</v>
      </c>
      <c r="B23" s="26" t="s">
        <v>155</v>
      </c>
      <c r="C23" s="52" t="s">
        <v>146</v>
      </c>
      <c r="D23" s="50"/>
      <c r="E23" s="21" t="s">
        <v>55</v>
      </c>
      <c r="F23" s="21"/>
      <c r="G23" s="21"/>
      <c r="H23" s="3"/>
    </row>
    <row r="24" spans="1:8" ht="15.6" x14ac:dyDescent="0.25">
      <c r="A24" s="54" t="s">
        <v>153</v>
      </c>
      <c r="B24" s="26" t="s">
        <v>157</v>
      </c>
      <c r="C24" s="21" t="s">
        <v>146</v>
      </c>
      <c r="D24" s="3"/>
      <c r="E24" s="21" t="s">
        <v>158</v>
      </c>
      <c r="F24" s="21"/>
      <c r="G24" s="21"/>
      <c r="H24" s="3"/>
    </row>
    <row r="25" spans="1:8" x14ac:dyDescent="0.25">
      <c r="A25" s="54"/>
      <c r="B25" s="26"/>
      <c r="C25" s="52"/>
      <c r="D25" s="50"/>
      <c r="E25" s="21"/>
      <c r="F25" s="21"/>
      <c r="G25" s="21"/>
      <c r="H25" s="3"/>
    </row>
    <row r="26" spans="1:8" x14ac:dyDescent="0.25">
      <c r="A26" s="54"/>
      <c r="B26" s="26"/>
      <c r="C26" s="21"/>
      <c r="D26" s="51"/>
      <c r="E26" s="21"/>
      <c r="F26" s="21"/>
      <c r="G26" s="21"/>
      <c r="H26" s="3"/>
    </row>
    <row r="27" spans="1:8" x14ac:dyDescent="0.25">
      <c r="A27" s="54"/>
      <c r="B27" s="26"/>
      <c r="C27" s="21"/>
      <c r="D27" s="51"/>
      <c r="E27" s="21"/>
      <c r="F27" s="21"/>
      <c r="G27" s="21"/>
      <c r="H27" s="3"/>
    </row>
    <row r="28" spans="1:8" x14ac:dyDescent="0.25">
      <c r="A28" s="54"/>
      <c r="B28" s="26"/>
      <c r="C28" s="21"/>
      <c r="D28" s="51"/>
      <c r="E28" s="21"/>
      <c r="F28" s="21"/>
      <c r="G28" s="21"/>
      <c r="H28" s="3"/>
    </row>
    <row r="29" spans="1:8" x14ac:dyDescent="0.25">
      <c r="A29" s="54"/>
      <c r="B29" s="26"/>
      <c r="C29" s="21"/>
      <c r="D29" s="3"/>
      <c r="E29" s="21"/>
      <c r="F29" s="21"/>
      <c r="G29" s="21"/>
      <c r="H29" s="3"/>
    </row>
    <row r="30" spans="1:8" x14ac:dyDescent="0.25">
      <c r="A30" s="54"/>
      <c r="B30" s="55"/>
      <c r="C30" s="21"/>
      <c r="D30" s="3"/>
      <c r="E30" s="21"/>
      <c r="F30" s="21"/>
      <c r="G30" s="21"/>
      <c r="H30" s="3"/>
    </row>
    <row r="31" spans="1:8" x14ac:dyDescent="0.25">
      <c r="A31" s="54"/>
      <c r="B31" s="26"/>
      <c r="C31" s="21"/>
      <c r="D31" s="3"/>
      <c r="E31" s="21"/>
      <c r="F31" s="21"/>
      <c r="G31" s="21"/>
      <c r="H31" s="3"/>
    </row>
    <row r="32" spans="1:8" x14ac:dyDescent="0.25">
      <c r="A32" s="48"/>
      <c r="B32" s="55"/>
      <c r="C32" s="52"/>
      <c r="D32" s="3"/>
      <c r="E32" s="21"/>
      <c r="F32" s="21"/>
      <c r="G32" s="21"/>
      <c r="H32" s="3"/>
    </row>
    <row r="33" spans="1:8" x14ac:dyDescent="0.25">
      <c r="A33" s="54"/>
      <c r="B33" s="26"/>
      <c r="C33" s="52"/>
      <c r="D33" s="3"/>
      <c r="E33" s="3"/>
      <c r="F33" s="3"/>
      <c r="G33" s="3"/>
      <c r="H33" s="3"/>
    </row>
    <row r="34" spans="1:8" x14ac:dyDescent="0.25">
      <c r="A34" s="54"/>
      <c r="B34" s="26"/>
      <c r="C34" s="52"/>
      <c r="D34" s="3"/>
      <c r="E34" s="21"/>
      <c r="F34" s="21"/>
      <c r="G34" s="21"/>
      <c r="H34" s="3"/>
    </row>
    <row r="35" spans="1:8" x14ac:dyDescent="0.25">
      <c r="A35" s="54"/>
      <c r="B35" s="26"/>
      <c r="C35" s="52"/>
      <c r="D35" s="3"/>
      <c r="E35" s="21"/>
      <c r="F35" s="21"/>
      <c r="G35" s="21"/>
      <c r="H35" s="3"/>
    </row>
    <row r="36" spans="1:8" x14ac:dyDescent="0.25">
      <c r="A36" s="54"/>
      <c r="B36" s="26"/>
      <c r="C36" s="52"/>
      <c r="D36" s="3"/>
      <c r="E36" s="3"/>
      <c r="F36" s="3"/>
      <c r="G36" s="3"/>
      <c r="H36" s="3"/>
    </row>
    <row r="37" spans="1:8" x14ac:dyDescent="0.25">
      <c r="A37" s="54"/>
      <c r="B37" s="26"/>
      <c r="C37" s="21"/>
      <c r="D37" s="3"/>
      <c r="E37" s="21"/>
      <c r="F37" s="21"/>
      <c r="G37" s="21"/>
      <c r="H37" s="3"/>
    </row>
    <row r="38" spans="1:8" x14ac:dyDescent="0.25">
      <c r="A38" s="54"/>
      <c r="B38" s="26"/>
      <c r="C38" s="21"/>
      <c r="D38" s="3"/>
      <c r="E38" s="21"/>
      <c r="F38" s="21"/>
      <c r="G38" s="21"/>
      <c r="H38" s="3"/>
    </row>
    <row r="39" spans="1:8" x14ac:dyDescent="0.25">
      <c r="A39" s="54"/>
      <c r="B39" s="56"/>
      <c r="C39" s="21"/>
      <c r="D39" s="3"/>
      <c r="E39" s="21"/>
      <c r="F39" s="21"/>
      <c r="G39" s="21"/>
      <c r="H39" s="3"/>
    </row>
    <row r="40" spans="1:8" x14ac:dyDescent="0.25">
      <c r="A40" s="54"/>
      <c r="B40" s="26"/>
      <c r="C40" s="52"/>
      <c r="D40" s="3"/>
      <c r="E40" s="3"/>
      <c r="F40" s="3"/>
      <c r="G40" s="3"/>
      <c r="H40" s="3"/>
    </row>
    <row r="41" spans="1:8" x14ac:dyDescent="0.25">
      <c r="A41" s="49"/>
      <c r="B41" s="55"/>
      <c r="C41" s="52"/>
      <c r="D41" s="3"/>
      <c r="E41" s="21"/>
      <c r="F41" s="21"/>
      <c r="G41" s="21"/>
      <c r="H41" s="3"/>
    </row>
    <row r="42" spans="1:8" x14ac:dyDescent="0.25">
      <c r="A42" s="22"/>
      <c r="B42" s="55"/>
      <c r="C42" s="52"/>
      <c r="D42" s="3"/>
      <c r="E42" s="21"/>
      <c r="F42" s="21"/>
      <c r="G42" s="21"/>
      <c r="H42" s="3"/>
    </row>
    <row r="43" spans="1:8" x14ac:dyDescent="0.25">
      <c r="A43" s="54"/>
      <c r="B43" s="26"/>
      <c r="C43" s="52"/>
      <c r="D43" s="3"/>
      <c r="E43" s="3"/>
      <c r="F43" s="3"/>
      <c r="G43" s="3"/>
      <c r="H43" s="3"/>
    </row>
    <row r="44" spans="1:8" ht="17.399999999999999" x14ac:dyDescent="0.25">
      <c r="A44" s="93"/>
      <c r="B44" s="3"/>
      <c r="C44" s="3"/>
      <c r="D44" s="3"/>
      <c r="E44" s="3"/>
      <c r="F44" s="3"/>
      <c r="G44" s="3"/>
      <c r="H44" s="3"/>
    </row>
    <row r="45" spans="1:8" x14ac:dyDescent="0.25">
      <c r="A45" s="54"/>
      <c r="B45" s="26"/>
      <c r="C45" s="21"/>
      <c r="D45" s="3"/>
      <c r="E45" s="3"/>
      <c r="F45" s="3"/>
      <c r="G45" s="3"/>
      <c r="H45" s="3"/>
    </row>
    <row r="46" spans="1:8" x14ac:dyDescent="0.25">
      <c r="A46" s="54"/>
      <c r="B46" s="27"/>
      <c r="C46" s="21"/>
      <c r="D46" s="3"/>
      <c r="E46" s="52"/>
      <c r="F46" s="52"/>
      <c r="G46" s="52"/>
      <c r="H46" s="3"/>
    </row>
    <row r="47" spans="1:8" x14ac:dyDescent="0.25">
      <c r="A47" s="49"/>
      <c r="B47" s="55"/>
      <c r="C47" s="52"/>
      <c r="D47" s="3"/>
      <c r="E47" s="21"/>
      <c r="F47" s="21"/>
      <c r="G47" s="21"/>
      <c r="H47" s="3"/>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99060</xdr:colOff>
                <xdr:row>14</xdr:row>
                <xdr:rowOff>76200</xdr:rowOff>
              </from>
              <to>
                <xdr:col>6</xdr:col>
                <xdr:colOff>1684020</xdr:colOff>
                <xdr:row>14</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60960</xdr:colOff>
                <xdr:row>15</xdr:row>
                <xdr:rowOff>106680</xdr:rowOff>
              </from>
              <to>
                <xdr:col>6</xdr:col>
                <xdr:colOff>1684020</xdr:colOff>
                <xdr:row>15</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99060</xdr:colOff>
                <xdr:row>16</xdr:row>
                <xdr:rowOff>83820</xdr:rowOff>
              </from>
              <to>
                <xdr:col>6</xdr:col>
                <xdr:colOff>1684020</xdr:colOff>
                <xdr:row>16</xdr:row>
                <xdr:rowOff>297180</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32"/>
  <sheetViews>
    <sheetView workbookViewId="0">
      <pane ySplit="2" topLeftCell="A9" activePane="bottomLeft" state="frozen"/>
      <selection pane="bottomLeft" activeCell="F32" sqref="F32"/>
    </sheetView>
  </sheetViews>
  <sheetFormatPr baseColWidth="10" defaultColWidth="9.109375" defaultRowHeight="13.2" x14ac:dyDescent="0.25"/>
  <cols>
    <col min="1" max="1" width="40.5546875" style="8" customWidth="1"/>
    <col min="2" max="2" width="16.6640625" style="2" customWidth="1"/>
    <col min="3" max="3" width="24.5546875" style="2" customWidth="1"/>
    <col min="4" max="4" width="10.109375" style="2" customWidth="1"/>
    <col min="5" max="16384" width="9.109375" style="2"/>
  </cols>
  <sheetData>
    <row r="1" spans="1:4" ht="60" customHeight="1" thickBot="1" x14ac:dyDescent="0.3">
      <c r="A1" s="427" t="s">
        <v>202</v>
      </c>
      <c r="B1" s="428"/>
      <c r="C1" s="429"/>
    </row>
    <row r="6" spans="1:4" ht="13.8" x14ac:dyDescent="0.25">
      <c r="A6" s="38" t="s">
        <v>89</v>
      </c>
      <c r="D6" s="12"/>
    </row>
    <row r="7" spans="1:4" s="207" customFormat="1" ht="14.4" thickBot="1" x14ac:dyDescent="0.3">
      <c r="A7" s="38"/>
      <c r="D7" s="12"/>
    </row>
    <row r="8" spans="1:4" x14ac:dyDescent="0.25">
      <c r="A8" s="89" t="s">
        <v>266</v>
      </c>
      <c r="B8" s="78"/>
      <c r="C8" s="79"/>
      <c r="D8" s="12"/>
    </row>
    <row r="9" spans="1:4" ht="24" customHeight="1" x14ac:dyDescent="0.25">
      <c r="A9" s="80">
        <v>1</v>
      </c>
      <c r="B9" s="192" t="s">
        <v>260</v>
      </c>
      <c r="C9" s="221" t="str">
        <f>INDEX(C11:C13,A9)</f>
        <v>COMP</v>
      </c>
      <c r="D9" s="12"/>
    </row>
    <row r="10" spans="1:4" ht="13.8" thickBot="1" x14ac:dyDescent="0.3">
      <c r="A10" s="81"/>
      <c r="B10" s="12"/>
      <c r="C10" s="82"/>
      <c r="D10" s="12"/>
    </row>
    <row r="11" spans="1:4" x14ac:dyDescent="0.25">
      <c r="A11" s="252" t="s">
        <v>268</v>
      </c>
      <c r="B11" s="160"/>
      <c r="C11" s="225" t="s">
        <v>263</v>
      </c>
      <c r="D11" s="12"/>
    </row>
    <row r="12" spans="1:4" s="207" customFormat="1" x14ac:dyDescent="0.25">
      <c r="A12" s="223" t="s">
        <v>269</v>
      </c>
      <c r="B12" s="76"/>
      <c r="C12" s="226" t="s">
        <v>264</v>
      </c>
      <c r="D12" s="12"/>
    </row>
    <row r="13" spans="1:4" ht="13.8" thickBot="1" x14ac:dyDescent="0.3">
      <c r="A13" s="224" t="s">
        <v>270</v>
      </c>
      <c r="B13" s="168"/>
      <c r="C13" s="227" t="s">
        <v>265</v>
      </c>
      <c r="D13" s="12"/>
    </row>
    <row r="15" spans="1:4" ht="13.8" thickBot="1" x14ac:dyDescent="0.3">
      <c r="C15" s="215"/>
      <c r="D15" s="12"/>
    </row>
    <row r="16" spans="1:4" x14ac:dyDescent="0.25">
      <c r="A16" s="89" t="s">
        <v>267</v>
      </c>
      <c r="B16" s="78"/>
      <c r="C16" s="79"/>
      <c r="D16" s="12"/>
    </row>
    <row r="17" spans="1:4" ht="24" customHeight="1" thickBot="1" x14ac:dyDescent="0.3">
      <c r="A17" s="157">
        <v>2</v>
      </c>
      <c r="B17" s="192" t="s">
        <v>260</v>
      </c>
      <c r="C17" s="222" t="str">
        <f>INDEX(C19:C21,A17)</f>
        <v>ABS</v>
      </c>
      <c r="D17" s="12"/>
    </row>
    <row r="18" spans="1:4" ht="13.8" thickBot="1" x14ac:dyDescent="0.3">
      <c r="A18" s="83"/>
      <c r="B18" s="12"/>
      <c r="C18" s="82"/>
      <c r="D18" s="12"/>
    </row>
    <row r="19" spans="1:4" x14ac:dyDescent="0.25">
      <c r="A19" s="252" t="s">
        <v>268</v>
      </c>
      <c r="B19" s="160"/>
      <c r="C19" s="225" t="s">
        <v>263</v>
      </c>
      <c r="D19" s="12"/>
    </row>
    <row r="20" spans="1:4" x14ac:dyDescent="0.25">
      <c r="A20" s="223" t="s">
        <v>269</v>
      </c>
      <c r="B20" s="164"/>
      <c r="C20" s="226" t="s">
        <v>264</v>
      </c>
      <c r="D20" s="12"/>
    </row>
    <row r="21" spans="1:4" s="209" customFormat="1" ht="13.8" thickBot="1" x14ac:dyDescent="0.3">
      <c r="A21" s="224" t="s">
        <v>270</v>
      </c>
      <c r="B21" s="276"/>
      <c r="C21" s="227" t="s">
        <v>265</v>
      </c>
      <c r="D21" s="12"/>
    </row>
    <row r="22" spans="1:4" x14ac:dyDescent="0.25">
      <c r="D22" s="12"/>
    </row>
    <row r="23" spans="1:4" ht="13.8" thickBot="1" x14ac:dyDescent="0.3">
      <c r="D23" s="12"/>
    </row>
    <row r="24" spans="1:4" x14ac:dyDescent="0.25">
      <c r="A24" s="89" t="s">
        <v>261</v>
      </c>
      <c r="B24" s="78"/>
      <c r="C24" s="79"/>
      <c r="D24" s="12"/>
    </row>
    <row r="25" spans="1:4" ht="24" customHeight="1" x14ac:dyDescent="0.25">
      <c r="A25" s="80">
        <v>4</v>
      </c>
      <c r="B25" s="250" t="s">
        <v>262</v>
      </c>
      <c r="C25" s="221" t="str">
        <f>INDEX(C27:C31,A25)</f>
        <v>HYBRID</v>
      </c>
      <c r="D25" s="12"/>
    </row>
    <row r="26" spans="1:4" ht="13.8" thickBot="1" x14ac:dyDescent="0.3">
      <c r="A26" s="81"/>
      <c r="B26" s="12"/>
      <c r="C26" s="82"/>
      <c r="D26" s="12"/>
    </row>
    <row r="27" spans="1:4" x14ac:dyDescent="0.25">
      <c r="A27" s="231" t="s">
        <v>271</v>
      </c>
      <c r="B27" s="160"/>
      <c r="C27" s="228" t="s">
        <v>276</v>
      </c>
      <c r="D27" s="12"/>
    </row>
    <row r="28" spans="1:4" s="209" customFormat="1" x14ac:dyDescent="0.25">
      <c r="A28" s="234" t="s">
        <v>272</v>
      </c>
      <c r="B28" s="214"/>
      <c r="C28" s="229" t="s">
        <v>277</v>
      </c>
      <c r="D28" s="12"/>
    </row>
    <row r="29" spans="1:4" ht="26.4" x14ac:dyDescent="0.25">
      <c r="A29" s="232" t="s">
        <v>273</v>
      </c>
      <c r="B29" s="164"/>
      <c r="C29" s="235" t="s">
        <v>278</v>
      </c>
      <c r="D29" s="12"/>
    </row>
    <row r="30" spans="1:4" s="249" customFormat="1" ht="26.4" x14ac:dyDescent="0.25">
      <c r="A30" s="253" t="s">
        <v>274</v>
      </c>
      <c r="B30" s="213"/>
      <c r="C30" s="254" t="s">
        <v>279</v>
      </c>
      <c r="D30" s="12"/>
    </row>
    <row r="31" spans="1:4" ht="27" thickBot="1" x14ac:dyDescent="0.3">
      <c r="A31" s="233" t="s">
        <v>275</v>
      </c>
      <c r="B31" s="168"/>
      <c r="C31" s="230" t="s">
        <v>265</v>
      </c>
      <c r="D31" s="12"/>
    </row>
    <row r="32" spans="1:4" x14ac:dyDescent="0.25">
      <c r="D32" s="12"/>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24</xdr:row>
                    <xdr:rowOff>68580</xdr:rowOff>
                  </from>
                  <to>
                    <xdr:col>0</xdr:col>
                    <xdr:colOff>2575560</xdr:colOff>
                    <xdr:row>24</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P28"/>
  <sheetViews>
    <sheetView workbookViewId="0">
      <selection activeCell="A4" sqref="A4"/>
    </sheetView>
  </sheetViews>
  <sheetFormatPr baseColWidth="10" defaultColWidth="9.109375" defaultRowHeight="13.2" x14ac:dyDescent="0.25"/>
  <cols>
    <col min="1" max="1" width="48.88671875" style="8" customWidth="1"/>
    <col min="2" max="12" width="12.44140625" style="2" customWidth="1"/>
    <col min="13" max="13" width="9.109375" style="2"/>
    <col min="14" max="14" width="11.5546875" style="2" bestFit="1" customWidth="1"/>
    <col min="15" max="16384" width="9.109375" style="2"/>
  </cols>
  <sheetData>
    <row r="1" spans="1:16" ht="82.5" customHeight="1" thickBot="1" x14ac:dyDescent="0.3">
      <c r="A1" s="427" t="s">
        <v>186</v>
      </c>
      <c r="B1" s="428"/>
      <c r="C1" s="428"/>
      <c r="D1" s="429"/>
    </row>
    <row r="2" spans="1:16" x14ac:dyDescent="0.25">
      <c r="A2" s="35"/>
      <c r="B2" s="36"/>
      <c r="C2" s="36"/>
      <c r="D2" s="18"/>
    </row>
    <row r="4" spans="1:16" s="209" customFormat="1" x14ac:dyDescent="0.25">
      <c r="A4" s="220" t="s">
        <v>309</v>
      </c>
      <c r="D4" s="261" t="s">
        <v>310</v>
      </c>
      <c r="E4" s="261" t="s">
        <v>311</v>
      </c>
    </row>
    <row r="5" spans="1:16" s="209" customFormat="1" ht="15.6" x14ac:dyDescent="0.25">
      <c r="A5" s="264" t="s">
        <v>241</v>
      </c>
      <c r="B5" s="26" t="s">
        <v>242</v>
      </c>
      <c r="C5" s="239" t="s">
        <v>11</v>
      </c>
      <c r="D5" s="270">
        <v>2.83</v>
      </c>
      <c r="E5" s="270">
        <v>4</v>
      </c>
      <c r="F5" s="239" t="s">
        <v>258</v>
      </c>
      <c r="G5" s="239" t="s">
        <v>257</v>
      </c>
      <c r="H5" s="263"/>
      <c r="J5" s="269" t="s">
        <v>307</v>
      </c>
    </row>
    <row r="6" spans="1:16" s="209" customFormat="1" ht="15.6" x14ac:dyDescent="0.25">
      <c r="A6" s="264" t="s">
        <v>293</v>
      </c>
      <c r="B6" s="26" t="s">
        <v>243</v>
      </c>
      <c r="C6" s="239" t="s">
        <v>40</v>
      </c>
      <c r="D6" s="271">
        <v>7</v>
      </c>
      <c r="E6" s="271">
        <v>7</v>
      </c>
      <c r="F6" s="239" t="s">
        <v>258</v>
      </c>
      <c r="G6" s="239" t="s">
        <v>257</v>
      </c>
      <c r="H6" s="263"/>
      <c r="J6" s="274">
        <v>1</v>
      </c>
      <c r="K6" s="274">
        <v>1</v>
      </c>
      <c r="L6" s="274">
        <v>1</v>
      </c>
      <c r="M6" s="274">
        <v>1</v>
      </c>
      <c r="O6" s="209">
        <f>D5/((273+D6-0.5*D26)/(D7-D6+D26))</f>
        <v>0.43676804357694071</v>
      </c>
      <c r="P6" s="262">
        <f>E5/((273+E6-0.5*E26)/(E7-E6+E26))</f>
        <v>0.71111111111111114</v>
      </c>
    </row>
    <row r="7" spans="1:16" ht="15.6" x14ac:dyDescent="0.25">
      <c r="A7" s="264" t="s">
        <v>294</v>
      </c>
      <c r="B7" s="26" t="s">
        <v>244</v>
      </c>
      <c r="C7" s="239" t="s">
        <v>40</v>
      </c>
      <c r="D7" s="271">
        <v>35</v>
      </c>
      <c r="E7" s="271">
        <v>35</v>
      </c>
      <c r="F7" s="239" t="s">
        <v>258</v>
      </c>
      <c r="G7" s="239" t="s">
        <v>257</v>
      </c>
      <c r="H7" s="263"/>
      <c r="J7" s="274">
        <f>0.75^3</f>
        <v>0.421875</v>
      </c>
      <c r="K7" s="274">
        <f>0.75^2</f>
        <v>0.5625</v>
      </c>
      <c r="L7" s="274">
        <v>0.75</v>
      </c>
      <c r="M7" s="274">
        <v>1</v>
      </c>
      <c r="O7" s="262">
        <f>D8/((273+D9-0.5*D26)/(D10-D9+D26))</f>
        <v>0.48829680306076145</v>
      </c>
      <c r="P7" s="262">
        <f>E8/((273+E9-0.5*E26)/(E10-E9+E26))</f>
        <v>0.63703703703703707</v>
      </c>
    </row>
    <row r="8" spans="1:16" ht="15.6" x14ac:dyDescent="0.25">
      <c r="A8" s="264" t="s">
        <v>295</v>
      </c>
      <c r="B8" s="26" t="s">
        <v>245</v>
      </c>
      <c r="C8" s="239" t="s">
        <v>11</v>
      </c>
      <c r="D8" s="270">
        <v>3.59</v>
      </c>
      <c r="E8" s="270">
        <v>4</v>
      </c>
      <c r="F8" s="239" t="s">
        <v>258</v>
      </c>
      <c r="G8" s="239" t="s">
        <v>257</v>
      </c>
      <c r="H8" s="263"/>
      <c r="J8" s="192">
        <f>0.5^3</f>
        <v>0.125</v>
      </c>
      <c r="K8" s="274">
        <f>0.5^2</f>
        <v>0.25</v>
      </c>
      <c r="L8" s="274">
        <v>0.5</v>
      </c>
      <c r="M8" s="274">
        <v>1</v>
      </c>
      <c r="O8" s="262">
        <f>D11/((273+D12-0.5*D26)/(D13-D12+D26))</f>
        <v>0.56023604176123498</v>
      </c>
      <c r="P8" s="262">
        <f>E11/((273+E12-0.5*E26)/(E13-E12+E26))</f>
        <v>0.56296296296296289</v>
      </c>
    </row>
    <row r="9" spans="1:16" ht="15.6" x14ac:dyDescent="0.25">
      <c r="A9" s="264" t="s">
        <v>296</v>
      </c>
      <c r="B9" s="26" t="s">
        <v>246</v>
      </c>
      <c r="C9" s="239" t="s">
        <v>40</v>
      </c>
      <c r="D9" s="271">
        <v>7</v>
      </c>
      <c r="E9" s="271">
        <v>7</v>
      </c>
      <c r="F9" s="239" t="s">
        <v>258</v>
      </c>
      <c r="G9" s="239" t="s">
        <v>257</v>
      </c>
      <c r="H9" s="263"/>
      <c r="J9" s="274">
        <f>0.25^3</f>
        <v>1.5625E-2</v>
      </c>
      <c r="K9" s="274">
        <f>0.25^2</f>
        <v>6.25E-2</v>
      </c>
      <c r="L9" s="274">
        <v>0.25</v>
      </c>
      <c r="M9" s="274">
        <v>1</v>
      </c>
      <c r="O9" s="262">
        <f>D14/((273+D15-0.5*D26)/(D16-D15+D26))</f>
        <v>0.48198074054860268</v>
      </c>
      <c r="P9" s="262">
        <f>E14/((273+E15-0.5*E26)/(E16-E15+E26))</f>
        <v>0.48888888888888887</v>
      </c>
    </row>
    <row r="10" spans="1:16" ht="15.6" x14ac:dyDescent="0.25">
      <c r="A10" s="264" t="s">
        <v>297</v>
      </c>
      <c r="B10" s="26" t="s">
        <v>247</v>
      </c>
      <c r="C10" s="239" t="s">
        <v>40</v>
      </c>
      <c r="D10" s="271">
        <v>30</v>
      </c>
      <c r="E10" s="271">
        <v>30</v>
      </c>
      <c r="F10" s="239" t="s">
        <v>258</v>
      </c>
      <c r="G10" s="239" t="s">
        <v>257</v>
      </c>
      <c r="H10" s="263"/>
      <c r="J10" s="268" t="s">
        <v>308</v>
      </c>
    </row>
    <row r="11" spans="1:16" ht="15.6" x14ac:dyDescent="0.25">
      <c r="A11" s="264" t="s">
        <v>298</v>
      </c>
      <c r="B11" s="26" t="s">
        <v>248</v>
      </c>
      <c r="C11" s="239" t="s">
        <v>11</v>
      </c>
      <c r="D11" s="270">
        <v>4.76</v>
      </c>
      <c r="E11" s="270">
        <v>4</v>
      </c>
      <c r="F11" s="239" t="s">
        <v>258</v>
      </c>
      <c r="G11" s="239" t="s">
        <v>257</v>
      </c>
      <c r="H11" s="263"/>
      <c r="J11" s="274">
        <f t="array" ref="J11:M14">MINVERSE(A)</f>
        <v>10.666666666666659</v>
      </c>
      <c r="K11" s="274">
        <v>-31.999999999999979</v>
      </c>
      <c r="L11" s="274">
        <v>31.999999999999957</v>
      </c>
      <c r="M11" s="274">
        <v>-10.66666666666665</v>
      </c>
    </row>
    <row r="12" spans="1:16" ht="15.6" x14ac:dyDescent="0.25">
      <c r="A12" s="264" t="s">
        <v>299</v>
      </c>
      <c r="B12" s="26" t="s">
        <v>249</v>
      </c>
      <c r="C12" s="239" t="s">
        <v>40</v>
      </c>
      <c r="D12" s="271">
        <v>7</v>
      </c>
      <c r="E12" s="271">
        <v>7</v>
      </c>
      <c r="F12" s="239" t="s">
        <v>258</v>
      </c>
      <c r="G12" s="239" t="s">
        <v>257</v>
      </c>
      <c r="H12" s="263"/>
      <c r="J12" s="274">
        <v>-15.999999999999988</v>
      </c>
      <c r="K12" s="274">
        <v>55.99999999999995</v>
      </c>
      <c r="L12" s="274">
        <v>-63.999999999999922</v>
      </c>
      <c r="M12" s="274">
        <v>23.999999999999972</v>
      </c>
    </row>
    <row r="13" spans="1:16" ht="15.6" x14ac:dyDescent="0.25">
      <c r="A13" s="264" t="s">
        <v>300</v>
      </c>
      <c r="B13" s="26" t="s">
        <v>250</v>
      </c>
      <c r="C13" s="239" t="s">
        <v>40</v>
      </c>
      <c r="D13" s="271">
        <v>25</v>
      </c>
      <c r="E13" s="271">
        <v>25</v>
      </c>
      <c r="F13" s="239" t="s">
        <v>258</v>
      </c>
      <c r="G13" s="239" t="s">
        <v>257</v>
      </c>
      <c r="H13" s="263"/>
      <c r="J13" s="192">
        <v>7.333333333333325</v>
      </c>
      <c r="K13" s="274">
        <v>-27.999999999999968</v>
      </c>
      <c r="L13" s="274">
        <v>37.999999999999957</v>
      </c>
      <c r="M13" s="274">
        <v>-17.333333333333318</v>
      </c>
    </row>
    <row r="14" spans="1:16" ht="15.6" x14ac:dyDescent="0.25">
      <c r="A14" s="264" t="s">
        <v>301</v>
      </c>
      <c r="B14" s="26" t="s">
        <v>251</v>
      </c>
      <c r="C14" s="239" t="s">
        <v>11</v>
      </c>
      <c r="D14" s="270">
        <v>4.8499999999999996</v>
      </c>
      <c r="E14" s="270">
        <v>4</v>
      </c>
      <c r="F14" s="239" t="s">
        <v>258</v>
      </c>
      <c r="G14" s="239" t="s">
        <v>257</v>
      </c>
      <c r="H14" s="263"/>
      <c r="J14" s="274">
        <v>-0.99999999999999867</v>
      </c>
      <c r="K14" s="274">
        <v>3.9999999999999947</v>
      </c>
      <c r="L14" s="274">
        <v>-5.9999999999999929</v>
      </c>
      <c r="M14" s="274">
        <v>3.9999999999999973</v>
      </c>
    </row>
    <row r="15" spans="1:16" ht="15.6" x14ac:dyDescent="0.25">
      <c r="A15" s="264" t="s">
        <v>302</v>
      </c>
      <c r="B15" s="26" t="s">
        <v>252</v>
      </c>
      <c r="C15" s="239" t="s">
        <v>40</v>
      </c>
      <c r="D15" s="271">
        <v>7</v>
      </c>
      <c r="E15" s="271">
        <v>7</v>
      </c>
      <c r="F15" s="239" t="s">
        <v>258</v>
      </c>
      <c r="G15" s="239" t="s">
        <v>257</v>
      </c>
      <c r="H15" s="263"/>
    </row>
    <row r="16" spans="1:16" ht="15.6" x14ac:dyDescent="0.25">
      <c r="A16" s="264" t="s">
        <v>303</v>
      </c>
      <c r="B16" s="26" t="s">
        <v>253</v>
      </c>
      <c r="C16" s="239" t="s">
        <v>40</v>
      </c>
      <c r="D16" s="271">
        <v>20</v>
      </c>
      <c r="E16" s="271">
        <v>20</v>
      </c>
      <c r="F16" s="239" t="s">
        <v>258</v>
      </c>
      <c r="G16" s="239" t="s">
        <v>257</v>
      </c>
      <c r="H16" s="263"/>
    </row>
    <row r="17" spans="1:14" ht="15.6" x14ac:dyDescent="0.25">
      <c r="A17" s="264" t="s">
        <v>304</v>
      </c>
      <c r="B17" s="26" t="s">
        <v>254</v>
      </c>
      <c r="C17" s="239" t="s">
        <v>11</v>
      </c>
      <c r="D17" s="270">
        <v>3.63</v>
      </c>
      <c r="E17" s="270">
        <v>4</v>
      </c>
      <c r="F17" s="239" t="s">
        <v>240</v>
      </c>
      <c r="G17" s="239" t="s">
        <v>257</v>
      </c>
      <c r="H17" s="263"/>
    </row>
    <row r="18" spans="1:14" ht="28.8" x14ac:dyDescent="0.25">
      <c r="A18" s="264" t="s">
        <v>305</v>
      </c>
      <c r="B18" s="26" t="s">
        <v>255</v>
      </c>
      <c r="C18" s="239" t="s">
        <v>40</v>
      </c>
      <c r="D18" s="271">
        <v>7</v>
      </c>
      <c r="E18" s="271">
        <v>7</v>
      </c>
      <c r="F18" s="239" t="s">
        <v>240</v>
      </c>
      <c r="G18" s="239" t="s">
        <v>257</v>
      </c>
      <c r="H18" s="263"/>
    </row>
    <row r="19" spans="1:14" ht="28.8" x14ac:dyDescent="0.25">
      <c r="A19" s="264" t="s">
        <v>306</v>
      </c>
      <c r="B19" s="26" t="s">
        <v>256</v>
      </c>
      <c r="C19" s="239" t="s">
        <v>40</v>
      </c>
      <c r="D19" s="271">
        <v>35</v>
      </c>
      <c r="E19" s="271">
        <v>35</v>
      </c>
      <c r="F19" s="239" t="s">
        <v>240</v>
      </c>
      <c r="G19" s="239" t="s">
        <v>257</v>
      </c>
      <c r="H19" s="263"/>
    </row>
    <row r="21" spans="1:14" x14ac:dyDescent="0.25">
      <c r="A21" s="7"/>
      <c r="B21" s="263"/>
      <c r="C21" s="263"/>
      <c r="D21" s="263"/>
      <c r="E21" s="263"/>
      <c r="F21" s="47" t="s">
        <v>111</v>
      </c>
      <c r="G21" s="432" t="s">
        <v>104</v>
      </c>
      <c r="H21" s="432"/>
      <c r="I21" s="432"/>
      <c r="J21" s="433"/>
      <c r="K21" s="433"/>
      <c r="L21" s="433"/>
    </row>
    <row r="22" spans="1:14" s="262" customFormat="1" ht="49.95" customHeight="1" x14ac:dyDescent="0.25">
      <c r="A22" s="247" t="s">
        <v>281</v>
      </c>
      <c r="B22" s="26" t="s">
        <v>282</v>
      </c>
      <c r="C22" s="239" t="s">
        <v>11</v>
      </c>
      <c r="D22" s="272">
        <f t="array" ref="D22:D25">MMULT(J11:M14,O6:O9)</f>
        <v>1.8197868707174161</v>
      </c>
      <c r="E22" s="272">
        <f t="array" ref="E22:E25">MMULT(J11:M14,P6:P9)</f>
        <v>-1.0658141036401503E-14</v>
      </c>
      <c r="F22" s="430" t="s">
        <v>292</v>
      </c>
      <c r="G22" s="434"/>
      <c r="H22" s="434"/>
      <c r="I22" s="434"/>
      <c r="J22" s="433"/>
      <c r="K22" s="433"/>
      <c r="L22" s="433"/>
    </row>
    <row r="23" spans="1:14" s="262" customFormat="1" ht="49.95" customHeight="1" x14ac:dyDescent="0.25">
      <c r="A23" s="247" t="s">
        <v>281</v>
      </c>
      <c r="B23" s="26" t="s">
        <v>283</v>
      </c>
      <c r="C23" s="239" t="s">
        <v>11</v>
      </c>
      <c r="D23" s="272">
        <v>-3.9312366253809738</v>
      </c>
      <c r="E23" s="272">
        <v>8.8817841970012523E-15</v>
      </c>
      <c r="F23" s="431"/>
      <c r="G23" s="433"/>
      <c r="H23" s="433"/>
      <c r="I23" s="433"/>
      <c r="J23" s="433"/>
      <c r="K23" s="433"/>
      <c r="L23" s="433"/>
    </row>
    <row r="24" spans="1:14" s="262" customFormat="1" ht="49.95" customHeight="1" x14ac:dyDescent="0.25">
      <c r="A24" s="247" t="s">
        <v>281</v>
      </c>
      <c r="B24" s="26" t="s">
        <v>284</v>
      </c>
      <c r="C24" s="239" t="s">
        <v>11</v>
      </c>
      <c r="D24" s="272">
        <v>2.4652919179473933</v>
      </c>
      <c r="E24" s="272">
        <v>0.29629629629628873</v>
      </c>
      <c r="F24" s="431"/>
      <c r="G24" s="433"/>
      <c r="H24" s="433"/>
      <c r="I24" s="433"/>
      <c r="J24" s="433"/>
      <c r="K24" s="433"/>
      <c r="L24" s="433"/>
      <c r="N24"/>
    </row>
    <row r="25" spans="1:14" s="262" customFormat="1" ht="49.95" customHeight="1" x14ac:dyDescent="0.25">
      <c r="A25" s="247" t="s">
        <v>281</v>
      </c>
      <c r="B25" s="26" t="s">
        <v>285</v>
      </c>
      <c r="C25" s="266" t="s">
        <v>11</v>
      </c>
      <c r="D25" s="272">
        <v>8.2925880293106324E-2</v>
      </c>
      <c r="E25" s="272">
        <v>0.41481481481481541</v>
      </c>
      <c r="F25" s="431"/>
      <c r="G25" s="433"/>
      <c r="H25" s="433"/>
      <c r="I25" s="433"/>
      <c r="J25" s="433"/>
      <c r="K25" s="433"/>
      <c r="L25" s="433"/>
    </row>
    <row r="26" spans="1:14" s="262" customFormat="1" ht="55.8" customHeight="1" x14ac:dyDescent="0.25">
      <c r="A26" s="267" t="s">
        <v>286</v>
      </c>
      <c r="B26" s="26" t="s">
        <v>287</v>
      </c>
      <c r="C26" s="239" t="s">
        <v>288</v>
      </c>
      <c r="D26" s="273">
        <f>(D11/D17*D13-D19)/(1-D11/D17)+D18</f>
        <v>14.123893805309745</v>
      </c>
      <c r="E26" s="273">
        <v>20</v>
      </c>
      <c r="F26" s="265" t="s">
        <v>291</v>
      </c>
      <c r="G26" s="434"/>
      <c r="H26" s="434"/>
      <c r="I26" s="434"/>
      <c r="J26" s="433"/>
      <c r="K26" s="433"/>
      <c r="L26" s="433"/>
    </row>
    <row r="28" spans="1:14" x14ac:dyDescent="0.25">
      <c r="K28"/>
    </row>
  </sheetData>
  <mergeCells count="5">
    <mergeCell ref="F22:F25"/>
    <mergeCell ref="G21:L21"/>
    <mergeCell ref="G22:L25"/>
    <mergeCell ref="G26:L26"/>
    <mergeCell ref="A1:D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5" r:id="rId4">
          <objectPr defaultSize="0" autoPict="0" r:id="rId5">
            <anchor moveWithCells="1" sizeWithCells="1">
              <from>
                <xdr:col>6</xdr:col>
                <xdr:colOff>60960</xdr:colOff>
                <xdr:row>25</xdr:row>
                <xdr:rowOff>106680</xdr:rowOff>
              </from>
              <to>
                <xdr:col>9</xdr:col>
                <xdr:colOff>350520</xdr:colOff>
                <xdr:row>25</xdr:row>
                <xdr:rowOff>617220</xdr:rowOff>
              </to>
            </anchor>
          </objectPr>
        </oleObject>
      </mc:Choice>
      <mc:Fallback>
        <oleObject progId="Equation.3" shapeId="9255" r:id="rId4"/>
      </mc:Fallback>
    </mc:AlternateContent>
    <mc:AlternateContent xmlns:mc="http://schemas.openxmlformats.org/markup-compatibility/2006">
      <mc:Choice Requires="x14">
        <oleObject progId="Equation.3" shapeId="9256" r:id="rId6">
          <objectPr defaultSize="0" autoPict="0" r:id="rId7">
            <anchor moveWithCells="1" sizeWithCells="1">
              <from>
                <xdr:col>6</xdr:col>
                <xdr:colOff>38100</xdr:colOff>
                <xdr:row>21</xdr:row>
                <xdr:rowOff>22860</xdr:rowOff>
              </from>
              <to>
                <xdr:col>10</xdr:col>
                <xdr:colOff>640080</xdr:colOff>
                <xdr:row>24</xdr:row>
                <xdr:rowOff>617220</xdr:rowOff>
              </to>
            </anchor>
          </objectPr>
        </oleObject>
      </mc:Choice>
      <mc:Fallback>
        <oleObject progId="Equation.3" shapeId="9256" r:id="rId6"/>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D35"/>
  <sheetViews>
    <sheetView zoomScale="90" zoomScaleNormal="90" workbookViewId="0">
      <pane ySplit="2" topLeftCell="A3" activePane="bottomLeft" state="frozen"/>
      <selection pane="bottomLeft" activeCell="E15" sqref="E15"/>
    </sheetView>
  </sheetViews>
  <sheetFormatPr baseColWidth="10" defaultColWidth="9.109375" defaultRowHeight="13.2" x14ac:dyDescent="0.25"/>
  <cols>
    <col min="1" max="1" width="47.44140625" style="8" customWidth="1"/>
    <col min="2" max="2" width="23.44140625" style="207" customWidth="1"/>
    <col min="3" max="3" width="24.5546875" style="207" customWidth="1"/>
    <col min="4" max="4" width="10.109375" style="207" customWidth="1"/>
    <col min="5" max="5" width="47.5546875" style="207" customWidth="1"/>
    <col min="6" max="6" width="23.109375" style="207" bestFit="1" customWidth="1"/>
    <col min="7" max="7" width="19.6640625" style="207" customWidth="1"/>
    <col min="8" max="16384" width="9.109375" style="207"/>
  </cols>
  <sheetData>
    <row r="1" spans="1:4" ht="60" customHeight="1" thickBot="1" x14ac:dyDescent="0.3">
      <c r="A1" s="427" t="s">
        <v>192</v>
      </c>
      <c r="B1" s="428"/>
      <c r="C1" s="429"/>
    </row>
    <row r="6" spans="1:4" ht="13.8" x14ac:dyDescent="0.25">
      <c r="A6" s="38" t="s">
        <v>193</v>
      </c>
      <c r="D6" s="12"/>
    </row>
    <row r="7" spans="1:4" ht="14.4" thickBot="1" x14ac:dyDescent="0.3">
      <c r="A7" s="38"/>
      <c r="D7" s="12"/>
    </row>
    <row r="8" spans="1:4" s="364" customFormat="1" x14ac:dyDescent="0.25">
      <c r="A8" s="314" t="s">
        <v>417</v>
      </c>
      <c r="B8" s="78"/>
      <c r="C8" s="79"/>
      <c r="D8" s="12"/>
    </row>
    <row r="9" spans="1:4" s="364" customFormat="1" ht="24" customHeight="1" thickBot="1" x14ac:dyDescent="0.3">
      <c r="A9" s="157">
        <v>2</v>
      </c>
      <c r="B9" s="211"/>
      <c r="C9" s="6" t="str">
        <f>INDEX(C11:C12,A9)</f>
        <v>DX</v>
      </c>
      <c r="D9" s="12"/>
    </row>
    <row r="10" spans="1:4" s="364" customFormat="1" ht="13.8" thickBot="1" x14ac:dyDescent="0.3">
      <c r="A10" s="83"/>
      <c r="B10" s="12"/>
      <c r="C10" s="82"/>
      <c r="D10" s="12"/>
    </row>
    <row r="11" spans="1:4" s="364" customFormat="1" x14ac:dyDescent="0.25">
      <c r="A11" s="255" t="s">
        <v>418</v>
      </c>
      <c r="B11" s="256"/>
      <c r="C11" s="257" t="s">
        <v>420</v>
      </c>
      <c r="D11" s="12"/>
    </row>
    <row r="12" spans="1:4" s="364" customFormat="1" ht="13.8" thickBot="1" x14ac:dyDescent="0.3">
      <c r="A12" s="258" t="s">
        <v>421</v>
      </c>
      <c r="B12" s="259"/>
      <c r="C12" s="260" t="s">
        <v>419</v>
      </c>
      <c r="D12" s="12"/>
    </row>
    <row r="13" spans="1:4" s="364" customFormat="1" x14ac:dyDescent="0.25">
      <c r="A13" s="8"/>
      <c r="D13" s="12"/>
    </row>
    <row r="14" spans="1:4" s="364" customFormat="1" ht="13.8" thickBot="1" x14ac:dyDescent="0.3">
      <c r="A14" s="8"/>
      <c r="D14" s="12"/>
    </row>
    <row r="15" spans="1:4" s="364" customFormat="1" x14ac:dyDescent="0.25">
      <c r="A15" s="314" t="s">
        <v>422</v>
      </c>
      <c r="B15" s="78"/>
      <c r="C15" s="79"/>
      <c r="D15" s="12"/>
    </row>
    <row r="16" spans="1:4" s="364" customFormat="1" ht="24" customHeight="1" x14ac:dyDescent="0.25">
      <c r="A16" s="80">
        <v>1</v>
      </c>
      <c r="B16" s="376" t="s">
        <v>475</v>
      </c>
      <c r="C16" s="4" t="str">
        <f>INDEX(C18:C20,A16)</f>
        <v>ZONE_BASED</v>
      </c>
      <c r="D16" s="12"/>
    </row>
    <row r="17" spans="1:4" s="364" customFormat="1" ht="13.8" thickBot="1" x14ac:dyDescent="0.3">
      <c r="A17" s="81"/>
      <c r="B17" s="12"/>
      <c r="C17" s="82"/>
      <c r="D17" s="12"/>
    </row>
    <row r="18" spans="1:4" s="364" customFormat="1" x14ac:dyDescent="0.25">
      <c r="A18" s="309" t="s">
        <v>478</v>
      </c>
      <c r="B18" s="305"/>
      <c r="C18" s="306" t="s">
        <v>476</v>
      </c>
      <c r="D18" s="12"/>
    </row>
    <row r="19" spans="1:4" s="364" customFormat="1" ht="13.8" thickBot="1" x14ac:dyDescent="0.3">
      <c r="A19" s="315" t="s">
        <v>479</v>
      </c>
      <c r="B19" s="307"/>
      <c r="C19" s="308" t="s">
        <v>477</v>
      </c>
      <c r="D19" s="12"/>
    </row>
    <row r="20" spans="1:4" s="364" customFormat="1" x14ac:dyDescent="0.25">
      <c r="A20" s="8"/>
      <c r="B20" s="365"/>
      <c r="C20" s="365"/>
      <c r="D20" s="12"/>
    </row>
    <row r="21" spans="1:4" s="364" customFormat="1" ht="14.25" customHeight="1" thickBot="1" x14ac:dyDescent="0.3">
      <c r="A21" s="8"/>
      <c r="D21" s="12"/>
    </row>
    <row r="22" spans="1:4" x14ac:dyDescent="0.25">
      <c r="A22" s="304" t="s">
        <v>331</v>
      </c>
      <c r="B22" s="78"/>
      <c r="C22" s="79"/>
      <c r="D22" s="12"/>
    </row>
    <row r="23" spans="1:4" ht="24" customHeight="1" thickBot="1" x14ac:dyDescent="0.3">
      <c r="A23" s="157">
        <v>2</v>
      </c>
      <c r="B23" s="211" t="s">
        <v>330</v>
      </c>
      <c r="C23" s="6" t="str">
        <f>INDEX(C25:C26,A23)</f>
        <v>VARIABLE</v>
      </c>
      <c r="D23" s="12"/>
    </row>
    <row r="24" spans="1:4" ht="13.8" thickBot="1" x14ac:dyDescent="0.3">
      <c r="A24" s="83"/>
      <c r="B24" s="12"/>
      <c r="C24" s="82"/>
      <c r="D24" s="12"/>
    </row>
    <row r="25" spans="1:4" x14ac:dyDescent="0.25">
      <c r="A25" s="255" t="s">
        <v>341</v>
      </c>
      <c r="B25" s="256"/>
      <c r="C25" s="257" t="s">
        <v>339</v>
      </c>
      <c r="D25" s="12"/>
    </row>
    <row r="26" spans="1:4" ht="13.8" thickBot="1" x14ac:dyDescent="0.3">
      <c r="A26" s="258" t="s">
        <v>342</v>
      </c>
      <c r="B26" s="259"/>
      <c r="C26" s="260" t="s">
        <v>343</v>
      </c>
      <c r="D26" s="12"/>
    </row>
    <row r="27" spans="1:4" x14ac:dyDescent="0.25">
      <c r="D27" s="12"/>
    </row>
    <row r="28" spans="1:4" ht="13.8" thickBot="1" x14ac:dyDescent="0.3">
      <c r="D28" s="12"/>
    </row>
    <row r="29" spans="1:4" x14ac:dyDescent="0.25">
      <c r="A29" s="314" t="s">
        <v>351</v>
      </c>
      <c r="B29" s="78"/>
      <c r="C29" s="79"/>
      <c r="D29" s="12"/>
    </row>
    <row r="30" spans="1:4" ht="24" customHeight="1" x14ac:dyDescent="0.25">
      <c r="A30" s="80">
        <v>2</v>
      </c>
      <c r="B30" s="288" t="s">
        <v>329</v>
      </c>
      <c r="C30" s="4" t="str">
        <f>INDEX(C32:C33,A30)</f>
        <v>ODA_COMP</v>
      </c>
      <c r="D30" s="12"/>
    </row>
    <row r="31" spans="1:4" ht="13.8" thickBot="1" x14ac:dyDescent="0.3">
      <c r="A31" s="81"/>
      <c r="B31" s="12"/>
      <c r="C31" s="82"/>
      <c r="D31" s="12"/>
    </row>
    <row r="32" spans="1:4" x14ac:dyDescent="0.25">
      <c r="A32" s="370" t="s">
        <v>386</v>
      </c>
      <c r="B32" s="112"/>
      <c r="C32" s="371" t="s">
        <v>339</v>
      </c>
      <c r="D32" s="12"/>
    </row>
    <row r="33" spans="1:4" s="289" customFormat="1" ht="13.8" thickBot="1" x14ac:dyDescent="0.3">
      <c r="A33" s="372" t="s">
        <v>338</v>
      </c>
      <c r="B33" s="5"/>
      <c r="C33" s="373" t="s">
        <v>340</v>
      </c>
      <c r="D33" s="12"/>
    </row>
    <row r="34" spans="1:4" x14ac:dyDescent="0.25">
      <c r="A34" s="12"/>
    </row>
    <row r="35" spans="1:4" ht="14.25" customHeight="1" x14ac:dyDescent="0.25">
      <c r="D35" s="12"/>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22</xdr:row>
                    <xdr:rowOff>60960</xdr:rowOff>
                  </from>
                  <to>
                    <xdr:col>0</xdr:col>
                    <xdr:colOff>2514600</xdr:colOff>
                    <xdr:row>22</xdr:row>
                    <xdr:rowOff>259080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29</xdr:row>
                    <xdr:rowOff>68580</xdr:rowOff>
                  </from>
                  <to>
                    <xdr:col>0</xdr:col>
                    <xdr:colOff>2575560</xdr:colOff>
                    <xdr:row>29</xdr:row>
                    <xdr:rowOff>266700</xdr:rowOff>
                  </to>
                </anchor>
              </controlPr>
            </control>
          </mc:Choice>
        </mc:AlternateContent>
        <mc:AlternateContent xmlns:mc="http://schemas.openxmlformats.org/markup-compatibility/2006">
          <mc:Choice Requires="x14">
            <control shapeId="20489" r:id="rId6" name="Drop Down 9">
              <controlPr defaultSize="0" autoLine="0" autoPict="0">
                <anchor moveWithCells="1">
                  <from>
                    <xdr:col>0</xdr:col>
                    <xdr:colOff>38100</xdr:colOff>
                    <xdr:row>8</xdr:row>
                    <xdr:rowOff>60960</xdr:rowOff>
                  </from>
                  <to>
                    <xdr:col>0</xdr:col>
                    <xdr:colOff>2514600</xdr:colOff>
                    <xdr:row>8</xdr:row>
                    <xdr:rowOff>259080</xdr:rowOff>
                  </to>
                </anchor>
              </controlPr>
            </control>
          </mc:Choice>
        </mc:AlternateContent>
        <mc:AlternateContent xmlns:mc="http://schemas.openxmlformats.org/markup-compatibility/2006">
          <mc:Choice Requires="x14">
            <control shapeId="20490" r:id="rId7" name="Drop Down 10">
              <controlPr defaultSize="0" autoLine="0" autoPict="0">
                <anchor moveWithCells="1">
                  <from>
                    <xdr:col>0</xdr:col>
                    <xdr:colOff>99060</xdr:colOff>
                    <xdr:row>15</xdr:row>
                    <xdr:rowOff>68580</xdr:rowOff>
                  </from>
                  <to>
                    <xdr:col>0</xdr:col>
                    <xdr:colOff>2575560</xdr:colOff>
                    <xdr:row>15</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19"/>
  <sheetViews>
    <sheetView workbookViewId="0">
      <pane ySplit="2" topLeftCell="A3" activePane="bottomLeft" state="frozen"/>
      <selection pane="bottomLeft" activeCell="H23" sqref="H23"/>
    </sheetView>
  </sheetViews>
  <sheetFormatPr baseColWidth="10" defaultColWidth="9.109375" defaultRowHeight="13.2" outlineLevelCol="1" x14ac:dyDescent="0.25"/>
  <cols>
    <col min="1" max="1" width="40.5546875" style="8" customWidth="1"/>
    <col min="2" max="2" width="40.5546875" style="8" hidden="1" customWidth="1" outlineLevel="1"/>
    <col min="3" max="3" width="12.6640625" style="2" customWidth="1" collapsed="1"/>
    <col min="4" max="4" width="24.5546875" style="2" customWidth="1"/>
    <col min="5" max="5" width="12.33203125" style="2" customWidth="1"/>
    <col min="6" max="9" width="10.109375" style="2" customWidth="1"/>
    <col min="10" max="21" width="10.5546875" style="2" hidden="1" customWidth="1" outlineLevel="1"/>
    <col min="22" max="22" width="4.5546875" style="2" customWidth="1" collapsed="1"/>
    <col min="23" max="23" width="12" style="2" hidden="1" customWidth="1" outlineLevel="1"/>
    <col min="24" max="25" width="10.6640625" style="2" hidden="1" customWidth="1" outlineLevel="1"/>
    <col min="26" max="26" width="11.44140625" style="2" hidden="1" customWidth="1" outlineLevel="1"/>
    <col min="27" max="31" width="9.109375" style="2" hidden="1" customWidth="1" outlineLevel="1"/>
    <col min="32" max="32" width="9.109375" style="2" collapsed="1"/>
    <col min="33" max="16384" width="9.109375" style="2"/>
  </cols>
  <sheetData>
    <row r="1" spans="1:31" ht="100.5" customHeight="1" thickBot="1" x14ac:dyDescent="0.3">
      <c r="A1" s="427" t="s">
        <v>185</v>
      </c>
      <c r="B1" s="428"/>
      <c r="C1" s="428"/>
      <c r="D1" s="428"/>
      <c r="E1" s="428"/>
      <c r="F1" s="428"/>
      <c r="G1" s="429"/>
      <c r="J1" s="435" t="s">
        <v>160</v>
      </c>
      <c r="K1" s="435"/>
      <c r="L1" s="435"/>
      <c r="M1" s="435"/>
      <c r="N1" s="435"/>
      <c r="O1" s="435"/>
      <c r="P1" s="435"/>
      <c r="Q1" s="435"/>
      <c r="R1" s="435"/>
      <c r="S1" s="435"/>
      <c r="T1" s="435"/>
      <c r="U1" s="435"/>
      <c r="W1" s="436" t="s">
        <v>161</v>
      </c>
      <c r="X1" s="437"/>
      <c r="Y1" s="437"/>
      <c r="Z1" s="437"/>
      <c r="AA1" s="437"/>
      <c r="AB1" s="437"/>
      <c r="AC1" s="437"/>
      <c r="AD1" s="437"/>
      <c r="AE1" s="437"/>
    </row>
    <row r="2" spans="1:31" x14ac:dyDescent="0.25">
      <c r="A2" s="35"/>
      <c r="B2" s="35"/>
      <c r="C2" s="36"/>
      <c r="D2" s="36"/>
      <c r="E2" s="36"/>
      <c r="F2" s="36"/>
      <c r="G2" s="36"/>
      <c r="H2" s="36"/>
      <c r="I2" s="18"/>
    </row>
    <row r="3" spans="1:31" x14ac:dyDescent="0.25">
      <c r="I3" s="12"/>
    </row>
    <row r="4" spans="1:31" ht="13.8" x14ac:dyDescent="0.25">
      <c r="A4" s="38" t="s">
        <v>89</v>
      </c>
      <c r="B4" s="38"/>
      <c r="I4" s="12"/>
    </row>
    <row r="5" spans="1:31" ht="13.8" thickBot="1" x14ac:dyDescent="0.3">
      <c r="I5" s="12"/>
    </row>
    <row r="6" spans="1:31" x14ac:dyDescent="0.25">
      <c r="A6" s="89" t="s">
        <v>114</v>
      </c>
      <c r="B6" s="77"/>
      <c r="C6" s="78"/>
      <c r="D6" s="79"/>
      <c r="I6" s="12"/>
    </row>
    <row r="7" spans="1:31" ht="28.5" customHeight="1" thickBot="1" x14ac:dyDescent="0.3">
      <c r="A7" s="194">
        <v>1</v>
      </c>
      <c r="B7" s="195"/>
      <c r="C7" s="196" t="s">
        <v>115</v>
      </c>
      <c r="D7" s="197" t="str">
        <f>INDEX(D9:D11,A7)</f>
        <v>BLR_USE_H</v>
      </c>
      <c r="I7" s="12"/>
    </row>
    <row r="8" spans="1:31" ht="13.8" thickBot="1" x14ac:dyDescent="0.3">
      <c r="A8" s="83"/>
      <c r="B8" s="69"/>
      <c r="C8" s="12"/>
      <c r="D8" s="82"/>
      <c r="I8" s="12"/>
    </row>
    <row r="9" spans="1:31" x14ac:dyDescent="0.25">
      <c r="A9" s="158" t="s">
        <v>116</v>
      </c>
      <c r="B9" s="159"/>
      <c r="C9" s="160"/>
      <c r="D9" s="161" t="s">
        <v>118</v>
      </c>
      <c r="I9" s="12"/>
    </row>
    <row r="10" spans="1:31" x14ac:dyDescent="0.25">
      <c r="A10" s="162" t="s">
        <v>117</v>
      </c>
      <c r="B10" s="163"/>
      <c r="C10" s="164"/>
      <c r="D10" s="165" t="s">
        <v>119</v>
      </c>
      <c r="I10" s="12"/>
    </row>
    <row r="11" spans="1:31" ht="13.8" thickBot="1" x14ac:dyDescent="0.3">
      <c r="A11" s="166" t="s">
        <v>105</v>
      </c>
      <c r="B11" s="167"/>
      <c r="C11" s="168"/>
      <c r="D11" s="169" t="s">
        <v>120</v>
      </c>
      <c r="I11" s="12"/>
    </row>
    <row r="12" spans="1:31" x14ac:dyDescent="0.25">
      <c r="I12" s="12"/>
    </row>
    <row r="13" spans="1:31" ht="18.75" customHeight="1" thickBot="1" x14ac:dyDescent="0.3">
      <c r="G13" s="12"/>
      <c r="I13" s="12"/>
    </row>
    <row r="14" spans="1:31" x14ac:dyDescent="0.25">
      <c r="A14" s="89" t="s">
        <v>110</v>
      </c>
      <c r="B14" s="77"/>
      <c r="C14" s="78"/>
      <c r="D14" s="79"/>
      <c r="G14" s="12"/>
      <c r="I14" s="12"/>
    </row>
    <row r="15" spans="1:31" ht="25.5" customHeight="1" x14ac:dyDescent="0.25">
      <c r="A15" s="198">
        <v>1</v>
      </c>
      <c r="B15" s="199"/>
      <c r="C15" s="200" t="s">
        <v>113</v>
      </c>
      <c r="D15" s="201" t="str">
        <f>INDEX(D17:D19,A15)</f>
        <v>BLR_FUEL_GAS</v>
      </c>
      <c r="G15" s="12"/>
      <c r="I15" s="12"/>
    </row>
    <row r="16" spans="1:31" x14ac:dyDescent="0.25">
      <c r="A16" s="81" t="s">
        <v>59</v>
      </c>
      <c r="B16" s="69"/>
      <c r="C16" s="12"/>
      <c r="D16" s="82"/>
      <c r="G16" s="12"/>
      <c r="I16" s="12"/>
    </row>
    <row r="17" spans="1:22" x14ac:dyDescent="0.25">
      <c r="A17" s="90" t="s">
        <v>106</v>
      </c>
      <c r="B17" s="69"/>
      <c r="C17" s="75"/>
      <c r="D17" s="91" t="s">
        <v>108</v>
      </c>
      <c r="G17" s="12"/>
      <c r="I17" s="12"/>
    </row>
    <row r="18" spans="1:22" x14ac:dyDescent="0.25">
      <c r="A18" s="90" t="s">
        <v>107</v>
      </c>
      <c r="B18" s="67"/>
      <c r="C18" s="76"/>
      <c r="D18" s="92" t="s">
        <v>109</v>
      </c>
      <c r="G18" s="12"/>
      <c r="I18" s="12"/>
    </row>
    <row r="19" spans="1:22" ht="13.8" thickBot="1" x14ac:dyDescent="0.3">
      <c r="A19" s="85" t="s">
        <v>105</v>
      </c>
      <c r="B19" s="86"/>
      <c r="C19" s="87"/>
      <c r="D19" s="88" t="s">
        <v>121</v>
      </c>
      <c r="G19" s="12"/>
      <c r="I19" s="12"/>
    </row>
    <row r="20" spans="1:22" x14ac:dyDescent="0.25">
      <c r="G20" s="12"/>
      <c r="I20" s="12"/>
    </row>
    <row r="21" spans="1:22" ht="13.8" thickBot="1" x14ac:dyDescent="0.3">
      <c r="I21" s="12"/>
    </row>
    <row r="22" spans="1:22" ht="24.75" customHeight="1" x14ac:dyDescent="0.25">
      <c r="A22" s="89" t="s">
        <v>57</v>
      </c>
      <c r="B22" s="77"/>
      <c r="C22" s="78"/>
      <c r="D22" s="79"/>
      <c r="I22" s="12"/>
    </row>
    <row r="23" spans="1:22" ht="24.75" customHeight="1" x14ac:dyDescent="0.25">
      <c r="A23" s="198">
        <v>2</v>
      </c>
      <c r="B23" s="199"/>
      <c r="C23" s="193" t="s">
        <v>58</v>
      </c>
      <c r="D23" s="201" t="str">
        <f>INDEX(D25:D26,A23)</f>
        <v>BLR_COND_NO</v>
      </c>
      <c r="I23" s="12"/>
    </row>
    <row r="24" spans="1:22" x14ac:dyDescent="0.25">
      <c r="A24" s="81" t="s">
        <v>59</v>
      </c>
      <c r="B24" s="69"/>
      <c r="C24" s="12"/>
      <c r="D24" s="82"/>
      <c r="E24" s="12"/>
      <c r="I24" s="12"/>
    </row>
    <row r="25" spans="1:22" x14ac:dyDescent="0.25">
      <c r="A25" s="83" t="s">
        <v>60</v>
      </c>
      <c r="B25" s="69"/>
      <c r="C25" s="75"/>
      <c r="D25" s="84" t="s">
        <v>62</v>
      </c>
      <c r="E25" s="12"/>
      <c r="G25" s="12"/>
      <c r="I25" s="12"/>
    </row>
    <row r="26" spans="1:22" ht="13.8" thickBot="1" x14ac:dyDescent="0.3">
      <c r="A26" s="170" t="s">
        <v>61</v>
      </c>
      <c r="B26" s="171"/>
      <c r="C26" s="87"/>
      <c r="D26" s="172" t="s">
        <v>63</v>
      </c>
      <c r="E26" s="12"/>
      <c r="G26" s="12"/>
      <c r="I26" s="12"/>
    </row>
    <row r="27" spans="1:22" x14ac:dyDescent="0.25">
      <c r="A27" s="19"/>
      <c r="G27" s="12"/>
      <c r="I27" s="12"/>
    </row>
    <row r="28" spans="1:22" x14ac:dyDescent="0.25">
      <c r="G28" s="12"/>
      <c r="I28" s="12"/>
    </row>
    <row r="29" spans="1:22" ht="13.8" x14ac:dyDescent="0.25">
      <c r="A29" s="37" t="s">
        <v>90</v>
      </c>
      <c r="B29" s="37"/>
      <c r="E29" s="45"/>
      <c r="F29" s="45"/>
      <c r="G29" s="46"/>
      <c r="H29" s="45"/>
      <c r="I29" s="46"/>
      <c r="J29" s="45"/>
      <c r="K29" s="45"/>
      <c r="L29" s="45"/>
      <c r="M29" s="45"/>
      <c r="N29" s="45"/>
      <c r="O29" s="45"/>
      <c r="P29" s="45"/>
      <c r="Q29" s="45"/>
      <c r="R29" s="45"/>
      <c r="S29" s="45"/>
      <c r="T29" s="45"/>
      <c r="U29" s="45"/>
      <c r="V29" s="45"/>
    </row>
    <row r="30" spans="1:22" ht="14.4" thickBot="1" x14ac:dyDescent="0.3">
      <c r="A30" s="37"/>
      <c r="B30" s="37"/>
      <c r="E30" s="45"/>
      <c r="F30" s="45"/>
      <c r="G30" s="46"/>
      <c r="H30" s="45"/>
      <c r="I30" s="46"/>
      <c r="J30" s="45"/>
      <c r="K30" s="45"/>
      <c r="L30" s="45"/>
      <c r="M30" s="45"/>
      <c r="N30" s="45"/>
      <c r="O30" s="45"/>
      <c r="P30" s="45"/>
      <c r="Q30" s="45"/>
      <c r="R30" s="45"/>
      <c r="S30" s="45"/>
      <c r="T30" s="45"/>
      <c r="U30" s="45"/>
      <c r="V30" s="45"/>
    </row>
    <row r="31" spans="1:22" ht="16.2" thickBot="1" x14ac:dyDescent="0.3">
      <c r="A31" s="96" t="s">
        <v>122</v>
      </c>
      <c r="B31" s="97"/>
      <c r="C31" s="10"/>
      <c r="D31" s="10"/>
      <c r="E31" s="98" t="s">
        <v>26</v>
      </c>
      <c r="F31" s="99" t="s">
        <v>39</v>
      </c>
      <c r="G31" s="100">
        <v>60</v>
      </c>
      <c r="H31" s="45"/>
      <c r="I31" s="46"/>
      <c r="J31" s="45"/>
      <c r="K31" s="45"/>
      <c r="L31" s="45"/>
      <c r="M31" s="45"/>
      <c r="N31" s="45"/>
      <c r="O31" s="45"/>
      <c r="P31" s="45"/>
      <c r="Q31" s="45"/>
      <c r="R31" s="45"/>
      <c r="S31" s="45"/>
      <c r="T31" s="45"/>
      <c r="U31" s="45"/>
      <c r="V31" s="45"/>
    </row>
    <row r="32" spans="1:22" ht="13.8" x14ac:dyDescent="0.25">
      <c r="A32" s="37"/>
      <c r="B32" s="37"/>
      <c r="E32" s="45"/>
      <c r="F32" s="45"/>
      <c r="G32" s="46"/>
      <c r="H32" s="45"/>
      <c r="I32" s="46"/>
      <c r="J32" s="45"/>
      <c r="K32" s="45"/>
      <c r="L32" s="45"/>
      <c r="M32" s="45"/>
      <c r="N32" s="45"/>
      <c r="O32" s="45"/>
      <c r="P32" s="45"/>
      <c r="Q32" s="45"/>
      <c r="R32" s="45"/>
      <c r="S32" s="45"/>
      <c r="T32" s="45"/>
      <c r="U32" s="45"/>
      <c r="V32" s="45"/>
    </row>
    <row r="33" spans="1:31" x14ac:dyDescent="0.25">
      <c r="E33" s="24"/>
      <c r="F33" s="24"/>
      <c r="G33" s="44"/>
      <c r="H33" s="24"/>
      <c r="I33" s="44"/>
      <c r="J33" s="24"/>
      <c r="K33" s="24"/>
      <c r="L33" s="24"/>
      <c r="M33" s="24"/>
      <c r="N33" s="24"/>
      <c r="O33" s="24"/>
      <c r="P33" s="24"/>
      <c r="Q33" s="25"/>
      <c r="R33" s="24"/>
      <c r="S33" s="25"/>
      <c r="T33" s="24"/>
      <c r="U33" s="24"/>
      <c r="V33" s="24"/>
    </row>
    <row r="34" spans="1:31" x14ac:dyDescent="0.25">
      <c r="A34" s="14" t="s">
        <v>64</v>
      </c>
      <c r="B34" s="14"/>
      <c r="C34" s="14" t="s">
        <v>68</v>
      </c>
      <c r="D34" s="2" t="str">
        <f>INDEX(D38:D49,C36)</f>
        <v>BLR_DATA_GAS_LT</v>
      </c>
      <c r="E34" s="14"/>
      <c r="F34" s="15"/>
      <c r="G34" s="14"/>
      <c r="H34" s="15"/>
      <c r="I34" s="20"/>
      <c r="J34" s="14"/>
      <c r="K34" s="14"/>
      <c r="L34" s="14"/>
      <c r="M34" s="14"/>
      <c r="N34" s="14"/>
      <c r="O34" s="14"/>
      <c r="P34" s="14"/>
      <c r="Q34" s="14"/>
      <c r="R34" s="14"/>
      <c r="S34" s="15"/>
      <c r="T34" s="15"/>
      <c r="U34" s="15"/>
      <c r="V34" s="15"/>
    </row>
    <row r="35" spans="1:31" ht="20.25" customHeight="1" x14ac:dyDescent="0.25">
      <c r="A35" s="202"/>
      <c r="I35" s="12"/>
    </row>
    <row r="36" spans="1:31" ht="26.25" customHeight="1" x14ac:dyDescent="0.25">
      <c r="A36" s="202"/>
      <c r="C36" s="2">
        <v>2</v>
      </c>
      <c r="I36" s="12"/>
    </row>
    <row r="37" spans="1:31" x14ac:dyDescent="0.25">
      <c r="A37" s="39" t="s">
        <v>59</v>
      </c>
      <c r="B37" s="71"/>
      <c r="C37" s="30"/>
      <c r="D37" s="11"/>
      <c r="E37" s="12"/>
      <c r="I37" s="12"/>
      <c r="W37" s="21" t="s">
        <v>164</v>
      </c>
      <c r="X37" s="438" t="s">
        <v>162</v>
      </c>
      <c r="Y37" s="439"/>
      <c r="Z37" s="438" t="s">
        <v>163</v>
      </c>
      <c r="AA37" s="439"/>
      <c r="AB37" s="440" t="s">
        <v>165</v>
      </c>
      <c r="AC37" s="431"/>
      <c r="AD37" s="440" t="s">
        <v>166</v>
      </c>
      <c r="AE37" s="431"/>
    </row>
    <row r="38" spans="1:31" ht="15.6" x14ac:dyDescent="0.25">
      <c r="A38" s="106" t="str">
        <f>IF(W38,B38,"NOT COMPATIBLE")</f>
        <v>Gas, standard, minimum value</v>
      </c>
      <c r="B38" s="16" t="s">
        <v>126</v>
      </c>
      <c r="C38" s="12"/>
      <c r="D38" s="33" t="s">
        <v>132</v>
      </c>
      <c r="W38" s="3" t="b">
        <f>AND(X38,Z38,AB38,AD38)</f>
        <v>1</v>
      </c>
      <c r="X38" s="74" t="b">
        <f>$D$23=Y38</f>
        <v>1</v>
      </c>
      <c r="Y38" s="63" t="s">
        <v>63</v>
      </c>
      <c r="Z38" s="74" t="b">
        <f t="shared" ref="Z38:Z49" si="0">OR($D$15=$D$19,$D$15=AA38)</f>
        <v>1</v>
      </c>
      <c r="AA38" s="63" t="s">
        <v>108</v>
      </c>
      <c r="AB38" s="74" t="b">
        <v>1</v>
      </c>
      <c r="AC38" s="3"/>
      <c r="AD38" s="74" t="b">
        <v>1</v>
      </c>
      <c r="AE38" s="3"/>
    </row>
    <row r="39" spans="1:31" ht="15.6" x14ac:dyDescent="0.25">
      <c r="A39" s="106" t="str">
        <f t="shared" ref="A39:A49" si="1">IF(W39,B39,"NOT COMPATIBLE")</f>
        <v>Gas, low temperature, minimum value</v>
      </c>
      <c r="B39" s="16" t="s">
        <v>127</v>
      </c>
      <c r="C39" s="12"/>
      <c r="D39" s="33" t="s">
        <v>133</v>
      </c>
      <c r="W39" s="3" t="b">
        <f t="shared" ref="W39:W49" si="2">AND(X39,Z39,AB39,AD39)</f>
        <v>1</v>
      </c>
      <c r="X39" s="74" t="b">
        <f t="shared" ref="X39:X49" si="3">$D$23=Y39</f>
        <v>1</v>
      </c>
      <c r="Y39" s="63" t="s">
        <v>63</v>
      </c>
      <c r="Z39" s="74" t="b">
        <f t="shared" si="0"/>
        <v>1</v>
      </c>
      <c r="AA39" s="63" t="s">
        <v>108</v>
      </c>
      <c r="AB39" s="74" t="b">
        <v>1</v>
      </c>
      <c r="AC39" s="3"/>
      <c r="AD39" s="74" t="b">
        <v>1</v>
      </c>
      <c r="AE39" s="3"/>
    </row>
    <row r="40" spans="1:31" ht="15.6" x14ac:dyDescent="0.25">
      <c r="A40" s="106" t="str">
        <f t="shared" si="1"/>
        <v>NOT COMPATIBLE</v>
      </c>
      <c r="B40" s="16" t="s">
        <v>128</v>
      </c>
      <c r="C40" s="12"/>
      <c r="D40" s="33" t="s">
        <v>134</v>
      </c>
      <c r="W40" s="3" t="b">
        <f t="shared" si="2"/>
        <v>0</v>
      </c>
      <c r="X40" s="74" t="b">
        <f t="shared" si="3"/>
        <v>0</v>
      </c>
      <c r="Y40" s="63" t="s">
        <v>62</v>
      </c>
      <c r="Z40" s="74" t="b">
        <f t="shared" si="0"/>
        <v>1</v>
      </c>
      <c r="AA40" s="63" t="s">
        <v>108</v>
      </c>
      <c r="AB40" s="74" t="b">
        <v>1</v>
      </c>
      <c r="AC40" s="3"/>
      <c r="AD40" s="74" t="b">
        <v>1</v>
      </c>
      <c r="AE40" s="3"/>
    </row>
    <row r="41" spans="1:31" x14ac:dyDescent="0.25">
      <c r="A41" s="106" t="str">
        <f t="shared" si="1"/>
        <v>NOT COMPATIBLE</v>
      </c>
      <c r="B41" s="16" t="s">
        <v>123</v>
      </c>
      <c r="C41" s="12"/>
      <c r="D41" s="33" t="s">
        <v>129</v>
      </c>
      <c r="W41" s="3" t="b">
        <f t="shared" si="2"/>
        <v>0</v>
      </c>
      <c r="X41" s="74" t="b">
        <f t="shared" si="3"/>
        <v>1</v>
      </c>
      <c r="Y41" s="63" t="s">
        <v>63</v>
      </c>
      <c r="Z41" s="74" t="b">
        <f t="shared" si="0"/>
        <v>0</v>
      </c>
      <c r="AA41" s="63" t="s">
        <v>109</v>
      </c>
      <c r="AB41" s="74" t="b">
        <v>1</v>
      </c>
      <c r="AC41" s="3"/>
      <c r="AD41" s="74" t="b">
        <v>1</v>
      </c>
      <c r="AE41" s="3"/>
    </row>
    <row r="42" spans="1:31" x14ac:dyDescent="0.25">
      <c r="A42" s="106" t="str">
        <f t="shared" si="1"/>
        <v>NOT COMPATIBLE</v>
      </c>
      <c r="B42" s="16" t="s">
        <v>124</v>
      </c>
      <c r="C42" s="12"/>
      <c r="D42" s="33" t="s">
        <v>130</v>
      </c>
      <c r="W42" s="3" t="b">
        <f t="shared" si="2"/>
        <v>0</v>
      </c>
      <c r="X42" s="74" t="b">
        <f t="shared" si="3"/>
        <v>1</v>
      </c>
      <c r="Y42" s="63" t="s">
        <v>63</v>
      </c>
      <c r="Z42" s="74" t="b">
        <f t="shared" si="0"/>
        <v>0</v>
      </c>
      <c r="AA42" s="63" t="s">
        <v>109</v>
      </c>
      <c r="AB42" s="74" t="b">
        <v>1</v>
      </c>
      <c r="AC42" s="3"/>
      <c r="AD42" s="74" t="b">
        <v>1</v>
      </c>
      <c r="AE42" s="3"/>
    </row>
    <row r="43" spans="1:31" x14ac:dyDescent="0.25">
      <c r="A43" s="106" t="str">
        <f t="shared" si="1"/>
        <v>NOT COMPATIBLE</v>
      </c>
      <c r="B43" s="16" t="s">
        <v>125</v>
      </c>
      <c r="C43" s="12"/>
      <c r="D43" s="33" t="s">
        <v>131</v>
      </c>
      <c r="W43" s="3" t="b">
        <f t="shared" si="2"/>
        <v>0</v>
      </c>
      <c r="X43" s="74" t="b">
        <f t="shared" si="3"/>
        <v>0</v>
      </c>
      <c r="Y43" s="63" t="s">
        <v>62</v>
      </c>
      <c r="Z43" s="74" t="b">
        <f t="shared" si="0"/>
        <v>0</v>
      </c>
      <c r="AA43" s="63" t="s">
        <v>109</v>
      </c>
      <c r="AB43" s="74" t="b">
        <v>1</v>
      </c>
      <c r="AC43" s="3"/>
      <c r="AD43" s="74" t="b">
        <v>1</v>
      </c>
      <c r="AE43" s="3"/>
    </row>
    <row r="44" spans="1:31" x14ac:dyDescent="0.25">
      <c r="A44" s="106" t="str">
        <f t="shared" si="1"/>
        <v>NOT COMPATIBLE</v>
      </c>
      <c r="B44" s="16" t="s">
        <v>77</v>
      </c>
      <c r="C44" s="12"/>
      <c r="D44" s="33" t="s">
        <v>80</v>
      </c>
      <c r="W44" s="3" t="b">
        <f t="shared" si="2"/>
        <v>0</v>
      </c>
      <c r="X44" s="74" t="b">
        <f t="shared" si="3"/>
        <v>1</v>
      </c>
      <c r="Y44" s="63" t="s">
        <v>63</v>
      </c>
      <c r="Z44" s="74" t="b">
        <f t="shared" si="0"/>
        <v>0</v>
      </c>
      <c r="AA44" s="63" t="s">
        <v>109</v>
      </c>
      <c r="AB44" s="74" t="b">
        <v>1</v>
      </c>
      <c r="AC44" s="3"/>
      <c r="AD44" s="74" t="b">
        <v>1</v>
      </c>
      <c r="AE44" s="3"/>
    </row>
    <row r="45" spans="1:31" ht="15.6" x14ac:dyDescent="0.25">
      <c r="A45" s="106" t="str">
        <f t="shared" si="1"/>
        <v>Default national: 2 - old gas boiler</v>
      </c>
      <c r="B45" s="16" t="s">
        <v>78</v>
      </c>
      <c r="C45" s="12"/>
      <c r="D45" s="33" t="s">
        <v>81</v>
      </c>
      <c r="W45" s="3" t="b">
        <f t="shared" si="2"/>
        <v>1</v>
      </c>
      <c r="X45" s="74" t="b">
        <f t="shared" si="3"/>
        <v>1</v>
      </c>
      <c r="Y45" s="63" t="s">
        <v>63</v>
      </c>
      <c r="Z45" s="74" t="b">
        <f t="shared" si="0"/>
        <v>1</v>
      </c>
      <c r="AA45" s="63" t="s">
        <v>108</v>
      </c>
      <c r="AB45" s="74" t="b">
        <v>1</v>
      </c>
      <c r="AC45" s="3"/>
      <c r="AD45" s="74" t="b">
        <v>1</v>
      </c>
      <c r="AE45" s="3"/>
    </row>
    <row r="46" spans="1:31" ht="15.6" x14ac:dyDescent="0.25">
      <c r="A46" s="106" t="str">
        <f t="shared" si="1"/>
        <v>Default national: 3 - new boiler</v>
      </c>
      <c r="B46" s="16" t="s">
        <v>79</v>
      </c>
      <c r="C46" s="12"/>
      <c r="D46" s="33" t="s">
        <v>82</v>
      </c>
      <c r="W46" s="3" t="b">
        <f t="shared" si="2"/>
        <v>1</v>
      </c>
      <c r="X46" s="74" t="b">
        <f t="shared" si="3"/>
        <v>1</v>
      </c>
      <c r="Y46" s="63" t="s">
        <v>63</v>
      </c>
      <c r="Z46" s="74" t="b">
        <f t="shared" si="0"/>
        <v>1</v>
      </c>
      <c r="AA46" s="63" t="s">
        <v>108</v>
      </c>
      <c r="AB46" s="74" t="b">
        <v>1</v>
      </c>
      <c r="AC46" s="3"/>
      <c r="AD46" s="74" t="b">
        <v>1</v>
      </c>
      <c r="AE46" s="3"/>
    </row>
    <row r="47" spans="1:31" ht="15.6" x14ac:dyDescent="0.25">
      <c r="A47" s="106" t="str">
        <f t="shared" si="1"/>
        <v>Make 1 boiler 1 gas (catalogue)</v>
      </c>
      <c r="B47" s="19" t="s">
        <v>136</v>
      </c>
      <c r="D47" s="33" t="s">
        <v>83</v>
      </c>
      <c r="W47" s="3" t="b">
        <f t="shared" si="2"/>
        <v>1</v>
      </c>
      <c r="X47" s="74" t="b">
        <f t="shared" si="3"/>
        <v>1</v>
      </c>
      <c r="Y47" s="63" t="s">
        <v>63</v>
      </c>
      <c r="Z47" s="74" t="b">
        <f t="shared" si="0"/>
        <v>1</v>
      </c>
      <c r="AA47" s="63" t="s">
        <v>108</v>
      </c>
      <c r="AB47" s="74" t="b">
        <v>1</v>
      </c>
      <c r="AC47" s="3"/>
      <c r="AD47" s="74" t="b">
        <v>1</v>
      </c>
      <c r="AE47" s="3"/>
    </row>
    <row r="48" spans="1:31" x14ac:dyDescent="0.25">
      <c r="A48" s="106" t="str">
        <f t="shared" si="1"/>
        <v>NOT COMPATIBLE</v>
      </c>
      <c r="B48" s="19" t="s">
        <v>135</v>
      </c>
      <c r="D48" s="33" t="s">
        <v>84</v>
      </c>
      <c r="W48" s="3" t="b">
        <f t="shared" si="2"/>
        <v>0</v>
      </c>
      <c r="X48" s="74" t="b">
        <f t="shared" si="3"/>
        <v>1</v>
      </c>
      <c r="Y48" s="63" t="s">
        <v>63</v>
      </c>
      <c r="Z48" s="74" t="b">
        <f t="shared" si="0"/>
        <v>0</v>
      </c>
      <c r="AA48" s="63" t="s">
        <v>109</v>
      </c>
      <c r="AB48" s="74" t="b">
        <v>1</v>
      </c>
      <c r="AC48" s="3"/>
      <c r="AD48" s="74" t="b">
        <v>1</v>
      </c>
      <c r="AE48" s="3"/>
    </row>
    <row r="49" spans="1:31" ht="15.6" x14ac:dyDescent="0.25">
      <c r="A49" s="106" t="str">
        <f t="shared" si="1"/>
        <v>Custom values</v>
      </c>
      <c r="B49" s="70" t="s">
        <v>65</v>
      </c>
      <c r="C49" s="23"/>
      <c r="D49" s="34" t="s">
        <v>69</v>
      </c>
      <c r="W49" s="3" t="b">
        <f t="shared" si="2"/>
        <v>1</v>
      </c>
      <c r="X49" s="74" t="b">
        <f t="shared" si="3"/>
        <v>1</v>
      </c>
      <c r="Y49" s="63" t="s">
        <v>63</v>
      </c>
      <c r="Z49" s="74" t="b">
        <f t="shared" si="0"/>
        <v>1</v>
      </c>
      <c r="AA49" s="63" t="s">
        <v>108</v>
      </c>
      <c r="AB49" s="74" t="b">
        <v>1</v>
      </c>
      <c r="AC49" s="3"/>
      <c r="AD49" s="74" t="b">
        <v>1</v>
      </c>
      <c r="AE49" s="3"/>
    </row>
    <row r="50" spans="1:31" x14ac:dyDescent="0.25">
      <c r="I50" s="12"/>
    </row>
    <row r="51" spans="1:31" x14ac:dyDescent="0.25">
      <c r="I51" s="12"/>
    </row>
    <row r="52" spans="1:31" ht="13.8" x14ac:dyDescent="0.25">
      <c r="A52" s="37" t="s">
        <v>70</v>
      </c>
      <c r="B52" s="37"/>
      <c r="I52" s="12"/>
    </row>
    <row r="53" spans="1:31" x14ac:dyDescent="0.25">
      <c r="I53" s="12"/>
    </row>
    <row r="54" spans="1:31" x14ac:dyDescent="0.25">
      <c r="A54" s="101" t="s">
        <v>72</v>
      </c>
      <c r="B54" s="102"/>
      <c r="C54" s="41" t="s">
        <v>179</v>
      </c>
      <c r="D54" s="103" t="str">
        <f>INDEX(D57:D60,C55)</f>
        <v>LOC_INT</v>
      </c>
      <c r="I54" s="12"/>
    </row>
    <row r="55" spans="1:31" ht="21" customHeight="1" x14ac:dyDescent="0.25">
      <c r="A55" s="104"/>
      <c r="B55" s="69"/>
      <c r="C55" s="12">
        <v>1</v>
      </c>
      <c r="D55" s="105"/>
      <c r="I55" s="12"/>
    </row>
    <row r="56" spans="1:31" x14ac:dyDescent="0.25">
      <c r="A56" s="40" t="s">
        <v>59</v>
      </c>
      <c r="B56" s="72"/>
      <c r="C56" s="41"/>
      <c r="D56" s="42"/>
      <c r="I56" s="12"/>
    </row>
    <row r="57" spans="1:31" x14ac:dyDescent="0.25">
      <c r="A57" s="43" t="s">
        <v>73</v>
      </c>
      <c r="B57" s="73"/>
      <c r="C57" s="12"/>
      <c r="D57" s="33" t="s">
        <v>180</v>
      </c>
      <c r="I57" s="12"/>
    </row>
    <row r="58" spans="1:31" x14ac:dyDescent="0.25">
      <c r="A58" s="43" t="s">
        <v>74</v>
      </c>
      <c r="B58" s="73"/>
      <c r="C58" s="12"/>
      <c r="D58" s="33" t="s">
        <v>181</v>
      </c>
      <c r="I58" s="12"/>
    </row>
    <row r="59" spans="1:31" x14ac:dyDescent="0.25">
      <c r="A59" s="31" t="s">
        <v>75</v>
      </c>
      <c r="B59" s="16"/>
      <c r="C59" s="12"/>
      <c r="D59" s="33" t="s">
        <v>182</v>
      </c>
      <c r="I59" s="12"/>
    </row>
    <row r="60" spans="1:31" x14ac:dyDescent="0.25">
      <c r="A60" s="32" t="s">
        <v>76</v>
      </c>
      <c r="B60" s="70"/>
      <c r="C60" s="23"/>
      <c r="D60" s="34" t="s">
        <v>183</v>
      </c>
      <c r="I60" s="12"/>
    </row>
    <row r="61" spans="1:31" x14ac:dyDescent="0.25">
      <c r="A61" s="19"/>
      <c r="B61" s="19"/>
      <c r="I61" s="12"/>
    </row>
    <row r="62" spans="1:31" x14ac:dyDescent="0.25">
      <c r="A62" s="19"/>
      <c r="B62" s="19"/>
      <c r="I62" s="12"/>
    </row>
    <row r="63" spans="1:31" ht="13.8" x14ac:dyDescent="0.25">
      <c r="A63" s="37" t="s">
        <v>71</v>
      </c>
      <c r="B63" s="37"/>
      <c r="I63" s="12"/>
    </row>
    <row r="64" spans="1:31" x14ac:dyDescent="0.25">
      <c r="A64" s="19"/>
      <c r="B64" s="19"/>
      <c r="I64" s="12"/>
    </row>
    <row r="65" spans="1:21" ht="21.75" customHeight="1" x14ac:dyDescent="0.25">
      <c r="A65" s="19"/>
      <c r="B65" s="19"/>
      <c r="I65" s="12"/>
    </row>
    <row r="66" spans="1:21" x14ac:dyDescent="0.25">
      <c r="A66" s="19" t="s">
        <v>85</v>
      </c>
      <c r="B66" s="19"/>
      <c r="I66" s="12"/>
    </row>
    <row r="67" spans="1:21" x14ac:dyDescent="0.25">
      <c r="A67" s="19" t="s">
        <v>86</v>
      </c>
      <c r="B67" s="19"/>
      <c r="I67" s="12"/>
    </row>
    <row r="68" spans="1:21" x14ac:dyDescent="0.25">
      <c r="A68" s="19" t="s">
        <v>87</v>
      </c>
      <c r="B68" s="19"/>
      <c r="I68" s="12"/>
    </row>
    <row r="69" spans="1:21" x14ac:dyDescent="0.25">
      <c r="A69" s="19" t="s">
        <v>88</v>
      </c>
      <c r="B69" s="19"/>
      <c r="I69" s="12"/>
    </row>
    <row r="70" spans="1:21" x14ac:dyDescent="0.25">
      <c r="I70" s="12"/>
    </row>
    <row r="71" spans="1:21" ht="13.8" thickBot="1" x14ac:dyDescent="0.3">
      <c r="I71" s="12"/>
    </row>
    <row r="72" spans="1:21" ht="98.25" customHeight="1" thickBot="1" x14ac:dyDescent="0.3">
      <c r="A72" s="203" t="s">
        <v>7</v>
      </c>
      <c r="B72" s="204"/>
      <c r="C72" s="205" t="s">
        <v>67</v>
      </c>
      <c r="D72" s="205" t="s">
        <v>66</v>
      </c>
      <c r="E72" s="205" t="s">
        <v>9</v>
      </c>
      <c r="F72" s="205" t="s">
        <v>1</v>
      </c>
      <c r="G72" s="205" t="s">
        <v>6</v>
      </c>
      <c r="H72" s="206" t="s">
        <v>54</v>
      </c>
      <c r="I72" s="12"/>
      <c r="J72" s="57" t="str">
        <f>+D38</f>
        <v>BLR_DATA_GAS_STD</v>
      </c>
      <c r="K72" s="57" t="str">
        <f>+D39</f>
        <v>BLR_DATA_GAS_LT</v>
      </c>
      <c r="L72" s="57" t="str">
        <f>+D40</f>
        <v>BLR_DATA_GAS_CND</v>
      </c>
      <c r="M72" s="57" t="str">
        <f>+D41</f>
        <v>BLR_DATA_OIL_STD</v>
      </c>
      <c r="N72" s="57" t="str">
        <f>+D42</f>
        <v>BLR_DATA_OIL_LT</v>
      </c>
      <c r="O72" s="57" t="str">
        <f>+D43</f>
        <v>BLR_DATA_OIL_CND</v>
      </c>
      <c r="P72" s="57" t="str">
        <f>+D44</f>
        <v>BLR_DATA_NAT_1</v>
      </c>
      <c r="Q72" s="57" t="str">
        <f>+D45</f>
        <v>BLR_DATA_NAT_2</v>
      </c>
      <c r="R72" s="57" t="str">
        <f>+D46</f>
        <v>BLR_DATA_NAT_3</v>
      </c>
      <c r="S72" s="57" t="str">
        <f>+D47</f>
        <v>BLR_DATA_CAT_01</v>
      </c>
      <c r="T72" s="57" t="str">
        <f>+D48</f>
        <v>BLR_DATA_CAT_02</v>
      </c>
      <c r="U72" s="57" t="str">
        <f>+D49</f>
        <v>BLR_DATA_USR</v>
      </c>
    </row>
    <row r="73" spans="1:21" ht="15.6" x14ac:dyDescent="0.25">
      <c r="A73" s="64" t="s">
        <v>12</v>
      </c>
      <c r="B73" s="64"/>
      <c r="C73" s="9"/>
      <c r="D73" s="9"/>
      <c r="E73" s="65" t="s">
        <v>26</v>
      </c>
      <c r="F73" s="66" t="s">
        <v>39</v>
      </c>
      <c r="G73" s="9">
        <f>INDEX(J73:U73,1,$C$36)</f>
        <v>60</v>
      </c>
      <c r="H73" s="9"/>
      <c r="I73" s="68"/>
      <c r="J73" s="58">
        <f t="shared" ref="J73:R73" si="4">+$G$31</f>
        <v>60</v>
      </c>
      <c r="K73" s="58">
        <f t="shared" si="4"/>
        <v>60</v>
      </c>
      <c r="L73" s="58">
        <f t="shared" si="4"/>
        <v>60</v>
      </c>
      <c r="M73" s="58">
        <f t="shared" si="4"/>
        <v>60</v>
      </c>
      <c r="N73" s="58">
        <f t="shared" si="4"/>
        <v>60</v>
      </c>
      <c r="O73" s="58">
        <f t="shared" si="4"/>
        <v>60</v>
      </c>
      <c r="P73" s="58">
        <f t="shared" si="4"/>
        <v>60</v>
      </c>
      <c r="Q73" s="58">
        <f t="shared" si="4"/>
        <v>60</v>
      </c>
      <c r="R73" s="58">
        <f t="shared" si="4"/>
        <v>60</v>
      </c>
      <c r="S73" s="59">
        <v>45</v>
      </c>
      <c r="T73" s="59">
        <v>30</v>
      </c>
      <c r="U73" s="58">
        <f>+$G$31</f>
        <v>60</v>
      </c>
    </row>
    <row r="74" spans="1:21" ht="26.4" x14ac:dyDescent="0.25">
      <c r="A74" s="54" t="s">
        <v>103</v>
      </c>
      <c r="B74" s="54"/>
      <c r="C74" s="3"/>
      <c r="D74" s="3"/>
      <c r="E74" s="26"/>
      <c r="F74" s="52"/>
      <c r="G74" s="3" t="str">
        <f>INDEX(J74:U74,1,$C$36)</f>
        <v>BLR_COND_NO</v>
      </c>
      <c r="H74" s="3"/>
      <c r="I74" s="68"/>
      <c r="J74" s="107" t="s">
        <v>63</v>
      </c>
      <c r="K74" s="107" t="s">
        <v>63</v>
      </c>
      <c r="L74" s="107" t="s">
        <v>62</v>
      </c>
      <c r="M74" s="107" t="s">
        <v>63</v>
      </c>
      <c r="N74" s="107" t="s">
        <v>63</v>
      </c>
      <c r="O74" s="107" t="s">
        <v>62</v>
      </c>
      <c r="P74" s="107" t="s">
        <v>63</v>
      </c>
      <c r="Q74" s="107" t="s">
        <v>63</v>
      </c>
      <c r="R74" s="107" t="s">
        <v>63</v>
      </c>
      <c r="S74" s="107" t="s">
        <v>63</v>
      </c>
      <c r="T74" s="107" t="s">
        <v>63</v>
      </c>
      <c r="U74" s="107" t="s">
        <v>62</v>
      </c>
    </row>
    <row r="75" spans="1:21" ht="24.75" customHeight="1" x14ac:dyDescent="0.25">
      <c r="A75" s="64" t="s">
        <v>137</v>
      </c>
      <c r="B75" s="64"/>
      <c r="C75" s="9"/>
      <c r="D75" s="9"/>
      <c r="E75" s="65"/>
      <c r="F75" s="66"/>
      <c r="G75" s="208" t="str">
        <f>INDEX(J75:U75,1,$C$36)</f>
        <v>BLR_FUEL_GAS</v>
      </c>
      <c r="H75" s="3"/>
      <c r="I75" s="68"/>
      <c r="J75" s="108" t="s">
        <v>108</v>
      </c>
      <c r="K75" s="108" t="s">
        <v>108</v>
      </c>
      <c r="L75" s="108" t="s">
        <v>108</v>
      </c>
      <c r="M75" s="108" t="s">
        <v>109</v>
      </c>
      <c r="N75" s="108" t="s">
        <v>109</v>
      </c>
      <c r="O75" s="108" t="s">
        <v>109</v>
      </c>
      <c r="P75" s="108" t="s">
        <v>109</v>
      </c>
      <c r="Q75" s="108" t="s">
        <v>108</v>
      </c>
      <c r="R75" s="108" t="s">
        <v>108</v>
      </c>
      <c r="S75" s="108" t="s">
        <v>108</v>
      </c>
      <c r="T75" s="108" t="s">
        <v>109</v>
      </c>
      <c r="U75" s="108" t="s">
        <v>108</v>
      </c>
    </row>
    <row r="76" spans="1:21" s="207" customFormat="1" ht="24.75" customHeight="1" x14ac:dyDescent="0.25">
      <c r="A76" s="210" t="s">
        <v>189</v>
      </c>
      <c r="B76" s="64"/>
      <c r="C76" s="9"/>
      <c r="D76" s="9"/>
      <c r="E76" s="65"/>
      <c r="F76" s="66"/>
      <c r="G76" s="208" t="str">
        <f>INDEX(J76:U76,1,$C$36)</f>
        <v>BLR_CE_YES</v>
      </c>
      <c r="H76" s="208"/>
      <c r="I76" s="68"/>
      <c r="J76" s="108" t="s">
        <v>187</v>
      </c>
      <c r="K76" s="108" t="s">
        <v>187</v>
      </c>
      <c r="L76" s="108" t="s">
        <v>187</v>
      </c>
      <c r="M76" s="108" t="s">
        <v>187</v>
      </c>
      <c r="N76" s="108" t="s">
        <v>187</v>
      </c>
      <c r="O76" s="108" t="s">
        <v>187</v>
      </c>
      <c r="P76" s="108" t="s">
        <v>187</v>
      </c>
      <c r="Q76" s="108" t="s">
        <v>187</v>
      </c>
      <c r="R76" s="108" t="s">
        <v>187</v>
      </c>
      <c r="S76" s="108" t="s">
        <v>187</v>
      </c>
      <c r="T76" s="108" t="s">
        <v>188</v>
      </c>
      <c r="U76" s="108" t="s">
        <v>187</v>
      </c>
    </row>
    <row r="77" spans="1:21" ht="18" customHeight="1" thickBot="1" x14ac:dyDescent="0.3">
      <c r="A77" s="134" t="s">
        <v>138</v>
      </c>
      <c r="B77" s="134"/>
      <c r="C77" s="68"/>
      <c r="D77" s="68"/>
      <c r="E77" s="44" t="s">
        <v>139</v>
      </c>
      <c r="F77" s="135" t="s">
        <v>39</v>
      </c>
      <c r="G77" s="68"/>
      <c r="H77" s="109"/>
      <c r="I77" s="68"/>
      <c r="J77" s="136">
        <f>IF(J73&gt;400,400,J73)</f>
        <v>60</v>
      </c>
      <c r="K77" s="136">
        <f t="shared" ref="K77:U77" si="5">IF(K73&gt;400,400,K73)</f>
        <v>60</v>
      </c>
      <c r="L77" s="136">
        <f t="shared" si="5"/>
        <v>60</v>
      </c>
      <c r="M77" s="136">
        <f t="shared" si="5"/>
        <v>60</v>
      </c>
      <c r="N77" s="136">
        <f t="shared" si="5"/>
        <v>60</v>
      </c>
      <c r="O77" s="136">
        <f t="shared" si="5"/>
        <v>60</v>
      </c>
      <c r="P77" s="136">
        <f t="shared" si="5"/>
        <v>60</v>
      </c>
      <c r="Q77" s="136">
        <f t="shared" si="5"/>
        <v>60</v>
      </c>
      <c r="R77" s="136">
        <f t="shared" si="5"/>
        <v>60</v>
      </c>
      <c r="S77" s="136">
        <f t="shared" si="5"/>
        <v>45</v>
      </c>
      <c r="T77" s="136">
        <f t="shared" si="5"/>
        <v>30</v>
      </c>
      <c r="U77" s="136">
        <f t="shared" si="5"/>
        <v>60</v>
      </c>
    </row>
    <row r="78" spans="1:21" s="78" customFormat="1" x14ac:dyDescent="0.25">
      <c r="A78" s="110"/>
      <c r="B78" s="111"/>
      <c r="C78" s="28"/>
      <c r="D78" s="28"/>
      <c r="E78" s="29" t="s">
        <v>93</v>
      </c>
      <c r="F78" s="29" t="s">
        <v>44</v>
      </c>
      <c r="G78" s="28"/>
      <c r="H78" s="28"/>
      <c r="I78" s="112"/>
      <c r="J78" s="113">
        <v>85</v>
      </c>
      <c r="K78" s="113">
        <v>88</v>
      </c>
      <c r="L78" s="113">
        <v>94</v>
      </c>
      <c r="M78" s="113">
        <v>85</v>
      </c>
      <c r="N78" s="113">
        <v>88</v>
      </c>
      <c r="O78" s="113">
        <v>94</v>
      </c>
      <c r="P78" s="113">
        <v>92</v>
      </c>
      <c r="Q78" s="113">
        <v>91</v>
      </c>
      <c r="R78" s="113">
        <v>93</v>
      </c>
      <c r="S78" s="114"/>
      <c r="T78" s="114"/>
      <c r="U78" s="114"/>
    </row>
    <row r="79" spans="1:21" s="12" customFormat="1" x14ac:dyDescent="0.25">
      <c r="A79" s="115"/>
      <c r="B79" s="54"/>
      <c r="C79" s="3"/>
      <c r="D79" s="3"/>
      <c r="E79" s="21" t="s">
        <v>94</v>
      </c>
      <c r="F79" s="21" t="s">
        <v>44</v>
      </c>
      <c r="G79" s="3"/>
      <c r="H79" s="3"/>
      <c r="I79" s="68"/>
      <c r="J79" s="59">
        <v>2</v>
      </c>
      <c r="K79" s="59">
        <v>1.5</v>
      </c>
      <c r="L79" s="59">
        <v>1</v>
      </c>
      <c r="M79" s="59">
        <v>2</v>
      </c>
      <c r="N79" s="59">
        <v>1.5</v>
      </c>
      <c r="O79" s="59">
        <v>1</v>
      </c>
      <c r="P79" s="59">
        <v>0</v>
      </c>
      <c r="Q79" s="59">
        <v>0</v>
      </c>
      <c r="R79" s="59">
        <v>0</v>
      </c>
      <c r="S79" s="60"/>
      <c r="T79" s="60"/>
      <c r="U79" s="60"/>
    </row>
    <row r="80" spans="1:21" s="124" customFormat="1" ht="43.5" customHeight="1" thickBot="1" x14ac:dyDescent="0.3">
      <c r="A80" s="116" t="s">
        <v>13</v>
      </c>
      <c r="B80" s="117"/>
      <c r="C80" s="5"/>
      <c r="D80" s="118"/>
      <c r="E80" s="119" t="s">
        <v>27</v>
      </c>
      <c r="F80" s="120" t="s">
        <v>44</v>
      </c>
      <c r="G80" s="121">
        <f>INDEX(J80:U80,1,$C$36)</f>
        <v>90.667226875575466</v>
      </c>
      <c r="H80" s="5"/>
      <c r="I80" s="122"/>
      <c r="J80" s="121">
        <f>J78+J79*LOG10(J77)</f>
        <v>88.556302500767288</v>
      </c>
      <c r="K80" s="121">
        <f t="shared" ref="K80:R80" si="6">K78+K79*LOG10(K77)</f>
        <v>90.667226875575466</v>
      </c>
      <c r="L80" s="121">
        <f t="shared" si="6"/>
        <v>95.778151250383644</v>
      </c>
      <c r="M80" s="121">
        <f t="shared" si="6"/>
        <v>88.556302500767288</v>
      </c>
      <c r="N80" s="121">
        <f t="shared" si="6"/>
        <v>90.667226875575466</v>
      </c>
      <c r="O80" s="121">
        <f t="shared" si="6"/>
        <v>95.778151250383644</v>
      </c>
      <c r="P80" s="121">
        <f t="shared" si="6"/>
        <v>92</v>
      </c>
      <c r="Q80" s="121">
        <f t="shared" si="6"/>
        <v>91</v>
      </c>
      <c r="R80" s="121">
        <f t="shared" si="6"/>
        <v>93</v>
      </c>
      <c r="S80" s="123">
        <v>94</v>
      </c>
      <c r="T80" s="123">
        <v>92</v>
      </c>
      <c r="U80" s="123">
        <v>93</v>
      </c>
    </row>
    <row r="81" spans="1:21" ht="16.2" thickBot="1" x14ac:dyDescent="0.3">
      <c r="A81" s="134" t="s">
        <v>16</v>
      </c>
      <c r="B81" s="134"/>
      <c r="C81" s="68"/>
      <c r="D81" s="68"/>
      <c r="E81" s="137" t="s">
        <v>30</v>
      </c>
      <c r="F81" s="135" t="s">
        <v>39</v>
      </c>
      <c r="G81" s="68">
        <f>INDEX(J81:U81,1,$C$36)</f>
        <v>18</v>
      </c>
      <c r="H81" s="68"/>
      <c r="I81" s="68"/>
      <c r="J81" s="138">
        <f>+J73*0.3</f>
        <v>18</v>
      </c>
      <c r="K81" s="138">
        <f t="shared" ref="K81:U81" si="7">+K73*0.3</f>
        <v>18</v>
      </c>
      <c r="L81" s="138">
        <f t="shared" si="7"/>
        <v>18</v>
      </c>
      <c r="M81" s="138">
        <f>+M73*0.3</f>
        <v>18</v>
      </c>
      <c r="N81" s="138">
        <f>+N73*0.3</f>
        <v>18</v>
      </c>
      <c r="O81" s="138">
        <f>+O73*0.3</f>
        <v>18</v>
      </c>
      <c r="P81" s="138">
        <f t="shared" si="7"/>
        <v>18</v>
      </c>
      <c r="Q81" s="138">
        <f t="shared" si="7"/>
        <v>18</v>
      </c>
      <c r="R81" s="138">
        <f t="shared" si="7"/>
        <v>18</v>
      </c>
      <c r="S81" s="138">
        <f t="shared" si="7"/>
        <v>13.5</v>
      </c>
      <c r="T81" s="138">
        <f t="shared" si="7"/>
        <v>9</v>
      </c>
      <c r="U81" s="138">
        <f t="shared" si="7"/>
        <v>18</v>
      </c>
    </row>
    <row r="82" spans="1:21" s="78" customFormat="1" x14ac:dyDescent="0.25">
      <c r="A82" s="110"/>
      <c r="B82" s="111"/>
      <c r="C82" s="28"/>
      <c r="D82" s="28"/>
      <c r="E82" s="29" t="s">
        <v>95</v>
      </c>
      <c r="F82" s="29" t="s">
        <v>44</v>
      </c>
      <c r="G82" s="28"/>
      <c r="H82" s="28"/>
      <c r="I82" s="112"/>
      <c r="J82" s="113">
        <v>81.5</v>
      </c>
      <c r="K82" s="113">
        <v>89</v>
      </c>
      <c r="L82" s="113">
        <v>98</v>
      </c>
      <c r="M82" s="113">
        <v>81.5</v>
      </c>
      <c r="N82" s="113">
        <v>89</v>
      </c>
      <c r="O82" s="113">
        <f>98/1.05</f>
        <v>93.333333333333329</v>
      </c>
      <c r="P82" s="113">
        <v>90</v>
      </c>
      <c r="Q82" s="113">
        <v>89</v>
      </c>
      <c r="R82" s="113">
        <v>91</v>
      </c>
      <c r="S82" s="114"/>
      <c r="T82" s="114"/>
      <c r="U82" s="114"/>
    </row>
    <row r="83" spans="1:21" s="12" customFormat="1" x14ac:dyDescent="0.25">
      <c r="A83" s="115"/>
      <c r="B83" s="54"/>
      <c r="C83" s="3"/>
      <c r="D83" s="3"/>
      <c r="E83" s="21" t="s">
        <v>96</v>
      </c>
      <c r="F83" s="21" t="s">
        <v>44</v>
      </c>
      <c r="G83" s="3"/>
      <c r="H83" s="3"/>
      <c r="I83" s="68"/>
      <c r="J83" s="59">
        <v>3</v>
      </c>
      <c r="K83" s="59">
        <v>1.5</v>
      </c>
      <c r="L83" s="59">
        <v>1</v>
      </c>
      <c r="M83" s="59">
        <v>3</v>
      </c>
      <c r="N83" s="59">
        <v>1.5</v>
      </c>
      <c r="O83" s="59">
        <f>1/1.05</f>
        <v>0.95238095238095233</v>
      </c>
      <c r="P83" s="59">
        <v>0</v>
      </c>
      <c r="Q83" s="59">
        <v>0</v>
      </c>
      <c r="R83" s="59">
        <v>0</v>
      </c>
      <c r="S83" s="60"/>
      <c r="T83" s="60"/>
      <c r="U83" s="60"/>
    </row>
    <row r="84" spans="1:21" s="124" customFormat="1" ht="39.75" customHeight="1" thickBot="1" x14ac:dyDescent="0.3">
      <c r="A84" s="116" t="s">
        <v>17</v>
      </c>
      <c r="B84" s="117"/>
      <c r="C84" s="5"/>
      <c r="D84" s="118"/>
      <c r="E84" s="119" t="s">
        <v>31</v>
      </c>
      <c r="F84" s="120" t="s">
        <v>44</v>
      </c>
      <c r="G84" s="121">
        <f>INDEX(J84:U84,1,$C$36)</f>
        <v>91.667226875575466</v>
      </c>
      <c r="H84" s="5"/>
      <c r="I84" s="122"/>
      <c r="J84" s="121">
        <f>J82+J83*LOG10(J77)</f>
        <v>86.834453751150932</v>
      </c>
      <c r="K84" s="121">
        <f t="shared" ref="K84:R84" si="8">K82+K83*LOG10(K77)</f>
        <v>91.667226875575466</v>
      </c>
      <c r="L84" s="121">
        <f t="shared" si="8"/>
        <v>99.778151250383644</v>
      </c>
      <c r="M84" s="121">
        <f t="shared" si="8"/>
        <v>86.834453751150932</v>
      </c>
      <c r="N84" s="121">
        <f t="shared" si="8"/>
        <v>91.667226875575466</v>
      </c>
      <c r="O84" s="121">
        <f t="shared" si="8"/>
        <v>95.026810714651077</v>
      </c>
      <c r="P84" s="121">
        <f t="shared" si="8"/>
        <v>90</v>
      </c>
      <c r="Q84" s="121">
        <f t="shared" si="8"/>
        <v>89</v>
      </c>
      <c r="R84" s="121">
        <f t="shared" si="8"/>
        <v>91</v>
      </c>
      <c r="S84" s="123">
        <v>94</v>
      </c>
      <c r="T84" s="123">
        <v>92</v>
      </c>
      <c r="U84" s="123">
        <v>93</v>
      </c>
    </row>
    <row r="85" spans="1:21" s="78" customFormat="1" x14ac:dyDescent="0.25">
      <c r="A85" s="110"/>
      <c r="B85" s="111"/>
      <c r="C85" s="28"/>
      <c r="D85" s="28"/>
      <c r="E85" s="125" t="s">
        <v>97</v>
      </c>
      <c r="F85" s="29" t="s">
        <v>44</v>
      </c>
      <c r="G85" s="28"/>
      <c r="H85" s="28"/>
      <c r="I85" s="112"/>
      <c r="J85" s="113">
        <v>8.5</v>
      </c>
      <c r="K85" s="113">
        <v>5</v>
      </c>
      <c r="L85" s="113">
        <v>4.8</v>
      </c>
      <c r="M85" s="113">
        <v>8.5</v>
      </c>
      <c r="N85" s="113">
        <v>5</v>
      </c>
      <c r="O85" s="113">
        <v>4.8</v>
      </c>
      <c r="P85" s="113">
        <v>5</v>
      </c>
      <c r="Q85" s="113">
        <v>5</v>
      </c>
      <c r="R85" s="113">
        <v>5</v>
      </c>
      <c r="S85" s="114"/>
      <c r="T85" s="114"/>
      <c r="U85" s="114"/>
    </row>
    <row r="86" spans="1:21" s="12" customFormat="1" x14ac:dyDescent="0.25">
      <c r="A86" s="115"/>
      <c r="B86" s="54"/>
      <c r="C86" s="3"/>
      <c r="D86" s="3"/>
      <c r="E86" s="52" t="s">
        <v>98</v>
      </c>
      <c r="F86" s="21" t="s">
        <v>44</v>
      </c>
      <c r="G86" s="3"/>
      <c r="H86" s="3"/>
      <c r="I86" s="68"/>
      <c r="J86" s="59">
        <v>-0.4</v>
      </c>
      <c r="K86" s="59">
        <v>-0.35</v>
      </c>
      <c r="L86" s="59">
        <v>-0.35</v>
      </c>
      <c r="M86" s="59">
        <v>-0.4</v>
      </c>
      <c r="N86" s="59">
        <v>-0.35</v>
      </c>
      <c r="O86" s="59">
        <v>-0.35</v>
      </c>
      <c r="P86" s="59">
        <v>-0.35</v>
      </c>
      <c r="Q86" s="59">
        <v>-0.35</v>
      </c>
      <c r="R86" s="59">
        <v>-0.35</v>
      </c>
      <c r="S86" s="60"/>
      <c r="T86" s="60"/>
      <c r="U86" s="60"/>
    </row>
    <row r="87" spans="1:21" s="124" customFormat="1" ht="39.75" customHeight="1" thickBot="1" x14ac:dyDescent="0.3">
      <c r="A87" s="116" t="s">
        <v>20</v>
      </c>
      <c r="B87" s="117"/>
      <c r="C87" s="5"/>
      <c r="D87" s="118"/>
      <c r="E87" s="119" t="s">
        <v>34</v>
      </c>
      <c r="F87" s="126" t="s">
        <v>39</v>
      </c>
      <c r="G87" s="127">
        <f>INDEX(J87:U87,1,$C$36)</f>
        <v>0.71576147134151091</v>
      </c>
      <c r="H87" s="5"/>
      <c r="I87" s="122"/>
      <c r="J87" s="121">
        <f t="shared" ref="J87:R87" si="9">+J73*(J85/100)*(J73^J86)</f>
        <v>0.99153871472970456</v>
      </c>
      <c r="K87" s="121">
        <f t="shared" si="9"/>
        <v>0.71576147134151091</v>
      </c>
      <c r="L87" s="121">
        <f t="shared" si="9"/>
        <v>0.68713101248785047</v>
      </c>
      <c r="M87" s="121">
        <f>+M73*(M85/100)*(M73^M86)</f>
        <v>0.99153871472970456</v>
      </c>
      <c r="N87" s="121">
        <f>+N73*(N85/100)*(N73^N86)</f>
        <v>0.71576147134151091</v>
      </c>
      <c r="O87" s="121">
        <f>+O73*(O85/100)*(O73^O86)</f>
        <v>0.68713101248785047</v>
      </c>
      <c r="P87" s="121">
        <f t="shared" si="9"/>
        <v>0.71576147134151091</v>
      </c>
      <c r="Q87" s="121">
        <f t="shared" si="9"/>
        <v>0.71576147134151091</v>
      </c>
      <c r="R87" s="121">
        <f t="shared" si="9"/>
        <v>0.71576147134151091</v>
      </c>
      <c r="S87" s="123">
        <v>0.5</v>
      </c>
      <c r="T87" s="123">
        <v>0.6</v>
      </c>
      <c r="U87" s="123">
        <v>0.4</v>
      </c>
    </row>
    <row r="88" spans="1:21" s="78" customFormat="1" x14ac:dyDescent="0.25">
      <c r="A88" s="110"/>
      <c r="B88" s="111"/>
      <c r="C88" s="28"/>
      <c r="D88" s="28"/>
      <c r="E88" s="29" t="s">
        <v>99</v>
      </c>
      <c r="F88" s="29" t="s">
        <v>102</v>
      </c>
      <c r="G88" s="28"/>
      <c r="H88" s="28"/>
      <c r="I88" s="112"/>
      <c r="J88" s="113">
        <v>0</v>
      </c>
      <c r="K88" s="113">
        <v>0</v>
      </c>
      <c r="L88" s="113">
        <v>0</v>
      </c>
      <c r="M88" s="113">
        <v>0</v>
      </c>
      <c r="N88" s="113">
        <v>0</v>
      </c>
      <c r="O88" s="113">
        <v>0</v>
      </c>
      <c r="P88" s="113">
        <v>0</v>
      </c>
      <c r="Q88" s="113">
        <v>0</v>
      </c>
      <c r="R88" s="113">
        <v>0</v>
      </c>
      <c r="S88" s="114"/>
      <c r="T88" s="114"/>
      <c r="U88" s="114"/>
    </row>
    <row r="89" spans="1:21" s="12" customFormat="1" x14ac:dyDescent="0.25">
      <c r="A89" s="115"/>
      <c r="B89" s="54"/>
      <c r="C89" s="3"/>
      <c r="D89" s="3"/>
      <c r="E89" s="26" t="s">
        <v>100</v>
      </c>
      <c r="F89" s="21" t="s">
        <v>102</v>
      </c>
      <c r="G89" s="3"/>
      <c r="H89" s="3"/>
      <c r="I89" s="68"/>
      <c r="J89" s="59">
        <v>45</v>
      </c>
      <c r="K89" s="59">
        <v>45</v>
      </c>
      <c r="L89" s="59">
        <v>45</v>
      </c>
      <c r="M89" s="59">
        <v>45</v>
      </c>
      <c r="N89" s="59">
        <v>45</v>
      </c>
      <c r="O89" s="59">
        <v>45</v>
      </c>
      <c r="P89" s="59">
        <v>45</v>
      </c>
      <c r="Q89" s="59">
        <v>45</v>
      </c>
      <c r="R89" s="59">
        <v>45</v>
      </c>
      <c r="S89" s="60"/>
      <c r="T89" s="60"/>
      <c r="U89" s="60"/>
    </row>
    <row r="90" spans="1:21" s="12" customFormat="1" x14ac:dyDescent="0.25">
      <c r="A90" s="115"/>
      <c r="B90" s="54"/>
      <c r="C90" s="3"/>
      <c r="D90" s="3"/>
      <c r="E90" s="26" t="s">
        <v>101</v>
      </c>
      <c r="F90" s="52" t="s">
        <v>11</v>
      </c>
      <c r="G90" s="3"/>
      <c r="H90" s="3"/>
      <c r="I90" s="68"/>
      <c r="J90" s="61">
        <v>0.48</v>
      </c>
      <c r="K90" s="61">
        <v>0.48</v>
      </c>
      <c r="L90" s="61">
        <v>0.48</v>
      </c>
      <c r="M90" s="61">
        <v>0.48</v>
      </c>
      <c r="N90" s="61">
        <v>0.48</v>
      </c>
      <c r="O90" s="61">
        <v>0.48</v>
      </c>
      <c r="P90" s="61">
        <v>0.48</v>
      </c>
      <c r="Q90" s="61">
        <v>0.48</v>
      </c>
      <c r="R90" s="61">
        <v>0.48</v>
      </c>
      <c r="S90" s="60"/>
      <c r="T90" s="60"/>
      <c r="U90" s="60"/>
    </row>
    <row r="91" spans="1:21" s="124" customFormat="1" ht="42" customHeight="1" thickBot="1" x14ac:dyDescent="0.3">
      <c r="A91" s="116" t="s">
        <v>22</v>
      </c>
      <c r="B91" s="117"/>
      <c r="C91" s="5"/>
      <c r="D91" s="118"/>
      <c r="E91" s="119" t="s">
        <v>35</v>
      </c>
      <c r="F91" s="126" t="s">
        <v>39</v>
      </c>
      <c r="G91" s="127">
        <f>INDEX(J91:U91,1,$C$36)</f>
        <v>0.32116271006242814</v>
      </c>
      <c r="H91" s="5"/>
      <c r="I91" s="122"/>
      <c r="J91" s="127">
        <f t="shared" ref="J91:R91" si="10">(+J88+J89*J73^J90)/1000</f>
        <v>0.32116271006242814</v>
      </c>
      <c r="K91" s="127">
        <f t="shared" si="10"/>
        <v>0.32116271006242814</v>
      </c>
      <c r="L91" s="127">
        <f t="shared" si="10"/>
        <v>0.32116271006242814</v>
      </c>
      <c r="M91" s="127">
        <f>(+M88+M89*M73^M90)/1000</f>
        <v>0.32116271006242814</v>
      </c>
      <c r="N91" s="127">
        <f>(+N88+N89*N73^N90)/1000</f>
        <v>0.32116271006242814</v>
      </c>
      <c r="O91" s="127">
        <f>(+O88+O89*O73^O90)/1000</f>
        <v>0.32116271006242814</v>
      </c>
      <c r="P91" s="127">
        <f t="shared" si="10"/>
        <v>0.32116271006242814</v>
      </c>
      <c r="Q91" s="127">
        <f t="shared" si="10"/>
        <v>0.32116271006242814</v>
      </c>
      <c r="R91" s="127">
        <f t="shared" si="10"/>
        <v>0.32116271006242814</v>
      </c>
      <c r="S91" s="129">
        <v>0.3</v>
      </c>
      <c r="T91" s="129">
        <v>0.4</v>
      </c>
      <c r="U91" s="129">
        <v>0.6</v>
      </c>
    </row>
    <row r="92" spans="1:21" s="78" customFormat="1" x14ac:dyDescent="0.25">
      <c r="A92" s="110"/>
      <c r="B92" s="111"/>
      <c r="C92" s="28"/>
      <c r="D92" s="28"/>
      <c r="E92" s="29" t="s">
        <v>99</v>
      </c>
      <c r="F92" s="29" t="s">
        <v>102</v>
      </c>
      <c r="G92" s="28"/>
      <c r="H92" s="28"/>
      <c r="I92" s="112"/>
      <c r="J92" s="130">
        <v>0</v>
      </c>
      <c r="K92" s="130">
        <v>0</v>
      </c>
      <c r="L92" s="130">
        <v>0</v>
      </c>
      <c r="M92" s="130">
        <v>0</v>
      </c>
      <c r="N92" s="130">
        <v>0</v>
      </c>
      <c r="O92" s="130">
        <v>0</v>
      </c>
      <c r="P92" s="130">
        <v>0</v>
      </c>
      <c r="Q92" s="130">
        <v>0</v>
      </c>
      <c r="R92" s="130">
        <v>0</v>
      </c>
      <c r="S92" s="131"/>
      <c r="T92" s="131"/>
      <c r="U92" s="131"/>
    </row>
    <row r="93" spans="1:21" s="12" customFormat="1" x14ac:dyDescent="0.25">
      <c r="A93" s="115"/>
      <c r="B93" s="54"/>
      <c r="C93" s="3"/>
      <c r="D93" s="3"/>
      <c r="E93" s="26" t="s">
        <v>100</v>
      </c>
      <c r="F93" s="21" t="s">
        <v>102</v>
      </c>
      <c r="G93" s="3"/>
      <c r="H93" s="3"/>
      <c r="I93" s="68"/>
      <c r="J93" s="61">
        <v>15</v>
      </c>
      <c r="K93" s="61">
        <v>15</v>
      </c>
      <c r="L93" s="61">
        <v>15</v>
      </c>
      <c r="M93" s="61">
        <v>15</v>
      </c>
      <c r="N93" s="61">
        <v>15</v>
      </c>
      <c r="O93" s="61">
        <v>15</v>
      </c>
      <c r="P93" s="61">
        <v>15</v>
      </c>
      <c r="Q93" s="61">
        <v>15</v>
      </c>
      <c r="R93" s="61">
        <v>15</v>
      </c>
      <c r="S93" s="51"/>
      <c r="T93" s="51"/>
      <c r="U93" s="51"/>
    </row>
    <row r="94" spans="1:21" s="12" customFormat="1" x14ac:dyDescent="0.25">
      <c r="A94" s="115"/>
      <c r="B94" s="54"/>
      <c r="C94" s="3"/>
      <c r="D94" s="3"/>
      <c r="E94" s="26" t="s">
        <v>101</v>
      </c>
      <c r="F94" s="52" t="s">
        <v>11</v>
      </c>
      <c r="G94" s="3"/>
      <c r="H94" s="3"/>
      <c r="I94" s="68"/>
      <c r="J94" s="61">
        <v>0.48</v>
      </c>
      <c r="K94" s="61">
        <v>0.48</v>
      </c>
      <c r="L94" s="61">
        <v>0.48</v>
      </c>
      <c r="M94" s="61">
        <v>0.48</v>
      </c>
      <c r="N94" s="61">
        <v>0.48</v>
      </c>
      <c r="O94" s="61">
        <v>0.48</v>
      </c>
      <c r="P94" s="61">
        <v>0.48</v>
      </c>
      <c r="Q94" s="61">
        <v>0.48</v>
      </c>
      <c r="R94" s="61">
        <v>0.48</v>
      </c>
      <c r="S94" s="51"/>
      <c r="T94" s="51"/>
      <c r="U94" s="51"/>
    </row>
    <row r="95" spans="1:21" s="124" customFormat="1" ht="44.25" customHeight="1" thickBot="1" x14ac:dyDescent="0.3">
      <c r="A95" s="116" t="s">
        <v>23</v>
      </c>
      <c r="B95" s="117"/>
      <c r="C95" s="5"/>
      <c r="D95" s="5"/>
      <c r="E95" s="119" t="s">
        <v>36</v>
      </c>
      <c r="F95" s="126" t="s">
        <v>39</v>
      </c>
      <c r="G95" s="127">
        <f>INDEX(J95:U95,1,$C$36)</f>
        <v>6.0065080230017151E-2</v>
      </c>
      <c r="H95" s="5"/>
      <c r="I95" s="122"/>
      <c r="J95" s="127">
        <f t="shared" ref="J95:R95" si="11">(+J92+J93*J81^J94)/1000</f>
        <v>6.0065080230017151E-2</v>
      </c>
      <c r="K95" s="127">
        <f t="shared" si="11"/>
        <v>6.0065080230017151E-2</v>
      </c>
      <c r="L95" s="127">
        <f t="shared" si="11"/>
        <v>6.0065080230017151E-2</v>
      </c>
      <c r="M95" s="127">
        <f>(+M92+M93*M81^M94)/1000</f>
        <v>6.0065080230017151E-2</v>
      </c>
      <c r="N95" s="127">
        <f>(+N92+N93*N81^N94)/1000</f>
        <v>6.0065080230017151E-2</v>
      </c>
      <c r="O95" s="127">
        <f>(+O92+O93*O81^O94)/1000</f>
        <v>6.0065080230017151E-2</v>
      </c>
      <c r="P95" s="127">
        <f t="shared" si="11"/>
        <v>6.0065080230017151E-2</v>
      </c>
      <c r="Q95" s="127">
        <f t="shared" si="11"/>
        <v>6.0065080230017151E-2</v>
      </c>
      <c r="R95" s="127">
        <f t="shared" si="11"/>
        <v>6.0065080230017151E-2</v>
      </c>
      <c r="S95" s="132">
        <v>0.1</v>
      </c>
      <c r="T95" s="132">
        <v>7.0000000000000007E-2</v>
      </c>
      <c r="U95" s="132">
        <v>0.05</v>
      </c>
    </row>
    <row r="96" spans="1:21" s="78" customFormat="1" x14ac:dyDescent="0.25">
      <c r="A96" s="110"/>
      <c r="B96" s="111"/>
      <c r="C96" s="28"/>
      <c r="D96" s="28"/>
      <c r="E96" s="29" t="s">
        <v>99</v>
      </c>
      <c r="F96" s="29" t="s">
        <v>102</v>
      </c>
      <c r="G96" s="131"/>
      <c r="H96" s="28"/>
      <c r="I96" s="112"/>
      <c r="J96" s="140">
        <v>15</v>
      </c>
      <c r="K96" s="140">
        <v>15</v>
      </c>
      <c r="L96" s="140">
        <v>15</v>
      </c>
      <c r="M96" s="140">
        <v>15</v>
      </c>
      <c r="N96" s="140">
        <v>15</v>
      </c>
      <c r="O96" s="140">
        <v>15</v>
      </c>
      <c r="P96" s="140">
        <v>15</v>
      </c>
      <c r="Q96" s="140">
        <v>15</v>
      </c>
      <c r="R96" s="140">
        <v>15</v>
      </c>
      <c r="S96" s="131"/>
      <c r="T96" s="131"/>
      <c r="U96" s="131"/>
    </row>
    <row r="97" spans="1:21" s="12" customFormat="1" x14ac:dyDescent="0.25">
      <c r="A97" s="115"/>
      <c r="B97" s="54"/>
      <c r="C97" s="3"/>
      <c r="D97" s="3"/>
      <c r="E97" s="26" t="s">
        <v>100</v>
      </c>
      <c r="F97" s="21" t="s">
        <v>102</v>
      </c>
      <c r="G97" s="51"/>
      <c r="H97" s="3"/>
      <c r="I97" s="68"/>
      <c r="J97" s="141">
        <v>0</v>
      </c>
      <c r="K97" s="141">
        <v>0</v>
      </c>
      <c r="L97" s="141">
        <v>0</v>
      </c>
      <c r="M97" s="141">
        <v>0</v>
      </c>
      <c r="N97" s="141">
        <v>0</v>
      </c>
      <c r="O97" s="141">
        <v>0</v>
      </c>
      <c r="P97" s="141">
        <v>0</v>
      </c>
      <c r="Q97" s="141">
        <v>0</v>
      </c>
      <c r="R97" s="141">
        <v>0</v>
      </c>
      <c r="S97" s="51"/>
      <c r="T97" s="51"/>
      <c r="U97" s="51"/>
    </row>
    <row r="98" spans="1:21" s="12" customFormat="1" x14ac:dyDescent="0.25">
      <c r="A98" s="115"/>
      <c r="B98" s="54"/>
      <c r="C98" s="3"/>
      <c r="D98" s="3"/>
      <c r="E98" s="26" t="s">
        <v>101</v>
      </c>
      <c r="F98" s="52" t="s">
        <v>11</v>
      </c>
      <c r="G98" s="51"/>
      <c r="H98" s="3"/>
      <c r="I98" s="68"/>
      <c r="J98" s="141">
        <v>0</v>
      </c>
      <c r="K98" s="141">
        <v>0</v>
      </c>
      <c r="L98" s="141">
        <v>0</v>
      </c>
      <c r="M98" s="141">
        <v>0</v>
      </c>
      <c r="N98" s="141">
        <v>0</v>
      </c>
      <c r="O98" s="141">
        <v>0</v>
      </c>
      <c r="P98" s="141">
        <v>0</v>
      </c>
      <c r="Q98" s="141">
        <v>0</v>
      </c>
      <c r="R98" s="141">
        <v>0</v>
      </c>
      <c r="S98" s="51"/>
      <c r="T98" s="51"/>
      <c r="U98" s="51"/>
    </row>
    <row r="99" spans="1:21" s="124" customFormat="1" ht="42.75" customHeight="1" thickBot="1" x14ac:dyDescent="0.3">
      <c r="A99" s="116" t="s">
        <v>24</v>
      </c>
      <c r="B99" s="117"/>
      <c r="C99" s="5"/>
      <c r="D99" s="5"/>
      <c r="E99" s="119" t="s">
        <v>37</v>
      </c>
      <c r="F99" s="126" t="s">
        <v>39</v>
      </c>
      <c r="G99" s="5">
        <f>INDEX(J99:U99,1,$C$36)</f>
        <v>1.4999999999999999E-2</v>
      </c>
      <c r="H99" s="5"/>
      <c r="I99" s="122"/>
      <c r="J99" s="127">
        <f t="shared" ref="J99:R99" si="12">(+J96+J97*J85^J98)/1000</f>
        <v>1.4999999999999999E-2</v>
      </c>
      <c r="K99" s="127">
        <f t="shared" si="12"/>
        <v>1.4999999999999999E-2</v>
      </c>
      <c r="L99" s="127">
        <f t="shared" si="12"/>
        <v>1.4999999999999999E-2</v>
      </c>
      <c r="M99" s="127">
        <f t="shared" si="12"/>
        <v>1.4999999999999999E-2</v>
      </c>
      <c r="N99" s="127">
        <f t="shared" si="12"/>
        <v>1.4999999999999999E-2</v>
      </c>
      <c r="O99" s="127">
        <f t="shared" si="12"/>
        <v>1.4999999999999999E-2</v>
      </c>
      <c r="P99" s="127">
        <f t="shared" si="12"/>
        <v>1.4999999999999999E-2</v>
      </c>
      <c r="Q99" s="127">
        <f t="shared" si="12"/>
        <v>1.4999999999999999E-2</v>
      </c>
      <c r="R99" s="127">
        <f t="shared" si="12"/>
        <v>1.4999999999999999E-2</v>
      </c>
      <c r="S99" s="129">
        <v>0</v>
      </c>
      <c r="T99" s="129">
        <v>0</v>
      </c>
      <c r="U99" s="129">
        <v>0</v>
      </c>
    </row>
    <row r="100" spans="1:21" ht="26.4" x14ac:dyDescent="0.35">
      <c r="A100" s="64" t="s">
        <v>48</v>
      </c>
      <c r="B100" s="64"/>
      <c r="C100" s="9"/>
      <c r="D100" s="9"/>
      <c r="E100" s="133" t="s">
        <v>49</v>
      </c>
      <c r="F100" s="66" t="s">
        <v>39</v>
      </c>
      <c r="G100" s="9">
        <f>INDEX(J100:U100,1,$C$36)</f>
        <v>0</v>
      </c>
      <c r="H100" s="9"/>
      <c r="I100" s="68"/>
      <c r="J100" s="128">
        <v>0</v>
      </c>
      <c r="K100" s="128">
        <v>0</v>
      </c>
      <c r="L100" s="128">
        <v>0</v>
      </c>
      <c r="M100" s="128">
        <v>0</v>
      </c>
      <c r="N100" s="128">
        <v>0</v>
      </c>
      <c r="O100" s="128">
        <v>0</v>
      </c>
      <c r="P100" s="128">
        <v>0</v>
      </c>
      <c r="Q100" s="128">
        <v>0</v>
      </c>
      <c r="R100" s="128">
        <v>0</v>
      </c>
      <c r="S100" s="128">
        <v>0</v>
      </c>
      <c r="T100" s="128">
        <v>0</v>
      </c>
      <c r="U100" s="128">
        <v>0</v>
      </c>
    </row>
    <row r="101" spans="1:21" ht="15.6" x14ac:dyDescent="0.25">
      <c r="A101" s="54" t="s">
        <v>25</v>
      </c>
      <c r="B101" s="54"/>
      <c r="C101" s="3"/>
      <c r="D101" s="3"/>
      <c r="E101" s="26" t="s">
        <v>38</v>
      </c>
      <c r="F101" s="21" t="s">
        <v>40</v>
      </c>
      <c r="G101" s="3">
        <f>INDEX(J101:U101,1,$C$36)</f>
        <v>30</v>
      </c>
      <c r="H101" s="3"/>
      <c r="I101" s="68"/>
      <c r="J101" s="62">
        <v>50</v>
      </c>
      <c r="K101" s="62">
        <v>30</v>
      </c>
      <c r="L101" s="62">
        <v>0</v>
      </c>
      <c r="M101" s="62">
        <v>50</v>
      </c>
      <c r="N101" s="62">
        <v>30</v>
      </c>
      <c r="O101" s="62">
        <v>0</v>
      </c>
      <c r="P101" s="62">
        <v>50</v>
      </c>
      <c r="Q101" s="62">
        <v>50</v>
      </c>
      <c r="R101" s="62">
        <v>50</v>
      </c>
      <c r="S101" s="62">
        <v>50</v>
      </c>
      <c r="T101" s="62">
        <v>50</v>
      </c>
      <c r="U101" s="62">
        <v>50</v>
      </c>
    </row>
    <row r="102" spans="1:21" ht="15.6" x14ac:dyDescent="0.35">
      <c r="A102" s="48" t="s">
        <v>53</v>
      </c>
      <c r="B102" s="48"/>
      <c r="C102" s="3"/>
      <c r="D102" s="3"/>
      <c r="E102" s="55" t="s">
        <v>52</v>
      </c>
      <c r="F102" s="52" t="s">
        <v>11</v>
      </c>
      <c r="G102" s="3">
        <f>INDEX(J102:U102,1,$C$36)</f>
        <v>0.5</v>
      </c>
      <c r="H102" s="3"/>
      <c r="I102" s="68"/>
      <c r="J102" s="62">
        <v>0.5</v>
      </c>
      <c r="K102" s="62">
        <v>0.5</v>
      </c>
      <c r="L102" s="62">
        <v>0.5</v>
      </c>
      <c r="M102" s="62">
        <v>0.5</v>
      </c>
      <c r="N102" s="62">
        <v>0.5</v>
      </c>
      <c r="O102" s="62">
        <v>0.5</v>
      </c>
      <c r="P102" s="62">
        <v>0.5</v>
      </c>
      <c r="Q102" s="62">
        <v>0.5</v>
      </c>
      <c r="R102" s="62">
        <v>0.5</v>
      </c>
      <c r="S102" s="62">
        <v>0.5</v>
      </c>
      <c r="T102" s="62">
        <v>0.5</v>
      </c>
      <c r="U102" s="62">
        <v>0.5</v>
      </c>
    </row>
    <row r="103" spans="1:21" x14ac:dyDescent="0.25">
      <c r="A103" s="54"/>
      <c r="B103" s="54"/>
      <c r="C103" s="3"/>
      <c r="D103" s="3"/>
      <c r="E103" s="26"/>
      <c r="F103" s="52"/>
      <c r="G103" s="3"/>
      <c r="H103" s="3"/>
      <c r="I103" s="68"/>
      <c r="J103" s="3"/>
      <c r="K103" s="3"/>
      <c r="L103" s="3"/>
      <c r="M103" s="3"/>
      <c r="N103" s="3"/>
      <c r="O103" s="3"/>
      <c r="P103" s="3"/>
      <c r="Q103" s="3"/>
      <c r="R103" s="3"/>
      <c r="S103" s="3"/>
      <c r="T103" s="3"/>
      <c r="U103" s="3"/>
    </row>
    <row r="104" spans="1:21" ht="15.6" x14ac:dyDescent="0.25">
      <c r="A104" s="54" t="s">
        <v>15</v>
      </c>
      <c r="B104" s="54"/>
      <c r="C104" s="3"/>
      <c r="D104" s="3"/>
      <c r="E104" s="26" t="s">
        <v>29</v>
      </c>
      <c r="F104" s="52" t="s">
        <v>11</v>
      </c>
      <c r="G104" s="3">
        <f>INDEX(J104:U104,1,$C$36)</f>
        <v>0.04</v>
      </c>
      <c r="H104" s="3"/>
      <c r="I104" s="68"/>
      <c r="J104" s="139">
        <v>0.04</v>
      </c>
      <c r="K104" s="139">
        <v>0.04</v>
      </c>
      <c r="L104" s="139">
        <v>0.2</v>
      </c>
      <c r="M104" s="139">
        <v>0.04</v>
      </c>
      <c r="N104" s="139">
        <v>0.04</v>
      </c>
      <c r="O104" s="139">
        <v>0.2</v>
      </c>
      <c r="P104" s="139">
        <v>0.04</v>
      </c>
      <c r="Q104" s="139">
        <v>0.04</v>
      </c>
      <c r="R104" s="139">
        <v>0.1</v>
      </c>
      <c r="S104" s="139">
        <v>0.04</v>
      </c>
      <c r="T104" s="139">
        <v>0.04</v>
      </c>
      <c r="U104" s="139">
        <v>0.04</v>
      </c>
    </row>
    <row r="105" spans="1:21" ht="15.6" x14ac:dyDescent="0.25">
      <c r="A105" s="54" t="s">
        <v>19</v>
      </c>
      <c r="B105" s="54"/>
      <c r="C105" s="3"/>
      <c r="D105" s="3"/>
      <c r="E105" s="26" t="s">
        <v>33</v>
      </c>
      <c r="F105" s="52" t="s">
        <v>11</v>
      </c>
      <c r="G105" s="3">
        <f>INDEX(J105:U105,1,$C$36)</f>
        <v>0.05</v>
      </c>
      <c r="H105" s="3"/>
      <c r="I105" s="68"/>
      <c r="J105" s="139">
        <v>0.05</v>
      </c>
      <c r="K105" s="139">
        <v>0.05</v>
      </c>
      <c r="L105" s="139">
        <v>0.2</v>
      </c>
      <c r="M105" s="139">
        <v>0.05</v>
      </c>
      <c r="N105" s="139">
        <v>0.05</v>
      </c>
      <c r="O105" s="139">
        <v>0.2</v>
      </c>
      <c r="P105" s="139">
        <v>0.05</v>
      </c>
      <c r="Q105" s="139">
        <v>0.05</v>
      </c>
      <c r="R105" s="139">
        <v>0.05</v>
      </c>
      <c r="S105" s="139">
        <v>0.05</v>
      </c>
      <c r="T105" s="139">
        <v>0.05</v>
      </c>
      <c r="U105" s="139">
        <v>0.05</v>
      </c>
    </row>
    <row r="106" spans="1:21" x14ac:dyDescent="0.25">
      <c r="A106" s="54"/>
      <c r="B106" s="54"/>
      <c r="C106" s="3"/>
      <c r="D106" s="3"/>
      <c r="E106" s="26"/>
      <c r="F106" s="52"/>
      <c r="G106" s="3"/>
      <c r="H106" s="3"/>
      <c r="I106" s="68"/>
      <c r="J106" s="3"/>
      <c r="K106" s="3"/>
      <c r="L106" s="3"/>
      <c r="M106" s="3"/>
      <c r="N106" s="3"/>
      <c r="O106" s="3"/>
      <c r="P106" s="3"/>
      <c r="Q106" s="3"/>
      <c r="R106" s="3"/>
      <c r="S106" s="3"/>
      <c r="T106" s="3"/>
      <c r="U106" s="3"/>
    </row>
    <row r="107" spans="1:21" ht="26.4" x14ac:dyDescent="0.25">
      <c r="A107" s="54" t="s">
        <v>14</v>
      </c>
      <c r="B107" s="54"/>
      <c r="C107" s="3"/>
      <c r="D107" s="3"/>
      <c r="E107" s="26" t="s">
        <v>28</v>
      </c>
      <c r="F107" s="21" t="s">
        <v>40</v>
      </c>
      <c r="G107" s="3">
        <f>INDEX(J107:U107,1,$C$36)</f>
        <v>70</v>
      </c>
      <c r="H107" s="3"/>
      <c r="I107" s="68"/>
      <c r="J107" s="62">
        <v>70</v>
      </c>
      <c r="K107" s="62">
        <v>70</v>
      </c>
      <c r="L107" s="62">
        <v>70</v>
      </c>
      <c r="M107" s="62">
        <v>70</v>
      </c>
      <c r="N107" s="62">
        <v>70</v>
      </c>
      <c r="O107" s="62">
        <v>70</v>
      </c>
      <c r="P107" s="62">
        <v>70</v>
      </c>
      <c r="Q107" s="62">
        <v>70</v>
      </c>
      <c r="R107" s="62">
        <v>70</v>
      </c>
      <c r="S107" s="62">
        <v>70</v>
      </c>
      <c r="T107" s="62">
        <v>70</v>
      </c>
      <c r="U107" s="62">
        <v>70</v>
      </c>
    </row>
    <row r="108" spans="1:21" ht="26.4" x14ac:dyDescent="0.25">
      <c r="A108" s="54" t="s">
        <v>18</v>
      </c>
      <c r="B108" s="54"/>
      <c r="C108" s="3"/>
      <c r="D108" s="3"/>
      <c r="E108" s="26" t="s">
        <v>32</v>
      </c>
      <c r="F108" s="21" t="s">
        <v>40</v>
      </c>
      <c r="G108" s="3">
        <f>INDEX(J108:U108,1,$C$36)</f>
        <v>40</v>
      </c>
      <c r="H108" s="3"/>
      <c r="I108" s="68"/>
      <c r="J108" s="62">
        <v>50</v>
      </c>
      <c r="K108" s="62">
        <v>40</v>
      </c>
      <c r="L108" s="62">
        <v>30</v>
      </c>
      <c r="M108" s="62">
        <v>50</v>
      </c>
      <c r="N108" s="62">
        <v>40</v>
      </c>
      <c r="O108" s="62">
        <v>30</v>
      </c>
      <c r="P108" s="62">
        <v>50</v>
      </c>
      <c r="Q108" s="62">
        <v>50</v>
      </c>
      <c r="R108" s="62">
        <v>50</v>
      </c>
      <c r="S108" s="62">
        <v>50</v>
      </c>
      <c r="T108" s="62">
        <v>50</v>
      </c>
      <c r="U108" s="62">
        <v>50</v>
      </c>
    </row>
    <row r="109" spans="1:21" ht="26.4" x14ac:dyDescent="0.35">
      <c r="A109" s="54" t="s">
        <v>21</v>
      </c>
      <c r="B109" s="54"/>
      <c r="C109" s="3"/>
      <c r="D109" s="3"/>
      <c r="E109" s="56" t="s">
        <v>45</v>
      </c>
      <c r="F109" s="21" t="s">
        <v>40</v>
      </c>
      <c r="G109" s="3">
        <f>INDEX(J109:U109,1,$C$36)</f>
        <v>50</v>
      </c>
      <c r="H109" s="3"/>
      <c r="I109" s="68"/>
      <c r="J109" s="62">
        <v>50</v>
      </c>
      <c r="K109" s="62">
        <v>50</v>
      </c>
      <c r="L109" s="62">
        <v>50</v>
      </c>
      <c r="M109" s="62">
        <v>50</v>
      </c>
      <c r="N109" s="62">
        <v>50</v>
      </c>
      <c r="O109" s="62">
        <v>50</v>
      </c>
      <c r="P109" s="62">
        <v>50</v>
      </c>
      <c r="Q109" s="62">
        <v>50</v>
      </c>
      <c r="R109" s="62">
        <v>50</v>
      </c>
      <c r="S109" s="62">
        <v>50</v>
      </c>
      <c r="T109" s="62">
        <v>50</v>
      </c>
      <c r="U109" s="62">
        <v>50</v>
      </c>
    </row>
    <row r="110" spans="1:21" x14ac:dyDescent="0.25">
      <c r="A110" s="54"/>
      <c r="B110" s="54"/>
      <c r="C110" s="3"/>
      <c r="D110" s="3"/>
      <c r="E110" s="26"/>
      <c r="F110" s="52"/>
      <c r="G110" s="3"/>
      <c r="H110" s="3"/>
      <c r="I110" s="68"/>
      <c r="J110" s="3"/>
      <c r="K110" s="3"/>
      <c r="L110" s="3"/>
      <c r="M110" s="3"/>
      <c r="N110" s="3"/>
      <c r="O110" s="3"/>
      <c r="P110" s="3"/>
      <c r="Q110" s="3"/>
      <c r="R110" s="3"/>
      <c r="S110" s="3"/>
      <c r="T110" s="3"/>
      <c r="U110" s="3"/>
    </row>
    <row r="111" spans="1:21" ht="15.6" x14ac:dyDescent="0.35">
      <c r="A111" s="49" t="s">
        <v>46</v>
      </c>
      <c r="B111" s="49"/>
      <c r="C111" s="3"/>
      <c r="D111" s="3"/>
      <c r="E111" s="55" t="s">
        <v>47</v>
      </c>
      <c r="F111" s="52" t="s">
        <v>11</v>
      </c>
      <c r="G111" s="3">
        <f>INDEX(J111:U111,1,$C$36)</f>
        <v>0.75</v>
      </c>
      <c r="H111" s="3"/>
      <c r="I111" s="68"/>
      <c r="J111" s="62">
        <v>0.75</v>
      </c>
      <c r="K111" s="62">
        <v>0.75</v>
      </c>
      <c r="L111" s="62">
        <v>0.75</v>
      </c>
      <c r="M111" s="62">
        <v>0.75</v>
      </c>
      <c r="N111" s="62">
        <v>0.75</v>
      </c>
      <c r="O111" s="62">
        <v>0.75</v>
      </c>
      <c r="P111" s="62">
        <v>0.75</v>
      </c>
      <c r="Q111" s="62">
        <v>0.75</v>
      </c>
      <c r="R111" s="62">
        <v>0.75</v>
      </c>
      <c r="S111" s="62">
        <v>0.75</v>
      </c>
      <c r="T111" s="62">
        <v>0.75</v>
      </c>
      <c r="U111" s="62">
        <v>0.75</v>
      </c>
    </row>
    <row r="112" spans="1:21" ht="27.6" x14ac:dyDescent="0.35">
      <c r="A112" s="22" t="s">
        <v>50</v>
      </c>
      <c r="B112" s="22"/>
      <c r="C112" s="3"/>
      <c r="D112" s="3"/>
      <c r="E112" s="55" t="s">
        <v>51</v>
      </c>
      <c r="F112" s="52" t="s">
        <v>11</v>
      </c>
      <c r="G112" s="3">
        <f>INDEX(J112:U112,1,$C$36)</f>
        <v>0.25</v>
      </c>
      <c r="H112" s="3"/>
      <c r="I112" s="68"/>
      <c r="J112" s="62">
        <v>0.25</v>
      </c>
      <c r="K112" s="62">
        <v>0.25</v>
      </c>
      <c r="L112" s="62">
        <v>0.25</v>
      </c>
      <c r="M112" s="62">
        <v>0.25</v>
      </c>
      <c r="N112" s="62">
        <v>0.25</v>
      </c>
      <c r="O112" s="62">
        <v>0.25</v>
      </c>
      <c r="P112" s="62">
        <v>0.25</v>
      </c>
      <c r="Q112" s="62">
        <v>0.25</v>
      </c>
      <c r="R112" s="62">
        <v>0.25</v>
      </c>
      <c r="S112" s="62">
        <v>0.25</v>
      </c>
      <c r="T112" s="62">
        <v>0.25</v>
      </c>
      <c r="U112" s="62">
        <v>0.25</v>
      </c>
    </row>
    <row r="113" spans="1:21" x14ac:dyDescent="0.25">
      <c r="A113" s="54"/>
      <c r="B113" s="54"/>
      <c r="C113" s="3"/>
      <c r="D113" s="3"/>
      <c r="E113" s="26"/>
      <c r="F113" s="52"/>
      <c r="G113" s="3"/>
      <c r="H113" s="3"/>
      <c r="I113" s="68"/>
      <c r="J113" s="3"/>
      <c r="K113" s="3"/>
      <c r="L113" s="3"/>
      <c r="M113" s="3"/>
      <c r="N113" s="3"/>
      <c r="O113" s="3"/>
      <c r="P113" s="3"/>
      <c r="Q113" s="3"/>
      <c r="R113" s="3"/>
      <c r="S113" s="3"/>
      <c r="T113" s="3"/>
      <c r="U113" s="3"/>
    </row>
    <row r="115" spans="1:21" x14ac:dyDescent="0.25">
      <c r="A115" s="13"/>
      <c r="B115" s="13"/>
      <c r="E115" s="24"/>
      <c r="F115" s="15"/>
      <c r="I115" s="12"/>
    </row>
    <row r="116" spans="1:21" x14ac:dyDescent="0.25">
      <c r="A116" s="13"/>
      <c r="B116" s="13"/>
      <c r="E116" s="24"/>
      <c r="F116" s="15"/>
      <c r="I116" s="12"/>
    </row>
    <row r="117" spans="1:21" ht="13.8" x14ac:dyDescent="0.25">
      <c r="A117" s="53" t="s">
        <v>70</v>
      </c>
      <c r="B117" s="53"/>
      <c r="C117" s="3"/>
      <c r="D117" s="3"/>
      <c r="E117" s="3"/>
      <c r="F117" s="3"/>
      <c r="G117" s="3"/>
      <c r="H117" s="3"/>
      <c r="I117" s="12"/>
    </row>
    <row r="118" spans="1:21" ht="15.6" x14ac:dyDescent="0.25">
      <c r="A118" s="54" t="s">
        <v>91</v>
      </c>
      <c r="B118" s="54"/>
      <c r="C118" s="3"/>
      <c r="D118" s="3"/>
      <c r="E118" s="27" t="s">
        <v>41</v>
      </c>
      <c r="F118" s="21" t="s">
        <v>40</v>
      </c>
      <c r="G118" s="3">
        <v>15</v>
      </c>
      <c r="H118" s="3"/>
      <c r="I118" s="12"/>
    </row>
    <row r="119" spans="1:21" ht="15.6" x14ac:dyDescent="0.35">
      <c r="A119" s="49" t="s">
        <v>92</v>
      </c>
      <c r="B119" s="49"/>
      <c r="C119" s="3"/>
      <c r="D119" s="3"/>
      <c r="E119" s="55" t="s">
        <v>42</v>
      </c>
      <c r="F119" s="52" t="s">
        <v>11</v>
      </c>
      <c r="G119" s="3">
        <v>0.7</v>
      </c>
      <c r="H119" s="3"/>
      <c r="I119" s="12"/>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83820</xdr:colOff>
                <xdr:row>79</xdr:row>
                <xdr:rowOff>99060</xdr:rowOff>
              </from>
              <to>
                <xdr:col>3</xdr:col>
                <xdr:colOff>1569720</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106680</xdr:colOff>
                <xdr:row>83</xdr:row>
                <xdr:rowOff>60960</xdr:rowOff>
              </from>
              <to>
                <xdr:col>3</xdr:col>
                <xdr:colOff>1554480</xdr:colOff>
                <xdr:row>83</xdr:row>
                <xdr:rowOff>411480</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83820</xdr:colOff>
                <xdr:row>86</xdr:row>
                <xdr:rowOff>60960</xdr:rowOff>
              </from>
              <to>
                <xdr:col>3</xdr:col>
                <xdr:colOff>1516380</xdr:colOff>
                <xdr:row>86</xdr:row>
                <xdr:rowOff>441960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68580</xdr:colOff>
                <xdr:row>90</xdr:row>
                <xdr:rowOff>38100</xdr:rowOff>
              </from>
              <to>
                <xdr:col>3</xdr:col>
                <xdr:colOff>1531620</xdr:colOff>
                <xdr:row>90</xdr:row>
                <xdr:rowOff>480060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68580</xdr:colOff>
                <xdr:row>94</xdr:row>
                <xdr:rowOff>38100</xdr:rowOff>
              </from>
              <to>
                <xdr:col>3</xdr:col>
                <xdr:colOff>1531620</xdr:colOff>
                <xdr:row>94</xdr:row>
                <xdr:rowOff>480060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68580</xdr:colOff>
                <xdr:row>98</xdr:row>
                <xdr:rowOff>38100</xdr:rowOff>
              </from>
              <to>
                <xdr:col>3</xdr:col>
                <xdr:colOff>1531620</xdr:colOff>
                <xdr:row>98</xdr:row>
                <xdr:rowOff>480060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144780</xdr:colOff>
                    <xdr:row>34</xdr:row>
                    <xdr:rowOff>121920</xdr:rowOff>
                  </from>
                  <to>
                    <xdr:col>0</xdr:col>
                    <xdr:colOff>2621280</xdr:colOff>
                    <xdr:row>35</xdr:row>
                    <xdr:rowOff>182880</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106680</xdr:colOff>
                    <xdr:row>54</xdr:row>
                    <xdr:rowOff>30480</xdr:rowOff>
                  </from>
                  <to>
                    <xdr:col>0</xdr:col>
                    <xdr:colOff>2583180</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106680</xdr:colOff>
                    <xdr:row>64</xdr:row>
                    <xdr:rowOff>30480</xdr:rowOff>
                  </from>
                  <to>
                    <xdr:col>0</xdr:col>
                    <xdr:colOff>2583180</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60960</xdr:rowOff>
                  </from>
                  <to>
                    <xdr:col>0</xdr:col>
                    <xdr:colOff>2514600</xdr:colOff>
                    <xdr:row>22</xdr:row>
                    <xdr:rowOff>259080</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60960</xdr:rowOff>
                  </from>
                  <to>
                    <xdr:col>0</xdr:col>
                    <xdr:colOff>2514600</xdr:colOff>
                    <xdr:row>14</xdr:row>
                    <xdr:rowOff>259080</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AH26"/>
  <sheetViews>
    <sheetView topLeftCell="D1" workbookViewId="0">
      <pane ySplit="11" topLeftCell="A12" activePane="bottomLeft" state="frozen"/>
      <selection pane="bottomLeft" activeCell="K8" sqref="K8:Y25"/>
    </sheetView>
  </sheetViews>
  <sheetFormatPr baseColWidth="10" defaultColWidth="9.109375" defaultRowHeight="13.2" x14ac:dyDescent="0.25"/>
  <cols>
    <col min="1" max="1" width="14.6640625" style="1" customWidth="1"/>
    <col min="2" max="6" width="10.88671875" style="1" customWidth="1"/>
    <col min="7" max="7" width="9.109375" style="1"/>
    <col min="8" max="9" width="11.44140625" style="1" bestFit="1" customWidth="1"/>
    <col min="10" max="10" width="8" style="1" bestFit="1" customWidth="1"/>
    <col min="11" max="14" width="8.33203125" style="1" bestFit="1" customWidth="1"/>
    <col min="15" max="18" width="8.44140625" style="1" bestFit="1" customWidth="1"/>
    <col min="19" max="19" width="9.109375" style="1"/>
    <col min="20" max="20" width="6" style="1" bestFit="1" customWidth="1"/>
    <col min="21" max="21" width="7.5546875" style="1" bestFit="1" customWidth="1"/>
    <col min="22" max="22" width="7.44140625" style="1" bestFit="1" customWidth="1"/>
    <col min="23" max="23" width="8.33203125" style="1" bestFit="1" customWidth="1"/>
    <col min="24" max="24" width="11.5546875" style="1" bestFit="1" customWidth="1"/>
    <col min="25" max="25" width="8.44140625" style="1" bestFit="1" customWidth="1"/>
    <col min="26" max="16384" width="9.109375" style="1"/>
  </cols>
  <sheetData>
    <row r="1" spans="1:34" ht="85.5" customHeight="1" thickBot="1" x14ac:dyDescent="0.3">
      <c r="A1" s="427" t="s">
        <v>194</v>
      </c>
      <c r="B1" s="441"/>
      <c r="C1" s="441"/>
      <c r="D1" s="441"/>
      <c r="E1" s="441"/>
      <c r="F1" s="441"/>
      <c r="G1" s="442"/>
    </row>
    <row r="2" spans="1:34" ht="13.8" thickBot="1" x14ac:dyDescent="0.3"/>
    <row r="3" spans="1:34" x14ac:dyDescent="0.25">
      <c r="A3" s="150" t="s">
        <v>171</v>
      </c>
      <c r="B3" s="142"/>
      <c r="C3" s="143"/>
    </row>
    <row r="4" spans="1:34" x14ac:dyDescent="0.25">
      <c r="A4" s="151" t="s">
        <v>174</v>
      </c>
      <c r="B4" s="144"/>
      <c r="C4" s="145"/>
    </row>
    <row r="5" spans="1:34" x14ac:dyDescent="0.25">
      <c r="A5" s="146" t="s">
        <v>172</v>
      </c>
      <c r="B5" s="147"/>
      <c r="C5" s="152">
        <v>24</v>
      </c>
    </row>
    <row r="6" spans="1:34" ht="13.8" thickBot="1" x14ac:dyDescent="0.3">
      <c r="A6" s="148" t="s">
        <v>173</v>
      </c>
      <c r="B6" s="149"/>
      <c r="C6" s="153">
        <v>7</v>
      </c>
    </row>
    <row r="8" spans="1:34" s="2" customFormat="1" ht="114" x14ac:dyDescent="0.25">
      <c r="A8" s="396" t="s">
        <v>7</v>
      </c>
      <c r="B8" s="406" t="s">
        <v>234</v>
      </c>
      <c r="C8" s="406" t="s">
        <v>235</v>
      </c>
      <c r="D8" s="282" t="s">
        <v>429</v>
      </c>
      <c r="E8" s="282" t="s">
        <v>430</v>
      </c>
      <c r="F8" s="282" t="s">
        <v>435</v>
      </c>
      <c r="G8" s="282" t="s">
        <v>436</v>
      </c>
      <c r="H8" s="282" t="s">
        <v>437</v>
      </c>
      <c r="I8" s="282" t="s">
        <v>438</v>
      </c>
      <c r="J8" s="282" t="s">
        <v>409</v>
      </c>
      <c r="K8" s="282" t="s">
        <v>431</v>
      </c>
      <c r="L8" s="282" t="s">
        <v>432</v>
      </c>
      <c r="M8" s="282" t="s">
        <v>439</v>
      </c>
      <c r="N8" s="282" t="s">
        <v>440</v>
      </c>
      <c r="O8" s="282" t="s">
        <v>433</v>
      </c>
      <c r="P8" s="282" t="s">
        <v>434</v>
      </c>
      <c r="Q8" s="282" t="s">
        <v>441</v>
      </c>
      <c r="R8" s="282" t="s">
        <v>442</v>
      </c>
      <c r="S8" s="282" t="s">
        <v>443</v>
      </c>
      <c r="T8" s="282" t="s">
        <v>410</v>
      </c>
      <c r="U8" s="282" t="s">
        <v>321</v>
      </c>
      <c r="V8" s="282" t="s">
        <v>322</v>
      </c>
      <c r="W8" s="282" t="s">
        <v>323</v>
      </c>
      <c r="X8" s="282" t="s">
        <v>325</v>
      </c>
      <c r="Y8" s="282" t="s">
        <v>326</v>
      </c>
      <c r="AC8" s="339"/>
    </row>
    <row r="9" spans="1:34" ht="15.6" x14ac:dyDescent="0.25">
      <c r="A9" s="279" t="s">
        <v>9</v>
      </c>
      <c r="B9" s="302" t="s">
        <v>360</v>
      </c>
      <c r="C9" s="302" t="s">
        <v>361</v>
      </c>
      <c r="D9" s="316" t="s">
        <v>448</v>
      </c>
      <c r="E9" s="298" t="s">
        <v>448</v>
      </c>
      <c r="F9" s="298" t="s">
        <v>318</v>
      </c>
      <c r="G9" s="298" t="s">
        <v>318</v>
      </c>
      <c r="H9" s="298" t="s">
        <v>319</v>
      </c>
      <c r="I9" s="298" t="s">
        <v>319</v>
      </c>
      <c r="J9" s="299" t="s">
        <v>449</v>
      </c>
      <c r="K9" s="298" t="s">
        <v>450</v>
      </c>
      <c r="L9" s="298" t="s">
        <v>450</v>
      </c>
      <c r="M9" s="298" t="s">
        <v>450</v>
      </c>
      <c r="N9" s="298" t="s">
        <v>450</v>
      </c>
      <c r="O9" s="298" t="s">
        <v>451</v>
      </c>
      <c r="P9" s="298" t="s">
        <v>451</v>
      </c>
      <c r="Q9" s="298" t="s">
        <v>451</v>
      </c>
      <c r="R9" s="298" t="s">
        <v>451</v>
      </c>
      <c r="S9" s="298" t="s">
        <v>444</v>
      </c>
      <c r="T9" s="299" t="s">
        <v>452</v>
      </c>
      <c r="U9" s="298" t="s">
        <v>231</v>
      </c>
      <c r="V9" s="298" t="s">
        <v>232</v>
      </c>
      <c r="W9" s="298" t="s">
        <v>324</v>
      </c>
      <c r="X9" s="26" t="s">
        <v>237</v>
      </c>
      <c r="Y9" s="298" t="s">
        <v>230</v>
      </c>
    </row>
    <row r="10" spans="1:34" x14ac:dyDescent="0.25">
      <c r="A10" s="279" t="s">
        <v>1</v>
      </c>
      <c r="B10" s="318" t="s">
        <v>43</v>
      </c>
      <c r="C10" s="318" t="s">
        <v>40</v>
      </c>
      <c r="D10" s="317" t="s">
        <v>10</v>
      </c>
      <c r="E10" s="242" t="s">
        <v>10</v>
      </c>
      <c r="F10" s="242" t="s">
        <v>10</v>
      </c>
      <c r="G10" s="242" t="s">
        <v>10</v>
      </c>
      <c r="H10" s="242" t="s">
        <v>10</v>
      </c>
      <c r="I10" s="242" t="s">
        <v>10</v>
      </c>
      <c r="J10" s="295" t="s">
        <v>40</v>
      </c>
      <c r="K10" s="242" t="s">
        <v>10</v>
      </c>
      <c r="L10" s="242" t="s">
        <v>10</v>
      </c>
      <c r="M10" s="242" t="s">
        <v>10</v>
      </c>
      <c r="N10" s="242" t="s">
        <v>10</v>
      </c>
      <c r="O10" s="242" t="s">
        <v>10</v>
      </c>
      <c r="P10" s="242" t="s">
        <v>10</v>
      </c>
      <c r="Q10" s="242" t="s">
        <v>10</v>
      </c>
      <c r="R10" s="242" t="s">
        <v>10</v>
      </c>
      <c r="S10" s="242" t="s">
        <v>320</v>
      </c>
      <c r="T10" s="295" t="s">
        <v>40</v>
      </c>
      <c r="U10" s="242" t="s">
        <v>10</v>
      </c>
      <c r="V10" s="242" t="s">
        <v>40</v>
      </c>
      <c r="W10" s="242" t="s">
        <v>10</v>
      </c>
      <c r="X10" s="242" t="s">
        <v>10</v>
      </c>
      <c r="Y10" s="242" t="s">
        <v>10</v>
      </c>
    </row>
    <row r="11" spans="1:34" x14ac:dyDescent="0.25">
      <c r="A11" s="279" t="s">
        <v>2</v>
      </c>
      <c r="B11" s="318" t="s">
        <v>238</v>
      </c>
      <c r="C11" s="318" t="s">
        <v>239</v>
      </c>
      <c r="D11" s="317" t="s">
        <v>327</v>
      </c>
      <c r="E11" s="242" t="s">
        <v>327</v>
      </c>
      <c r="F11" s="242" t="s">
        <v>327</v>
      </c>
      <c r="G11" s="242" t="s">
        <v>327</v>
      </c>
      <c r="H11" s="242" t="s">
        <v>317</v>
      </c>
      <c r="I11" s="242" t="s">
        <v>317</v>
      </c>
      <c r="J11" s="242" t="s">
        <v>317</v>
      </c>
      <c r="K11" s="242" t="s">
        <v>328</v>
      </c>
      <c r="L11" s="242" t="s">
        <v>328</v>
      </c>
      <c r="M11" s="242" t="s">
        <v>328</v>
      </c>
      <c r="N11" s="242" t="s">
        <v>328</v>
      </c>
      <c r="O11" s="242" t="s">
        <v>328</v>
      </c>
      <c r="P11" s="242" t="s">
        <v>328</v>
      </c>
      <c r="Q11" s="242" t="s">
        <v>328</v>
      </c>
      <c r="R11" s="242" t="s">
        <v>328</v>
      </c>
      <c r="S11" s="242" t="s">
        <v>289</v>
      </c>
      <c r="T11" s="242" t="s">
        <v>328</v>
      </c>
      <c r="U11" s="242" t="s">
        <v>315</v>
      </c>
      <c r="V11" s="242" t="s">
        <v>315</v>
      </c>
      <c r="W11" s="242" t="s">
        <v>315</v>
      </c>
      <c r="X11" s="242" t="s">
        <v>315</v>
      </c>
      <c r="Y11" s="242" t="s">
        <v>315</v>
      </c>
    </row>
    <row r="13" spans="1:34" x14ac:dyDescent="0.25">
      <c r="A13" s="397" t="s">
        <v>0</v>
      </c>
      <c r="B13" s="397"/>
      <c r="C13" s="421" t="s">
        <v>4</v>
      </c>
      <c r="D13" s="421"/>
      <c r="E13" s="421"/>
      <c r="F13" s="421"/>
      <c r="G13" s="421"/>
      <c r="H13" s="421"/>
      <c r="I13" s="421"/>
      <c r="J13" s="421"/>
      <c r="K13" s="421"/>
      <c r="L13" s="421"/>
      <c r="M13" s="421"/>
      <c r="N13" s="421"/>
      <c r="O13" s="421"/>
      <c r="P13" s="421"/>
      <c r="Q13" s="421"/>
      <c r="R13" s="421"/>
      <c r="S13" s="421"/>
      <c r="T13" s="421"/>
      <c r="U13" s="421"/>
      <c r="V13" s="421"/>
      <c r="W13" s="421"/>
      <c r="X13" s="421"/>
      <c r="Y13" s="421"/>
    </row>
    <row r="14" spans="1:34" x14ac:dyDescent="0.25">
      <c r="A14" s="281">
        <v>1</v>
      </c>
      <c r="B14" s="281">
        <f>31*24</f>
        <v>744</v>
      </c>
      <c r="C14" s="420">
        <v>0.5</v>
      </c>
      <c r="D14" s="352">
        <v>0</v>
      </c>
      <c r="E14" s="352">
        <v>0</v>
      </c>
      <c r="F14" s="352">
        <v>0</v>
      </c>
      <c r="G14" s="352">
        <v>0</v>
      </c>
      <c r="H14" s="352">
        <v>0</v>
      </c>
      <c r="I14" s="352">
        <v>0</v>
      </c>
      <c r="J14" s="405">
        <v>16</v>
      </c>
      <c r="K14" s="403">
        <f t="shared" ref="K14:K25" si="0">0.05*D14</f>
        <v>0</v>
      </c>
      <c r="L14" s="404">
        <f t="shared" ref="L14:L25" si="1">0.05*E14</f>
        <v>0</v>
      </c>
      <c r="M14" s="404">
        <f t="shared" ref="M14:M25" si="2">0.05*F14</f>
        <v>0</v>
      </c>
      <c r="N14" s="404">
        <f t="shared" ref="N14:N25" si="3">0.05*G14</f>
        <v>0</v>
      </c>
      <c r="O14" s="352">
        <f t="shared" ref="O14:O25" si="4">0.01*D14</f>
        <v>0</v>
      </c>
      <c r="P14" s="352">
        <f t="shared" ref="P14:P25" si="5">0.01*E14</f>
        <v>0</v>
      </c>
      <c r="Q14" s="352">
        <f t="shared" ref="Q14:Q25" si="6">0.01*F14</f>
        <v>0</v>
      </c>
      <c r="R14" s="352">
        <f t="shared" ref="R14:R25" si="7">0.01*G14</f>
        <v>0</v>
      </c>
      <c r="S14" s="337">
        <v>0.5</v>
      </c>
      <c r="T14" s="405">
        <v>24</v>
      </c>
      <c r="U14" s="417">
        <f>Output_series!K18</f>
        <v>0</v>
      </c>
      <c r="V14" s="417">
        <f>Output_series!J18</f>
        <v>24</v>
      </c>
      <c r="W14" s="352">
        <f>U14/4</f>
        <v>0</v>
      </c>
      <c r="X14" s="95">
        <v>0</v>
      </c>
      <c r="Y14" s="95">
        <v>0</v>
      </c>
      <c r="AA14" s="1">
        <f t="shared" ref="AA14:AA25" si="8">0.72*O14</f>
        <v>0</v>
      </c>
      <c r="AB14" s="1">
        <f t="shared" ref="AB14:AB25" si="9">0.36*P14</f>
        <v>0</v>
      </c>
      <c r="AD14" s="1">
        <f t="shared" ref="AD14:AD25" si="10">0.72*Q14</f>
        <v>0</v>
      </c>
      <c r="AE14" s="1">
        <f t="shared" ref="AE14:AE25" si="11">0.36*R14</f>
        <v>0</v>
      </c>
      <c r="AH14" s="351"/>
    </row>
    <row r="15" spans="1:34" x14ac:dyDescent="0.25">
      <c r="A15" s="281">
        <v>2</v>
      </c>
      <c r="B15" s="281">
        <f>28*24</f>
        <v>672</v>
      </c>
      <c r="C15" s="420">
        <v>1.8</v>
      </c>
      <c r="D15" s="352">
        <v>0</v>
      </c>
      <c r="E15" s="352">
        <v>0</v>
      </c>
      <c r="F15" s="352">
        <v>0</v>
      </c>
      <c r="G15" s="352">
        <v>0</v>
      </c>
      <c r="H15" s="352">
        <v>0</v>
      </c>
      <c r="I15" s="352">
        <v>0</v>
      </c>
      <c r="J15" s="405">
        <v>16</v>
      </c>
      <c r="K15" s="403">
        <f t="shared" si="0"/>
        <v>0</v>
      </c>
      <c r="L15" s="404">
        <f t="shared" si="1"/>
        <v>0</v>
      </c>
      <c r="M15" s="404">
        <f t="shared" si="2"/>
        <v>0</v>
      </c>
      <c r="N15" s="404">
        <f t="shared" si="3"/>
        <v>0</v>
      </c>
      <c r="O15" s="352">
        <f t="shared" si="4"/>
        <v>0</v>
      </c>
      <c r="P15" s="352">
        <f t="shared" si="5"/>
        <v>0</v>
      </c>
      <c r="Q15" s="352">
        <f t="shared" si="6"/>
        <v>0</v>
      </c>
      <c r="R15" s="352">
        <f t="shared" si="7"/>
        <v>0</v>
      </c>
      <c r="S15" s="337">
        <v>0.5</v>
      </c>
      <c r="T15" s="405">
        <v>24</v>
      </c>
      <c r="U15" s="417">
        <f>Output_series!K19</f>
        <v>0</v>
      </c>
      <c r="V15" s="417">
        <f>Output_series!J19</f>
        <v>24</v>
      </c>
      <c r="W15" s="352">
        <f t="shared" ref="W15:W25" si="12">U15/4</f>
        <v>0</v>
      </c>
      <c r="X15" s="95">
        <v>0</v>
      </c>
      <c r="Y15" s="95">
        <v>0</v>
      </c>
      <c r="AA15" s="1">
        <f t="shared" si="8"/>
        <v>0</v>
      </c>
      <c r="AB15" s="1">
        <f t="shared" si="9"/>
        <v>0</v>
      </c>
      <c r="AD15" s="1">
        <f t="shared" si="10"/>
        <v>0</v>
      </c>
      <c r="AE15" s="1">
        <f t="shared" si="11"/>
        <v>0</v>
      </c>
      <c r="AH15" s="351"/>
    </row>
    <row r="16" spans="1:34" x14ac:dyDescent="0.25">
      <c r="A16" s="281">
        <v>3</v>
      </c>
      <c r="B16" s="281">
        <f>31*24</f>
        <v>744</v>
      </c>
      <c r="C16" s="420">
        <v>5.7</v>
      </c>
      <c r="D16" s="352">
        <v>0</v>
      </c>
      <c r="E16" s="352">
        <v>0</v>
      </c>
      <c r="F16" s="352">
        <v>0</v>
      </c>
      <c r="G16" s="352">
        <v>0</v>
      </c>
      <c r="H16" s="352">
        <v>0</v>
      </c>
      <c r="I16" s="352">
        <v>0</v>
      </c>
      <c r="J16" s="405">
        <v>16</v>
      </c>
      <c r="K16" s="403">
        <f t="shared" si="0"/>
        <v>0</v>
      </c>
      <c r="L16" s="404">
        <f t="shared" si="1"/>
        <v>0</v>
      </c>
      <c r="M16" s="404">
        <f t="shared" si="2"/>
        <v>0</v>
      </c>
      <c r="N16" s="404">
        <f t="shared" si="3"/>
        <v>0</v>
      </c>
      <c r="O16" s="352">
        <f t="shared" si="4"/>
        <v>0</v>
      </c>
      <c r="P16" s="352">
        <f t="shared" si="5"/>
        <v>0</v>
      </c>
      <c r="Q16" s="352">
        <f t="shared" si="6"/>
        <v>0</v>
      </c>
      <c r="R16" s="352">
        <f t="shared" si="7"/>
        <v>0</v>
      </c>
      <c r="S16" s="337">
        <v>0.5</v>
      </c>
      <c r="T16" s="405">
        <v>24</v>
      </c>
      <c r="U16" s="417">
        <f>Output_series!K20</f>
        <v>0</v>
      </c>
      <c r="V16" s="417">
        <f>Output_series!J20</f>
        <v>24</v>
      </c>
      <c r="W16" s="352">
        <f t="shared" si="12"/>
        <v>0</v>
      </c>
      <c r="X16" s="95">
        <v>0</v>
      </c>
      <c r="Y16" s="95">
        <v>0</v>
      </c>
      <c r="AA16" s="1">
        <f t="shared" si="8"/>
        <v>0</v>
      </c>
      <c r="AB16" s="1">
        <f t="shared" si="9"/>
        <v>0</v>
      </c>
      <c r="AD16" s="1">
        <f t="shared" si="10"/>
        <v>0</v>
      </c>
      <c r="AE16" s="1">
        <f t="shared" si="11"/>
        <v>0</v>
      </c>
      <c r="AH16" s="351"/>
    </row>
    <row r="17" spans="1:34" x14ac:dyDescent="0.25">
      <c r="A17" s="281">
        <v>4</v>
      </c>
      <c r="B17" s="281">
        <f>30*24</f>
        <v>720</v>
      </c>
      <c r="C17" s="420">
        <v>8.8000000000000007</v>
      </c>
      <c r="D17" s="352">
        <v>0</v>
      </c>
      <c r="E17" s="352">
        <v>0</v>
      </c>
      <c r="F17" s="352">
        <v>0</v>
      </c>
      <c r="G17" s="352">
        <v>0</v>
      </c>
      <c r="H17" s="352">
        <v>0</v>
      </c>
      <c r="I17" s="352">
        <v>0</v>
      </c>
      <c r="J17" s="405">
        <v>16</v>
      </c>
      <c r="K17" s="403">
        <f t="shared" si="0"/>
        <v>0</v>
      </c>
      <c r="L17" s="404">
        <f t="shared" si="1"/>
        <v>0</v>
      </c>
      <c r="M17" s="404">
        <f t="shared" si="2"/>
        <v>0</v>
      </c>
      <c r="N17" s="404">
        <f t="shared" si="3"/>
        <v>0</v>
      </c>
      <c r="O17" s="352">
        <f t="shared" si="4"/>
        <v>0</v>
      </c>
      <c r="P17" s="352">
        <f t="shared" si="5"/>
        <v>0</v>
      </c>
      <c r="Q17" s="352">
        <f t="shared" si="6"/>
        <v>0</v>
      </c>
      <c r="R17" s="352">
        <f t="shared" si="7"/>
        <v>0</v>
      </c>
      <c r="S17" s="337">
        <v>0.5</v>
      </c>
      <c r="T17" s="405">
        <v>24</v>
      </c>
      <c r="U17" s="417">
        <f>Output_series!K21</f>
        <v>0</v>
      </c>
      <c r="V17" s="417">
        <f>Output_series!J21</f>
        <v>24</v>
      </c>
      <c r="W17" s="352">
        <f t="shared" si="12"/>
        <v>0</v>
      </c>
      <c r="X17" s="95">
        <v>0</v>
      </c>
      <c r="Y17" s="95">
        <v>0</v>
      </c>
      <c r="AA17" s="1">
        <f t="shared" si="8"/>
        <v>0</v>
      </c>
      <c r="AB17" s="1">
        <f t="shared" si="9"/>
        <v>0</v>
      </c>
      <c r="AD17" s="1">
        <f t="shared" si="10"/>
        <v>0</v>
      </c>
      <c r="AE17" s="1">
        <f t="shared" si="11"/>
        <v>0</v>
      </c>
      <c r="AH17" s="351"/>
    </row>
    <row r="18" spans="1:34" x14ac:dyDescent="0.25">
      <c r="A18" s="281">
        <v>5</v>
      </c>
      <c r="B18" s="281">
        <f>31*24</f>
        <v>744</v>
      </c>
      <c r="C18" s="420">
        <v>13.9</v>
      </c>
      <c r="D18" s="352">
        <v>0.41858803999999999</v>
      </c>
      <c r="E18" s="352">
        <v>0</v>
      </c>
      <c r="F18" s="352">
        <v>0.36257659599999997</v>
      </c>
      <c r="G18" s="352">
        <v>0</v>
      </c>
      <c r="H18" s="352">
        <v>0</v>
      </c>
      <c r="I18" s="352">
        <v>0</v>
      </c>
      <c r="J18" s="405">
        <v>16</v>
      </c>
      <c r="K18" s="403">
        <f t="shared" si="0"/>
        <v>2.0929402E-2</v>
      </c>
      <c r="L18" s="404">
        <f t="shared" si="1"/>
        <v>0</v>
      </c>
      <c r="M18" s="404">
        <f t="shared" si="2"/>
        <v>1.8128829799999999E-2</v>
      </c>
      <c r="N18" s="404">
        <f t="shared" si="3"/>
        <v>0</v>
      </c>
      <c r="O18" s="352">
        <f t="shared" si="4"/>
        <v>4.1858804000000005E-3</v>
      </c>
      <c r="P18" s="352">
        <f t="shared" si="5"/>
        <v>0</v>
      </c>
      <c r="Q18" s="352">
        <f t="shared" si="6"/>
        <v>3.6257659599999996E-3</v>
      </c>
      <c r="R18" s="352">
        <f t="shared" si="7"/>
        <v>0</v>
      </c>
      <c r="S18" s="337">
        <v>0.5</v>
      </c>
      <c r="T18" s="405">
        <v>25</v>
      </c>
      <c r="U18" s="417">
        <f>Output_series!K22</f>
        <v>0.82022286779999998</v>
      </c>
      <c r="V18" s="417">
        <f>Output_series!J22</f>
        <v>25</v>
      </c>
      <c r="W18" s="352">
        <f t="shared" si="12"/>
        <v>0.20505571694999999</v>
      </c>
      <c r="X18" s="95">
        <v>0</v>
      </c>
      <c r="Y18" s="95">
        <v>0</v>
      </c>
      <c r="AA18" s="1">
        <f t="shared" si="8"/>
        <v>3.0138338880000004E-3</v>
      </c>
      <c r="AB18" s="1">
        <f t="shared" si="9"/>
        <v>0</v>
      </c>
      <c r="AD18" s="1">
        <f t="shared" si="10"/>
        <v>2.6105514911999995E-3</v>
      </c>
      <c r="AE18" s="1">
        <f t="shared" si="11"/>
        <v>0</v>
      </c>
      <c r="AH18" s="351"/>
    </row>
    <row r="19" spans="1:34" x14ac:dyDescent="0.25">
      <c r="A19" s="281">
        <v>6</v>
      </c>
      <c r="B19" s="281">
        <f>30*24</f>
        <v>720</v>
      </c>
      <c r="C19" s="420">
        <v>16.7</v>
      </c>
      <c r="D19" s="352">
        <v>110.977553953</v>
      </c>
      <c r="E19" s="352">
        <v>16.323896420000001</v>
      </c>
      <c r="F19" s="352">
        <v>92.406979746999895</v>
      </c>
      <c r="G19" s="352">
        <v>11.591430428000001</v>
      </c>
      <c r="H19" s="352">
        <v>0</v>
      </c>
      <c r="I19" s="352">
        <v>0</v>
      </c>
      <c r="J19" s="405">
        <v>16</v>
      </c>
      <c r="K19" s="403">
        <f t="shared" si="0"/>
        <v>5.5488776976500001</v>
      </c>
      <c r="L19" s="404">
        <f t="shared" si="1"/>
        <v>0.81619482100000007</v>
      </c>
      <c r="M19" s="404">
        <f t="shared" si="2"/>
        <v>4.6203489873499946</v>
      </c>
      <c r="N19" s="404">
        <f t="shared" si="3"/>
        <v>0.57957152140000001</v>
      </c>
      <c r="O19" s="352">
        <f t="shared" si="4"/>
        <v>1.10977553953</v>
      </c>
      <c r="P19" s="352">
        <f t="shared" si="5"/>
        <v>0.1632389642</v>
      </c>
      <c r="Q19" s="352">
        <f t="shared" si="6"/>
        <v>0.92406979746999895</v>
      </c>
      <c r="R19" s="352">
        <f t="shared" si="7"/>
        <v>0.11591430428000001</v>
      </c>
      <c r="S19" s="337">
        <v>0.5</v>
      </c>
      <c r="T19" s="405">
        <v>26</v>
      </c>
      <c r="U19" s="417">
        <f>Output_series!K23</f>
        <v>242.86485357539988</v>
      </c>
      <c r="V19" s="417">
        <f>Output_series!J23</f>
        <v>26</v>
      </c>
      <c r="W19" s="352">
        <f t="shared" si="12"/>
        <v>60.716213393849969</v>
      </c>
      <c r="X19" s="95">
        <v>0</v>
      </c>
      <c r="Y19" s="95">
        <v>0</v>
      </c>
      <c r="AA19" s="1">
        <f t="shared" si="8"/>
        <v>0.79903838846159991</v>
      </c>
      <c r="AB19" s="1">
        <f t="shared" si="9"/>
        <v>5.8766027111999998E-2</v>
      </c>
      <c r="AD19" s="1">
        <f t="shared" si="10"/>
        <v>0.66533025417839919</v>
      </c>
      <c r="AE19" s="1">
        <f t="shared" si="11"/>
        <v>4.1729149540800002E-2</v>
      </c>
      <c r="AH19" s="351"/>
    </row>
    <row r="20" spans="1:34" x14ac:dyDescent="0.25">
      <c r="A20" s="281">
        <v>7</v>
      </c>
      <c r="B20" s="281">
        <f>31*24</f>
        <v>744</v>
      </c>
      <c r="C20" s="420">
        <v>19</v>
      </c>
      <c r="D20" s="352">
        <v>72.811080179000001</v>
      </c>
      <c r="E20" s="352">
        <v>25.599985861</v>
      </c>
      <c r="F20" s="352">
        <v>66.130369138000006</v>
      </c>
      <c r="G20" s="352">
        <v>22.005637827099999</v>
      </c>
      <c r="H20" s="352">
        <v>0</v>
      </c>
      <c r="I20" s="352">
        <v>0</v>
      </c>
      <c r="J20" s="405">
        <v>16</v>
      </c>
      <c r="K20" s="403">
        <f t="shared" si="0"/>
        <v>3.6405540089500001</v>
      </c>
      <c r="L20" s="404">
        <f t="shared" si="1"/>
        <v>1.2799992930500002</v>
      </c>
      <c r="M20" s="404">
        <f t="shared" si="2"/>
        <v>3.3065184569000006</v>
      </c>
      <c r="N20" s="404">
        <f t="shared" si="3"/>
        <v>1.1002818913550001</v>
      </c>
      <c r="O20" s="352">
        <f t="shared" si="4"/>
        <v>0.72811080178999998</v>
      </c>
      <c r="P20" s="352">
        <f t="shared" si="5"/>
        <v>0.25599985861000002</v>
      </c>
      <c r="Q20" s="352">
        <f t="shared" si="6"/>
        <v>0.66130369138000011</v>
      </c>
      <c r="R20" s="352">
        <f t="shared" si="7"/>
        <v>0.220056378271</v>
      </c>
      <c r="S20" s="337">
        <v>0.5</v>
      </c>
      <c r="T20" s="405">
        <v>26</v>
      </c>
      <c r="U20" s="417">
        <f>Output_series!K24</f>
        <v>195.87442665535502</v>
      </c>
      <c r="V20" s="417">
        <f>Output_series!J24</f>
        <v>26</v>
      </c>
      <c r="W20" s="352">
        <f t="shared" si="12"/>
        <v>48.968606663838756</v>
      </c>
      <c r="X20" s="95">
        <v>0</v>
      </c>
      <c r="Y20" s="95">
        <v>0</v>
      </c>
      <c r="AA20" s="1">
        <f t="shared" si="8"/>
        <v>0.5242397772888</v>
      </c>
      <c r="AB20" s="1">
        <f t="shared" si="9"/>
        <v>9.21599490996E-2</v>
      </c>
      <c r="AD20" s="1">
        <f t="shared" si="10"/>
        <v>0.47613865779360004</v>
      </c>
      <c r="AE20" s="1">
        <f t="shared" si="11"/>
        <v>7.922029617755999E-2</v>
      </c>
      <c r="AH20" s="351"/>
    </row>
    <row r="21" spans="1:34" x14ac:dyDescent="0.25">
      <c r="A21" s="281">
        <v>8</v>
      </c>
      <c r="B21" s="281">
        <f>31*24</f>
        <v>744</v>
      </c>
      <c r="C21" s="420">
        <v>18.8</v>
      </c>
      <c r="D21" s="352">
        <v>67.421570922399994</v>
      </c>
      <c r="E21" s="352">
        <v>26.246903384500001</v>
      </c>
      <c r="F21" s="352">
        <v>54.601771639799999</v>
      </c>
      <c r="G21" s="352">
        <v>20.026401161999999</v>
      </c>
      <c r="H21" s="352">
        <v>0</v>
      </c>
      <c r="I21" s="352">
        <v>0</v>
      </c>
      <c r="J21" s="405">
        <v>16</v>
      </c>
      <c r="K21" s="403">
        <f t="shared" si="0"/>
        <v>3.3710785461199997</v>
      </c>
      <c r="L21" s="404">
        <f t="shared" si="1"/>
        <v>1.3123451692250001</v>
      </c>
      <c r="M21" s="404">
        <f t="shared" si="2"/>
        <v>2.73008858199</v>
      </c>
      <c r="N21" s="404">
        <f t="shared" si="3"/>
        <v>1.0013200580999999</v>
      </c>
      <c r="O21" s="352">
        <f t="shared" si="4"/>
        <v>0.67421570922399998</v>
      </c>
      <c r="P21" s="352">
        <f t="shared" si="5"/>
        <v>0.26246903384500003</v>
      </c>
      <c r="Q21" s="352">
        <f t="shared" si="6"/>
        <v>0.54601771639800001</v>
      </c>
      <c r="R21" s="352">
        <f t="shared" si="7"/>
        <v>0.20026401161999999</v>
      </c>
      <c r="S21" s="337">
        <v>0.5</v>
      </c>
      <c r="T21" s="405">
        <v>26</v>
      </c>
      <c r="U21" s="417">
        <f>Output_series!K25</f>
        <v>176.71147946413498</v>
      </c>
      <c r="V21" s="417">
        <f>Output_series!J25</f>
        <v>26</v>
      </c>
      <c r="W21" s="352">
        <f t="shared" si="12"/>
        <v>44.177869866033745</v>
      </c>
      <c r="X21" s="95">
        <v>0</v>
      </c>
      <c r="Y21" s="95">
        <v>0</v>
      </c>
      <c r="AA21" s="1">
        <f t="shared" si="8"/>
        <v>0.48543531064127998</v>
      </c>
      <c r="AB21" s="1">
        <f t="shared" si="9"/>
        <v>9.4488852184200015E-2</v>
      </c>
      <c r="AD21" s="1">
        <f t="shared" si="10"/>
        <v>0.39313275580655999</v>
      </c>
      <c r="AE21" s="1">
        <f t="shared" si="11"/>
        <v>7.2095044183199994E-2</v>
      </c>
      <c r="AH21" s="351"/>
    </row>
    <row r="22" spans="1:34" x14ac:dyDescent="0.25">
      <c r="A22" s="281">
        <v>9</v>
      </c>
      <c r="B22" s="281">
        <f>30*24</f>
        <v>720</v>
      </c>
      <c r="C22" s="420">
        <v>14.4</v>
      </c>
      <c r="D22" s="352">
        <v>1.868553972</v>
      </c>
      <c r="E22" s="352">
        <v>0</v>
      </c>
      <c r="F22" s="352">
        <v>1.91385731</v>
      </c>
      <c r="G22" s="352">
        <v>0</v>
      </c>
      <c r="H22" s="352">
        <v>0</v>
      </c>
      <c r="I22" s="352">
        <v>0</v>
      </c>
      <c r="J22" s="405">
        <v>16</v>
      </c>
      <c r="K22" s="403">
        <f t="shared" si="0"/>
        <v>9.3427698599999998E-2</v>
      </c>
      <c r="L22" s="404">
        <f t="shared" si="1"/>
        <v>0</v>
      </c>
      <c r="M22" s="404">
        <f t="shared" si="2"/>
        <v>9.5692865500000002E-2</v>
      </c>
      <c r="N22" s="404">
        <f t="shared" si="3"/>
        <v>0</v>
      </c>
      <c r="O22" s="352">
        <f t="shared" si="4"/>
        <v>1.8685539720000002E-2</v>
      </c>
      <c r="P22" s="352">
        <f t="shared" si="5"/>
        <v>0</v>
      </c>
      <c r="Q22" s="352">
        <f t="shared" si="6"/>
        <v>1.91385731E-2</v>
      </c>
      <c r="R22" s="352">
        <f t="shared" si="7"/>
        <v>0</v>
      </c>
      <c r="S22" s="337">
        <v>0.5</v>
      </c>
      <c r="T22" s="405">
        <v>25</v>
      </c>
      <c r="U22" s="417">
        <f>Output_series!K26</f>
        <v>3.9715318461000004</v>
      </c>
      <c r="V22" s="417">
        <f>Output_series!J26</f>
        <v>25</v>
      </c>
      <c r="W22" s="352">
        <f t="shared" si="12"/>
        <v>0.99288296152500011</v>
      </c>
      <c r="X22" s="95">
        <v>0</v>
      </c>
      <c r="Y22" s="95">
        <v>0</v>
      </c>
      <c r="AA22" s="1">
        <f t="shared" si="8"/>
        <v>1.34535885984E-2</v>
      </c>
      <c r="AB22" s="1">
        <f t="shared" si="9"/>
        <v>0</v>
      </c>
      <c r="AD22" s="1">
        <f t="shared" si="10"/>
        <v>1.3779772632E-2</v>
      </c>
      <c r="AE22" s="1">
        <f t="shared" si="11"/>
        <v>0</v>
      </c>
      <c r="AH22" s="351"/>
    </row>
    <row r="23" spans="1:34" x14ac:dyDescent="0.25">
      <c r="A23" s="281">
        <v>10</v>
      </c>
      <c r="B23" s="281">
        <f>31*24</f>
        <v>744</v>
      </c>
      <c r="C23" s="420">
        <v>10.199999999999999</v>
      </c>
      <c r="D23" s="352">
        <v>0</v>
      </c>
      <c r="E23" s="352">
        <v>0</v>
      </c>
      <c r="F23" s="352">
        <v>0</v>
      </c>
      <c r="G23" s="352">
        <v>0</v>
      </c>
      <c r="H23" s="352">
        <v>0</v>
      </c>
      <c r="I23" s="352">
        <v>0</v>
      </c>
      <c r="J23" s="405">
        <v>16</v>
      </c>
      <c r="K23" s="403">
        <f t="shared" si="0"/>
        <v>0</v>
      </c>
      <c r="L23" s="404">
        <f t="shared" si="1"/>
        <v>0</v>
      </c>
      <c r="M23" s="404">
        <f t="shared" si="2"/>
        <v>0</v>
      </c>
      <c r="N23" s="404">
        <f t="shared" si="3"/>
        <v>0</v>
      </c>
      <c r="O23" s="352">
        <f t="shared" si="4"/>
        <v>0</v>
      </c>
      <c r="P23" s="352">
        <f t="shared" si="5"/>
        <v>0</v>
      </c>
      <c r="Q23" s="352">
        <f t="shared" si="6"/>
        <v>0</v>
      </c>
      <c r="R23" s="352">
        <f t="shared" si="7"/>
        <v>0</v>
      </c>
      <c r="S23" s="337">
        <v>0.5</v>
      </c>
      <c r="T23" s="405">
        <v>24</v>
      </c>
      <c r="U23" s="417">
        <f>Output_series!K27</f>
        <v>0</v>
      </c>
      <c r="V23" s="417">
        <f>Output_series!J27</f>
        <v>24</v>
      </c>
      <c r="W23" s="352">
        <f t="shared" si="12"/>
        <v>0</v>
      </c>
      <c r="X23" s="95">
        <v>0</v>
      </c>
      <c r="Y23" s="95">
        <v>0</v>
      </c>
      <c r="AA23" s="1">
        <f t="shared" si="8"/>
        <v>0</v>
      </c>
      <c r="AB23" s="1">
        <f t="shared" si="9"/>
        <v>0</v>
      </c>
      <c r="AD23" s="1">
        <f t="shared" si="10"/>
        <v>0</v>
      </c>
      <c r="AE23" s="1">
        <f t="shared" si="11"/>
        <v>0</v>
      </c>
      <c r="AH23" s="351"/>
    </row>
    <row r="24" spans="1:34" x14ac:dyDescent="0.25">
      <c r="A24" s="281">
        <v>11</v>
      </c>
      <c r="B24" s="281">
        <f>30*24</f>
        <v>720</v>
      </c>
      <c r="C24" s="420">
        <v>4.5</v>
      </c>
      <c r="D24" s="352">
        <v>0</v>
      </c>
      <c r="E24" s="352">
        <v>0</v>
      </c>
      <c r="F24" s="352">
        <v>0</v>
      </c>
      <c r="G24" s="352">
        <v>0</v>
      </c>
      <c r="H24" s="352">
        <v>0</v>
      </c>
      <c r="I24" s="352">
        <v>0</v>
      </c>
      <c r="J24" s="405">
        <v>16</v>
      </c>
      <c r="K24" s="403">
        <f t="shared" si="0"/>
        <v>0</v>
      </c>
      <c r="L24" s="404">
        <f t="shared" si="1"/>
        <v>0</v>
      </c>
      <c r="M24" s="404">
        <f t="shared" si="2"/>
        <v>0</v>
      </c>
      <c r="N24" s="404">
        <f t="shared" si="3"/>
        <v>0</v>
      </c>
      <c r="O24" s="352">
        <f t="shared" si="4"/>
        <v>0</v>
      </c>
      <c r="P24" s="352">
        <f t="shared" si="5"/>
        <v>0</v>
      </c>
      <c r="Q24" s="352">
        <f t="shared" si="6"/>
        <v>0</v>
      </c>
      <c r="R24" s="352">
        <f t="shared" si="7"/>
        <v>0</v>
      </c>
      <c r="S24" s="337">
        <v>0.5</v>
      </c>
      <c r="T24" s="405">
        <v>24</v>
      </c>
      <c r="U24" s="417">
        <f>Output_series!K28</f>
        <v>0</v>
      </c>
      <c r="V24" s="417">
        <f>Output_series!J28</f>
        <v>24</v>
      </c>
      <c r="W24" s="352">
        <f t="shared" si="12"/>
        <v>0</v>
      </c>
      <c r="X24" s="95">
        <v>0</v>
      </c>
      <c r="Y24" s="95">
        <v>0</v>
      </c>
      <c r="AA24" s="1">
        <f t="shared" si="8"/>
        <v>0</v>
      </c>
      <c r="AB24" s="1">
        <f t="shared" si="9"/>
        <v>0</v>
      </c>
      <c r="AD24" s="1">
        <f t="shared" si="10"/>
        <v>0</v>
      </c>
      <c r="AE24" s="1">
        <f t="shared" si="11"/>
        <v>0</v>
      </c>
      <c r="AH24" s="351"/>
    </row>
    <row r="25" spans="1:34" x14ac:dyDescent="0.25">
      <c r="A25" s="281">
        <v>12</v>
      </c>
      <c r="B25" s="281">
        <f>31*24</f>
        <v>744</v>
      </c>
      <c r="C25" s="420">
        <v>2</v>
      </c>
      <c r="D25" s="352">
        <v>0</v>
      </c>
      <c r="E25" s="352">
        <v>0</v>
      </c>
      <c r="F25" s="352">
        <v>0</v>
      </c>
      <c r="G25" s="352">
        <v>0</v>
      </c>
      <c r="H25" s="352">
        <v>0</v>
      </c>
      <c r="I25" s="352">
        <v>0</v>
      </c>
      <c r="J25" s="405">
        <v>16</v>
      </c>
      <c r="K25" s="403">
        <f t="shared" si="0"/>
        <v>0</v>
      </c>
      <c r="L25" s="404">
        <f t="shared" si="1"/>
        <v>0</v>
      </c>
      <c r="M25" s="404">
        <f t="shared" si="2"/>
        <v>0</v>
      </c>
      <c r="N25" s="404">
        <f t="shared" si="3"/>
        <v>0</v>
      </c>
      <c r="O25" s="352">
        <f t="shared" si="4"/>
        <v>0</v>
      </c>
      <c r="P25" s="352">
        <f t="shared" si="5"/>
        <v>0</v>
      </c>
      <c r="Q25" s="352">
        <f t="shared" si="6"/>
        <v>0</v>
      </c>
      <c r="R25" s="352">
        <f t="shared" si="7"/>
        <v>0</v>
      </c>
      <c r="S25" s="337">
        <v>0.5</v>
      </c>
      <c r="T25" s="405">
        <v>24</v>
      </c>
      <c r="U25" s="417">
        <f>Output_series!K29</f>
        <v>0</v>
      </c>
      <c r="V25" s="417">
        <f>Output_series!J29</f>
        <v>24</v>
      </c>
      <c r="W25" s="352">
        <f t="shared" si="12"/>
        <v>0</v>
      </c>
      <c r="X25" s="95">
        <v>0</v>
      </c>
      <c r="Y25" s="95">
        <v>0</v>
      </c>
      <c r="AA25" s="1">
        <f t="shared" si="8"/>
        <v>0</v>
      </c>
      <c r="AB25" s="1">
        <f t="shared" si="9"/>
        <v>0</v>
      </c>
      <c r="AD25" s="1">
        <f t="shared" si="10"/>
        <v>0</v>
      </c>
      <c r="AE25" s="1">
        <f t="shared" si="11"/>
        <v>0</v>
      </c>
      <c r="AH25" s="351"/>
    </row>
    <row r="26" spans="1:34" x14ac:dyDescent="0.25">
      <c r="U26" s="351">
        <f>SUM(U14:U25)</f>
        <v>620.24251440878982</v>
      </c>
      <c r="W26" s="351">
        <f>SUM(W14:W25)</f>
        <v>155.06062860219745</v>
      </c>
      <c r="AH26" s="351"/>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H51"/>
  <sheetViews>
    <sheetView topLeftCell="A32" workbookViewId="0">
      <selection activeCell="A31" sqref="A31:F50"/>
    </sheetView>
  </sheetViews>
  <sheetFormatPr baseColWidth="10" defaultColWidth="9.109375" defaultRowHeight="13.2" x14ac:dyDescent="0.25"/>
  <cols>
    <col min="1" max="1" width="43.44140625" style="8" customWidth="1"/>
    <col min="2" max="2" width="23.5546875" style="2" customWidth="1"/>
    <col min="3" max="3" width="9.109375" style="2"/>
    <col min="4" max="4" width="14" style="2" customWidth="1"/>
    <col min="5" max="6" width="9.109375" style="2"/>
    <col min="7" max="7" width="39.33203125" style="2" customWidth="1"/>
    <col min="8" max="16384" width="9.109375" style="2"/>
  </cols>
  <sheetData>
    <row r="1" spans="1:8" ht="76.5" customHeight="1" thickBot="1" x14ac:dyDescent="0.3">
      <c r="A1" s="427" t="s">
        <v>196</v>
      </c>
      <c r="B1" s="428"/>
      <c r="C1" s="428"/>
      <c r="D1" s="428"/>
      <c r="E1" s="428"/>
      <c r="F1" s="428"/>
      <c r="G1" s="429"/>
    </row>
    <row r="2" spans="1:8" x14ac:dyDescent="0.25">
      <c r="A2" s="2"/>
    </row>
    <row r="3" spans="1:8" ht="13.8" thickBot="1" x14ac:dyDescent="0.3"/>
    <row r="4" spans="1:8" ht="23.25" customHeight="1" thickBot="1" x14ac:dyDescent="0.3">
      <c r="A4" s="188" t="s">
        <v>5</v>
      </c>
      <c r="B4" s="189" t="s">
        <v>9</v>
      </c>
      <c r="C4" s="189" t="s">
        <v>1</v>
      </c>
      <c r="D4" s="310" t="s">
        <v>59</v>
      </c>
      <c r="E4" s="189" t="s">
        <v>2</v>
      </c>
      <c r="F4" s="189" t="s">
        <v>56</v>
      </c>
      <c r="G4" s="190" t="s">
        <v>8</v>
      </c>
    </row>
    <row r="5" spans="1:8" ht="19.5" customHeight="1" x14ac:dyDescent="0.25">
      <c r="A5" s="243" t="s">
        <v>191</v>
      </c>
      <c r="B5" s="28"/>
      <c r="C5" s="28"/>
      <c r="D5" s="192"/>
      <c r="E5" s="28"/>
      <c r="F5" s="29"/>
      <c r="G5" s="244"/>
    </row>
    <row r="6" spans="1:8" s="311" customFormat="1" ht="19.5" customHeight="1" x14ac:dyDescent="0.25">
      <c r="A6" s="301" t="s">
        <v>234</v>
      </c>
      <c r="B6" s="302" t="s">
        <v>360</v>
      </c>
      <c r="C6" s="318" t="s">
        <v>43</v>
      </c>
      <c r="D6" s="319">
        <v>744</v>
      </c>
      <c r="E6" s="318" t="s">
        <v>238</v>
      </c>
      <c r="F6" s="318" t="s">
        <v>257</v>
      </c>
      <c r="G6" s="23"/>
    </row>
    <row r="7" spans="1:8" s="311" customFormat="1" ht="19.5" customHeight="1" x14ac:dyDescent="0.25">
      <c r="A7" s="301" t="s">
        <v>235</v>
      </c>
      <c r="B7" s="302" t="s">
        <v>361</v>
      </c>
      <c r="C7" s="318" t="s">
        <v>40</v>
      </c>
      <c r="D7" s="319">
        <v>19</v>
      </c>
      <c r="E7" s="318" t="s">
        <v>239</v>
      </c>
      <c r="F7" s="318" t="s">
        <v>290</v>
      </c>
      <c r="G7" s="23"/>
    </row>
    <row r="8" spans="1:8" ht="15" x14ac:dyDescent="0.25">
      <c r="A8" s="378" t="s">
        <v>429</v>
      </c>
      <c r="B8" s="316" t="s">
        <v>448</v>
      </c>
      <c r="C8" s="317" t="s">
        <v>10</v>
      </c>
      <c r="D8" s="379">
        <v>72.811080179000001</v>
      </c>
      <c r="E8" s="317" t="s">
        <v>327</v>
      </c>
      <c r="F8" s="380" t="s">
        <v>290</v>
      </c>
      <c r="G8" s="192"/>
      <c r="H8" s="12"/>
    </row>
    <row r="9" spans="1:8" s="293" customFormat="1" ht="15" x14ac:dyDescent="0.25">
      <c r="A9" s="297" t="s">
        <v>430</v>
      </c>
      <c r="B9" s="298" t="s">
        <v>448</v>
      </c>
      <c r="C9" s="242" t="s">
        <v>10</v>
      </c>
      <c r="D9" s="381">
        <v>25.599985861</v>
      </c>
      <c r="E9" s="242" t="s">
        <v>327</v>
      </c>
      <c r="F9" s="192" t="s">
        <v>290</v>
      </c>
      <c r="G9" s="192"/>
      <c r="H9" s="12"/>
    </row>
    <row r="10" spans="1:8" s="293" customFormat="1" ht="15" x14ac:dyDescent="0.25">
      <c r="A10" s="297" t="s">
        <v>435</v>
      </c>
      <c r="B10" s="298" t="s">
        <v>318</v>
      </c>
      <c r="C10" s="242" t="s">
        <v>10</v>
      </c>
      <c r="D10" s="381">
        <v>66.130369138000006</v>
      </c>
      <c r="E10" s="242" t="s">
        <v>327</v>
      </c>
      <c r="F10" s="192" t="s">
        <v>290</v>
      </c>
      <c r="G10" s="192"/>
      <c r="H10" s="12"/>
    </row>
    <row r="11" spans="1:8" s="293" customFormat="1" ht="15" x14ac:dyDescent="0.25">
      <c r="A11" s="297" t="s">
        <v>436</v>
      </c>
      <c r="B11" s="298" t="s">
        <v>318</v>
      </c>
      <c r="C11" s="242" t="s">
        <v>10</v>
      </c>
      <c r="D11" s="381">
        <v>22.005637827099999</v>
      </c>
      <c r="E11" s="242" t="s">
        <v>327</v>
      </c>
      <c r="F11" s="192" t="s">
        <v>290</v>
      </c>
      <c r="G11" s="192"/>
      <c r="H11" s="12"/>
    </row>
    <row r="12" spans="1:8" ht="22.8" x14ac:dyDescent="0.25">
      <c r="A12" s="297" t="s">
        <v>437</v>
      </c>
      <c r="B12" s="298" t="s">
        <v>319</v>
      </c>
      <c r="C12" s="242" t="s">
        <v>10</v>
      </c>
      <c r="D12" s="381">
        <v>0</v>
      </c>
      <c r="E12" s="242" t="s">
        <v>317</v>
      </c>
      <c r="F12" s="192" t="s">
        <v>229</v>
      </c>
      <c r="G12" s="192"/>
      <c r="H12" s="17"/>
    </row>
    <row r="13" spans="1:8" s="293" customFormat="1" ht="22.8" x14ac:dyDescent="0.25">
      <c r="A13" s="297" t="s">
        <v>438</v>
      </c>
      <c r="B13" s="298" t="s">
        <v>319</v>
      </c>
      <c r="C13" s="242" t="s">
        <v>10</v>
      </c>
      <c r="D13" s="381">
        <v>0</v>
      </c>
      <c r="E13" s="242" t="s">
        <v>317</v>
      </c>
      <c r="F13" s="192" t="s">
        <v>229</v>
      </c>
      <c r="G13" s="192"/>
      <c r="H13" s="17"/>
    </row>
    <row r="14" spans="1:8" s="356" customFormat="1" ht="15" x14ac:dyDescent="0.25">
      <c r="A14" s="300" t="s">
        <v>409</v>
      </c>
      <c r="B14" s="299" t="s">
        <v>449</v>
      </c>
      <c r="C14" s="295" t="s">
        <v>40</v>
      </c>
      <c r="D14" s="381">
        <v>16</v>
      </c>
      <c r="E14" s="242" t="s">
        <v>317</v>
      </c>
      <c r="F14" s="192" t="s">
        <v>229</v>
      </c>
      <c r="G14" s="192"/>
      <c r="H14" s="17"/>
    </row>
    <row r="15" spans="1:8" ht="15" x14ac:dyDescent="0.25">
      <c r="A15" s="297" t="s">
        <v>431</v>
      </c>
      <c r="B15" s="298" t="s">
        <v>450</v>
      </c>
      <c r="C15" s="242" t="s">
        <v>10</v>
      </c>
      <c r="D15" s="381">
        <v>3.6405540089500001</v>
      </c>
      <c r="E15" s="242" t="s">
        <v>328</v>
      </c>
      <c r="F15" s="192" t="s">
        <v>229</v>
      </c>
      <c r="G15" s="192"/>
      <c r="H15" s="17"/>
    </row>
    <row r="16" spans="1:8" s="293" customFormat="1" ht="15" x14ac:dyDescent="0.25">
      <c r="A16" s="297" t="s">
        <v>432</v>
      </c>
      <c r="B16" s="298" t="s">
        <v>450</v>
      </c>
      <c r="C16" s="242" t="s">
        <v>10</v>
      </c>
      <c r="D16" s="381">
        <v>1.2799992930500002</v>
      </c>
      <c r="E16" s="242" t="s">
        <v>328</v>
      </c>
      <c r="F16" s="192" t="s">
        <v>229</v>
      </c>
      <c r="G16" s="192"/>
      <c r="H16" s="17"/>
    </row>
    <row r="17" spans="1:8" s="293" customFormat="1" ht="15" x14ac:dyDescent="0.25">
      <c r="A17" s="378" t="s">
        <v>439</v>
      </c>
      <c r="B17" s="298" t="s">
        <v>450</v>
      </c>
      <c r="C17" s="242" t="s">
        <v>10</v>
      </c>
      <c r="D17" s="381">
        <v>3.3065184569000006</v>
      </c>
      <c r="E17" s="242" t="s">
        <v>328</v>
      </c>
      <c r="F17" s="192" t="s">
        <v>229</v>
      </c>
      <c r="G17" s="192"/>
      <c r="H17" s="17"/>
    </row>
    <row r="18" spans="1:8" s="293" customFormat="1" ht="15" x14ac:dyDescent="0.25">
      <c r="A18" s="297" t="s">
        <v>440</v>
      </c>
      <c r="B18" s="298" t="s">
        <v>450</v>
      </c>
      <c r="C18" s="242" t="s">
        <v>10</v>
      </c>
      <c r="D18" s="381">
        <v>1.1002818913550001</v>
      </c>
      <c r="E18" s="242" t="s">
        <v>328</v>
      </c>
      <c r="F18" s="192" t="s">
        <v>229</v>
      </c>
      <c r="G18" s="192"/>
      <c r="H18" s="17"/>
    </row>
    <row r="19" spans="1:8" ht="22.8" x14ac:dyDescent="0.25">
      <c r="A19" s="297" t="s">
        <v>433</v>
      </c>
      <c r="B19" s="298" t="s">
        <v>451</v>
      </c>
      <c r="C19" s="242" t="s">
        <v>10</v>
      </c>
      <c r="D19" s="381">
        <v>0.72811080178999998</v>
      </c>
      <c r="E19" s="242" t="s">
        <v>328</v>
      </c>
      <c r="F19" s="192" t="s">
        <v>229</v>
      </c>
      <c r="G19" s="192"/>
      <c r="H19" s="17"/>
    </row>
    <row r="20" spans="1:8" s="293" customFormat="1" ht="22.8" x14ac:dyDescent="0.25">
      <c r="A20" s="297" t="s">
        <v>434</v>
      </c>
      <c r="B20" s="298" t="s">
        <v>451</v>
      </c>
      <c r="C20" s="242" t="s">
        <v>10</v>
      </c>
      <c r="D20" s="381">
        <v>0.25599985861000002</v>
      </c>
      <c r="E20" s="242" t="s">
        <v>328</v>
      </c>
      <c r="F20" s="192" t="s">
        <v>229</v>
      </c>
      <c r="G20" s="192"/>
      <c r="H20" s="17"/>
    </row>
    <row r="21" spans="1:8" s="293" customFormat="1" ht="22.8" x14ac:dyDescent="0.25">
      <c r="A21" s="297" t="s">
        <v>441</v>
      </c>
      <c r="B21" s="298" t="s">
        <v>451</v>
      </c>
      <c r="C21" s="242" t="s">
        <v>10</v>
      </c>
      <c r="D21" s="381">
        <v>0.66130369138000011</v>
      </c>
      <c r="E21" s="242" t="s">
        <v>328</v>
      </c>
      <c r="F21" s="192" t="s">
        <v>229</v>
      </c>
      <c r="G21" s="192"/>
      <c r="H21" s="17"/>
    </row>
    <row r="22" spans="1:8" s="293" customFormat="1" ht="22.8" x14ac:dyDescent="0.25">
      <c r="A22" s="297" t="s">
        <v>442</v>
      </c>
      <c r="B22" s="298" t="s">
        <v>451</v>
      </c>
      <c r="C22" s="242" t="s">
        <v>10</v>
      </c>
      <c r="D22" s="381">
        <v>0.220056378271</v>
      </c>
      <c r="E22" s="242" t="s">
        <v>328</v>
      </c>
      <c r="F22" s="192" t="s">
        <v>229</v>
      </c>
      <c r="G22" s="192"/>
      <c r="H22" s="17"/>
    </row>
    <row r="23" spans="1:8" ht="22.8" x14ac:dyDescent="0.25">
      <c r="A23" s="297" t="s">
        <v>443</v>
      </c>
      <c r="B23" s="298" t="s">
        <v>444</v>
      </c>
      <c r="C23" s="242" t="s">
        <v>320</v>
      </c>
      <c r="D23" s="381">
        <v>0.5</v>
      </c>
      <c r="E23" s="242" t="s">
        <v>289</v>
      </c>
      <c r="F23" s="192" t="s">
        <v>229</v>
      </c>
      <c r="G23" s="192"/>
    </row>
    <row r="24" spans="1:8" s="356" customFormat="1" ht="15" x14ac:dyDescent="0.25">
      <c r="A24" s="300" t="s">
        <v>410</v>
      </c>
      <c r="B24" s="299" t="s">
        <v>452</v>
      </c>
      <c r="C24" s="295" t="s">
        <v>40</v>
      </c>
      <c r="D24" s="381">
        <v>26</v>
      </c>
      <c r="E24" s="242" t="s">
        <v>328</v>
      </c>
      <c r="F24" s="192" t="s">
        <v>229</v>
      </c>
      <c r="G24" s="192"/>
      <c r="H24" s="17"/>
    </row>
    <row r="25" spans="1:8" s="240" customFormat="1" ht="15" customHeight="1" x14ac:dyDescent="0.25">
      <c r="A25" s="297" t="s">
        <v>321</v>
      </c>
      <c r="B25" s="298" t="s">
        <v>231</v>
      </c>
      <c r="C25" s="242" t="s">
        <v>10</v>
      </c>
      <c r="D25" s="193">
        <v>195.87442665535502</v>
      </c>
      <c r="E25" s="242" t="s">
        <v>315</v>
      </c>
      <c r="F25" s="192" t="s">
        <v>229</v>
      </c>
      <c r="G25" s="287"/>
    </row>
    <row r="26" spans="1:8" ht="18" customHeight="1" x14ac:dyDescent="0.25">
      <c r="A26" s="297" t="s">
        <v>322</v>
      </c>
      <c r="B26" s="298" t="s">
        <v>232</v>
      </c>
      <c r="C26" s="242" t="s">
        <v>40</v>
      </c>
      <c r="D26" s="193">
        <v>26</v>
      </c>
      <c r="E26" s="242" t="s">
        <v>315</v>
      </c>
      <c r="F26" s="192" t="s">
        <v>229</v>
      </c>
      <c r="G26" s="287"/>
    </row>
    <row r="27" spans="1:8" ht="18" customHeight="1" x14ac:dyDescent="0.25">
      <c r="A27" s="297" t="s">
        <v>323</v>
      </c>
      <c r="B27" s="298" t="s">
        <v>324</v>
      </c>
      <c r="C27" s="242" t="s">
        <v>10</v>
      </c>
      <c r="D27" s="193">
        <v>48.968606663838756</v>
      </c>
      <c r="E27" s="242" t="s">
        <v>315</v>
      </c>
      <c r="F27" s="192" t="s">
        <v>229</v>
      </c>
      <c r="G27" s="287"/>
    </row>
    <row r="28" spans="1:8" ht="15.6" x14ac:dyDescent="0.25">
      <c r="A28" s="297" t="s">
        <v>325</v>
      </c>
      <c r="B28" s="26" t="s">
        <v>237</v>
      </c>
      <c r="C28" s="242" t="s">
        <v>10</v>
      </c>
      <c r="D28" s="193">
        <v>0</v>
      </c>
      <c r="E28" s="242" t="s">
        <v>315</v>
      </c>
      <c r="F28" s="192" t="s">
        <v>229</v>
      </c>
      <c r="G28" s="287"/>
    </row>
    <row r="29" spans="1:8" ht="15" x14ac:dyDescent="0.25">
      <c r="A29" s="297" t="s">
        <v>326</v>
      </c>
      <c r="B29" s="298" t="s">
        <v>230</v>
      </c>
      <c r="C29" s="242" t="s">
        <v>10</v>
      </c>
      <c r="D29" s="193">
        <v>0</v>
      </c>
      <c r="E29" s="242" t="s">
        <v>315</v>
      </c>
      <c r="F29" s="192" t="s">
        <v>290</v>
      </c>
      <c r="G29" s="287"/>
    </row>
    <row r="30" spans="1:8" s="289" customFormat="1" x14ac:dyDescent="0.25">
      <c r="A30" s="297"/>
      <c r="B30" s="298"/>
      <c r="C30" s="300"/>
      <c r="D30" s="192"/>
      <c r="E30" s="242"/>
      <c r="F30" s="192"/>
      <c r="G30" s="287"/>
    </row>
    <row r="31" spans="1:8" s="249" customFormat="1" ht="13.8" x14ac:dyDescent="0.25">
      <c r="A31" s="53" t="s">
        <v>70</v>
      </c>
      <c r="B31" s="26"/>
      <c r="C31" s="290"/>
      <c r="D31" s="347"/>
      <c r="E31" s="287"/>
      <c r="F31" s="290"/>
      <c r="G31" s="287"/>
    </row>
    <row r="32" spans="1:8" s="249" customFormat="1" x14ac:dyDescent="0.25">
      <c r="A32" s="212" t="s">
        <v>280</v>
      </c>
      <c r="B32" s="285"/>
      <c r="C32" s="192"/>
      <c r="D32" s="347"/>
      <c r="E32" s="245"/>
      <c r="F32" s="245"/>
      <c r="G32" s="287"/>
    </row>
    <row r="33" spans="1:7" s="377" customFormat="1" x14ac:dyDescent="0.25">
      <c r="A33" s="285" t="s">
        <v>331</v>
      </c>
      <c r="B33" s="26" t="s">
        <v>475</v>
      </c>
      <c r="C33" s="376"/>
      <c r="D33" s="246" t="str">
        <f>Process_design_data!C16</f>
        <v>ZONE_BASED</v>
      </c>
      <c r="E33" s="376"/>
      <c r="F33" s="376"/>
      <c r="G33" s="375"/>
    </row>
    <row r="34" spans="1:7" s="399" customFormat="1" ht="15.6" x14ac:dyDescent="0.25">
      <c r="A34" s="247" t="s">
        <v>484</v>
      </c>
      <c r="B34" s="26" t="s">
        <v>485</v>
      </c>
      <c r="C34" s="192" t="s">
        <v>40</v>
      </c>
      <c r="D34" s="334">
        <v>6</v>
      </c>
      <c r="E34" s="192" t="s">
        <v>240</v>
      </c>
      <c r="F34" s="398"/>
      <c r="G34" s="396"/>
    </row>
    <row r="35" spans="1:7" ht="22.8" x14ac:dyDescent="0.25">
      <c r="A35" s="300" t="s">
        <v>352</v>
      </c>
      <c r="B35" s="26" t="s">
        <v>356</v>
      </c>
      <c r="C35" s="192" t="s">
        <v>40</v>
      </c>
      <c r="D35" s="334">
        <v>16</v>
      </c>
      <c r="E35" s="288" t="s">
        <v>240</v>
      </c>
      <c r="F35" s="290"/>
      <c r="G35" s="287"/>
    </row>
    <row r="36" spans="1:7" ht="22.8" x14ac:dyDescent="0.25">
      <c r="A36" s="300" t="s">
        <v>353</v>
      </c>
      <c r="B36" s="26" t="s">
        <v>357</v>
      </c>
      <c r="C36" s="192" t="s">
        <v>40</v>
      </c>
      <c r="D36" s="334">
        <v>8</v>
      </c>
      <c r="E36" s="288" t="s">
        <v>240</v>
      </c>
      <c r="F36" s="245"/>
      <c r="G36" s="287"/>
    </row>
    <row r="37" spans="1:7" ht="22.8" x14ac:dyDescent="0.25">
      <c r="A37" s="300" t="s">
        <v>354</v>
      </c>
      <c r="B37" s="26" t="s">
        <v>358</v>
      </c>
      <c r="C37" s="242" t="s">
        <v>11</v>
      </c>
      <c r="D37" s="334">
        <v>-0.8</v>
      </c>
      <c r="E37" s="288" t="s">
        <v>240</v>
      </c>
      <c r="F37" s="288"/>
      <c r="G37" s="287"/>
    </row>
    <row r="38" spans="1:7" ht="22.8" x14ac:dyDescent="0.25">
      <c r="A38" s="300" t="s">
        <v>355</v>
      </c>
      <c r="B38" s="27" t="s">
        <v>359</v>
      </c>
      <c r="C38" s="192" t="s">
        <v>288</v>
      </c>
      <c r="D38" s="335">
        <v>28</v>
      </c>
      <c r="E38" s="288" t="s">
        <v>240</v>
      </c>
      <c r="F38" s="288"/>
      <c r="G38" s="287"/>
    </row>
    <row r="39" spans="1:7" s="356" customFormat="1" ht="22.8" x14ac:dyDescent="0.25">
      <c r="A39" s="278" t="s">
        <v>411</v>
      </c>
      <c r="B39" s="26" t="s">
        <v>453</v>
      </c>
      <c r="C39" s="242" t="s">
        <v>11</v>
      </c>
      <c r="D39" s="382">
        <v>0.1</v>
      </c>
      <c r="E39" s="374" t="s">
        <v>240</v>
      </c>
      <c r="F39" s="324"/>
      <c r="G39" s="109"/>
    </row>
    <row r="40" spans="1:7" s="356" customFormat="1" ht="22.8" x14ac:dyDescent="0.25">
      <c r="A40" s="278" t="s">
        <v>412</v>
      </c>
      <c r="B40" s="26" t="s">
        <v>454</v>
      </c>
      <c r="C40" s="242" t="s">
        <v>11</v>
      </c>
      <c r="D40" s="382">
        <v>0.01</v>
      </c>
      <c r="E40" s="324" t="s">
        <v>240</v>
      </c>
      <c r="F40" s="324"/>
      <c r="G40" s="109"/>
    </row>
    <row r="41" spans="1:7" s="356" customFormat="1" ht="15.6" x14ac:dyDescent="0.25">
      <c r="A41" s="278" t="s">
        <v>413</v>
      </c>
      <c r="B41" s="26" t="s">
        <v>455</v>
      </c>
      <c r="C41" s="242" t="s">
        <v>11</v>
      </c>
      <c r="D41" s="382">
        <v>1</v>
      </c>
      <c r="E41" s="374" t="s">
        <v>240</v>
      </c>
      <c r="F41" s="9"/>
      <c r="G41" s="317"/>
    </row>
    <row r="42" spans="1:7" s="356" customFormat="1" ht="15.6" x14ac:dyDescent="0.25">
      <c r="A42" s="278" t="s">
        <v>414</v>
      </c>
      <c r="B42" s="26" t="s">
        <v>456</v>
      </c>
      <c r="C42" s="242" t="s">
        <v>11</v>
      </c>
      <c r="D42" s="334">
        <v>1</v>
      </c>
      <c r="E42" s="374" t="s">
        <v>240</v>
      </c>
      <c r="F42" s="9"/>
      <c r="G42" s="317"/>
    </row>
    <row r="43" spans="1:7" s="251" customFormat="1" x14ac:dyDescent="0.25">
      <c r="A43" s="321"/>
      <c r="B43" s="65"/>
      <c r="C43" s="322"/>
      <c r="D43" s="322"/>
      <c r="E43" s="322"/>
      <c r="F43" s="322"/>
      <c r="G43" s="9"/>
    </row>
    <row r="44" spans="1:7" s="251" customFormat="1" x14ac:dyDescent="0.25">
      <c r="A44" s="212" t="s">
        <v>190</v>
      </c>
      <c r="B44" s="26"/>
      <c r="C44" s="288"/>
      <c r="D44" s="348"/>
      <c r="E44" s="288"/>
      <c r="F44" s="288"/>
      <c r="G44" s="287"/>
    </row>
    <row r="45" spans="1:7" x14ac:dyDescent="0.25">
      <c r="A45" s="285" t="s">
        <v>331</v>
      </c>
      <c r="B45" s="26" t="s">
        <v>330</v>
      </c>
      <c r="C45" s="288"/>
      <c r="D45" s="246" t="str">
        <f>Process_design_data!C23</f>
        <v>VARIABLE</v>
      </c>
      <c r="E45" s="288"/>
      <c r="F45" s="288"/>
      <c r="G45" s="287"/>
    </row>
    <row r="46" spans="1:7" ht="26.4" x14ac:dyDescent="0.25">
      <c r="A46" s="277" t="s">
        <v>351</v>
      </c>
      <c r="B46" s="26" t="s">
        <v>329</v>
      </c>
      <c r="C46" s="288"/>
      <c r="D46" s="246" t="str">
        <f>Process_design_data!C30</f>
        <v>ODA_COMP</v>
      </c>
      <c r="E46" s="288"/>
      <c r="F46" s="288"/>
      <c r="G46" s="287"/>
    </row>
    <row r="47" spans="1:7" s="251" customFormat="1" x14ac:dyDescent="0.25">
      <c r="A47" s="247"/>
      <c r="B47" s="26"/>
      <c r="C47" s="288"/>
      <c r="D47" s="288"/>
      <c r="E47" s="288"/>
      <c r="F47" s="288"/>
      <c r="G47" s="287"/>
    </row>
    <row r="48" spans="1:7" s="280" customFormat="1" x14ac:dyDescent="0.25">
      <c r="A48" s="212" t="s">
        <v>199</v>
      </c>
      <c r="B48" s="27"/>
      <c r="C48" s="288"/>
      <c r="D48" s="288"/>
      <c r="E48" s="288"/>
      <c r="F48" s="288"/>
      <c r="G48" s="287"/>
    </row>
    <row r="49" spans="1:7" ht="15" x14ac:dyDescent="0.25">
      <c r="A49" s="278" t="s">
        <v>332</v>
      </c>
      <c r="B49" s="296" t="s">
        <v>333</v>
      </c>
      <c r="C49" s="242" t="s">
        <v>336</v>
      </c>
      <c r="D49" s="246">
        <v>1000</v>
      </c>
      <c r="E49" s="288"/>
      <c r="F49" s="288"/>
      <c r="G49" s="287"/>
    </row>
    <row r="50" spans="1:7" ht="15" x14ac:dyDescent="0.25">
      <c r="A50" s="303" t="s">
        <v>334</v>
      </c>
      <c r="B50" s="298" t="s">
        <v>335</v>
      </c>
      <c r="C50" s="242" t="s">
        <v>337</v>
      </c>
      <c r="D50" s="350">
        <v>1.16E-3</v>
      </c>
      <c r="E50" s="288"/>
      <c r="F50" s="288"/>
      <c r="G50" s="287"/>
    </row>
    <row r="51" spans="1:7" x14ac:dyDescent="0.25">
      <c r="A51" s="264"/>
      <c r="B51" s="26"/>
      <c r="C51" s="288"/>
      <c r="D51" s="290"/>
      <c r="E51" s="288"/>
      <c r="F51" s="288"/>
      <c r="G51" s="287"/>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30"/>
  <sheetViews>
    <sheetView tabSelected="1" topLeftCell="A7" zoomScaleNormal="100" workbookViewId="0">
      <selection activeCell="H14" sqref="H14"/>
    </sheetView>
  </sheetViews>
  <sheetFormatPr baseColWidth="10" defaultColWidth="9.109375" defaultRowHeight="13.2" x14ac:dyDescent="0.25"/>
  <cols>
    <col min="1" max="1" width="30.44140625" style="2" customWidth="1"/>
    <col min="2" max="2" width="12.44140625" style="313" customWidth="1"/>
    <col min="3" max="3" width="9.109375" style="2"/>
    <col min="4" max="4" width="13" style="2" bestFit="1" customWidth="1"/>
    <col min="5" max="5" width="14" style="2" customWidth="1"/>
    <col min="6" max="6" width="47.6640625" style="2" customWidth="1"/>
    <col min="7" max="7" width="29.44140625" style="2" customWidth="1"/>
    <col min="8" max="9" width="11.5546875" style="2" bestFit="1" customWidth="1"/>
    <col min="10" max="16384" width="9.109375" style="2"/>
  </cols>
  <sheetData>
    <row r="1" spans="1:11" ht="86.25" customHeight="1" thickBot="1" x14ac:dyDescent="0.3">
      <c r="A1" s="427" t="s">
        <v>200</v>
      </c>
      <c r="B1" s="443"/>
      <c r="C1" s="443"/>
      <c r="D1" s="443"/>
      <c r="E1" s="443"/>
      <c r="F1" s="443"/>
      <c r="G1" s="444"/>
      <c r="H1" s="94"/>
      <c r="I1" s="94"/>
      <c r="J1" s="94"/>
      <c r="K1" s="94"/>
    </row>
    <row r="3" spans="1:11" x14ac:dyDescent="0.25">
      <c r="A3" s="47" t="s">
        <v>7</v>
      </c>
      <c r="B3" s="47" t="s">
        <v>9</v>
      </c>
      <c r="C3" s="47" t="s">
        <v>1</v>
      </c>
      <c r="D3" s="47" t="s">
        <v>6</v>
      </c>
      <c r="E3" s="47" t="s">
        <v>111</v>
      </c>
      <c r="F3" s="47" t="s">
        <v>104</v>
      </c>
      <c r="G3" s="47" t="s">
        <v>8</v>
      </c>
    </row>
    <row r="4" spans="1:11" ht="13.8" x14ac:dyDescent="0.25">
      <c r="A4" s="328" t="s">
        <v>259</v>
      </c>
      <c r="B4" s="312"/>
      <c r="C4" s="312"/>
      <c r="D4" s="312"/>
      <c r="E4" s="312"/>
      <c r="F4" s="312"/>
      <c r="G4" s="312"/>
    </row>
    <row r="5" spans="1:11" s="355" customFormat="1" x14ac:dyDescent="0.25">
      <c r="A5" s="248" t="s">
        <v>376</v>
      </c>
      <c r="B5" s="354"/>
      <c r="C5" s="354"/>
      <c r="D5" s="51"/>
      <c r="E5" s="354"/>
      <c r="F5" s="354"/>
      <c r="G5" s="354"/>
    </row>
    <row r="6" spans="1:11" s="359" customFormat="1" ht="43.5" customHeight="1" x14ac:dyDescent="0.25">
      <c r="A6" s="329" t="s">
        <v>404</v>
      </c>
      <c r="B6" s="332" t="s">
        <v>346</v>
      </c>
      <c r="C6" s="331" t="s">
        <v>40</v>
      </c>
      <c r="D6" s="383">
        <f>IF(AND(Process_design_data!C9="DX",Method_input!D33="ZONE_BASED"),Method_input!D24,"-")</f>
        <v>26</v>
      </c>
      <c r="E6" s="331" t="s">
        <v>344</v>
      </c>
      <c r="F6" s="333" t="s">
        <v>457</v>
      </c>
      <c r="G6" s="331" t="s">
        <v>379</v>
      </c>
    </row>
    <row r="7" spans="1:11" s="359" customFormat="1" ht="43.5" customHeight="1" x14ac:dyDescent="0.25">
      <c r="A7" s="329" t="s">
        <v>405</v>
      </c>
      <c r="B7" s="332" t="s">
        <v>346</v>
      </c>
      <c r="C7" s="331" t="s">
        <v>40</v>
      </c>
      <c r="D7" s="383" t="str">
        <f>IF(AND(Process_design_data!C9="DX",Method_input!D33="AIR_BASED"),Method_input!D14,"-")</f>
        <v>-</v>
      </c>
      <c r="E7" s="331" t="s">
        <v>345</v>
      </c>
      <c r="F7" s="333" t="s">
        <v>458</v>
      </c>
      <c r="G7" s="331" t="s">
        <v>379</v>
      </c>
    </row>
    <row r="8" spans="1:11" s="355" customFormat="1" x14ac:dyDescent="0.25">
      <c r="A8" s="248" t="s">
        <v>377</v>
      </c>
      <c r="B8" s="192"/>
      <c r="C8" s="192"/>
      <c r="D8" s="192"/>
      <c r="E8" s="192"/>
      <c r="F8" s="192"/>
      <c r="G8" s="192"/>
      <c r="I8"/>
    </row>
    <row r="9" spans="1:11" ht="43.5" customHeight="1" x14ac:dyDescent="0.25">
      <c r="A9" s="329" t="s">
        <v>402</v>
      </c>
      <c r="B9" s="332" t="s">
        <v>346</v>
      </c>
      <c r="C9" s="331" t="s">
        <v>40</v>
      </c>
      <c r="D9" s="383" t="str">
        <f>IF(AND(Process_design_data!C9="Water",Method_input!D45="CONST"),Method_input!D34,"-")</f>
        <v>-</v>
      </c>
      <c r="E9" s="331" t="s">
        <v>459</v>
      </c>
      <c r="F9" s="333" t="s">
        <v>347</v>
      </c>
      <c r="G9" s="331" t="s">
        <v>379</v>
      </c>
    </row>
    <row r="10" spans="1:11" s="275" customFormat="1" ht="43.5" customHeight="1" x14ac:dyDescent="0.25">
      <c r="A10" s="329" t="s">
        <v>403</v>
      </c>
      <c r="B10" s="332" t="s">
        <v>346</v>
      </c>
      <c r="C10" s="331" t="s">
        <v>40</v>
      </c>
      <c r="D10" s="383" t="str">
        <f>IF(AND(Process_design_data!C9="Water",Method_input!D45="VARIABLE"),IF(D11&lt;&gt;"-",D11,D12),"-")</f>
        <v>-</v>
      </c>
      <c r="E10" s="331" t="s">
        <v>460</v>
      </c>
      <c r="F10" s="333" t="s">
        <v>348</v>
      </c>
      <c r="G10" s="331" t="s">
        <v>379</v>
      </c>
    </row>
    <row r="11" spans="1:11" s="359" customFormat="1" ht="39.6" x14ac:dyDescent="0.25">
      <c r="A11" s="247" t="s">
        <v>406</v>
      </c>
      <c r="B11" s="26" t="s">
        <v>461</v>
      </c>
      <c r="C11" s="192" t="s">
        <v>40</v>
      </c>
      <c r="D11" s="418" t="str">
        <f>IF(Method_input!D46="CONST",Method_input!D34,"-")</f>
        <v>-</v>
      </c>
      <c r="E11" s="192" t="s">
        <v>349</v>
      </c>
      <c r="F11" s="385" t="s">
        <v>462</v>
      </c>
      <c r="G11" s="192"/>
    </row>
    <row r="12" spans="1:11" s="359" customFormat="1" ht="52.8" x14ac:dyDescent="0.25">
      <c r="A12" s="247" t="s">
        <v>407</v>
      </c>
      <c r="B12" s="26" t="s">
        <v>461</v>
      </c>
      <c r="C12" s="192" t="s">
        <v>40</v>
      </c>
      <c r="D12" s="386">
        <f>IF(Method_input!D46="ODA_COMP",MIN(Method_input!D35,MAX(Method_input!D36,Method_input!D37*Method_input!D7+Method_input!D38)),"-")</f>
        <v>12.799999999999999</v>
      </c>
      <c r="E12" s="192" t="s">
        <v>350</v>
      </c>
      <c r="F12" s="387" t="s">
        <v>463</v>
      </c>
      <c r="G12" s="192"/>
    </row>
    <row r="13" spans="1:11" s="325" customFormat="1" ht="13.8" x14ac:dyDescent="0.25">
      <c r="A13" s="328" t="s">
        <v>378</v>
      </c>
      <c r="B13" s="192"/>
      <c r="C13" s="192"/>
      <c r="D13" s="192"/>
      <c r="E13" s="192"/>
      <c r="F13" s="192"/>
      <c r="G13" s="192"/>
    </row>
    <row r="14" spans="1:11" ht="39.6" x14ac:dyDescent="0.25">
      <c r="A14" s="329" t="s">
        <v>371</v>
      </c>
      <c r="B14" s="330" t="s">
        <v>362</v>
      </c>
      <c r="C14" s="331" t="s">
        <v>10</v>
      </c>
      <c r="D14" s="388">
        <f>IF(AND(Process_design_data!C9="DX",Method_input!D33="AIR_BASED"),"-",MIN(Method_input!D8,IF(D24="-",IF(D21=0,0,Method_input!D8/D21*Method_input!D25),IF(D24=0,0,Method_input!D8/D24*Method_input!D25))))</f>
        <v>72.811080179000001</v>
      </c>
      <c r="E14" s="331" t="s">
        <v>464</v>
      </c>
      <c r="F14" s="389"/>
      <c r="G14" s="331" t="s">
        <v>379</v>
      </c>
      <c r="H14" s="275"/>
      <c r="I14" s="275"/>
    </row>
    <row r="15" spans="1:11" s="313" customFormat="1" ht="39.6" x14ac:dyDescent="0.25">
      <c r="A15" s="329" t="s">
        <v>372</v>
      </c>
      <c r="B15" s="330" t="s">
        <v>362</v>
      </c>
      <c r="C15" s="331" t="s">
        <v>10</v>
      </c>
      <c r="D15" s="388">
        <f>IF(AND(Process_design_data!C9="DX",Method_input!D33="AIR_BASED"),"-",MIN(Method_input!D9,IF(D24="-",IF(D21=0,0,Method_input!D9/D21*Method_input!D25),IF(D24=0,0,Method_input!D9/D24*Method_input!D25))))</f>
        <v>25.599985860999997</v>
      </c>
      <c r="E15" s="331" t="s">
        <v>464</v>
      </c>
      <c r="F15" s="389"/>
      <c r="G15" s="331" t="s">
        <v>379</v>
      </c>
    </row>
    <row r="16" spans="1:11" s="313" customFormat="1" ht="39.6" x14ac:dyDescent="0.25">
      <c r="A16" s="329" t="s">
        <v>373</v>
      </c>
      <c r="B16" s="330" t="s">
        <v>362</v>
      </c>
      <c r="C16" s="331" t="s">
        <v>10</v>
      </c>
      <c r="D16" s="388">
        <f>IF(AND(Process_design_data!C9="DX",Method_input!D33="AIR_BASED"),"-",MIN(Method_input!D10,IF(D24="-",IF(D21=0,0,Method_input!D10/D21*Method_input!D25),IF(D24=0,0,Method_input!D10/D24*Method_input!D25))))</f>
        <v>66.130369138000006</v>
      </c>
      <c r="E16" s="331" t="s">
        <v>464</v>
      </c>
      <c r="F16" s="389"/>
      <c r="G16" s="331" t="s">
        <v>379</v>
      </c>
    </row>
    <row r="17" spans="1:9" s="313" customFormat="1" ht="39.6" x14ac:dyDescent="0.25">
      <c r="A17" s="329" t="s">
        <v>374</v>
      </c>
      <c r="B17" s="330" t="s">
        <v>362</v>
      </c>
      <c r="C17" s="331" t="s">
        <v>10</v>
      </c>
      <c r="D17" s="388">
        <f>IF(AND(Process_design_data!C9="DX",Method_input!D33="AIR_BASED"),"-",MIN(Method_input!D11,IF(D24="-",IF(D21=0,0,Method_input!D11/D21*Method_input!D25),IF(D24=0,0,Method_input!D11/D24*Method_input!D25))))</f>
        <v>22.005637827099999</v>
      </c>
      <c r="E17" s="331" t="s">
        <v>464</v>
      </c>
      <c r="F17" s="389"/>
      <c r="G17" s="331" t="s">
        <v>379</v>
      </c>
    </row>
    <row r="18" spans="1:9" ht="40.200000000000003" customHeight="1" x14ac:dyDescent="0.25">
      <c r="A18" s="329" t="s">
        <v>364</v>
      </c>
      <c r="B18" s="330" t="s">
        <v>363</v>
      </c>
      <c r="C18" s="331" t="s">
        <v>10</v>
      </c>
      <c r="D18" s="388" t="str">
        <f>IF(AND(Process_design_data!C9="DX",Method_input!D33="ZONE_BASED"),"-",MIN(Method_input!D12,IF(D24="-",IF(D22=0,0,Method_input!D12/D22*Method_input!D25),IF(D24=0,0,Method_input!D12/D24*Method_input!D25))))</f>
        <v>-</v>
      </c>
      <c r="E18" s="331" t="s">
        <v>465</v>
      </c>
      <c r="F18" s="389"/>
      <c r="G18" s="331" t="s">
        <v>379</v>
      </c>
    </row>
    <row r="19" spans="1:9" s="313" customFormat="1" ht="40.200000000000003" customHeight="1" x14ac:dyDescent="0.25">
      <c r="A19" s="329" t="s">
        <v>365</v>
      </c>
      <c r="B19" s="330" t="s">
        <v>363</v>
      </c>
      <c r="C19" s="331" t="s">
        <v>10</v>
      </c>
      <c r="D19" s="388" t="str">
        <f>IF(AND(Process_design_data!C9="DX",Method_input!D33="ZONE_BASED"),"-",MIN(Method_input!D13,IF(D24="-",IF(D22=0,0,Method_input!D13/D22*Method_input!D25),IF(D24=0,0,Method_input!D13/D24*Method_input!D25))))</f>
        <v>-</v>
      </c>
      <c r="E19" s="331" t="s">
        <v>465</v>
      </c>
      <c r="F19" s="389"/>
      <c r="G19" s="331" t="s">
        <v>379</v>
      </c>
    </row>
    <row r="20" spans="1:9" s="325" customFormat="1" x14ac:dyDescent="0.25">
      <c r="A20" s="248" t="s">
        <v>376</v>
      </c>
      <c r="B20" s="192"/>
      <c r="C20" s="192"/>
      <c r="D20" s="384"/>
      <c r="E20" s="192"/>
      <c r="F20" s="192"/>
      <c r="G20" s="192"/>
    </row>
    <row r="21" spans="1:9" ht="39.6" x14ac:dyDescent="0.25">
      <c r="A21" s="329" t="s">
        <v>370</v>
      </c>
      <c r="B21" s="330" t="s">
        <v>236</v>
      </c>
      <c r="C21" s="331" t="s">
        <v>10</v>
      </c>
      <c r="D21" s="388">
        <f>IF(AND(Process_design_data!C9="DX",Method_input!D33="ZONE_BASED"),Method_input!D8+Method_input!D9+Method_input!D10+Method_input!D11+Method_input!D15+Method_input!D16+Method_input!D17+Method_input!D18,"-")</f>
        <v>195.87442665535502</v>
      </c>
      <c r="E21" s="331" t="s">
        <v>480</v>
      </c>
      <c r="F21" s="400"/>
      <c r="G21" s="331" t="s">
        <v>379</v>
      </c>
      <c r="H21" s="275"/>
      <c r="I21" s="275"/>
    </row>
    <row r="22" spans="1:9" s="377" customFormat="1" ht="39.6" x14ac:dyDescent="0.25">
      <c r="A22" s="329" t="s">
        <v>370</v>
      </c>
      <c r="B22" s="330" t="s">
        <v>236</v>
      </c>
      <c r="C22" s="331" t="s">
        <v>10</v>
      </c>
      <c r="D22" s="388" t="str">
        <f>IF(AND(Process_design_data!C9="DX",Method_input!D33="AIR_BASED"),Method_input!D12+Method_input!D13,"-")</f>
        <v>-</v>
      </c>
      <c r="E22" s="331" t="s">
        <v>481</v>
      </c>
      <c r="F22" s="401"/>
      <c r="G22" s="331" t="s">
        <v>379</v>
      </c>
    </row>
    <row r="23" spans="1:9" s="325" customFormat="1" x14ac:dyDescent="0.25">
      <c r="A23" s="248" t="s">
        <v>377</v>
      </c>
      <c r="B23" s="192"/>
      <c r="C23" s="192"/>
      <c r="D23" s="192"/>
      <c r="E23" s="192"/>
      <c r="F23" s="192"/>
      <c r="G23" s="192"/>
      <c r="I23"/>
    </row>
    <row r="24" spans="1:9" s="359" customFormat="1" ht="33" customHeight="1" x14ac:dyDescent="0.25">
      <c r="A24" s="390" t="s">
        <v>399</v>
      </c>
      <c r="B24" s="391" t="s">
        <v>236</v>
      </c>
      <c r="C24" s="327" t="s">
        <v>10</v>
      </c>
      <c r="D24" s="392" t="str">
        <f>IF(Process_design_data!C9="DX","-",Method_input!D8+Method_input!D9+Method_input!D15+Method_input!D16+Method_input!D12+Method_input!D10+Method_input!D11+Method_input!D17+Method_input!D18+Method_input!D13+D25+Method_input!D23*D26)</f>
        <v>-</v>
      </c>
      <c r="E24" s="327" t="s">
        <v>425</v>
      </c>
      <c r="F24" s="393"/>
      <c r="G24" s="327"/>
      <c r="I24" s="360"/>
    </row>
    <row r="25" spans="1:9" s="359" customFormat="1" ht="41.4" customHeight="1" x14ac:dyDescent="0.25">
      <c r="A25" s="390" t="s">
        <v>400</v>
      </c>
      <c r="B25" s="391" t="s">
        <v>466</v>
      </c>
      <c r="C25" s="327" t="s">
        <v>10</v>
      </c>
      <c r="D25" s="327" t="str">
        <f>IF(Process_design_data!C9="DX","-",Method_input!D39*(Method_input!D8+Method_input!D9+Method_input!D15+Method_input!D16+Method_input!D12+Method_input!D10+Method_input!D11+Method_input!D17+Method_input!D18+Method_input!D13))</f>
        <v>-</v>
      </c>
      <c r="E25" s="327" t="s">
        <v>426</v>
      </c>
      <c r="F25" s="285"/>
      <c r="G25" s="327"/>
      <c r="I25" s="360"/>
    </row>
    <row r="26" spans="1:9" s="367" customFormat="1" ht="41.4" customHeight="1" x14ac:dyDescent="0.25">
      <c r="A26" s="329" t="s">
        <v>401</v>
      </c>
      <c r="B26" s="330" t="s">
        <v>467</v>
      </c>
      <c r="C26" s="331" t="s">
        <v>10</v>
      </c>
      <c r="D26" s="331" t="str">
        <f>IF(Process_design_data!C9="DX","-",Method_input!D40*(Method_input!D8+Method_input!D9+Method_input!D15+Method_input!D16+Method_input!D12+Method_input!D10+Method_input!D11+Method_input!D17+Method_input!D18+Method_input!D13))</f>
        <v>-</v>
      </c>
      <c r="E26" s="331" t="s">
        <v>427</v>
      </c>
      <c r="F26" s="394"/>
      <c r="G26" s="331" t="s">
        <v>379</v>
      </c>
      <c r="I26" s="368"/>
    </row>
    <row r="27" spans="1:9" s="325" customFormat="1" ht="13.8" x14ac:dyDescent="0.25">
      <c r="A27" s="328" t="s">
        <v>375</v>
      </c>
      <c r="B27" s="26"/>
      <c r="C27" s="192"/>
      <c r="D27" s="384"/>
      <c r="E27" s="192"/>
      <c r="F27" s="285"/>
      <c r="G27" s="192"/>
    </row>
    <row r="28" spans="1:9" ht="57.6" customHeight="1" x14ac:dyDescent="0.25">
      <c r="A28" s="345" t="s">
        <v>366</v>
      </c>
      <c r="B28" s="332" t="s">
        <v>368</v>
      </c>
      <c r="C28" s="331" t="s">
        <v>11</v>
      </c>
      <c r="D28" s="388">
        <f>Output_series!O30/Output_series!P30</f>
        <v>3.564690806971631</v>
      </c>
      <c r="E28" s="331" t="s">
        <v>468</v>
      </c>
      <c r="F28" s="389"/>
      <c r="G28" s="331"/>
    </row>
    <row r="29" spans="1:9" s="359" customFormat="1" ht="26.4" x14ac:dyDescent="0.25">
      <c r="A29" s="345" t="s">
        <v>408</v>
      </c>
      <c r="B29" s="330" t="s">
        <v>469</v>
      </c>
      <c r="C29" s="331" t="s">
        <v>10</v>
      </c>
      <c r="D29" s="388">
        <f>Method_input!D19+Method_input!D20+Method_input!D21+Method_input!D22</f>
        <v>1.8654707300510003</v>
      </c>
      <c r="E29" s="331" t="s">
        <v>428</v>
      </c>
      <c r="F29" s="389"/>
      <c r="G29" s="331" t="s">
        <v>379</v>
      </c>
    </row>
    <row r="30" spans="1:9" ht="61.8" customHeight="1" x14ac:dyDescent="0.25">
      <c r="A30" s="346" t="s">
        <v>367</v>
      </c>
      <c r="B30" s="332" t="s">
        <v>369</v>
      </c>
      <c r="C30" s="331" t="s">
        <v>11</v>
      </c>
      <c r="D30" s="388">
        <f>Input_series!U26/Output_series!Q30</f>
        <v>3.8812810148492796</v>
      </c>
      <c r="E30" s="331" t="s">
        <v>470</v>
      </c>
      <c r="F30" s="389"/>
      <c r="G30" s="331" t="s">
        <v>379</v>
      </c>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310" r:id="rId4">
          <objectPr defaultSize="0" autoPict="0" r:id="rId5">
            <anchor moveWithCells="1" sizeWithCells="1">
              <from>
                <xdr:col>5</xdr:col>
                <xdr:colOff>0</xdr:colOff>
                <xdr:row>13</xdr:row>
                <xdr:rowOff>0</xdr:rowOff>
              </from>
              <to>
                <xdr:col>5</xdr:col>
                <xdr:colOff>2651760</xdr:colOff>
                <xdr:row>14</xdr:row>
                <xdr:rowOff>7620</xdr:rowOff>
              </to>
            </anchor>
          </objectPr>
        </oleObject>
      </mc:Choice>
      <mc:Fallback>
        <oleObject progId="Equation.3" shapeId="5310" r:id="rId4"/>
      </mc:Fallback>
    </mc:AlternateContent>
    <mc:AlternateContent xmlns:mc="http://schemas.openxmlformats.org/markup-compatibility/2006">
      <mc:Choice Requires="x14">
        <oleObject progId="Equation.3" shapeId="5311" r:id="rId6">
          <objectPr defaultSize="0" autoPict="0" r:id="rId5">
            <anchor moveWithCells="1" sizeWithCells="1">
              <from>
                <xdr:col>5</xdr:col>
                <xdr:colOff>0</xdr:colOff>
                <xdr:row>13</xdr:row>
                <xdr:rowOff>0</xdr:rowOff>
              </from>
              <to>
                <xdr:col>5</xdr:col>
                <xdr:colOff>2651760</xdr:colOff>
                <xdr:row>14</xdr:row>
                <xdr:rowOff>7620</xdr:rowOff>
              </to>
            </anchor>
          </objectPr>
        </oleObject>
      </mc:Choice>
      <mc:Fallback>
        <oleObject progId="Equation.3" shapeId="5311" r:id="rId6"/>
      </mc:Fallback>
    </mc:AlternateContent>
    <mc:AlternateContent xmlns:mc="http://schemas.openxmlformats.org/markup-compatibility/2006">
      <mc:Choice Requires="x14">
        <oleObject progId="Equation.3" shapeId="5312" r:id="rId7">
          <objectPr defaultSize="0" autoPict="0" r:id="rId5">
            <anchor moveWithCells="1" sizeWithCells="1">
              <from>
                <xdr:col>5</xdr:col>
                <xdr:colOff>0</xdr:colOff>
                <xdr:row>14</xdr:row>
                <xdr:rowOff>0</xdr:rowOff>
              </from>
              <to>
                <xdr:col>5</xdr:col>
                <xdr:colOff>2651760</xdr:colOff>
                <xdr:row>15</xdr:row>
                <xdr:rowOff>7620</xdr:rowOff>
              </to>
            </anchor>
          </objectPr>
        </oleObject>
      </mc:Choice>
      <mc:Fallback>
        <oleObject progId="Equation.3" shapeId="5312" r:id="rId7"/>
      </mc:Fallback>
    </mc:AlternateContent>
    <mc:AlternateContent xmlns:mc="http://schemas.openxmlformats.org/markup-compatibility/2006">
      <mc:Choice Requires="x14">
        <oleObject progId="Equation.3" shapeId="5313" r:id="rId8">
          <objectPr defaultSize="0" autoPict="0" r:id="rId5">
            <anchor moveWithCells="1" sizeWithCells="1">
              <from>
                <xdr:col>5</xdr:col>
                <xdr:colOff>0</xdr:colOff>
                <xdr:row>15</xdr:row>
                <xdr:rowOff>0</xdr:rowOff>
              </from>
              <to>
                <xdr:col>5</xdr:col>
                <xdr:colOff>2651760</xdr:colOff>
                <xdr:row>16</xdr:row>
                <xdr:rowOff>7620</xdr:rowOff>
              </to>
            </anchor>
          </objectPr>
        </oleObject>
      </mc:Choice>
      <mc:Fallback>
        <oleObject progId="Equation.3" shapeId="5313" r:id="rId8"/>
      </mc:Fallback>
    </mc:AlternateContent>
    <mc:AlternateContent xmlns:mc="http://schemas.openxmlformats.org/markup-compatibility/2006">
      <mc:Choice Requires="x14">
        <oleObject progId="Equation.3" shapeId="5314" r:id="rId9">
          <objectPr defaultSize="0" autoPict="0" r:id="rId5">
            <anchor moveWithCells="1" sizeWithCells="1">
              <from>
                <xdr:col>5</xdr:col>
                <xdr:colOff>0</xdr:colOff>
                <xdr:row>16</xdr:row>
                <xdr:rowOff>0</xdr:rowOff>
              </from>
              <to>
                <xdr:col>5</xdr:col>
                <xdr:colOff>2651760</xdr:colOff>
                <xdr:row>17</xdr:row>
                <xdr:rowOff>7620</xdr:rowOff>
              </to>
            </anchor>
          </objectPr>
        </oleObject>
      </mc:Choice>
      <mc:Fallback>
        <oleObject progId="Equation.3" shapeId="5314" r:id="rId9"/>
      </mc:Fallback>
    </mc:AlternateContent>
    <mc:AlternateContent xmlns:mc="http://schemas.openxmlformats.org/markup-compatibility/2006">
      <mc:Choice Requires="x14">
        <oleObject progId="Equation.3" shapeId="5315" r:id="rId10">
          <objectPr defaultSize="0" autoPict="0" r:id="rId11">
            <anchor moveWithCells="1" sizeWithCells="1">
              <from>
                <xdr:col>5</xdr:col>
                <xdr:colOff>0</xdr:colOff>
                <xdr:row>17</xdr:row>
                <xdr:rowOff>0</xdr:rowOff>
              </from>
              <to>
                <xdr:col>5</xdr:col>
                <xdr:colOff>3238500</xdr:colOff>
                <xdr:row>18</xdr:row>
                <xdr:rowOff>0</xdr:rowOff>
              </to>
            </anchor>
          </objectPr>
        </oleObject>
      </mc:Choice>
      <mc:Fallback>
        <oleObject progId="Equation.3" shapeId="5315" r:id="rId10"/>
      </mc:Fallback>
    </mc:AlternateContent>
    <mc:AlternateContent xmlns:mc="http://schemas.openxmlformats.org/markup-compatibility/2006">
      <mc:Choice Requires="x14">
        <oleObject progId="Equation.3" shapeId="5317" r:id="rId12">
          <objectPr defaultSize="0" autoPict="0" r:id="rId11">
            <anchor moveWithCells="1" sizeWithCells="1">
              <from>
                <xdr:col>5</xdr:col>
                <xdr:colOff>0</xdr:colOff>
                <xdr:row>18</xdr:row>
                <xdr:rowOff>0</xdr:rowOff>
              </from>
              <to>
                <xdr:col>5</xdr:col>
                <xdr:colOff>3238500</xdr:colOff>
                <xdr:row>19</xdr:row>
                <xdr:rowOff>0</xdr:rowOff>
              </to>
            </anchor>
          </objectPr>
        </oleObject>
      </mc:Choice>
      <mc:Fallback>
        <oleObject progId="Equation.3" shapeId="5317" r:id="rId12"/>
      </mc:Fallback>
    </mc:AlternateContent>
    <mc:AlternateContent xmlns:mc="http://schemas.openxmlformats.org/markup-compatibility/2006">
      <mc:Choice Requires="x14">
        <oleObject progId="Equation.3" shapeId="5343" r:id="rId13">
          <objectPr defaultSize="0" autoPict="0" r:id="rId14">
            <anchor moveWithCells="1" sizeWithCells="1">
              <from>
                <xdr:col>5</xdr:col>
                <xdr:colOff>0</xdr:colOff>
                <xdr:row>24</xdr:row>
                <xdr:rowOff>30480</xdr:rowOff>
              </from>
              <to>
                <xdr:col>6</xdr:col>
                <xdr:colOff>426720</xdr:colOff>
                <xdr:row>24</xdr:row>
                <xdr:rowOff>518160</xdr:rowOff>
              </to>
            </anchor>
          </objectPr>
        </oleObject>
      </mc:Choice>
      <mc:Fallback>
        <oleObject progId="Equation.3" shapeId="5343" r:id="rId13"/>
      </mc:Fallback>
    </mc:AlternateContent>
    <mc:AlternateContent xmlns:mc="http://schemas.openxmlformats.org/markup-compatibility/2006">
      <mc:Choice Requires="x14">
        <oleObject progId="Equation.3" shapeId="5345" r:id="rId15">
          <objectPr defaultSize="0" autoPict="0" r:id="rId16">
            <anchor moveWithCells="1" sizeWithCells="1">
              <from>
                <xdr:col>5</xdr:col>
                <xdr:colOff>0</xdr:colOff>
                <xdr:row>23</xdr:row>
                <xdr:rowOff>0</xdr:rowOff>
              </from>
              <to>
                <xdr:col>6</xdr:col>
                <xdr:colOff>1836420</xdr:colOff>
                <xdr:row>23</xdr:row>
                <xdr:rowOff>365760</xdr:rowOff>
              </to>
            </anchor>
          </objectPr>
        </oleObject>
      </mc:Choice>
      <mc:Fallback>
        <oleObject progId="Equation.3" shapeId="5345" r:id="rId15"/>
      </mc:Fallback>
    </mc:AlternateContent>
    <mc:AlternateContent xmlns:mc="http://schemas.openxmlformats.org/markup-compatibility/2006">
      <mc:Choice Requires="x14">
        <oleObject progId="Equation.3" shapeId="5347" r:id="rId17">
          <objectPr defaultSize="0" autoPict="0" r:id="rId18">
            <anchor moveWithCells="1" sizeWithCells="1">
              <from>
                <xdr:col>5</xdr:col>
                <xdr:colOff>0</xdr:colOff>
                <xdr:row>25</xdr:row>
                <xdr:rowOff>0</xdr:rowOff>
              </from>
              <to>
                <xdr:col>6</xdr:col>
                <xdr:colOff>624840</xdr:colOff>
                <xdr:row>25</xdr:row>
                <xdr:rowOff>487680</xdr:rowOff>
              </to>
            </anchor>
          </objectPr>
        </oleObject>
      </mc:Choice>
      <mc:Fallback>
        <oleObject progId="Equation.3" shapeId="5347" r:id="rId17"/>
      </mc:Fallback>
    </mc:AlternateContent>
    <mc:AlternateContent xmlns:mc="http://schemas.openxmlformats.org/markup-compatibility/2006">
      <mc:Choice Requires="x14">
        <oleObject progId="Equation.3" shapeId="5352" r:id="rId19">
          <objectPr defaultSize="0" autoPict="0" r:id="rId20">
            <anchor moveWithCells="1" sizeWithCells="1">
              <from>
                <xdr:col>5</xdr:col>
                <xdr:colOff>0</xdr:colOff>
                <xdr:row>28</xdr:row>
                <xdr:rowOff>0</xdr:rowOff>
              </from>
              <to>
                <xdr:col>5</xdr:col>
                <xdr:colOff>1661160</xdr:colOff>
                <xdr:row>29</xdr:row>
                <xdr:rowOff>0</xdr:rowOff>
              </to>
            </anchor>
          </objectPr>
        </oleObject>
      </mc:Choice>
      <mc:Fallback>
        <oleObject progId="Equation.3" shapeId="5352" r:id="rId19"/>
      </mc:Fallback>
    </mc:AlternateContent>
    <mc:AlternateContent xmlns:mc="http://schemas.openxmlformats.org/markup-compatibility/2006">
      <mc:Choice Requires="x14">
        <oleObject progId="Equation.3" shapeId="5354" r:id="rId21">
          <objectPr defaultSize="0" autoPict="0" r:id="rId22">
            <anchor moveWithCells="1" sizeWithCells="1">
              <from>
                <xdr:col>5</xdr:col>
                <xdr:colOff>0</xdr:colOff>
                <xdr:row>29</xdr:row>
                <xdr:rowOff>0</xdr:rowOff>
              </from>
              <to>
                <xdr:col>5</xdr:col>
                <xdr:colOff>1386840</xdr:colOff>
                <xdr:row>29</xdr:row>
                <xdr:rowOff>15240</xdr:rowOff>
              </to>
            </anchor>
          </objectPr>
        </oleObject>
      </mc:Choice>
      <mc:Fallback>
        <oleObject progId="Equation.3" shapeId="5354" r:id="rId21"/>
      </mc:Fallback>
    </mc:AlternateContent>
    <mc:AlternateContent xmlns:mc="http://schemas.openxmlformats.org/markup-compatibility/2006">
      <mc:Choice Requires="x14">
        <oleObject progId="Equation.3" shapeId="5360" r:id="rId23">
          <objectPr defaultSize="0" autoPict="0" r:id="rId24">
            <anchor moveWithCells="1" sizeWithCells="1">
              <from>
                <xdr:col>5</xdr:col>
                <xdr:colOff>0</xdr:colOff>
                <xdr:row>29</xdr:row>
                <xdr:rowOff>0</xdr:rowOff>
              </from>
              <to>
                <xdr:col>6</xdr:col>
                <xdr:colOff>678180</xdr:colOff>
                <xdr:row>29</xdr:row>
                <xdr:rowOff>716280</xdr:rowOff>
              </to>
            </anchor>
          </objectPr>
        </oleObject>
      </mc:Choice>
      <mc:Fallback>
        <oleObject progId="Equation.3" shapeId="5360" r:id="rId23"/>
      </mc:Fallback>
    </mc:AlternateContent>
    <mc:AlternateContent xmlns:mc="http://schemas.openxmlformats.org/markup-compatibility/2006">
      <mc:Choice Requires="x14">
        <oleObject progId="Equation.3" shapeId="5363" r:id="rId25">
          <objectPr defaultSize="0" autoPict="0" r:id="rId26">
            <anchor moveWithCells="1" sizeWithCells="1">
              <from>
                <xdr:col>5</xdr:col>
                <xdr:colOff>38100</xdr:colOff>
                <xdr:row>27</xdr:row>
                <xdr:rowOff>45720</xdr:rowOff>
              </from>
              <to>
                <xdr:col>7</xdr:col>
                <xdr:colOff>152400</xdr:colOff>
                <xdr:row>27</xdr:row>
                <xdr:rowOff>701040</xdr:rowOff>
              </to>
            </anchor>
          </objectPr>
        </oleObject>
      </mc:Choice>
      <mc:Fallback>
        <oleObject progId="Equation.3" shapeId="5363" r:id="rId25"/>
      </mc:Fallback>
    </mc:AlternateContent>
    <mc:AlternateContent xmlns:mc="http://schemas.openxmlformats.org/markup-compatibility/2006">
      <mc:Choice Requires="x14">
        <oleObject progId="Equation.3" shapeId="5365" r:id="rId27">
          <objectPr defaultSize="0" autoPict="0" r:id="rId28">
            <anchor moveWithCells="1" sizeWithCells="1">
              <from>
                <xdr:col>5</xdr:col>
                <xdr:colOff>60960</xdr:colOff>
                <xdr:row>20</xdr:row>
                <xdr:rowOff>76200</xdr:rowOff>
              </from>
              <to>
                <xdr:col>5</xdr:col>
                <xdr:colOff>2278380</xdr:colOff>
                <xdr:row>20</xdr:row>
                <xdr:rowOff>434340</xdr:rowOff>
              </to>
            </anchor>
          </objectPr>
        </oleObject>
      </mc:Choice>
      <mc:Fallback>
        <oleObject progId="Equation.3" shapeId="5365" r:id="rId27"/>
      </mc:Fallback>
    </mc:AlternateContent>
    <mc:AlternateContent xmlns:mc="http://schemas.openxmlformats.org/markup-compatibility/2006">
      <mc:Choice Requires="x14">
        <oleObject progId="Equation.3" shapeId="5366" r:id="rId29">
          <objectPr defaultSize="0" autoPict="0" r:id="rId30">
            <anchor moveWithCells="1" sizeWithCells="1">
              <from>
                <xdr:col>5</xdr:col>
                <xdr:colOff>53340</xdr:colOff>
                <xdr:row>21</xdr:row>
                <xdr:rowOff>68580</xdr:rowOff>
              </from>
              <to>
                <xdr:col>5</xdr:col>
                <xdr:colOff>1722120</xdr:colOff>
                <xdr:row>21</xdr:row>
                <xdr:rowOff>419100</xdr:rowOff>
              </to>
            </anchor>
          </objectPr>
        </oleObject>
      </mc:Choice>
      <mc:Fallback>
        <oleObject progId="Equation.3" shapeId="5366" r:id="rId29"/>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24"/>
  <sheetViews>
    <sheetView workbookViewId="0">
      <selection activeCell="J24" sqref="J24"/>
    </sheetView>
  </sheetViews>
  <sheetFormatPr baseColWidth="10" defaultColWidth="9.109375" defaultRowHeight="13.2" x14ac:dyDescent="0.25"/>
  <cols>
    <col min="1" max="1" width="29.6640625" style="207" customWidth="1"/>
    <col min="2" max="2" width="12.109375" style="207" customWidth="1"/>
    <col min="3" max="3" width="9.44140625" style="207" customWidth="1"/>
    <col min="4" max="4" width="11.6640625" style="207" customWidth="1"/>
    <col min="5" max="5" width="12.6640625" style="207" customWidth="1"/>
    <col min="6" max="6" width="41" style="207" customWidth="1"/>
    <col min="7" max="16384" width="9.109375" style="207"/>
  </cols>
  <sheetData>
    <row r="1" spans="1:9" ht="62.25" customHeight="1" x14ac:dyDescent="0.25">
      <c r="A1" s="445" t="s">
        <v>195</v>
      </c>
      <c r="B1" s="446"/>
      <c r="C1" s="446"/>
      <c r="D1" s="446"/>
      <c r="E1" s="446"/>
      <c r="F1" s="446"/>
      <c r="G1" s="446"/>
      <c r="H1" s="446"/>
      <c r="I1" s="446"/>
    </row>
    <row r="9" spans="1:9" ht="26.4" x14ac:dyDescent="0.25">
      <c r="A9" s="287" t="s">
        <v>5</v>
      </c>
      <c r="B9" s="287" t="s">
        <v>9</v>
      </c>
      <c r="C9" s="287" t="s">
        <v>1</v>
      </c>
      <c r="D9" s="287" t="s">
        <v>6</v>
      </c>
      <c r="E9" s="287" t="s">
        <v>167</v>
      </c>
      <c r="F9" s="274" t="s">
        <v>8</v>
      </c>
    </row>
    <row r="10" spans="1:9" s="353" customFormat="1" ht="22.8" x14ac:dyDescent="0.25">
      <c r="A10" s="278" t="s">
        <v>395</v>
      </c>
      <c r="B10" s="241" t="s">
        <v>471</v>
      </c>
      <c r="C10" s="242" t="s">
        <v>10</v>
      </c>
      <c r="D10" s="395">
        <f>Method_input!D27</f>
        <v>48.968606663838756</v>
      </c>
      <c r="E10" s="242" t="s">
        <v>238</v>
      </c>
      <c r="F10" s="357"/>
    </row>
    <row r="11" spans="1:9" s="353" customFormat="1" ht="22.8" x14ac:dyDescent="0.25">
      <c r="A11" s="278" t="s">
        <v>396</v>
      </c>
      <c r="B11" s="241" t="s">
        <v>472</v>
      </c>
      <c r="C11" s="242" t="s">
        <v>10</v>
      </c>
      <c r="D11" s="395">
        <f>Method_calculation!D29</f>
        <v>1.8654707300510003</v>
      </c>
      <c r="E11" s="242" t="s">
        <v>238</v>
      </c>
      <c r="F11" s="357"/>
    </row>
    <row r="12" spans="1:9" s="353" customFormat="1" ht="22.8" x14ac:dyDescent="0.25">
      <c r="A12" s="278" t="s">
        <v>397</v>
      </c>
      <c r="B12" s="241" t="s">
        <v>473</v>
      </c>
      <c r="C12" s="242" t="s">
        <v>10</v>
      </c>
      <c r="D12" s="395">
        <f>IF(Method_calculation!D26&lt;&gt;"-",Method_calculation!D26,0)</f>
        <v>0</v>
      </c>
      <c r="E12" s="242" t="s">
        <v>238</v>
      </c>
      <c r="F12" s="357"/>
    </row>
    <row r="13" spans="1:9" s="353" customFormat="1" ht="22.8" x14ac:dyDescent="0.25">
      <c r="A13" s="278" t="s">
        <v>398</v>
      </c>
      <c r="B13" s="241" t="s">
        <v>474</v>
      </c>
      <c r="C13" s="242" t="s">
        <v>10</v>
      </c>
      <c r="D13" s="395">
        <f>Method_input!D29</f>
        <v>0</v>
      </c>
      <c r="E13" s="242" t="s">
        <v>238</v>
      </c>
      <c r="F13" s="357"/>
    </row>
    <row r="14" spans="1:9" ht="22.8" x14ac:dyDescent="0.25">
      <c r="A14" s="278" t="s">
        <v>380</v>
      </c>
      <c r="B14" s="241" t="s">
        <v>423</v>
      </c>
      <c r="C14" s="242" t="s">
        <v>10</v>
      </c>
      <c r="D14" s="395">
        <f>Method_calculation!D14</f>
        <v>72.811080179000001</v>
      </c>
      <c r="E14" s="242" t="s">
        <v>316</v>
      </c>
      <c r="F14" s="326"/>
    </row>
    <row r="15" spans="1:9" ht="22.8" x14ac:dyDescent="0.25">
      <c r="A15" s="278" t="s">
        <v>381</v>
      </c>
      <c r="B15" s="241" t="s">
        <v>423</v>
      </c>
      <c r="C15" s="242" t="s">
        <v>10</v>
      </c>
      <c r="D15" s="395">
        <f>Method_calculation!D15</f>
        <v>25.599985860999997</v>
      </c>
      <c r="E15" s="242" t="s">
        <v>316</v>
      </c>
      <c r="F15" s="326"/>
    </row>
    <row r="16" spans="1:9" ht="22.8" x14ac:dyDescent="0.25">
      <c r="A16" s="278" t="s">
        <v>382</v>
      </c>
      <c r="B16" s="241" t="s">
        <v>423</v>
      </c>
      <c r="C16" s="242" t="s">
        <v>10</v>
      </c>
      <c r="D16" s="395">
        <f>Method_calculation!D16</f>
        <v>66.130369138000006</v>
      </c>
      <c r="E16" s="242" t="s">
        <v>316</v>
      </c>
      <c r="F16" s="326"/>
    </row>
    <row r="17" spans="1:6" ht="22.8" x14ac:dyDescent="0.25">
      <c r="A17" s="278" t="s">
        <v>383</v>
      </c>
      <c r="B17" s="241" t="s">
        <v>423</v>
      </c>
      <c r="C17" s="242" t="s">
        <v>10</v>
      </c>
      <c r="D17" s="395">
        <f>Method_calculation!D17</f>
        <v>22.005637827099999</v>
      </c>
      <c r="E17" s="242" t="s">
        <v>316</v>
      </c>
      <c r="F17" s="326"/>
    </row>
    <row r="18" spans="1:6" s="237" customFormat="1" ht="22.8" x14ac:dyDescent="0.25">
      <c r="A18" s="278" t="s">
        <v>486</v>
      </c>
      <c r="B18" s="241" t="s">
        <v>314</v>
      </c>
      <c r="C18" s="242" t="s">
        <v>40</v>
      </c>
      <c r="D18" s="386">
        <f>IF(Method_calculation!D6&lt;&gt;"-",Method_calculation!D6,IF(Method_calculation!D7&lt;&gt;"-",Method_calculation!D7,IF(Method_calculation!D9&lt;&gt;"-",Method_calculation!D9,Method_calculation!D10)))</f>
        <v>26</v>
      </c>
      <c r="E18" s="242" t="s">
        <v>315</v>
      </c>
      <c r="F18" s="295"/>
    </row>
    <row r="19" spans="1:6" ht="22.8" x14ac:dyDescent="0.25">
      <c r="A19" s="278" t="s">
        <v>313</v>
      </c>
      <c r="B19" s="241" t="s">
        <v>233</v>
      </c>
      <c r="C19" s="242" t="s">
        <v>10</v>
      </c>
      <c r="D19" s="283">
        <f>IF(Method_calculation!D21="-",Method_calculation!D24,Method_calculation!D21)</f>
        <v>195.87442665535502</v>
      </c>
      <c r="E19" s="242" t="s">
        <v>315</v>
      </c>
      <c r="F19" s="294"/>
    </row>
    <row r="20" spans="1:6" ht="22.8" x14ac:dyDescent="0.25">
      <c r="A20" s="278" t="s">
        <v>384</v>
      </c>
      <c r="B20" s="241" t="s">
        <v>424</v>
      </c>
      <c r="C20" s="242" t="s">
        <v>10</v>
      </c>
      <c r="D20" s="283" t="str">
        <f>Method_calculation!D18</f>
        <v>-</v>
      </c>
      <c r="E20" s="242" t="s">
        <v>317</v>
      </c>
      <c r="F20" s="294"/>
    </row>
    <row r="21" spans="1:6" ht="22.8" x14ac:dyDescent="0.25">
      <c r="A21" s="278" t="s">
        <v>385</v>
      </c>
      <c r="B21" s="241" t="s">
        <v>424</v>
      </c>
      <c r="C21" s="242" t="s">
        <v>10</v>
      </c>
      <c r="D21" s="283" t="str">
        <f>Method_calculation!D19</f>
        <v>-</v>
      </c>
      <c r="E21" s="242" t="s">
        <v>317</v>
      </c>
      <c r="F21" s="294"/>
    </row>
    <row r="22" spans="1:6" ht="13.8" x14ac:dyDescent="0.25">
      <c r="A22" s="328" t="s">
        <v>387</v>
      </c>
      <c r="B22" s="26"/>
      <c r="C22" s="192"/>
      <c r="D22" s="51"/>
      <c r="E22" s="338"/>
      <c r="F22" s="338"/>
    </row>
    <row r="23" spans="1:6" ht="26.4" x14ac:dyDescent="0.25">
      <c r="A23" s="320" t="s">
        <v>366</v>
      </c>
      <c r="B23" s="27" t="s">
        <v>368</v>
      </c>
      <c r="C23" s="192" t="s">
        <v>11</v>
      </c>
      <c r="D23" s="51">
        <f>Method_calculation!D28</f>
        <v>3.564690806971631</v>
      </c>
      <c r="E23" s="338"/>
      <c r="F23" s="338"/>
    </row>
    <row r="24" spans="1:6" ht="26.4" x14ac:dyDescent="0.25">
      <c r="A24" s="236" t="s">
        <v>367</v>
      </c>
      <c r="B24" s="27" t="s">
        <v>369</v>
      </c>
      <c r="C24" s="192" t="s">
        <v>11</v>
      </c>
      <c r="D24" s="51">
        <f>Method_calculation!D30</f>
        <v>3.8812810148492796</v>
      </c>
      <c r="E24" s="338"/>
      <c r="F24" s="338"/>
    </row>
  </sheetData>
  <mergeCells count="1">
    <mergeCell ref="A1:I1"/>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Q30"/>
  <sheetViews>
    <sheetView topLeftCell="A7" workbookViewId="0">
      <selection activeCell="F34" sqref="F34"/>
    </sheetView>
  </sheetViews>
  <sheetFormatPr baseColWidth="10" defaultColWidth="9.109375" defaultRowHeight="13.2" x14ac:dyDescent="0.25"/>
  <cols>
    <col min="1" max="1" width="12.6640625" style="2" customWidth="1"/>
    <col min="2" max="2" width="8.109375" style="358" customWidth="1"/>
    <col min="3" max="3" width="7.88671875" style="358" customWidth="1"/>
    <col min="4" max="4" width="7.6640625" style="358" customWidth="1"/>
    <col min="5" max="5" width="8.21875" style="358" customWidth="1"/>
    <col min="6" max="6" width="9.33203125" style="369" customWidth="1"/>
    <col min="7" max="13" width="9.109375" style="2"/>
    <col min="14" max="14" width="9.109375" style="339"/>
    <col min="15" max="15" width="12.5546875" style="363" bestFit="1" customWidth="1"/>
    <col min="16" max="17" width="11.5546875" style="363" bestFit="1" customWidth="1"/>
    <col min="18" max="16384" width="9.109375" style="2"/>
  </cols>
  <sheetData>
    <row r="1" spans="1:14" ht="58.5" customHeight="1" thickBot="1" x14ac:dyDescent="0.3">
      <c r="A1" s="447" t="s">
        <v>201</v>
      </c>
      <c r="B1" s="448"/>
      <c r="C1" s="448"/>
      <c r="D1" s="448"/>
      <c r="E1" s="448"/>
      <c r="F1" s="448"/>
    </row>
    <row r="2" spans="1:14" ht="13.8" thickBot="1" x14ac:dyDescent="0.3">
      <c r="F2" s="12"/>
    </row>
    <row r="3" spans="1:14" x14ac:dyDescent="0.25">
      <c r="A3" s="150" t="s">
        <v>175</v>
      </c>
      <c r="B3" s="361"/>
      <c r="C3" s="361"/>
      <c r="D3" s="361"/>
      <c r="E3" s="361"/>
      <c r="F3" s="361"/>
      <c r="G3" s="142"/>
      <c r="H3" s="143"/>
    </row>
    <row r="4" spans="1:14" x14ac:dyDescent="0.25">
      <c r="A4" s="151" t="s">
        <v>174</v>
      </c>
      <c r="B4" s="362"/>
      <c r="C4" s="362"/>
      <c r="D4" s="362"/>
      <c r="E4" s="362"/>
      <c r="F4" s="362"/>
      <c r="G4" s="144"/>
      <c r="H4" s="145"/>
    </row>
    <row r="5" spans="1:14" x14ac:dyDescent="0.25">
      <c r="A5" s="415" t="s">
        <v>176</v>
      </c>
      <c r="B5" s="416"/>
      <c r="C5" s="416"/>
      <c r="D5" s="416"/>
      <c r="E5" s="416"/>
      <c r="F5" s="416"/>
      <c r="G5" s="147"/>
      <c r="H5" s="152">
        <v>12</v>
      </c>
    </row>
    <row r="6" spans="1:14" ht="13.8" thickBot="1" x14ac:dyDescent="0.3">
      <c r="A6" s="191"/>
      <c r="B6" s="191"/>
      <c r="C6" s="191"/>
      <c r="D6" s="191"/>
      <c r="E6" s="191"/>
      <c r="F6" s="12"/>
    </row>
    <row r="7" spans="1:14" ht="50.25" customHeight="1" x14ac:dyDescent="0.25">
      <c r="A7" s="449" t="s">
        <v>184</v>
      </c>
      <c r="B7" s="450"/>
      <c r="C7" s="450"/>
      <c r="D7" s="450"/>
      <c r="E7" s="450"/>
      <c r="F7" s="450"/>
      <c r="G7" s="450"/>
      <c r="H7" s="450"/>
      <c r="I7" s="450"/>
      <c r="J7" s="450"/>
      <c r="K7" s="451"/>
      <c r="L7" s="399"/>
    </row>
    <row r="8" spans="1:14" x14ac:dyDescent="0.25">
      <c r="A8" s="407" t="s">
        <v>178</v>
      </c>
      <c r="B8" s="408"/>
      <c r="C8" s="408"/>
      <c r="D8" s="408"/>
      <c r="E8" s="408"/>
      <c r="F8" s="408"/>
      <c r="G8" s="30"/>
      <c r="H8" s="30"/>
      <c r="I8" s="30"/>
      <c r="J8" s="30"/>
      <c r="K8" s="409"/>
      <c r="L8" s="399"/>
    </row>
    <row r="9" spans="1:14" ht="13.8" thickBot="1" x14ac:dyDescent="0.3">
      <c r="A9" s="410" t="s">
        <v>177</v>
      </c>
      <c r="B9" s="411"/>
      <c r="C9" s="411"/>
      <c r="D9" s="411"/>
      <c r="E9" s="411"/>
      <c r="F9" s="411"/>
      <c r="G9" s="412"/>
      <c r="H9" s="412"/>
      <c r="I9" s="412"/>
      <c r="J9" s="412"/>
      <c r="K9" s="413"/>
      <c r="L9" s="399"/>
    </row>
    <row r="10" spans="1:14" ht="4.5" customHeight="1" thickBot="1" x14ac:dyDescent="0.3">
      <c r="A10" s="399"/>
      <c r="B10" s="399"/>
      <c r="C10" s="399"/>
      <c r="D10" s="399"/>
      <c r="E10" s="399"/>
      <c r="F10" s="399"/>
      <c r="G10" s="399"/>
      <c r="H10" s="399"/>
      <c r="I10" s="399"/>
      <c r="J10" s="399"/>
      <c r="K10" s="399"/>
      <c r="L10" s="399"/>
    </row>
    <row r="11" spans="1:14" ht="27.75" customHeight="1" thickBot="1" x14ac:dyDescent="0.3">
      <c r="A11" s="155"/>
      <c r="B11" s="156"/>
      <c r="C11" s="156"/>
      <c r="D11" s="156"/>
      <c r="E11" s="156"/>
      <c r="F11" s="156"/>
      <c r="G11" s="156"/>
      <c r="H11" s="414"/>
      <c r="I11" s="155"/>
      <c r="J11" s="156"/>
      <c r="K11" s="156"/>
      <c r="L11" s="414"/>
    </row>
    <row r="12" spans="1:14" ht="6.6" customHeight="1" x14ac:dyDescent="0.25">
      <c r="A12" s="154"/>
      <c r="B12" s="154"/>
      <c r="C12" s="154"/>
      <c r="D12" s="154"/>
      <c r="E12" s="154"/>
    </row>
    <row r="13" spans="1:14" ht="112.2" customHeight="1" x14ac:dyDescent="0.25">
      <c r="A13" s="3"/>
      <c r="B13" s="282" t="s">
        <v>395</v>
      </c>
      <c r="C13" s="282" t="s">
        <v>396</v>
      </c>
      <c r="D13" s="282" t="s">
        <v>397</v>
      </c>
      <c r="E13" s="282" t="s">
        <v>398</v>
      </c>
      <c r="F13" s="282" t="s">
        <v>380</v>
      </c>
      <c r="G13" s="282" t="s">
        <v>381</v>
      </c>
      <c r="H13" s="282" t="s">
        <v>382</v>
      </c>
      <c r="I13" s="282" t="s">
        <v>383</v>
      </c>
      <c r="J13" s="282" t="s">
        <v>486</v>
      </c>
      <c r="K13" s="282" t="s">
        <v>313</v>
      </c>
      <c r="L13" s="282" t="s">
        <v>384</v>
      </c>
      <c r="M13" s="282" t="s">
        <v>385</v>
      </c>
      <c r="N13" s="342"/>
    </row>
    <row r="14" spans="1:14" ht="30" x14ac:dyDescent="0.25">
      <c r="A14" s="3"/>
      <c r="B14" s="241" t="s">
        <v>471</v>
      </c>
      <c r="C14" s="241" t="s">
        <v>472</v>
      </c>
      <c r="D14" s="241" t="s">
        <v>473</v>
      </c>
      <c r="E14" s="241" t="s">
        <v>474</v>
      </c>
      <c r="F14" s="241" t="s">
        <v>423</v>
      </c>
      <c r="G14" s="241" t="s">
        <v>423</v>
      </c>
      <c r="H14" s="241" t="s">
        <v>423</v>
      </c>
      <c r="I14" s="241" t="s">
        <v>423</v>
      </c>
      <c r="J14" s="241" t="s">
        <v>314</v>
      </c>
      <c r="K14" s="241" t="s">
        <v>233</v>
      </c>
      <c r="L14" s="241" t="s">
        <v>424</v>
      </c>
      <c r="M14" s="241" t="s">
        <v>424</v>
      </c>
      <c r="N14" s="343"/>
    </row>
    <row r="15" spans="1:14" x14ac:dyDescent="0.25">
      <c r="A15" s="3" t="s">
        <v>9</v>
      </c>
      <c r="B15" s="242" t="s">
        <v>10</v>
      </c>
      <c r="C15" s="242" t="s">
        <v>10</v>
      </c>
      <c r="D15" s="242" t="s">
        <v>10</v>
      </c>
      <c r="E15" s="242" t="s">
        <v>10</v>
      </c>
      <c r="F15" s="242" t="s">
        <v>10</v>
      </c>
      <c r="G15" s="242" t="s">
        <v>10</v>
      </c>
      <c r="H15" s="242" t="s">
        <v>10</v>
      </c>
      <c r="I15" s="242" t="s">
        <v>10</v>
      </c>
      <c r="J15" s="242" t="s">
        <v>40</v>
      </c>
      <c r="K15" s="242" t="s">
        <v>10</v>
      </c>
      <c r="L15" s="242" t="s">
        <v>10</v>
      </c>
      <c r="M15" s="242" t="s">
        <v>10</v>
      </c>
      <c r="N15" s="344"/>
    </row>
    <row r="16" spans="1:14" ht="13.8" thickBot="1" x14ac:dyDescent="0.3">
      <c r="A16" s="3" t="s">
        <v>3</v>
      </c>
      <c r="B16" s="323" t="s">
        <v>238</v>
      </c>
      <c r="C16" s="323" t="s">
        <v>238</v>
      </c>
      <c r="D16" s="323" t="s">
        <v>238</v>
      </c>
      <c r="E16" s="323" t="s">
        <v>238</v>
      </c>
      <c r="F16" s="323" t="s">
        <v>316</v>
      </c>
      <c r="G16" s="323" t="s">
        <v>316</v>
      </c>
      <c r="H16" s="323" t="s">
        <v>316</v>
      </c>
      <c r="I16" s="323" t="s">
        <v>316</v>
      </c>
      <c r="J16" s="323" t="s">
        <v>315</v>
      </c>
      <c r="K16" s="323" t="s">
        <v>315</v>
      </c>
      <c r="L16" s="323" t="s">
        <v>317</v>
      </c>
      <c r="M16" s="323" t="s">
        <v>317</v>
      </c>
      <c r="N16" s="344"/>
    </row>
    <row r="17" spans="1:17" ht="13.8" thickBot="1" x14ac:dyDescent="0.3">
      <c r="A17" s="422" t="s">
        <v>0</v>
      </c>
      <c r="B17" s="423"/>
      <c r="C17" s="424"/>
      <c r="D17" s="424"/>
      <c r="E17" s="424"/>
      <c r="F17" s="424"/>
      <c r="G17" s="425"/>
      <c r="H17" s="424"/>
      <c r="I17" s="424"/>
      <c r="J17" s="424"/>
      <c r="K17" s="425"/>
      <c r="L17" s="424"/>
      <c r="M17" s="426"/>
      <c r="N17" s="366"/>
    </row>
    <row r="18" spans="1:17" x14ac:dyDescent="0.25">
      <c r="A18" s="336">
        <v>1</v>
      </c>
      <c r="B18" s="419">
        <v>0</v>
      </c>
      <c r="C18" s="419">
        <v>0</v>
      </c>
      <c r="D18" s="419">
        <v>0</v>
      </c>
      <c r="E18" s="419">
        <v>0</v>
      </c>
      <c r="F18" s="284">
        <v>0</v>
      </c>
      <c r="G18" s="284">
        <v>0</v>
      </c>
      <c r="H18" s="284">
        <v>0</v>
      </c>
      <c r="I18" s="284">
        <v>0</v>
      </c>
      <c r="J18" s="340">
        <v>24</v>
      </c>
      <c r="K18" s="284">
        <v>0</v>
      </c>
      <c r="L18" s="284" t="s">
        <v>11</v>
      </c>
      <c r="M18" s="284" t="s">
        <v>11</v>
      </c>
      <c r="N18" s="286"/>
      <c r="O18" s="341">
        <f>SUM(F18:I18,L18:M18)</f>
        <v>0</v>
      </c>
      <c r="P18" s="341">
        <f>Method_input!$D$42*B18+Method_input!$D$41*Input_series!X14+Method_input!$D$42*C18+Method_input!$D$42*D18+Method_input!$D$42*E18</f>
        <v>0</v>
      </c>
      <c r="Q18" s="341">
        <f>Method_input!$D$42*B18+Method_input!$D$41*Input_series!X14+Method_input!$D$42*E18</f>
        <v>0</v>
      </c>
    </row>
    <row r="19" spans="1:17" x14ac:dyDescent="0.25">
      <c r="A19" s="281">
        <v>2</v>
      </c>
      <c r="B19" s="419">
        <v>0</v>
      </c>
      <c r="C19" s="419">
        <v>0</v>
      </c>
      <c r="D19" s="419">
        <v>0</v>
      </c>
      <c r="E19" s="419">
        <v>0</v>
      </c>
      <c r="F19" s="284">
        <v>0</v>
      </c>
      <c r="G19" s="284">
        <v>0</v>
      </c>
      <c r="H19" s="284">
        <v>0</v>
      </c>
      <c r="I19" s="284">
        <v>0</v>
      </c>
      <c r="J19" s="340">
        <v>24</v>
      </c>
      <c r="K19" s="284">
        <v>0</v>
      </c>
      <c r="L19" s="284" t="s">
        <v>11</v>
      </c>
      <c r="M19" s="284" t="s">
        <v>11</v>
      </c>
      <c r="N19" s="286"/>
      <c r="O19" s="341">
        <f t="shared" ref="O19:O29" si="0">SUM(F19:I19,L19:M19)</f>
        <v>0</v>
      </c>
      <c r="P19" s="341">
        <f>Method_input!$D$42*B19+Method_input!$D$41*Input_series!X15+Method_input!$D$42*C19+Method_input!$D$42*D19+Method_input!$D$42*E19</f>
        <v>0</v>
      </c>
      <c r="Q19" s="341">
        <f>Method_input!$D$42*B19+Method_input!$D$41*Input_series!X15+Method_input!$D$42*E19</f>
        <v>0</v>
      </c>
    </row>
    <row r="20" spans="1:17" x14ac:dyDescent="0.25">
      <c r="A20" s="281">
        <v>3</v>
      </c>
      <c r="B20" s="419">
        <v>0</v>
      </c>
      <c r="C20" s="419">
        <v>0</v>
      </c>
      <c r="D20" s="419">
        <v>0</v>
      </c>
      <c r="E20" s="419">
        <v>0</v>
      </c>
      <c r="F20" s="284">
        <v>0</v>
      </c>
      <c r="G20" s="284">
        <v>0</v>
      </c>
      <c r="H20" s="284">
        <v>0</v>
      </c>
      <c r="I20" s="284">
        <v>0</v>
      </c>
      <c r="J20" s="340">
        <v>24</v>
      </c>
      <c r="K20" s="284">
        <v>0</v>
      </c>
      <c r="L20" s="284" t="s">
        <v>11</v>
      </c>
      <c r="M20" s="284" t="s">
        <v>11</v>
      </c>
      <c r="N20" s="286"/>
      <c r="O20" s="341">
        <f t="shared" si="0"/>
        <v>0</v>
      </c>
      <c r="P20" s="341">
        <f>Method_input!$D$42*B20+Method_input!$D$41*Input_series!X16+Method_input!$D$42*C20+Method_input!$D$42*D20+Method_input!$D$42*E20</f>
        <v>0</v>
      </c>
      <c r="Q20" s="341">
        <f>Method_input!$D$42*B20+Method_input!$D$41*Input_series!X16+Method_input!$D$42*E20</f>
        <v>0</v>
      </c>
    </row>
    <row r="21" spans="1:17" x14ac:dyDescent="0.25">
      <c r="A21" s="281">
        <v>4</v>
      </c>
      <c r="B21" s="419">
        <v>0</v>
      </c>
      <c r="C21" s="419">
        <v>0</v>
      </c>
      <c r="D21" s="419">
        <v>0</v>
      </c>
      <c r="E21" s="419">
        <v>0</v>
      </c>
      <c r="F21" s="284">
        <v>0</v>
      </c>
      <c r="G21" s="284">
        <v>0</v>
      </c>
      <c r="H21" s="284">
        <v>0</v>
      </c>
      <c r="I21" s="284">
        <v>0</v>
      </c>
      <c r="J21" s="340">
        <v>24</v>
      </c>
      <c r="K21" s="284">
        <v>0</v>
      </c>
      <c r="L21" s="284" t="s">
        <v>11</v>
      </c>
      <c r="M21" s="284" t="s">
        <v>11</v>
      </c>
      <c r="N21" s="286"/>
      <c r="O21" s="341">
        <f t="shared" si="0"/>
        <v>0</v>
      </c>
      <c r="P21" s="341">
        <f>Method_input!$D$42*B21+Method_input!$D$41*Input_series!X17+Method_input!$D$42*C21+Method_input!$D$42*D21+Method_input!$D$42*E21</f>
        <v>0</v>
      </c>
      <c r="Q21" s="341">
        <f>Method_input!$D$42*B21+Method_input!$D$41*Input_series!X17+Method_input!$D$42*E21</f>
        <v>0</v>
      </c>
    </row>
    <row r="22" spans="1:17" x14ac:dyDescent="0.25">
      <c r="A22" s="281">
        <v>5</v>
      </c>
      <c r="B22" s="419">
        <v>0.20505571694999999</v>
      </c>
      <c r="C22" s="419">
        <v>7.8116463600000005E-3</v>
      </c>
      <c r="D22" s="419">
        <v>0</v>
      </c>
      <c r="E22" s="419">
        <v>0</v>
      </c>
      <c r="F22" s="284">
        <v>0.41858803999999999</v>
      </c>
      <c r="G22" s="284">
        <v>0</v>
      </c>
      <c r="H22" s="284">
        <v>0.36257659599999997</v>
      </c>
      <c r="I22" s="284">
        <v>0</v>
      </c>
      <c r="J22" s="340">
        <v>25</v>
      </c>
      <c r="K22" s="284">
        <v>0.82022286779999998</v>
      </c>
      <c r="L22" s="284" t="s">
        <v>11</v>
      </c>
      <c r="M22" s="284" t="s">
        <v>11</v>
      </c>
      <c r="N22" s="286"/>
      <c r="O22" s="341">
        <f t="shared" si="0"/>
        <v>0.78116463599999997</v>
      </c>
      <c r="P22" s="341">
        <f>Method_input!$D$42*B22+Method_input!$D$41*Input_series!X18+Method_input!$D$42*C22+Method_input!$D$42*D22+Method_input!$D$42*E22</f>
        <v>0.21286736331</v>
      </c>
      <c r="Q22" s="341">
        <f>Method_input!$D$42*B22+Method_input!$D$41*Input_series!X18+Method_input!$D$42*E22</f>
        <v>0.20505571694999999</v>
      </c>
    </row>
    <row r="23" spans="1:17" x14ac:dyDescent="0.25">
      <c r="A23" s="281">
        <v>6</v>
      </c>
      <c r="B23" s="419">
        <v>60.716213393849969</v>
      </c>
      <c r="C23" s="419">
        <v>2.3129986054799989</v>
      </c>
      <c r="D23" s="419">
        <v>0</v>
      </c>
      <c r="E23" s="419">
        <v>0</v>
      </c>
      <c r="F23" s="284">
        <v>110.977553953</v>
      </c>
      <c r="G23" s="284">
        <v>16.323896420000001</v>
      </c>
      <c r="H23" s="284">
        <v>92.406979746999895</v>
      </c>
      <c r="I23" s="284">
        <v>11.591430428000001</v>
      </c>
      <c r="J23" s="340">
        <v>26</v>
      </c>
      <c r="K23" s="284">
        <v>242.86485357539988</v>
      </c>
      <c r="L23" s="284" t="s">
        <v>11</v>
      </c>
      <c r="M23" s="284" t="s">
        <v>11</v>
      </c>
      <c r="N23" s="286"/>
      <c r="O23" s="341">
        <f t="shared" si="0"/>
        <v>231.29986054799988</v>
      </c>
      <c r="P23" s="341">
        <f>Method_input!$D$42*B23+Method_input!$D$41*Input_series!X19+Method_input!$D$42*C23+Method_input!$D$42*D23+Method_input!$D$42*E23</f>
        <v>63.029211999329966</v>
      </c>
      <c r="Q23" s="341">
        <f>Method_input!$D$42*B23+Method_input!$D$41*Input_series!X19+Method_input!$D$42*E23</f>
        <v>60.716213393849969</v>
      </c>
    </row>
    <row r="24" spans="1:17" x14ac:dyDescent="0.25">
      <c r="A24" s="281">
        <v>7</v>
      </c>
      <c r="B24" s="419">
        <v>48.968606663838756</v>
      </c>
      <c r="C24" s="419">
        <v>1.8654707300510003</v>
      </c>
      <c r="D24" s="419">
        <v>0</v>
      </c>
      <c r="E24" s="419">
        <v>0</v>
      </c>
      <c r="F24" s="284">
        <v>72.811080179000001</v>
      </c>
      <c r="G24" s="284">
        <v>25.599985860999997</v>
      </c>
      <c r="H24" s="284">
        <v>66.130369138000006</v>
      </c>
      <c r="I24" s="284">
        <v>22.005637827099999</v>
      </c>
      <c r="J24" s="340">
        <v>26</v>
      </c>
      <c r="K24" s="284">
        <v>195.87442665535502</v>
      </c>
      <c r="L24" s="284" t="s">
        <v>11</v>
      </c>
      <c r="M24" s="284" t="s">
        <v>11</v>
      </c>
      <c r="N24" s="286"/>
      <c r="O24" s="341">
        <f t="shared" si="0"/>
        <v>186.5470730051</v>
      </c>
      <c r="P24" s="341">
        <f>Method_input!$D$42*B24+Method_input!$D$41*Input_series!X20+Method_input!$D$42*C24+Method_input!$D$42*D24+Method_input!$D$42*E24</f>
        <v>50.834077393889757</v>
      </c>
      <c r="Q24" s="341">
        <f>Method_input!$D$42*B24+Method_input!$D$41*Input_series!X20+Method_input!$D$42*E24</f>
        <v>48.968606663838756</v>
      </c>
    </row>
    <row r="25" spans="1:17" x14ac:dyDescent="0.25">
      <c r="A25" s="281">
        <v>8</v>
      </c>
      <c r="B25" s="419">
        <v>48.816546201967299</v>
      </c>
      <c r="C25" s="419">
        <v>1.682966471087</v>
      </c>
      <c r="D25" s="419">
        <v>0</v>
      </c>
      <c r="E25" s="419">
        <v>0</v>
      </c>
      <c r="F25" s="284">
        <v>67.421570922399994</v>
      </c>
      <c r="G25" s="284">
        <v>26.246903384500001</v>
      </c>
      <c r="H25" s="284">
        <v>54.601771639799999</v>
      </c>
      <c r="I25" s="284">
        <v>20.026401161999999</v>
      </c>
      <c r="J25" s="340">
        <v>26</v>
      </c>
      <c r="K25" s="284">
        <v>176.71147946413498</v>
      </c>
      <c r="L25" s="284" t="s">
        <v>11</v>
      </c>
      <c r="M25" s="284" t="s">
        <v>11</v>
      </c>
      <c r="N25" s="286"/>
      <c r="O25" s="341">
        <f t="shared" si="0"/>
        <v>168.29664710869997</v>
      </c>
      <c r="P25" s="341">
        <f>Method_input!$D$42*B25+Method_input!$D$41*Input_series!X21+Method_input!$D$42*C25+Method_input!$D$42*D25+Method_input!$D$42*E25</f>
        <v>50.499512673054298</v>
      </c>
      <c r="Q25" s="341">
        <f>Method_input!$D$42*B25+Method_input!$D$41*Input_series!X21+Method_input!$D$42*E25</f>
        <v>48.816546201967299</v>
      </c>
    </row>
    <row r="26" spans="1:17" x14ac:dyDescent="0.25">
      <c r="A26" s="281">
        <v>9</v>
      </c>
      <c r="B26" s="419">
        <v>1.0971356724851253</v>
      </c>
      <c r="C26" s="419">
        <v>3.7824112820000005E-2</v>
      </c>
      <c r="D26" s="419">
        <v>0</v>
      </c>
      <c r="E26" s="419">
        <v>0</v>
      </c>
      <c r="F26" s="284">
        <v>1.868553972</v>
      </c>
      <c r="G26" s="284">
        <v>0</v>
      </c>
      <c r="H26" s="284">
        <v>1.91385731</v>
      </c>
      <c r="I26" s="284">
        <v>0</v>
      </c>
      <c r="J26" s="340">
        <v>25</v>
      </c>
      <c r="K26" s="284">
        <v>3.9715318461000004</v>
      </c>
      <c r="L26" s="284" t="s">
        <v>11</v>
      </c>
      <c r="M26" s="284" t="s">
        <v>11</v>
      </c>
      <c r="N26" s="286"/>
      <c r="O26" s="341">
        <f t="shared" si="0"/>
        <v>3.782411282</v>
      </c>
      <c r="P26" s="341">
        <f>Method_input!$D$42*B26+Method_input!$D$41*Input_series!X22+Method_input!$D$42*C26+Method_input!$D$42*D26+Method_input!$D$42*E26</f>
        <v>1.1349597853051254</v>
      </c>
      <c r="Q26" s="341">
        <f>Method_input!$D$42*B26+Method_input!$D$41*Input_series!X22+Method_input!$D$42*E26</f>
        <v>1.0971356724851253</v>
      </c>
    </row>
    <row r="27" spans="1:17" x14ac:dyDescent="0.25">
      <c r="A27" s="281">
        <v>10</v>
      </c>
      <c r="B27" s="419">
        <v>0</v>
      </c>
      <c r="C27" s="419">
        <v>0</v>
      </c>
      <c r="D27" s="419">
        <v>0</v>
      </c>
      <c r="E27" s="419">
        <v>0</v>
      </c>
      <c r="F27" s="284">
        <v>0</v>
      </c>
      <c r="G27" s="284">
        <v>0</v>
      </c>
      <c r="H27" s="284">
        <v>0</v>
      </c>
      <c r="I27" s="284">
        <v>0</v>
      </c>
      <c r="J27" s="340">
        <v>24</v>
      </c>
      <c r="K27" s="284">
        <v>0</v>
      </c>
      <c r="L27" s="284" t="s">
        <v>11</v>
      </c>
      <c r="M27" s="284" t="s">
        <v>11</v>
      </c>
      <c r="N27" s="286"/>
      <c r="O27" s="341">
        <f t="shared" si="0"/>
        <v>0</v>
      </c>
      <c r="P27" s="341">
        <f>Method_input!$D$42*B27+Method_input!$D$41*Input_series!X23+Method_input!$D$42*C27+Method_input!$D$42*D27+Method_input!$D$42*E27</f>
        <v>0</v>
      </c>
      <c r="Q27" s="341">
        <f>Method_input!$D$42*B27+Method_input!$D$41*Input_series!X23+Method_input!$D$42*E27</f>
        <v>0</v>
      </c>
    </row>
    <row r="28" spans="1:17" x14ac:dyDescent="0.25">
      <c r="A28" s="281">
        <v>11</v>
      </c>
      <c r="B28" s="419">
        <v>0</v>
      </c>
      <c r="C28" s="419">
        <v>0</v>
      </c>
      <c r="D28" s="419">
        <v>0</v>
      </c>
      <c r="E28" s="419">
        <v>0</v>
      </c>
      <c r="F28" s="284">
        <v>0</v>
      </c>
      <c r="G28" s="284">
        <v>0</v>
      </c>
      <c r="H28" s="284">
        <v>0</v>
      </c>
      <c r="I28" s="284">
        <v>0</v>
      </c>
      <c r="J28" s="340">
        <v>24</v>
      </c>
      <c r="K28" s="284">
        <v>0</v>
      </c>
      <c r="L28" s="284" t="s">
        <v>11</v>
      </c>
      <c r="M28" s="284" t="s">
        <v>11</v>
      </c>
      <c r="N28" s="286"/>
      <c r="O28" s="341">
        <f t="shared" si="0"/>
        <v>0</v>
      </c>
      <c r="P28" s="341">
        <f>Method_input!$D$42*B28+Method_input!$D$41*Input_series!X24+Method_input!$D$42*C28+Method_input!$D$42*D28+Method_input!$D$42*E28</f>
        <v>0</v>
      </c>
      <c r="Q28" s="341">
        <f>Method_input!$D$42*B28+Method_input!$D$41*Input_series!X24+Method_input!$D$42*E28</f>
        <v>0</v>
      </c>
    </row>
    <row r="29" spans="1:17" x14ac:dyDescent="0.25">
      <c r="A29" s="281">
        <v>12</v>
      </c>
      <c r="B29" s="419">
        <v>0</v>
      </c>
      <c r="C29" s="419">
        <v>0</v>
      </c>
      <c r="D29" s="419">
        <v>0</v>
      </c>
      <c r="E29" s="419">
        <v>0</v>
      </c>
      <c r="F29" s="284">
        <v>0</v>
      </c>
      <c r="G29" s="284">
        <v>0</v>
      </c>
      <c r="H29" s="284">
        <v>0</v>
      </c>
      <c r="I29" s="284">
        <v>0</v>
      </c>
      <c r="J29" s="340">
        <v>24</v>
      </c>
      <c r="K29" s="284">
        <v>0</v>
      </c>
      <c r="L29" s="284" t="s">
        <v>11</v>
      </c>
      <c r="M29" s="284" t="s">
        <v>11</v>
      </c>
      <c r="N29" s="286"/>
      <c r="O29" s="341">
        <f t="shared" si="0"/>
        <v>0</v>
      </c>
      <c r="P29" s="341">
        <f>Method_input!$D$42*B29+Method_input!$D$41*Input_series!X25+Method_input!$D$42*C29+Method_input!$D$42*D29+Method_input!$D$42*E29</f>
        <v>0</v>
      </c>
      <c r="Q29" s="341">
        <f>Method_input!$D$42*B29+Method_input!$D$41*Input_series!X25+Method_input!$D$42*E29</f>
        <v>0</v>
      </c>
    </row>
    <row r="30" spans="1:17" x14ac:dyDescent="0.25">
      <c r="O30" s="341">
        <f>SUM(O18:O29)</f>
        <v>590.70715657979986</v>
      </c>
      <c r="P30" s="341">
        <f>SUM(P18:P29)</f>
        <v>165.71062921488914</v>
      </c>
      <c r="Q30" s="341">
        <f>SUM(Q18:Q29)</f>
        <v>159.80355764909115</v>
      </c>
    </row>
  </sheetData>
  <mergeCells count="2">
    <mergeCell ref="A1:F1"/>
    <mergeCell ref="A7:K7"/>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3</xdr:col>
                    <xdr:colOff>518160</xdr:colOff>
                    <xdr:row>10</xdr:row>
                    <xdr:rowOff>297180</xdr:rowOff>
                  </to>
                </anchor>
              </controlPr>
            </control>
          </mc:Choice>
        </mc:AlternateContent>
        <mc:AlternateContent xmlns:mc="http://schemas.openxmlformats.org/markup-compatibility/2006">
          <mc:Choice Requires="x14">
            <control shapeId="1031" r:id="rId5" name="Button 7">
              <controlPr defaultSize="0" print="0" autoFill="0" autoPict="0" macro="[2]!Run_the_method">
                <anchor moveWithCells="1" sizeWithCells="1">
                  <from>
                    <xdr:col>0</xdr:col>
                    <xdr:colOff>601980</xdr:colOff>
                    <xdr:row>10</xdr:row>
                    <xdr:rowOff>45720</xdr:rowOff>
                  </from>
                  <to>
                    <xdr:col>7</xdr:col>
                    <xdr:colOff>502920</xdr:colOff>
                    <xdr:row>10</xdr:row>
                    <xdr:rowOff>297180</xdr:rowOff>
                  </to>
                </anchor>
              </controlPr>
            </control>
          </mc:Choice>
        </mc:AlternateContent>
        <mc:AlternateContent xmlns:mc="http://schemas.openxmlformats.org/markup-compatibility/2006">
          <mc:Choice Requires="x14">
            <control shapeId="1032" r:id="rId6" name="Button 8">
              <controlPr defaultSize="0" print="0" autoFill="0" autoPict="0" macro="[2]!Clear_results">
                <anchor moveWithCells="1" sizeWithCells="1">
                  <from>
                    <xdr:col>8</xdr:col>
                    <xdr:colOff>449580</xdr:colOff>
                    <xdr:row>10</xdr:row>
                    <xdr:rowOff>45720</xdr:rowOff>
                  </from>
                  <to>
                    <xdr:col>11</xdr:col>
                    <xdr:colOff>304800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A40"/>
  <sheetViews>
    <sheetView zoomScale="60" zoomScaleNormal="60" workbookViewId="0">
      <selection activeCell="D69" sqref="D69"/>
    </sheetView>
  </sheetViews>
  <sheetFormatPr baseColWidth="10" defaultRowHeight="13.2" x14ac:dyDescent="0.25"/>
  <cols>
    <col min="1" max="16384" width="11.5546875" style="291"/>
  </cols>
  <sheetData>
    <row r="1" spans="1:1" ht="22.8" x14ac:dyDescent="0.4">
      <c r="A1" s="349" t="s">
        <v>112</v>
      </c>
    </row>
    <row r="40" spans="1:1" ht="22.8" x14ac:dyDescent="0.4">
      <c r="A40" s="349" t="s">
        <v>191</v>
      </c>
    </row>
  </sheetData>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topLeftCell="A7" workbookViewId="0">
      <selection activeCell="C24" sqref="C24"/>
    </sheetView>
  </sheetViews>
  <sheetFormatPr baseColWidth="10" defaultColWidth="8.88671875" defaultRowHeight="13.2" x14ac:dyDescent="0.25"/>
  <cols>
    <col min="2" max="2" width="12.44140625" style="173" customWidth="1"/>
    <col min="3" max="3" width="27.5546875" customWidth="1"/>
    <col min="4" max="4" width="36.5546875" style="174" customWidth="1"/>
  </cols>
  <sheetData>
    <row r="1" spans="2:4" ht="13.8" thickBot="1" x14ac:dyDescent="0.3"/>
    <row r="2" spans="2:4" ht="13.8" thickBot="1" x14ac:dyDescent="0.3">
      <c r="B2" s="176" t="s">
        <v>168</v>
      </c>
      <c r="C2" s="177" t="s">
        <v>169</v>
      </c>
      <c r="D2" s="178" t="s">
        <v>170</v>
      </c>
    </row>
    <row r="3" spans="2:4" x14ac:dyDescent="0.25">
      <c r="B3" s="179"/>
      <c r="C3" s="175"/>
      <c r="D3" s="180"/>
    </row>
    <row r="4" spans="2:4" x14ac:dyDescent="0.25">
      <c r="B4" s="181">
        <v>41943</v>
      </c>
      <c r="C4" s="285" t="s">
        <v>312</v>
      </c>
      <c r="D4" s="182"/>
    </row>
    <row r="5" spans="2:4" x14ac:dyDescent="0.25">
      <c r="B5" s="183"/>
      <c r="C5" s="95"/>
      <c r="D5" s="182"/>
    </row>
    <row r="6" spans="2:4" ht="26.4" x14ac:dyDescent="0.25">
      <c r="B6" s="183">
        <v>41950</v>
      </c>
      <c r="C6" s="285" t="s">
        <v>388</v>
      </c>
      <c r="D6" s="292" t="s">
        <v>389</v>
      </c>
    </row>
    <row r="7" spans="2:4" x14ac:dyDescent="0.25">
      <c r="B7" s="183">
        <v>42048</v>
      </c>
      <c r="C7" s="95"/>
      <c r="D7" s="292" t="s">
        <v>394</v>
      </c>
    </row>
    <row r="8" spans="2:4" x14ac:dyDescent="0.25">
      <c r="B8" s="183">
        <v>42316</v>
      </c>
      <c r="C8" s="285" t="s">
        <v>415</v>
      </c>
      <c r="D8" s="182"/>
    </row>
    <row r="9" spans="2:4" x14ac:dyDescent="0.25">
      <c r="B9" s="184"/>
      <c r="C9" s="285" t="s">
        <v>416</v>
      </c>
      <c r="D9" s="182"/>
    </row>
    <row r="10" spans="2:4" ht="26.4" x14ac:dyDescent="0.25">
      <c r="B10" s="183">
        <v>42390</v>
      </c>
      <c r="C10" s="277" t="s">
        <v>447</v>
      </c>
      <c r="D10" s="402"/>
    </row>
    <row r="11" spans="2:4" x14ac:dyDescent="0.25">
      <c r="B11" s="183">
        <v>42393</v>
      </c>
      <c r="C11" s="285" t="s">
        <v>446</v>
      </c>
      <c r="D11" s="402" t="s">
        <v>445</v>
      </c>
    </row>
    <row r="12" spans="2:4" ht="26.4" x14ac:dyDescent="0.25">
      <c r="B12" s="183">
        <v>42436</v>
      </c>
      <c r="C12" s="277" t="s">
        <v>482</v>
      </c>
      <c r="D12" s="292" t="s">
        <v>483</v>
      </c>
    </row>
    <row r="13" spans="2:4" x14ac:dyDescent="0.25">
      <c r="B13" s="184"/>
      <c r="C13" s="95"/>
      <c r="D13" s="182"/>
    </row>
    <row r="14" spans="2:4" x14ac:dyDescent="0.25">
      <c r="B14" s="184"/>
      <c r="C14" s="95"/>
      <c r="D14" s="182"/>
    </row>
    <row r="15" spans="2:4" x14ac:dyDescent="0.25">
      <c r="B15" s="184"/>
      <c r="C15" s="95"/>
      <c r="D15" s="182"/>
    </row>
    <row r="16" spans="2:4" x14ac:dyDescent="0.25">
      <c r="B16" s="184"/>
      <c r="C16" s="95"/>
      <c r="D16" s="182"/>
    </row>
    <row r="17" spans="2:4" x14ac:dyDescent="0.25">
      <c r="B17" s="184"/>
      <c r="C17" s="95"/>
      <c r="D17" s="182"/>
    </row>
    <row r="18" spans="2:4" ht="13.8" thickBot="1" x14ac:dyDescent="0.3">
      <c r="B18" s="185"/>
      <c r="C18" s="186"/>
      <c r="D18" s="187"/>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11</vt:i4>
      </vt:variant>
    </vt:vector>
  </HeadingPairs>
  <TitlesOfParts>
    <vt:vector size="24"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Graphs</vt:lpstr>
      <vt:lpstr>History</vt:lpstr>
      <vt:lpstr>A</vt:lpstr>
      <vt:lpstr>B</vt:lpstr>
      <vt:lpstr>DATA_IN_COUNT</vt:lpstr>
      <vt:lpstr>DATA_OUT_COUNT</vt:lpstr>
      <vt:lpstr>First_data_in</vt:lpstr>
      <vt:lpstr>First_data_out</vt:lpstr>
      <vt:lpstr>Simplified_input_correlation!Method_in</vt:lpstr>
      <vt:lpstr>Method_in</vt:lpstr>
      <vt:lpstr>Method_out</vt:lpstr>
      <vt:lpstr>Right_side</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dcterms:created xsi:type="dcterms:W3CDTF">2011-05-24T04:21:57Z</dcterms:created>
  <dcterms:modified xsi:type="dcterms:W3CDTF">2016-03-12T10:41:29Z</dcterms:modified>
</cp:coreProperties>
</file>