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60" yWindow="510" windowWidth="19320" windowHeight="11025"/>
  </bookViews>
  <sheets>
    <sheet name="INFO" sheetId="17" r:id="rId1"/>
    <sheet name="Method_input" sheetId="2" r:id="rId2"/>
    <sheet name="Method_calculation" sheetId="4" r:id="rId3"/>
    <sheet name="Method_output" sheetId="5" r:id="rId4"/>
    <sheet name="History" sheetId="11" r:id="rId5"/>
  </sheets>
  <definedNames>
    <definedName name="DATA_IN_COUNT">#REF!</definedName>
    <definedName name="DATA_OUT_COUNT">#REF!</definedName>
    <definedName name="First_data_in">#REF!</definedName>
    <definedName name="First_data_out">#REF!</definedName>
    <definedName name="Method_in">Method_input!$E$6</definedName>
    <definedName name="Method_out">Method_output!$E$6</definedName>
    <definedName name="TIME_STEPS_COUNT">#REF!</definedName>
  </definedNames>
  <calcPr calcId="145621"/>
</workbook>
</file>

<file path=xl/calcChain.xml><?xml version="1.0" encoding="utf-8"?>
<calcChain xmlns="http://schemas.openxmlformats.org/spreadsheetml/2006/main">
  <c r="D14" i="4" l="1"/>
  <c r="D10" i="4"/>
  <c r="D13" i="4" s="1"/>
  <c r="D19" i="4"/>
  <c r="E10" i="5" l="1"/>
  <c r="D18" i="4" l="1"/>
  <c r="D12" i="4" s="1"/>
  <c r="D7" i="4"/>
  <c r="D8" i="4" s="1"/>
  <c r="E8" i="5" s="1"/>
  <c r="E12" i="5" l="1"/>
  <c r="D11" i="4"/>
  <c r="D20" i="4" s="1"/>
  <c r="D17" i="4"/>
  <c r="D15" i="4" s="1"/>
  <c r="E9" i="5" s="1"/>
  <c r="D6" i="4"/>
  <c r="E7" i="5" s="1"/>
  <c r="D5" i="4"/>
  <c r="E6" i="5" s="1"/>
  <c r="D16" i="4" l="1"/>
  <c r="E11" i="5" s="1"/>
</calcChain>
</file>

<file path=xl/comments1.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2.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<sst xmlns="http://schemas.openxmlformats.org/spreadsheetml/2006/main" count="380" uniqueCount="220">
  <si>
    <t>Unit</t>
  </si>
  <si>
    <t>Origin</t>
  </si>
  <si>
    <t>Name</t>
  </si>
  <si>
    <t>Value</t>
  </si>
  <si>
    <t>Description</t>
  </si>
  <si>
    <t>Notes</t>
  </si>
  <si>
    <t>Symbol</t>
  </si>
  <si>
    <t>°C</t>
  </si>
  <si>
    <t>Formula (8)</t>
  </si>
  <si>
    <t>Formula (9)</t>
  </si>
  <si>
    <t>Formula (1)</t>
  </si>
  <si>
    <t>Range</t>
  </si>
  <si>
    <t>Varying</t>
  </si>
  <si>
    <t>Yes</t>
  </si>
  <si>
    <t>Formula</t>
  </si>
  <si>
    <t>-50…+50</t>
  </si>
  <si>
    <t>Formula ref</t>
  </si>
  <si>
    <t>Intended destination</t>
  </si>
  <si>
    <t>Date</t>
  </si>
  <si>
    <t>Version scope</t>
  </si>
  <si>
    <t>Changes, notes</t>
  </si>
  <si>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</si>
  <si>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</si>
  <si>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</si>
  <si>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</si>
  <si>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</si>
  <si>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</si>
  <si>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Software name</t>
  </si>
  <si>
    <t>Table 4 – Identifiers for building geometric characteristics</t>
  </si>
  <si>
    <r>
      <t xml:space="preserve">area of building envelope element </t>
    </r>
    <r>
      <rPr>
        <i/>
        <sz val="9"/>
        <rFont val="Arial"/>
        <family val="2"/>
      </rPr>
      <t>i</t>
    </r>
  </si>
  <si>
    <r>
      <t>A</t>
    </r>
    <r>
      <rPr>
        <sz val="8"/>
        <rFont val="Arial"/>
        <family val="2"/>
      </rPr>
      <t>e;</t>
    </r>
    <r>
      <rPr>
        <i/>
        <sz val="8"/>
        <rFont val="Arial"/>
        <family val="2"/>
      </rPr>
      <t>i</t>
    </r>
  </si>
  <si>
    <r>
      <t>m</t>
    </r>
    <r>
      <rPr>
        <vertAlign val="superscript"/>
        <sz val="9"/>
        <rFont val="Arial"/>
        <family val="2"/>
      </rPr>
      <t>2</t>
    </r>
  </si>
  <si>
    <t>0...∞</t>
  </si>
  <si>
    <t>No</t>
  </si>
  <si>
    <r>
      <t xml:space="preserve">length of linear thermal bridge </t>
    </r>
    <r>
      <rPr>
        <i/>
        <sz val="9"/>
        <rFont val="Arial"/>
        <family val="2"/>
      </rPr>
      <t>k</t>
    </r>
  </si>
  <si>
    <r>
      <t>l</t>
    </r>
    <r>
      <rPr>
        <sz val="8"/>
        <rFont val="Arial"/>
        <family val="2"/>
      </rPr>
      <t>k</t>
    </r>
  </si>
  <si>
    <t>l_k</t>
  </si>
  <si>
    <t>m</t>
  </si>
  <si>
    <t>Table 5 – Identifiers for building boundary conditions</t>
  </si>
  <si>
    <t xml:space="preserve">indoor environment temperature in the building under consideration </t>
  </si>
  <si>
    <r>
      <t>q</t>
    </r>
    <r>
      <rPr>
        <sz val="8"/>
        <rFont val="Arial"/>
        <family val="2"/>
      </rPr>
      <t>int</t>
    </r>
  </si>
  <si>
    <t>theta_int</t>
  </si>
  <si>
    <t>0…50</t>
  </si>
  <si>
    <t xml:space="preserve">indoor environment temperature in adjacent unconditioned space </t>
  </si>
  <si>
    <r>
      <t>q</t>
    </r>
    <r>
      <rPr>
        <sz val="8"/>
        <rFont val="Arial"/>
        <family val="2"/>
      </rPr>
      <t>int;u</t>
    </r>
  </si>
  <si>
    <t>theta_int_u</t>
  </si>
  <si>
    <r>
      <t>q</t>
    </r>
    <r>
      <rPr>
        <sz val="8"/>
        <rFont val="Arial"/>
        <family val="2"/>
      </rPr>
      <t>int;adj</t>
    </r>
  </si>
  <si>
    <t>theta_int_adj</t>
  </si>
  <si>
    <t>external temperature</t>
  </si>
  <si>
    <r>
      <t>q</t>
    </r>
    <r>
      <rPr>
        <sz val="8"/>
        <rFont val="Arial"/>
        <family val="2"/>
      </rPr>
      <t>ext</t>
    </r>
  </si>
  <si>
    <t>theta_ext</t>
  </si>
  <si>
    <r>
      <t xml:space="preserve">thermal transmittance of element </t>
    </r>
    <r>
      <rPr>
        <i/>
        <sz val="9"/>
        <rFont val="Arial"/>
        <family val="2"/>
      </rPr>
      <t>i</t>
    </r>
    <r>
      <rPr>
        <i/>
        <vertAlign val="subscript"/>
        <sz val="9"/>
        <rFont val="Arial"/>
        <family val="2"/>
      </rPr>
      <t>i</t>
    </r>
  </si>
  <si>
    <r>
      <t>U</t>
    </r>
    <r>
      <rPr>
        <i/>
        <sz val="8"/>
        <rFont val="Arial"/>
        <family val="2"/>
      </rPr>
      <t>i</t>
    </r>
  </si>
  <si>
    <t>U_i</t>
  </si>
  <si>
    <r>
      <t>W/(m</t>
    </r>
    <r>
      <rPr>
        <vertAlign val="superscript"/>
        <sz val="9"/>
        <rFont val="Arial"/>
        <family val="2"/>
      </rPr>
      <t>2</t>
    </r>
    <r>
      <rPr>
        <sz val="9"/>
        <rFont val="Arial"/>
        <family val="2"/>
      </rPr>
      <t>·K)</t>
    </r>
  </si>
  <si>
    <t>0...10</t>
  </si>
  <si>
    <t>psi_k</t>
  </si>
  <si>
    <t>W/(m·K)</t>
  </si>
  <si>
    <t>0…10</t>
  </si>
  <si>
    <t>monthly ground heat transfer coefficient</t>
  </si>
  <si>
    <r>
      <t>H</t>
    </r>
    <r>
      <rPr>
        <sz val="8"/>
        <rFont val="Arial"/>
        <family val="2"/>
      </rPr>
      <t>g;</t>
    </r>
    <r>
      <rPr>
        <i/>
        <sz val="8"/>
        <rFont val="Arial"/>
        <family val="2"/>
      </rPr>
      <t>m</t>
    </r>
  </si>
  <si>
    <t>H_g_m</t>
  </si>
  <si>
    <t>W/K</t>
  </si>
  <si>
    <t>0…∞</t>
  </si>
  <si>
    <t>ISO 13370</t>
  </si>
  <si>
    <t>annual average ground heat transfer coefficient</t>
  </si>
  <si>
    <r>
      <t>H</t>
    </r>
    <r>
      <rPr>
        <sz val="8"/>
        <rFont val="Arial"/>
        <family val="2"/>
      </rPr>
      <t>g</t>
    </r>
  </si>
  <si>
    <t>H_g</t>
  </si>
  <si>
    <t>air flow rate through heated or cooled space</t>
  </si>
  <si>
    <t>q</t>
  </si>
  <si>
    <r>
      <t>m</t>
    </r>
    <r>
      <rPr>
        <vertAlign val="superscript"/>
        <sz val="9"/>
        <rFont val="Arial"/>
        <family val="2"/>
      </rPr>
      <t>3</t>
    </r>
    <r>
      <rPr>
        <sz val="9"/>
        <rFont val="Arial"/>
        <family val="2"/>
      </rPr>
      <t>/h</t>
    </r>
  </si>
  <si>
    <t>heat flow rate generated within an unconditioned space (e.g. solar gains)</t>
  </si>
  <si>
    <t>Φ</t>
  </si>
  <si>
    <t>phi</t>
  </si>
  <si>
    <t>W</t>
  </si>
  <si>
    <t>Table 7 — Identifiers for constants</t>
  </si>
  <si>
    <t>density of air</t>
  </si>
  <si>
    <r>
      <t>ρ</t>
    </r>
    <r>
      <rPr>
        <sz val="8"/>
        <rFont val="Arial"/>
        <family val="2"/>
      </rPr>
      <t>a</t>
    </r>
  </si>
  <si>
    <t>rho_a</t>
  </si>
  <si>
    <r>
      <t>kg/m</t>
    </r>
    <r>
      <rPr>
        <vertAlign val="superscript"/>
        <sz val="9"/>
        <rFont val="Arial"/>
        <family val="2"/>
      </rPr>
      <t>3</t>
    </r>
  </si>
  <si>
    <t>specific heat capacity of air at constant pressure</t>
  </si>
  <si>
    <r>
      <t>C</t>
    </r>
    <r>
      <rPr>
        <sz val="8"/>
        <rFont val="Arial"/>
        <family val="2"/>
      </rPr>
      <t>p</t>
    </r>
  </si>
  <si>
    <t>c_p</t>
  </si>
  <si>
    <t>The transmission heat transfer coefficient through the building elements separating the conditioned space and the external environment</t>
  </si>
  <si>
    <t>Formula (3)</t>
  </si>
  <si>
    <r>
      <t xml:space="preserve">point thermal transmittance of point thermal bridge </t>
    </r>
    <r>
      <rPr>
        <i/>
        <sz val="10"/>
        <rFont val="Times New Roman"/>
        <family val="1"/>
      </rPr>
      <t>j</t>
    </r>
  </si>
  <si>
    <r>
      <t>c</t>
    </r>
    <r>
      <rPr>
        <i/>
        <sz val="8"/>
        <rFont val="Arial"/>
        <family val="2"/>
      </rPr>
      <t>j</t>
    </r>
  </si>
  <si>
    <t>chi_j</t>
  </si>
  <si>
    <t>ISO 10077-1 for windows and doors;  ISO 12631 for curtain walls;  ISO 6946 for other walls and for roofs.</t>
  </si>
  <si>
    <t>from tables or catalogues prepared in accordance with ISO 14683 or calculated according to ISO 10211</t>
  </si>
  <si>
    <t>linear thermal transmittance of thermal bridge k</t>
  </si>
  <si>
    <r>
      <t>Y</t>
    </r>
    <r>
      <rPr>
        <i/>
        <sz val="8"/>
        <rFont val="Times New Roman"/>
        <family val="1"/>
      </rPr>
      <t>k</t>
    </r>
  </si>
  <si>
    <t>coefficient for heat transfer via the ground</t>
  </si>
  <si>
    <t>ISO 13370</t>
  </si>
  <si>
    <t>input data</t>
  </si>
  <si>
    <r>
      <t>H</t>
    </r>
    <r>
      <rPr>
        <sz val="8"/>
        <rFont val="Arial"/>
        <family val="2"/>
      </rPr>
      <t>u</t>
    </r>
  </si>
  <si>
    <t>transmission heat transfer coefficient between a conditioned space and the external environments via unconditioned spaces</t>
  </si>
  <si>
    <t>Formula (6)</t>
  </si>
  <si>
    <r>
      <t>H</t>
    </r>
    <r>
      <rPr>
        <sz val="8"/>
        <rFont val="Arial"/>
        <family val="2"/>
      </rPr>
      <t>iu</t>
    </r>
    <r>
      <rPr>
        <sz val="10"/>
        <rFont val="Arial"/>
        <family val="2"/>
      </rPr>
      <t xml:space="preserve"> and </t>
    </r>
    <r>
      <rPr>
        <i/>
        <sz val="10"/>
        <rFont val="Times New Roman"/>
        <family val="1"/>
      </rPr>
      <t>H</t>
    </r>
    <r>
      <rPr>
        <sz val="8"/>
        <rFont val="Arial"/>
        <family val="2"/>
      </rPr>
      <t>ue</t>
    </r>
    <r>
      <rPr>
        <sz val="10"/>
        <rFont val="Arial"/>
        <family val="2"/>
      </rPr>
      <t xml:space="preserve"> include the transmission and ventilation heat transfers</t>
    </r>
  </si>
  <si>
    <t>Formula (7)</t>
  </si>
  <si>
    <t>ventilation heat transfer coefficients</t>
  </si>
  <si>
    <r>
      <t>H</t>
    </r>
    <r>
      <rPr>
        <sz val="8"/>
        <rFont val="Arial"/>
        <family val="2"/>
      </rPr>
      <t>iu</t>
    </r>
    <r>
      <rPr>
        <sz val="10"/>
        <rFont val="Arial"/>
        <family val="2"/>
      </rPr>
      <t xml:space="preserve"> </t>
    </r>
  </si>
  <si>
    <r>
      <t>H</t>
    </r>
    <r>
      <rPr>
        <sz val="8"/>
        <rFont val="Arial"/>
        <family val="2"/>
      </rPr>
      <t>ue</t>
    </r>
  </si>
  <si>
    <r>
      <t>H</t>
    </r>
    <r>
      <rPr>
        <sz val="8"/>
        <rFont val="Arial"/>
        <family val="2"/>
      </rPr>
      <t>ve,ue</t>
    </r>
    <r>
      <rPr>
        <sz val="10"/>
        <rFont val="Arial"/>
        <family val="2"/>
      </rPr>
      <t xml:space="preserve"> </t>
    </r>
  </si>
  <si>
    <r>
      <t>H</t>
    </r>
    <r>
      <rPr>
        <sz val="8"/>
        <rFont val="Arial"/>
        <family val="2"/>
      </rPr>
      <t>ve,iu</t>
    </r>
  </si>
  <si>
    <t>heat transfer to an adjacent building, at a temperature different from that of the building under consideration</t>
  </si>
  <si>
    <r>
      <t>H</t>
    </r>
    <r>
      <rPr>
        <sz val="8"/>
        <rFont val="Arial"/>
        <family val="2"/>
      </rPr>
      <t>a</t>
    </r>
  </si>
  <si>
    <t>coefficient b</t>
  </si>
  <si>
    <t>b</t>
  </si>
  <si>
    <r>
      <t>H</t>
    </r>
    <r>
      <rPr>
        <sz val="8"/>
        <rFont val="Arial"/>
        <family val="2"/>
      </rPr>
      <t>ia</t>
    </r>
  </si>
  <si>
    <t>H_i_a</t>
  </si>
  <si>
    <t>Formula (10)</t>
  </si>
  <si>
    <r>
      <t>H</t>
    </r>
    <r>
      <rPr>
        <sz val="8"/>
        <rFont val="Arial"/>
        <family val="2"/>
      </rPr>
      <t>d</t>
    </r>
  </si>
  <si>
    <r>
      <t>H</t>
    </r>
    <r>
      <rPr>
        <sz val="8"/>
        <rFont val="Arial"/>
        <family val="2"/>
      </rPr>
      <t>tr</t>
    </r>
  </si>
  <si>
    <t>heat transfer coefficient between the unconditioned space and the external environment</t>
  </si>
  <si>
    <t>these calculated by formula (3) in  ISO 13789</t>
  </si>
  <si>
    <t>ventilation heat transfer coefficient</t>
  </si>
  <si>
    <r>
      <t>H</t>
    </r>
    <r>
      <rPr>
        <sz val="8"/>
        <rFont val="Arial"/>
        <family val="2"/>
      </rPr>
      <t>ve</t>
    </r>
  </si>
  <si>
    <t>Formula (11)</t>
  </si>
  <si>
    <t>Formula (12)</t>
  </si>
  <si>
    <r>
      <t>V</t>
    </r>
    <r>
      <rPr>
        <sz val="8"/>
        <rFont val="Arial"/>
        <family val="2"/>
      </rPr>
      <t>u</t>
    </r>
  </si>
  <si>
    <t>V_u</t>
  </si>
  <si>
    <r>
      <t>m</t>
    </r>
    <r>
      <rPr>
        <vertAlign val="superscript"/>
        <sz val="9"/>
        <rFont val="Arial"/>
        <family val="2"/>
      </rPr>
      <t>3</t>
    </r>
  </si>
  <si>
    <t>Formula (C.1)</t>
  </si>
  <si>
    <t>transmission heat transfer coefficient</t>
  </si>
  <si>
    <r>
      <t>H</t>
    </r>
    <r>
      <rPr>
        <sz val="8"/>
        <rFont val="Arial"/>
        <family val="2"/>
      </rPr>
      <t>u</t>
    </r>
    <r>
      <rPr>
        <sz val="10"/>
        <rFont val="Arial"/>
        <family val="2"/>
      </rPr>
      <t xml:space="preserve"> </t>
    </r>
  </si>
  <si>
    <t>heat transfer coefficient between the conditioned space and the unconditioned space</t>
  </si>
  <si>
    <r>
      <t>H</t>
    </r>
    <r>
      <rPr>
        <sz val="8"/>
        <rFont val="Arial"/>
        <family val="2"/>
      </rPr>
      <t>tr;ue</t>
    </r>
  </si>
  <si>
    <r>
      <t>H</t>
    </r>
    <r>
      <rPr>
        <sz val="8"/>
        <rFont val="Arial"/>
        <family val="2"/>
      </rPr>
      <t>tr;iu</t>
    </r>
  </si>
  <si>
    <t>H_tr_iu</t>
  </si>
  <si>
    <t>H_tr_ue</t>
  </si>
  <si>
    <r>
      <t>n</t>
    </r>
    <r>
      <rPr>
        <sz val="8"/>
        <rFont val="Arial"/>
        <family val="2"/>
      </rPr>
      <t>ue</t>
    </r>
  </si>
  <si>
    <t>0.1…10</t>
  </si>
  <si>
    <t>ISO 13789 Table 8</t>
  </si>
  <si>
    <t>n_ue</t>
  </si>
  <si>
    <t xml:space="preserve">air flow rate between the unheated space and the external environment </t>
  </si>
  <si>
    <r>
      <rPr>
        <i/>
        <sz val="10"/>
        <rFont val="Arial"/>
        <family val="2"/>
      </rPr>
      <t>q</t>
    </r>
    <r>
      <rPr>
        <sz val="10"/>
        <rFont val="Arial"/>
      </rPr>
      <t>ue</t>
    </r>
  </si>
  <si>
    <t xml:space="preserve">direct heat transfer coefficient between the heated or cooled space and the exterior </t>
  </si>
  <si>
    <t>steady-state transmission heat transfer coefficient through the ground</t>
  </si>
  <si>
    <t>transmission heat transfer coefficient  through unconditioned spaces</t>
  </si>
  <si>
    <t>steady-state transmission and ventilation heat transfer coefficient to adjacent buildings</t>
  </si>
  <si>
    <t>transmission heat transfer coefficient due to thermal bridges</t>
  </si>
  <si>
    <r>
      <t>H</t>
    </r>
    <r>
      <rPr>
        <sz val="8"/>
        <rFont val="Arial"/>
        <family val="2"/>
      </rPr>
      <t>tb</t>
    </r>
  </si>
  <si>
    <r>
      <t>0…</t>
    </r>
    <r>
      <rPr>
        <sz val="11"/>
        <color rgb="FF000000"/>
        <rFont val="Arial"/>
        <family val="2"/>
      </rPr>
      <t>∞</t>
    </r>
  </si>
  <si>
    <t>temperature in an unconditioned space</t>
  </si>
  <si>
    <r>
      <t xml:space="preserve">area of building envelope element </t>
    </r>
    <r>
      <rPr>
        <i/>
        <sz val="9"/>
        <rFont val="Arial"/>
        <family val="2"/>
      </rPr>
      <t>j</t>
    </r>
  </si>
  <si>
    <r>
      <t>A</t>
    </r>
    <r>
      <rPr>
        <sz val="8"/>
        <rFont val="Arial"/>
        <family val="2"/>
      </rPr>
      <t>e;</t>
    </r>
    <r>
      <rPr>
        <i/>
        <sz val="8"/>
        <rFont val="Arial"/>
        <family val="2"/>
      </rPr>
      <t>j</t>
    </r>
  </si>
  <si>
    <r>
      <t>A</t>
    </r>
    <r>
      <rPr>
        <sz val="8"/>
        <rFont val="Arial"/>
        <family val="2"/>
      </rPr>
      <t>e;</t>
    </r>
    <r>
      <rPr>
        <i/>
        <sz val="8"/>
        <rFont val="Arial"/>
        <family val="2"/>
      </rPr>
      <t>n</t>
    </r>
  </si>
  <si>
    <t>A_e_j</t>
  </si>
  <si>
    <t>A_e_i</t>
  </si>
  <si>
    <t>A_e_n</t>
  </si>
  <si>
    <r>
      <t xml:space="preserve">area of building envelope element </t>
    </r>
    <r>
      <rPr>
        <i/>
        <sz val="9"/>
        <rFont val="Arial"/>
        <family val="2"/>
      </rPr>
      <t>n</t>
    </r>
  </si>
  <si>
    <r>
      <t xml:space="preserve">length of linear thermal bridge </t>
    </r>
    <r>
      <rPr>
        <i/>
        <sz val="9"/>
        <rFont val="Arial"/>
        <family val="2"/>
      </rPr>
      <t>n</t>
    </r>
  </si>
  <si>
    <r>
      <t>l</t>
    </r>
    <r>
      <rPr>
        <sz val="8"/>
        <rFont val="Arial"/>
        <family val="2"/>
      </rPr>
      <t>n</t>
    </r>
  </si>
  <si>
    <t>l_n</t>
  </si>
  <si>
    <r>
      <t>l</t>
    </r>
    <r>
      <rPr>
        <sz val="8"/>
        <rFont val="Arial"/>
        <family val="2"/>
      </rPr>
      <t>m</t>
    </r>
  </si>
  <si>
    <r>
      <t xml:space="preserve">length of linear thermal bridge </t>
    </r>
    <r>
      <rPr>
        <i/>
        <sz val="9"/>
        <rFont val="Arial"/>
        <family val="2"/>
      </rPr>
      <t>m</t>
    </r>
  </si>
  <si>
    <t xml:space="preserve">                           Table 6 — Identifiers for thermal characteristics of building fabric</t>
  </si>
  <si>
    <t>l_m</t>
  </si>
  <si>
    <r>
      <t>Y</t>
    </r>
    <r>
      <rPr>
        <i/>
        <sz val="8"/>
        <rFont val="Times New Roman"/>
        <family val="1"/>
      </rPr>
      <t>m</t>
    </r>
  </si>
  <si>
    <r>
      <t>Y</t>
    </r>
    <r>
      <rPr>
        <i/>
        <sz val="8"/>
        <rFont val="Times New Roman"/>
        <family val="1"/>
      </rPr>
      <t>n</t>
    </r>
  </si>
  <si>
    <t>psi_m</t>
  </si>
  <si>
    <t>psi_n</t>
  </si>
  <si>
    <t>linear thermal transmittance of thermal bridge m</t>
  </si>
  <si>
    <t>linear thermal transmittance of thermal bridge n</t>
  </si>
  <si>
    <t xml:space="preserve">Draft spreadsheet, according to template for all EPB standards </t>
  </si>
  <si>
    <t>Concerns EPB standard:</t>
  </si>
  <si>
    <t>Produced by the Project Leader for the preparation of this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</si>
  <si>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</si>
  <si>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</si>
  <si>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</si>
  <si>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</si>
  <si>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</si>
  <si>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</si>
  <si>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</si>
  <si>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</si>
  <si>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</si>
  <si>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</si>
  <si>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</si>
  <si>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</si>
  <si>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</si>
  <si>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</si>
  <si>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t>SCOPE OF THIS SPREADSHEET:</t>
  </si>
  <si>
    <t xml:space="preserve">THE OUTPUT IS SUITED TO THE INPUT FOR e.g.: </t>
  </si>
  <si>
    <t>- CALCULATION OF THE OVERALL (SEASONAL) THERMAL TRANSMITTANCE OF A BUILDING</t>
  </si>
  <si>
    <t>- CALCULATION OF ENERGY NEEDS FOR HEATING AND COOLING (MONTHLY METHOD)</t>
  </si>
  <si>
    <t>- CALCULATION OF ENERGY NEEDS FOR HEATING AND COOLING (HOURLY METHOD)</t>
  </si>
  <si>
    <r>
      <rPr>
        <b/>
        <sz val="11"/>
        <rFont val="Arial"/>
        <family val="2"/>
      </rPr>
      <t>Intended use of this document</t>
    </r>
    <r>
      <rPr>
        <sz val="10"/>
        <rFont val="Arial"/>
        <family val="2"/>
      </rPr>
      <t xml:space="preserve">
Those responsible for the drafting of actual individual EPB standards shall
-  read and understand the following documents
   - EN/TS 16628 Basic Principles (in short "BP")
   - EN/TS 16629 Detailed Technical Rules (in short "DTR")
   - Most recent draft of ISO 52000-1 cq EN 15603 ("Overarching Standard", in short "OA"))
   - Most recent draft of ISO/TR 52000-2 cq EN/TR 15615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</si>
  <si>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</si>
  <si>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ISO/DIS 13789, Thermal performance of buildings —Transmission and ventilation heat transfer coefficients — Calculation method</t>
  </si>
  <si>
    <t>according to ISO 10211 or according to Formula (3)</t>
  </si>
  <si>
    <t>-</t>
  </si>
  <si>
    <t>Formula (5)</t>
  </si>
  <si>
    <t>reduction factor for adjacent unheated space</t>
  </si>
  <si>
    <t>reduction factor for adjacent building at a different temperature</t>
  </si>
  <si>
    <t>M2-5</t>
  </si>
  <si>
    <t>M2-6</t>
  </si>
  <si>
    <t>H_d</t>
  </si>
  <si>
    <t>H_u</t>
  </si>
  <si>
    <t>H_a</t>
  </si>
  <si>
    <t>H_tb</t>
  </si>
  <si>
    <t>H_tr</t>
  </si>
  <si>
    <t>H_ve</t>
  </si>
  <si>
    <t>First draft version (internal)</t>
  </si>
  <si>
    <t>Updated draft version (internal)</t>
  </si>
  <si>
    <t>2014.05.16</t>
  </si>
  <si>
    <t>ISO/TC163/SC 2 N document, for public distribution</t>
  </si>
  <si>
    <t>2015.06.15</t>
  </si>
  <si>
    <t>qu</t>
  </si>
  <si>
    <t>Transmission heat transfer coefficient,</t>
  </si>
  <si>
    <t>air flow rate between heated space and unheated space</t>
  </si>
  <si>
    <t>m³/h</t>
  </si>
  <si>
    <r>
      <rPr>
        <i/>
        <sz val="10"/>
        <rFont val="Arial"/>
        <family val="2"/>
      </rPr>
      <t>q</t>
    </r>
    <r>
      <rPr>
        <sz val="10"/>
        <rFont val="Arial"/>
      </rPr>
      <t>iu</t>
    </r>
  </si>
  <si>
    <r>
      <t>h</t>
    </r>
    <r>
      <rPr>
        <vertAlign val="superscript"/>
        <sz val="10"/>
        <rFont val="Arial"/>
        <family val="2"/>
      </rPr>
      <t>-1</t>
    </r>
  </si>
  <si>
    <t>conventional air change rate between the unconditioned space and the external environment</t>
  </si>
  <si>
    <t>volume of air in unconditioned space</t>
  </si>
  <si>
    <t>indoor environment temperature in adjacent building</t>
  </si>
  <si>
    <t>kJ/(kg·K)</t>
  </si>
  <si>
    <t>THIS SPREADSHEET PROVIDES ONE CALCULATION EXAMPLE PROVIDING TRANSMISSION AND</t>
  </si>
  <si>
    <t>VENTILATION HEAT TRANSFER COEFFICIENTS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</si>
</sst>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29">
    <font>
      <sz val="10"/>
      <name val="Arial"/>
    </font>
    <font>
      <sz val="8"/>
      <color indexed="81"/>
      <name val="Tahoma"/>
      <family val="2"/>
    </font>
    <font>
      <b/>
      <sz val="8"/>
      <color indexed="81"/>
      <name val="Tahoma"/>
      <family val="2"/>
    </font>
    <font>
      <sz val="10"/>
      <name val="Arial"/>
      <family val="2"/>
    </font>
    <font>
      <sz val="10"/>
      <name val="Arial"/>
      <family val="2"/>
    </font>
    <font>
      <i/>
      <sz val="10"/>
      <name val="Arial"/>
      <family val="2"/>
    </font>
    <font>
      <i/>
      <sz val="10"/>
      <name val="Symbol"/>
      <family val="1"/>
      <charset val="2"/>
    </font>
    <font>
      <b/>
      <sz val="10"/>
      <name val="Arial"/>
      <family val="2"/>
    </font>
    <font>
      <b/>
      <sz val="11"/>
      <name val="Arial"/>
      <family val="2"/>
    </font>
    <font>
      <b/>
      <i/>
      <sz val="10"/>
      <name val="Arial"/>
      <family val="2"/>
    </font>
    <font>
      <sz val="8"/>
      <name val="Arial"/>
      <family val="2"/>
    </font>
    <font>
      <b/>
      <sz val="10"/>
      <color rgb="FFFF0000"/>
      <name val="Arial"/>
      <family val="2"/>
    </font>
    <font>
      <i/>
      <sz val="8"/>
      <name val="Arial"/>
      <family val="2"/>
    </font>
    <font>
      <b/>
      <sz val="9"/>
      <name val="Arial"/>
      <family val="2"/>
    </font>
    <font>
      <sz val="9"/>
      <name val="Arial"/>
      <family val="2"/>
    </font>
    <font>
      <i/>
      <sz val="9"/>
      <name val="Arial"/>
      <family val="2"/>
    </font>
    <font>
      <i/>
      <sz val="9"/>
      <name val="Times New Roman"/>
      <family val="1"/>
    </font>
    <font>
      <vertAlign val="superscript"/>
      <sz val="9"/>
      <name val="Arial"/>
      <family val="2"/>
    </font>
    <font>
      <i/>
      <sz val="9"/>
      <name val="Symbol"/>
      <family val="1"/>
      <charset val="2"/>
    </font>
    <font>
      <i/>
      <vertAlign val="subscript"/>
      <sz val="9"/>
      <name val="Arial"/>
      <family val="2"/>
    </font>
    <font>
      <sz val="9"/>
      <name val="Times New Roman"/>
      <family val="1"/>
    </font>
    <font>
      <i/>
      <sz val="10"/>
      <name val="Times New Roman"/>
      <family val="1"/>
    </font>
    <font>
      <i/>
      <sz val="8"/>
      <name val="Times New Roman"/>
      <family val="1"/>
    </font>
    <font>
      <sz val="9"/>
      <color rgb="FF000000"/>
      <name val="Arial"/>
      <family val="2"/>
    </font>
    <font>
      <vertAlign val="superscript"/>
      <sz val="10"/>
      <name val="Arial"/>
      <family val="2"/>
    </font>
    <font>
      <sz val="11"/>
      <color rgb="FF000000"/>
      <name val="Arial"/>
      <family val="2"/>
    </font>
    <font>
      <b/>
      <sz val="12"/>
      <name val="Arial"/>
      <family val="2"/>
    </font>
    <font>
      <sz val="10"/>
      <name val="Symbol"/>
      <family val="1"/>
      <charset val="2"/>
    </font>
    <font>
      <sz val="7"/>
      <name val="Times New Roman"/>
      <family val="1"/>
    </font>
  </fonts>
  <fills count="8">
    <fill>
      <patternFill patternType="none"/>
    </fill>
    <fill>
      <patternFill patternType="gray125"/>
    </fill>
    <fill>
      <patternFill patternType="solid">
        <fgColor rgb="FFCCFFCC"/>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FCC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3" fillId="0" borderId="0"/>
  </cellStyleXfs>
  <cellXfs count="202">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4" fillId="0" borderId="1" xfId="0" applyFont="1" applyBorder="1" applyAlignment="1">
      <alignment horizontal="center" vertical="center" wrapText="1"/>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wrapText="1"/>
    </xf>
    <xf numFmtId="0" fontId="4" fillId="0" borderId="1" xfId="0" applyFont="1" applyBorder="1" applyAlignment="1">
      <alignment horizontal="left" vertical="center" wrapText="1"/>
    </xf>
    <xf numFmtId="0" fontId="4" fillId="0" borderId="1" xfId="0" applyFont="1" applyBorder="1"/>
    <xf numFmtId="164" fontId="0" fillId="0" borderId="1" xfId="0" applyNumberFormat="1" applyBorder="1" applyAlignment="1">
      <alignment horizontal="center" vertical="center" wrapText="1"/>
    </xf>
    <xf numFmtId="0" fontId="4" fillId="0" borderId="1" xfId="0" quotePrefix="1" applyFont="1" applyBorder="1" applyAlignment="1">
      <alignment horizontal="center" vertical="center" wrapText="1"/>
    </xf>
    <xf numFmtId="0" fontId="4" fillId="0" borderId="1" xfId="0" applyFont="1" applyBorder="1" applyAlignment="1">
      <alignment horizontal="justify" vertical="center"/>
    </xf>
    <xf numFmtId="0" fontId="5" fillId="0" borderId="1" xfId="0" applyFont="1" applyBorder="1" applyAlignment="1">
      <alignment horizontal="center"/>
    </xf>
    <xf numFmtId="0" fontId="0" fillId="0" borderId="0" xfId="0" applyAlignment="1">
      <alignment vertical="center" wrapText="1"/>
    </xf>
    <xf numFmtId="0" fontId="0" fillId="0" borderId="1" xfId="0" applyBorder="1"/>
    <xf numFmtId="0" fontId="0" fillId="0" borderId="0" xfId="0" applyAlignment="1">
      <alignment horizontal="center"/>
    </xf>
    <xf numFmtId="0" fontId="0" fillId="0" borderId="0" xfId="0" applyAlignment="1">
      <alignment wrapText="1"/>
    </xf>
    <xf numFmtId="0" fontId="0" fillId="0" borderId="7" xfId="0" applyBorder="1"/>
    <xf numFmtId="0" fontId="7" fillId="0" borderId="14" xfId="0" applyFont="1" applyBorder="1" applyAlignment="1">
      <alignment horizontal="center"/>
    </xf>
    <xf numFmtId="0" fontId="7" fillId="0" borderId="15" xfId="0" applyFont="1" applyBorder="1" applyAlignment="1">
      <alignment horizontal="center"/>
    </xf>
    <xf numFmtId="0" fontId="7" fillId="0" borderId="16" xfId="0" applyFont="1" applyBorder="1" applyAlignment="1">
      <alignment horizontal="center" wrapText="1"/>
    </xf>
    <xf numFmtId="0" fontId="0" fillId="0" borderId="17" xfId="0" applyBorder="1" applyAlignment="1">
      <alignment horizontal="center"/>
    </xf>
    <xf numFmtId="0" fontId="0" fillId="0" borderId="18" xfId="0" applyBorder="1" applyAlignment="1">
      <alignment wrapText="1"/>
    </xf>
    <xf numFmtId="0" fontId="0" fillId="0" borderId="5" xfId="0" applyBorder="1" applyAlignment="1">
      <alignment wrapText="1"/>
    </xf>
    <xf numFmtId="14" fontId="0" fillId="0" borderId="2"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xf numFmtId="0" fontId="0" fillId="0" borderId="6" xfId="0" applyBorder="1" applyAlignment="1">
      <alignment wrapText="1"/>
    </xf>
    <xf numFmtId="0" fontId="9" fillId="0" borderId="1" xfId="0" applyFont="1" applyBorder="1" applyAlignment="1">
      <alignment horizontal="justify" vertical="center"/>
    </xf>
    <xf numFmtId="0" fontId="3" fillId="0" borderId="1" xfId="0" applyFont="1" applyBorder="1" applyAlignment="1">
      <alignment horizontal="center" vertical="center" wrapText="1"/>
    </xf>
    <xf numFmtId="0" fontId="0" fillId="0" borderId="0" xfId="0" applyAlignment="1">
      <alignment horizontal="center" vertical="center" wrapText="1"/>
    </xf>
    <xf numFmtId="0" fontId="3" fillId="0" borderId="1" xfId="0" applyFont="1" applyBorder="1" applyAlignment="1">
      <alignment vertical="center" wrapText="1"/>
    </xf>
    <xf numFmtId="0" fontId="9" fillId="0" borderId="1" xfId="0" applyFont="1" applyBorder="1" applyAlignment="1">
      <alignment horizontal="left" vertical="center" indent="1"/>
    </xf>
    <xf numFmtId="0" fontId="3" fillId="0" borderId="1" xfId="0" applyFont="1" applyBorder="1" applyAlignment="1">
      <alignment horizontal="left" indent="2"/>
    </xf>
    <xf numFmtId="0" fontId="0" fillId="0" borderId="0" xfId="0" applyAlignment="1">
      <alignment horizontal="center" vertical="center" wrapText="1"/>
    </xf>
    <xf numFmtId="0" fontId="4" fillId="0" borderId="1" xfId="0" applyFont="1" applyBorder="1" applyAlignment="1">
      <alignment horizontal="center" vertical="center" wrapText="1"/>
    </xf>
    <xf numFmtId="0" fontId="0" fillId="0" borderId="1" xfId="0" applyBorder="1" applyAlignment="1">
      <alignment horizontal="center" vertical="center" wrapText="1"/>
    </xf>
    <xf numFmtId="0" fontId="3" fillId="0" borderId="0" xfId="0" applyFont="1" applyAlignment="1">
      <alignment vertical="center" wrapText="1"/>
    </xf>
    <xf numFmtId="0" fontId="0" fillId="0" borderId="0" xfId="0" applyAlignment="1">
      <alignment vertical="center"/>
    </xf>
    <xf numFmtId="0" fontId="3" fillId="0" borderId="1" xfId="0" applyFont="1" applyBorder="1"/>
    <xf numFmtId="0" fontId="3" fillId="0" borderId="5" xfId="0" applyFont="1" applyBorder="1" applyAlignment="1">
      <alignment wrapText="1"/>
    </xf>
    <xf numFmtId="0" fontId="3" fillId="0" borderId="1" xfId="0" applyFont="1" applyBorder="1" applyAlignment="1">
      <alignment horizontal="center" vertical="center"/>
    </xf>
    <xf numFmtId="0" fontId="7" fillId="0" borderId="0" xfId="0" applyFont="1" applyAlignment="1">
      <alignment horizontal="center" vertical="center"/>
    </xf>
    <xf numFmtId="0" fontId="3" fillId="0" borderId="0" xfId="0" applyFont="1" applyAlignment="1">
      <alignment horizontal="justify" vertical="center"/>
    </xf>
    <xf numFmtId="0" fontId="3" fillId="0" borderId="0" xfId="0" applyFont="1" applyAlignment="1">
      <alignment horizontal="center" vertical="center" wrapText="1"/>
    </xf>
    <xf numFmtId="0" fontId="5" fillId="0" borderId="1" xfId="0" applyFont="1" applyFill="1" applyBorder="1" applyAlignment="1">
      <alignment horizontal="center" vertical="center"/>
    </xf>
    <xf numFmtId="0" fontId="4"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3"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0" xfId="0" applyFont="1" applyAlignment="1">
      <alignment wrapText="1"/>
    </xf>
    <xf numFmtId="0" fontId="3" fillId="0" borderId="0" xfId="0" applyFont="1" applyAlignment="1">
      <alignment horizontal="center" vertical="center"/>
    </xf>
    <xf numFmtId="0" fontId="14" fillId="0" borderId="1" xfId="0" applyFont="1" applyBorder="1" applyAlignment="1">
      <alignment horizontal="center" vertical="center"/>
    </xf>
    <xf numFmtId="0" fontId="14" fillId="0" borderId="1" xfId="0" applyFont="1" applyBorder="1" applyAlignment="1">
      <alignment horizontal="left" vertical="center"/>
    </xf>
    <xf numFmtId="0" fontId="16" fillId="0" borderId="1" xfId="0" applyFont="1" applyBorder="1" applyAlignment="1">
      <alignment horizontal="center" vertical="center"/>
    </xf>
    <xf numFmtId="0" fontId="15" fillId="0" borderId="1" xfId="0" applyFont="1" applyBorder="1" applyAlignment="1">
      <alignment horizontal="center" vertical="center"/>
    </xf>
    <xf numFmtId="0" fontId="14" fillId="0" borderId="1" xfId="0" applyFont="1" applyBorder="1" applyAlignment="1">
      <alignment horizontal="center" vertical="center" wrapText="1"/>
    </xf>
    <xf numFmtId="0" fontId="15" fillId="0" borderId="1" xfId="0" applyFont="1" applyFill="1" applyBorder="1" applyAlignment="1">
      <alignment horizontal="center" vertical="center"/>
    </xf>
    <xf numFmtId="0" fontId="14" fillId="0" borderId="1" xfId="0" applyFont="1" applyFill="1" applyBorder="1" applyAlignment="1">
      <alignment horizontal="center" vertical="center"/>
    </xf>
    <xf numFmtId="0" fontId="14" fillId="0" borderId="7" xfId="0" applyFont="1" applyBorder="1" applyAlignment="1">
      <alignment horizontal="left" vertical="center"/>
    </xf>
    <xf numFmtId="0" fontId="16" fillId="0" borderId="7" xfId="0" applyFont="1" applyBorder="1" applyAlignment="1">
      <alignment horizontal="center" vertical="center"/>
    </xf>
    <xf numFmtId="0" fontId="15" fillId="0" borderId="7" xfId="0" applyFont="1" applyBorder="1" applyAlignment="1">
      <alignment horizontal="center" vertical="center"/>
    </xf>
    <xf numFmtId="0" fontId="14" fillId="0" borderId="7" xfId="0" applyFont="1" applyBorder="1" applyAlignment="1">
      <alignment horizontal="center" vertical="center"/>
    </xf>
    <xf numFmtId="0" fontId="14" fillId="0" borderId="7" xfId="0" applyFont="1" applyBorder="1" applyAlignment="1">
      <alignment horizontal="center" vertical="center" wrapText="1"/>
    </xf>
    <xf numFmtId="0" fontId="13" fillId="0" borderId="1" xfId="0" applyFont="1" applyBorder="1" applyAlignment="1">
      <alignment horizontal="left" vertical="center"/>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14" fillId="4" borderId="1" xfId="0" applyFont="1" applyFill="1" applyBorder="1" applyAlignment="1">
      <alignment horizontal="center" vertical="center" wrapText="1"/>
    </xf>
    <xf numFmtId="0" fontId="10" fillId="0" borderId="0" xfId="0" applyFont="1" applyAlignment="1">
      <alignment wrapText="1"/>
    </xf>
    <xf numFmtId="0" fontId="10" fillId="0" borderId="1" xfId="0" applyFont="1" applyBorder="1" applyAlignment="1">
      <alignment horizontal="center" vertical="center" wrapText="1"/>
    </xf>
    <xf numFmtId="0" fontId="3" fillId="0" borderId="1" xfId="0" applyFont="1" applyBorder="1" applyAlignment="1">
      <alignment vertical="center"/>
    </xf>
    <xf numFmtId="0" fontId="0" fillId="0" borderId="1" xfId="0" applyBorder="1" applyAlignment="1">
      <alignment horizontal="center" vertical="center"/>
    </xf>
    <xf numFmtId="0" fontId="5" fillId="0" borderId="1" xfId="0" applyFont="1" applyBorder="1" applyAlignment="1">
      <alignment horizontal="center" vertical="center" wrapText="1"/>
    </xf>
    <xf numFmtId="0" fontId="3" fillId="0" borderId="1" xfId="0" applyFont="1" applyBorder="1" applyAlignment="1">
      <alignment wrapText="1"/>
    </xf>
    <xf numFmtId="0" fontId="21" fillId="0" borderId="1" xfId="0" applyFont="1" applyBorder="1" applyAlignment="1">
      <alignment horizontal="center" vertical="center"/>
    </xf>
    <xf numFmtId="0" fontId="3" fillId="0" borderId="1" xfId="0" applyFont="1" applyBorder="1" applyAlignment="1">
      <alignment horizontal="center"/>
    </xf>
    <xf numFmtId="0" fontId="3" fillId="0" borderId="1" xfId="0" applyFont="1" applyBorder="1" applyAlignment="1">
      <alignment horizontal="left" vertical="center" wrapText="1"/>
    </xf>
    <xf numFmtId="0" fontId="4" fillId="0" borderId="1" xfId="0" applyFont="1" applyFill="1" applyBorder="1" applyAlignment="1">
      <alignment horizontal="left" vertical="center" wrapText="1" indent="2"/>
    </xf>
    <xf numFmtId="0" fontId="5" fillId="0" borderId="1" xfId="0" applyFont="1" applyFill="1" applyBorder="1" applyAlignment="1">
      <alignment horizontal="center"/>
    </xf>
    <xf numFmtId="0" fontId="4" fillId="0" borderId="1" xfId="0" applyFont="1" applyFill="1" applyBorder="1" applyAlignment="1">
      <alignment horizontal="left" wrapText="1" indent="2"/>
    </xf>
    <xf numFmtId="0" fontId="4" fillId="0" borderId="1" xfId="0" applyFont="1" applyFill="1" applyBorder="1" applyAlignment="1">
      <alignment horizontal="justify" vertical="center"/>
    </xf>
    <xf numFmtId="0" fontId="8" fillId="0" borderId="1" xfId="0" applyFont="1" applyFill="1" applyBorder="1" applyAlignment="1">
      <alignment horizontal="left" vertical="center" wrapText="1"/>
    </xf>
    <xf numFmtId="0" fontId="9" fillId="0" borderId="1" xfId="0" applyFont="1" applyFill="1" applyBorder="1" applyAlignment="1">
      <alignment horizontal="left" vertical="center" indent="1"/>
    </xf>
    <xf numFmtId="0" fontId="4" fillId="0" borderId="1" xfId="0" applyFont="1" applyFill="1" applyBorder="1" applyAlignment="1">
      <alignment horizontal="left" vertical="center" indent="2"/>
    </xf>
    <xf numFmtId="0" fontId="4" fillId="0" borderId="1" xfId="0" applyFont="1" applyFill="1" applyBorder="1" applyAlignment="1">
      <alignment horizontal="left" indent="2"/>
    </xf>
    <xf numFmtId="0" fontId="4" fillId="0" borderId="1" xfId="0" applyFont="1" applyFill="1" applyBorder="1"/>
    <xf numFmtId="0" fontId="4" fillId="0" borderId="1" xfId="0" quotePrefix="1" applyFont="1" applyFill="1" applyBorder="1" applyAlignment="1">
      <alignment horizontal="center" vertical="center" wrapText="1"/>
    </xf>
    <xf numFmtId="0" fontId="9" fillId="0" borderId="1" xfId="0" applyFont="1" applyFill="1" applyBorder="1" applyAlignment="1">
      <alignment horizontal="justify" vertical="center"/>
    </xf>
    <xf numFmtId="0" fontId="13" fillId="0" borderId="1" xfId="0" applyFont="1" applyFill="1" applyBorder="1" applyAlignment="1">
      <alignment horizontal="left" vertical="center"/>
    </xf>
    <xf numFmtId="0" fontId="13" fillId="0" borderId="1" xfId="0" applyFont="1" applyFill="1" applyBorder="1" applyAlignment="1">
      <alignment horizontal="center" vertical="center"/>
    </xf>
    <xf numFmtId="0" fontId="13" fillId="0" borderId="1" xfId="0" applyFont="1" applyFill="1" applyBorder="1" applyAlignment="1">
      <alignment horizontal="center" vertical="center" wrapText="1"/>
    </xf>
    <xf numFmtId="0" fontId="14" fillId="0" borderId="1" xfId="0" applyFont="1" applyFill="1" applyBorder="1" applyAlignment="1">
      <alignment horizontal="left" vertical="center"/>
    </xf>
    <xf numFmtId="0" fontId="16" fillId="0" borderId="1" xfId="0" applyFont="1" applyFill="1" applyBorder="1" applyAlignment="1">
      <alignment horizontal="center" vertical="center"/>
    </xf>
    <xf numFmtId="0" fontId="14" fillId="0" borderId="1" xfId="0" applyFont="1" applyFill="1" applyBorder="1" applyAlignment="1">
      <alignment horizontal="center" vertical="center" wrapText="1"/>
    </xf>
    <xf numFmtId="0" fontId="20" fillId="0" borderId="1" xfId="0" applyFont="1" applyFill="1" applyBorder="1" applyAlignment="1">
      <alignment horizontal="center" vertical="center"/>
    </xf>
    <xf numFmtId="0" fontId="5" fillId="0" borderId="0" xfId="0" applyFont="1" applyAlignment="1">
      <alignment horizontal="center" vertical="center" wrapText="1"/>
    </xf>
    <xf numFmtId="0" fontId="0" fillId="4" borderId="0" xfId="0" applyFill="1" applyAlignment="1">
      <alignment horizontal="center" vertical="center" wrapText="1"/>
    </xf>
    <xf numFmtId="0" fontId="16" fillId="0" borderId="13" xfId="0" applyFont="1" applyBorder="1" applyAlignment="1">
      <alignment horizontal="center" vertical="center"/>
    </xf>
    <xf numFmtId="0" fontId="14" fillId="0" borderId="13" xfId="0" applyFont="1" applyBorder="1" applyAlignment="1">
      <alignment horizontal="center" vertical="center"/>
    </xf>
    <xf numFmtId="0" fontId="0" fillId="4" borderId="1" xfId="0" applyFill="1" applyBorder="1" applyAlignment="1">
      <alignment horizontal="center" vertical="center" wrapText="1"/>
    </xf>
    <xf numFmtId="0" fontId="3" fillId="0" borderId="9" xfId="0" applyFont="1" applyBorder="1" applyAlignment="1">
      <alignment horizontal="center" vertical="center" wrapText="1"/>
    </xf>
    <xf numFmtId="0" fontId="21" fillId="0" borderId="0" xfId="0" applyFont="1" applyAlignment="1">
      <alignment horizontal="center" vertical="center"/>
    </xf>
    <xf numFmtId="0" fontId="0" fillId="0" borderId="1" xfId="0" applyBorder="1" applyAlignment="1">
      <alignment vertical="center"/>
    </xf>
    <xf numFmtId="0" fontId="8" fillId="0" borderId="1" xfId="0" applyFont="1" applyBorder="1" applyAlignment="1">
      <alignment horizontal="center" vertical="center" wrapText="1"/>
    </xf>
    <xf numFmtId="0" fontId="3" fillId="0" borderId="1" xfId="0" applyFont="1" applyBorder="1" applyAlignment="1">
      <alignment horizontal="justify" vertical="center"/>
    </xf>
    <xf numFmtId="0" fontId="14" fillId="0" borderId="1" xfId="0" applyFont="1" applyBorder="1" applyAlignment="1">
      <alignment horizontal="left" vertical="center" wrapText="1"/>
    </xf>
    <xf numFmtId="0" fontId="18" fillId="0" borderId="1" xfId="0" applyFont="1" applyBorder="1" applyAlignment="1">
      <alignment horizontal="center" vertical="center"/>
    </xf>
    <xf numFmtId="0" fontId="0" fillId="4" borderId="1" xfId="0" applyFill="1" applyBorder="1" applyAlignment="1">
      <alignment horizontal="center"/>
    </xf>
    <xf numFmtId="0" fontId="23" fillId="0" borderId="1" xfId="0" applyFont="1" applyBorder="1"/>
    <xf numFmtId="0" fontId="9" fillId="0" borderId="21" xfId="0" applyFont="1" applyBorder="1" applyAlignment="1">
      <alignment horizontal="left"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23" fillId="0" borderId="1" xfId="0" applyFont="1" applyBorder="1" applyAlignment="1">
      <alignment horizontal="center" vertical="center" wrapText="1"/>
    </xf>
    <xf numFmtId="0" fontId="23" fillId="0" borderId="1" xfId="0" applyFont="1" applyBorder="1" applyAlignment="1">
      <alignment horizontal="left" vertical="center" wrapText="1"/>
    </xf>
    <xf numFmtId="0" fontId="21" fillId="0" borderId="1" xfId="0" applyFont="1" applyBorder="1" applyAlignment="1">
      <alignment horizontal="center" vertical="center" wrapText="1"/>
    </xf>
    <xf numFmtId="0" fontId="0" fillId="4" borderId="1" xfId="0" applyFill="1" applyBorder="1" applyAlignment="1">
      <alignment horizontal="center" vertical="center"/>
    </xf>
    <xf numFmtId="0" fontId="0" fillId="5" borderId="1" xfId="0" applyFill="1" applyBorder="1" applyAlignment="1">
      <alignment horizontal="center" vertical="center" wrapText="1"/>
    </xf>
    <xf numFmtId="0" fontId="0" fillId="5" borderId="0" xfId="0" applyFill="1" applyAlignment="1">
      <alignment horizontal="center" vertical="center" wrapText="1"/>
    </xf>
    <xf numFmtId="0" fontId="7" fillId="5" borderId="0" xfId="0" applyFont="1" applyFill="1" applyAlignment="1">
      <alignment horizontal="center" vertical="center"/>
    </xf>
    <xf numFmtId="0" fontId="0" fillId="5" borderId="0" xfId="0" applyFill="1"/>
    <xf numFmtId="0" fontId="0" fillId="5" borderId="7" xfId="0" applyFill="1" applyBorder="1" applyAlignment="1">
      <alignment horizontal="center" vertical="center" wrapText="1"/>
    </xf>
    <xf numFmtId="0" fontId="21" fillId="0" borderId="1" xfId="0" applyFont="1" applyBorder="1" applyAlignment="1">
      <alignment horizontal="center"/>
    </xf>
    <xf numFmtId="0" fontId="0" fillId="0" borderId="1" xfId="0" applyBorder="1" applyAlignment="1">
      <alignment horizontal="left" vertical="center" wrapText="1" indent="1"/>
    </xf>
    <xf numFmtId="0" fontId="5" fillId="0" borderId="1" xfId="0" applyFont="1" applyBorder="1" applyAlignment="1">
      <alignment horizontal="left" vertical="center" wrapText="1" indent="1"/>
    </xf>
    <xf numFmtId="0" fontId="3" fillId="0" borderId="1" xfId="0" applyFont="1" applyBorder="1" applyAlignment="1">
      <alignment horizontal="left" vertical="center" wrapText="1" indent="1"/>
    </xf>
    <xf numFmtId="0" fontId="10" fillId="0" borderId="1" xfId="0" applyFont="1" applyBorder="1" applyAlignment="1">
      <alignment horizontal="left" vertical="center" wrapText="1" indent="1"/>
    </xf>
    <xf numFmtId="0" fontId="14" fillId="0" borderId="1" xfId="0" applyFont="1" applyBorder="1" applyAlignment="1">
      <alignment horizontal="left" vertical="center" wrapText="1" indent="1"/>
    </xf>
    <xf numFmtId="0" fontId="26" fillId="3" borderId="1" xfId="1" applyFont="1" applyFill="1" applyBorder="1" applyAlignment="1">
      <alignment vertical="center"/>
    </xf>
    <xf numFmtId="0" fontId="7" fillId="0" borderId="1" xfId="1" applyFont="1" applyFill="1" applyBorder="1" applyAlignment="1">
      <alignment vertical="center"/>
    </xf>
    <xf numFmtId="0" fontId="8" fillId="6" borderId="1" xfId="1" applyFont="1" applyFill="1" applyBorder="1" applyAlignment="1">
      <alignment vertical="center" wrapText="1"/>
    </xf>
    <xf numFmtId="0" fontId="3" fillId="0" borderId="0" xfId="1" applyFont="1" applyAlignment="1">
      <alignment vertical="center"/>
    </xf>
    <xf numFmtId="0" fontId="26" fillId="3" borderId="13" xfId="1" applyFont="1" applyFill="1" applyBorder="1" applyAlignment="1">
      <alignment vertical="center"/>
    </xf>
    <xf numFmtId="0" fontId="27" fillId="0" borderId="25" xfId="1" applyFont="1" applyBorder="1" applyAlignment="1">
      <alignment horizontal="left" vertical="center" wrapText="1" indent="4"/>
    </xf>
    <xf numFmtId="0" fontId="7" fillId="0" borderId="25" xfId="1" applyFont="1" applyBorder="1" applyAlignment="1">
      <alignment vertical="center"/>
    </xf>
    <xf numFmtId="0" fontId="27" fillId="0" borderId="7" xfId="1" applyFont="1" applyBorder="1" applyAlignment="1">
      <alignment horizontal="left" vertical="center" wrapText="1" indent="4"/>
    </xf>
    <xf numFmtId="0" fontId="27" fillId="0" borderId="0" xfId="1" applyFont="1" applyBorder="1" applyAlignment="1">
      <alignment horizontal="left" vertical="center" wrapText="1" indent="4"/>
    </xf>
    <xf numFmtId="0" fontId="7" fillId="3" borderId="0" xfId="0" applyFont="1" applyFill="1" applyAlignment="1">
      <alignment vertical="center"/>
    </xf>
    <xf numFmtId="0" fontId="3" fillId="3" borderId="0" xfId="0" applyFont="1" applyFill="1" applyAlignment="1">
      <alignment vertical="center"/>
    </xf>
    <xf numFmtId="0" fontId="3" fillId="3" borderId="0" xfId="0" quotePrefix="1" applyFont="1" applyFill="1" applyAlignment="1">
      <alignment vertical="center"/>
    </xf>
    <xf numFmtId="0" fontId="3" fillId="0" borderId="0" xfId="0" quotePrefix="1" applyFont="1" applyFill="1" applyAlignment="1">
      <alignment vertical="center"/>
    </xf>
    <xf numFmtId="0" fontId="3" fillId="0" borderId="0" xfId="1" applyFont="1" applyAlignment="1">
      <alignment vertical="center" wrapText="1"/>
    </xf>
    <xf numFmtId="0" fontId="3" fillId="2" borderId="0" xfId="1" applyFont="1" applyFill="1" applyAlignment="1">
      <alignment vertical="center" wrapText="1"/>
    </xf>
    <xf numFmtId="0" fontId="3" fillId="0" borderId="0" xfId="1" applyFont="1" applyFill="1" applyAlignment="1">
      <alignment vertical="center" wrapText="1"/>
    </xf>
    <xf numFmtId="0" fontId="21" fillId="0" borderId="1" xfId="0" applyFont="1" applyFill="1" applyBorder="1" applyAlignment="1">
      <alignment horizontal="justify" vertical="center"/>
    </xf>
    <xf numFmtId="0" fontId="3" fillId="0" borderId="0" xfId="0" applyFont="1" applyBorder="1" applyAlignment="1">
      <alignment horizontal="center" vertical="center" wrapText="1"/>
    </xf>
    <xf numFmtId="0" fontId="21" fillId="0" borderId="1" xfId="0" applyFont="1" applyFill="1" applyBorder="1" applyAlignment="1">
      <alignment horizontal="center" vertical="center"/>
    </xf>
    <xf numFmtId="165" fontId="0" fillId="0" borderId="1" xfId="0" applyNumberFormat="1" applyBorder="1" applyAlignment="1">
      <alignment horizontal="center" vertical="center" wrapText="1"/>
    </xf>
    <xf numFmtId="165" fontId="3" fillId="0" borderId="1" xfId="0" applyNumberFormat="1" applyFont="1" applyBorder="1" applyAlignment="1">
      <alignment horizontal="center" vertical="center" wrapText="1"/>
    </xf>
    <xf numFmtId="0" fontId="23" fillId="0" borderId="1" xfId="0" applyFont="1" applyBorder="1" applyAlignment="1">
      <alignment horizontal="center" vertical="center"/>
    </xf>
    <xf numFmtId="0" fontId="23" fillId="0" borderId="0" xfId="0" applyFont="1" applyFill="1" applyBorder="1" applyAlignment="1">
      <alignment horizontal="left" vertical="center" wrapText="1"/>
    </xf>
    <xf numFmtId="0" fontId="2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3" fillId="0" borderId="0" xfId="0" applyFont="1" applyFill="1" applyBorder="1" applyAlignment="1">
      <alignment horizontal="center" vertical="center" wrapText="1"/>
    </xf>
    <xf numFmtId="165" fontId="0" fillId="0" borderId="0" xfId="0" applyNumberFormat="1" applyFill="1" applyBorder="1" applyAlignment="1">
      <alignment horizontal="center" vertical="center" wrapText="1"/>
    </xf>
    <xf numFmtId="0" fontId="23" fillId="0" borderId="0" xfId="0" applyFont="1" applyFill="1" applyBorder="1" applyAlignment="1">
      <alignment horizontal="center" vertical="center"/>
    </xf>
    <xf numFmtId="0" fontId="23" fillId="0" borderId="0" xfId="0" applyFont="1" applyFill="1" applyBorder="1" applyAlignment="1">
      <alignment horizontal="center" vertical="center" wrapText="1"/>
    </xf>
    <xf numFmtId="165" fontId="10" fillId="0" borderId="0" xfId="0" applyNumberFormat="1" applyFont="1" applyFill="1" applyBorder="1" applyAlignment="1">
      <alignment horizontal="center" vertical="center" wrapText="1"/>
    </xf>
    <xf numFmtId="0" fontId="6" fillId="0" borderId="0" xfId="0" applyFont="1" applyFill="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14" fontId="3" fillId="0" borderId="2" xfId="0" applyNumberFormat="1" applyFont="1" applyBorder="1" applyAlignment="1">
      <alignment horizontal="left"/>
    </xf>
    <xf numFmtId="49" fontId="3" fillId="0" borderId="2" xfId="0" applyNumberFormat="1" applyFont="1" applyBorder="1" applyAlignment="1">
      <alignment horizontal="left" vertical="center"/>
    </xf>
    <xf numFmtId="0" fontId="21" fillId="0" borderId="9" xfId="0" applyFont="1" applyFill="1" applyBorder="1" applyAlignment="1">
      <alignment horizontal="justify" vertical="center"/>
    </xf>
    <xf numFmtId="164" fontId="14" fillId="4" borderId="1" xfId="0" applyNumberFormat="1" applyFont="1" applyFill="1" applyBorder="1" applyAlignment="1">
      <alignment horizontal="center" vertical="center" wrapText="1"/>
    </xf>
    <xf numFmtId="0" fontId="4" fillId="0" borderId="0" xfId="0" applyFont="1" applyBorder="1" applyAlignment="1">
      <alignment horizontal="left" vertical="center" wrapText="1"/>
    </xf>
    <xf numFmtId="0" fontId="6" fillId="0" borderId="0" xfId="0" applyFont="1" applyBorder="1" applyAlignment="1">
      <alignment horizontal="center" vertical="center"/>
    </xf>
    <xf numFmtId="2" fontId="0" fillId="0" borderId="0" xfId="0" applyNumberFormat="1" applyBorder="1" applyAlignment="1">
      <alignment horizontal="center" vertical="center" wrapText="1"/>
    </xf>
    <xf numFmtId="0" fontId="0" fillId="0" borderId="0" xfId="0" applyBorder="1"/>
    <xf numFmtId="0" fontId="0" fillId="0" borderId="0" xfId="0" applyBorder="1" applyAlignment="1">
      <alignment horizontal="left" vertical="center" wrapText="1"/>
    </xf>
    <xf numFmtId="0" fontId="5" fillId="0" borderId="0" xfId="0" applyFont="1" applyBorder="1" applyAlignment="1">
      <alignment horizontal="center" vertical="center"/>
    </xf>
    <xf numFmtId="3" fontId="0" fillId="0" borderId="0" xfId="0" applyNumberFormat="1" applyBorder="1" applyAlignment="1">
      <alignment horizontal="center" vertical="center" wrapText="1"/>
    </xf>
    <xf numFmtId="0" fontId="4" fillId="0" borderId="0" xfId="0" applyFont="1" applyFill="1" applyBorder="1" applyAlignment="1">
      <alignment horizontal="left" vertical="center" wrapText="1"/>
    </xf>
    <xf numFmtId="0" fontId="5"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2" fontId="0" fillId="0" borderId="0" xfId="0" applyNumberFormat="1" applyFill="1" applyBorder="1" applyAlignment="1">
      <alignment horizontal="center" vertical="center" wrapText="1"/>
    </xf>
    <xf numFmtId="0" fontId="4" fillId="0" borderId="0" xfId="0" applyFont="1" applyFill="1" applyBorder="1" applyAlignment="1">
      <alignment vertical="center" wrapText="1"/>
    </xf>
    <xf numFmtId="164" fontId="0" fillId="0" borderId="0" xfId="0" applyNumberFormat="1" applyFill="1" applyBorder="1" applyAlignment="1">
      <alignment horizontal="center" vertical="center" wrapText="1"/>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3" fontId="0" fillId="0" borderId="0" xfId="0" applyNumberFormat="1" applyFill="1" applyBorder="1" applyAlignment="1">
      <alignment horizontal="center" vertical="center" wrapText="1"/>
    </xf>
    <xf numFmtId="0" fontId="3" fillId="0" borderId="0" xfId="0" applyFont="1" applyFill="1" applyBorder="1" applyAlignment="1">
      <alignment vertical="center"/>
    </xf>
    <xf numFmtId="0" fontId="3" fillId="0" borderId="0" xfId="0" applyFont="1" applyBorder="1" applyAlignment="1">
      <alignment vertical="center" wrapText="1"/>
    </xf>
    <xf numFmtId="0" fontId="6" fillId="0" borderId="24" xfId="0" applyFont="1" applyBorder="1" applyAlignment="1">
      <alignment horizontal="center" vertical="center"/>
    </xf>
    <xf numFmtId="0" fontId="3" fillId="7" borderId="11"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12" xfId="0" applyFill="1" applyBorder="1" applyAlignment="1">
      <alignment horizontal="center" vertical="center" wrapText="1"/>
    </xf>
    <xf numFmtId="0" fontId="7" fillId="5" borderId="10" xfId="0" applyFont="1" applyFill="1" applyBorder="1" applyAlignment="1">
      <alignment vertical="center"/>
    </xf>
    <xf numFmtId="0" fontId="7" fillId="5" borderId="24" xfId="0" applyFont="1" applyFill="1" applyBorder="1" applyAlignment="1">
      <alignment vertical="center"/>
    </xf>
    <xf numFmtId="0" fontId="7" fillId="5" borderId="9" xfId="0" applyFont="1" applyFill="1" applyBorder="1" applyAlignment="1">
      <alignment vertical="center"/>
    </xf>
    <xf numFmtId="0" fontId="4" fillId="7" borderId="8" xfId="0" applyFont="1" applyFill="1" applyBorder="1" applyAlignment="1">
      <alignment horizontal="center" vertical="center" wrapText="1"/>
    </xf>
    <xf numFmtId="0" fontId="4" fillId="7" borderId="12" xfId="0" applyFont="1" applyFill="1" applyBorder="1" applyAlignment="1">
      <alignment horizontal="center" vertical="center" wrapText="1"/>
    </xf>
    <xf numFmtId="0" fontId="3" fillId="0" borderId="10" xfId="0" applyFont="1" applyBorder="1" applyAlignment="1">
      <alignment vertical="center"/>
    </xf>
    <xf numFmtId="0" fontId="21" fillId="0" borderId="19" xfId="0" applyFont="1" applyBorder="1" applyAlignment="1">
      <alignment vertical="center" wrapText="1"/>
    </xf>
    <xf numFmtId="0" fontId="21" fillId="0" borderId="20" xfId="0" applyFont="1" applyBorder="1" applyAlignment="1">
      <alignment vertical="center" wrapText="1"/>
    </xf>
    <xf numFmtId="0" fontId="3" fillId="7" borderId="0" xfId="0" applyFont="1" applyFill="1" applyAlignment="1">
      <alignment horizontal="center" vertical="center" wrapText="1"/>
    </xf>
    <xf numFmtId="0" fontId="0" fillId="7" borderId="0" xfId="0" applyFill="1" applyAlignment="1">
      <alignment horizontal="center" vertical="center" wrapText="1"/>
    </xf>
  </cellXfs>
  <cellStyles count="2">
    <cellStyle name="Normal" xfId="0" builtinId="0"/>
    <cellStyle name="Normal 3" xfId="1"/>
  </cellStyles>
  <dxfs count="0"/>
  <tableStyles count="0" defaultTableStyle="TableStyleMedium2" defaultPivotStyle="PivotStyleLight16"/>
  <colors>
    <mruColors>
      <color rgb="FFFFCC99"/>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3" Type="http://schemas.openxmlformats.org/officeDocument/2006/relationships/image" Target="../media/image3.wmf"/><Relationship Id="rId7" Type="http://schemas.openxmlformats.org/officeDocument/2006/relationships/image" Target="../media/image7.wmf"/><Relationship Id="rId12" Type="http://schemas.openxmlformats.org/officeDocument/2006/relationships/image" Target="../media/image12.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847725</xdr:colOff>
          <xdr:row>15</xdr:row>
          <xdr:rowOff>57150</xdr:rowOff>
        </xdr:from>
        <xdr:to>
          <xdr:col>5</xdr:col>
          <xdr:colOff>2324100</xdr:colOff>
          <xdr:row>15</xdr:row>
          <xdr:rowOff>276225</xdr:rowOff>
        </xdr:to>
        <xdr:sp macro="" textlink="">
          <xdr:nvSpPr>
            <xdr:cNvPr id="5145" name="Object 25" hidden="1">
              <a:extLst>
                <a:ext uri="{63B3BB69-23CF-44E3-9099-C40C66FF867C}">
                  <a14:compatExt spid="_x0000_s5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619125</xdr:colOff>
          <xdr:row>4</xdr:row>
          <xdr:rowOff>228600</xdr:rowOff>
        </xdr:from>
        <xdr:to>
          <xdr:col>5</xdr:col>
          <xdr:colOff>2705100</xdr:colOff>
          <xdr:row>4</xdr:row>
          <xdr:rowOff>504825</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7</xdr:row>
          <xdr:rowOff>161925</xdr:rowOff>
        </xdr:from>
        <xdr:to>
          <xdr:col>5</xdr:col>
          <xdr:colOff>1676400</xdr:colOff>
          <xdr:row>7</xdr:row>
          <xdr:rowOff>352425</xdr:rowOff>
        </xdr:to>
        <xdr:sp macro="" textlink="">
          <xdr:nvSpPr>
            <xdr:cNvPr id="5158" name="Object 38" hidden="1">
              <a:extLst>
                <a:ext uri="{63B3BB69-23CF-44E3-9099-C40C66FF867C}">
                  <a14:compatExt spid="_x0000_s5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942975</xdr:colOff>
          <xdr:row>6</xdr:row>
          <xdr:rowOff>123825</xdr:rowOff>
        </xdr:from>
        <xdr:to>
          <xdr:col>5</xdr:col>
          <xdr:colOff>1781175</xdr:colOff>
          <xdr:row>6</xdr:row>
          <xdr:rowOff>504825</xdr:rowOff>
        </xdr:to>
        <xdr:sp macro="" textlink="">
          <xdr:nvSpPr>
            <xdr:cNvPr id="5159" name="Object 39" hidden="1">
              <a:extLst>
                <a:ext uri="{63B3BB69-23CF-44E3-9099-C40C66FF867C}">
                  <a14:compatExt spid="_x0000_s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1009650</xdr:colOff>
          <xdr:row>10</xdr:row>
          <xdr:rowOff>95250</xdr:rowOff>
        </xdr:from>
        <xdr:to>
          <xdr:col>5</xdr:col>
          <xdr:colOff>2152650</xdr:colOff>
          <xdr:row>10</xdr:row>
          <xdr:rowOff>295275</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971550</xdr:colOff>
          <xdr:row>11</xdr:row>
          <xdr:rowOff>57150</xdr:rowOff>
        </xdr:from>
        <xdr:to>
          <xdr:col>5</xdr:col>
          <xdr:colOff>2228850</xdr:colOff>
          <xdr:row>11</xdr:row>
          <xdr:rowOff>257175</xdr:rowOff>
        </xdr:to>
        <xdr:sp macro="" textlink="">
          <xdr:nvSpPr>
            <xdr:cNvPr id="5165"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38100</xdr:rowOff>
        </xdr:from>
        <xdr:to>
          <xdr:col>5</xdr:col>
          <xdr:colOff>1990725</xdr:colOff>
          <xdr:row>13</xdr:row>
          <xdr:rowOff>266700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1009650</xdr:colOff>
          <xdr:row>12</xdr:row>
          <xdr:rowOff>47625</xdr:rowOff>
        </xdr:from>
        <xdr:to>
          <xdr:col>5</xdr:col>
          <xdr:colOff>1990725</xdr:colOff>
          <xdr:row>12</xdr:row>
          <xdr:rowOff>276225</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14</xdr:row>
          <xdr:rowOff>142875</xdr:rowOff>
        </xdr:from>
        <xdr:to>
          <xdr:col>5</xdr:col>
          <xdr:colOff>1933575</xdr:colOff>
          <xdr:row>14</xdr:row>
          <xdr:rowOff>333375</xdr:rowOff>
        </xdr:to>
        <xdr:sp macro="" textlink="">
          <xdr:nvSpPr>
            <xdr:cNvPr id="5168"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1276350</xdr:colOff>
          <xdr:row>16</xdr:row>
          <xdr:rowOff>38100</xdr:rowOff>
        </xdr:from>
        <xdr:to>
          <xdr:col>5</xdr:col>
          <xdr:colOff>1895475</xdr:colOff>
          <xdr:row>16</xdr:row>
          <xdr:rowOff>419100</xdr:rowOff>
        </xdr:to>
        <xdr:sp macro="" textlink="">
          <xdr:nvSpPr>
            <xdr:cNvPr id="5169" name="Object 49"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971550</xdr:colOff>
          <xdr:row>17</xdr:row>
          <xdr:rowOff>47625</xdr:rowOff>
        </xdr:from>
        <xdr:to>
          <xdr:col>5</xdr:col>
          <xdr:colOff>1895475</xdr:colOff>
          <xdr:row>17</xdr:row>
          <xdr:rowOff>266700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1257300</xdr:colOff>
          <xdr:row>8</xdr:row>
          <xdr:rowOff>57150</xdr:rowOff>
        </xdr:from>
        <xdr:to>
          <xdr:col>5</xdr:col>
          <xdr:colOff>1676400</xdr:colOff>
          <xdr:row>8</xdr:row>
          <xdr:rowOff>247650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1123950</xdr:colOff>
          <xdr:row>9</xdr:row>
          <xdr:rowOff>85725</xdr:rowOff>
        </xdr:from>
        <xdr:to>
          <xdr:col>5</xdr:col>
          <xdr:colOff>1857375</xdr:colOff>
          <xdr:row>9</xdr:row>
          <xdr:rowOff>276225</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914400</xdr:colOff>
          <xdr:row>19</xdr:row>
          <xdr:rowOff>19050</xdr:rowOff>
        </xdr:from>
        <xdr:to>
          <xdr:col>5</xdr:col>
          <xdr:colOff>2219325</xdr:colOff>
          <xdr:row>19</xdr:row>
          <xdr:rowOff>419100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2.vml"/><Relationship Id="rId21" Type="http://schemas.openxmlformats.org/officeDocument/2006/relationships/image" Target="../media/image9.wmf"/><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10" Type="http://schemas.openxmlformats.org/officeDocument/2006/relationships/oleObject" Target="../embeddings/oleObject4.bin"/><Relationship Id="rId19" Type="http://schemas.openxmlformats.org/officeDocument/2006/relationships/image" Target="../media/image8.wmf"/><Relationship Id="rId31" Type="http://schemas.openxmlformats.org/officeDocument/2006/relationships/image" Target="../media/image14.e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5"/>
  <sheetViews>
    <sheetView tabSelected="1" workbookViewId="0"/>
  </sheetViews>
  <sheetFormatPr defaultRowHeight="12.75"/>
  <cols>
    <col min="1" max="1" width="92.5703125" style="43" customWidth="1"/>
  </cols>
  <sheetData>
    <row r="1" spans="1:1" ht="15.75">
      <c r="A1" s="132" t="s">
        <v>165</v>
      </c>
    </row>
    <row r="2" spans="1:1">
      <c r="A2" s="133" t="s">
        <v>166</v>
      </c>
    </row>
    <row r="3" spans="1:1" ht="30">
      <c r="A3" s="134" t="s">
        <v>189</v>
      </c>
    </row>
    <row r="4" spans="1:1">
      <c r="A4" s="135" t="s">
        <v>167</v>
      </c>
    </row>
    <row r="5" spans="1:1">
      <c r="A5" s="135"/>
    </row>
    <row r="6" spans="1:1" ht="15.75">
      <c r="A6" s="136" t="s">
        <v>168</v>
      </c>
    </row>
    <row r="7" spans="1:1" ht="38.25">
      <c r="A7" s="137" t="s">
        <v>169</v>
      </c>
    </row>
    <row r="8" spans="1:1" ht="63.75">
      <c r="A8" s="137" t="s">
        <v>170</v>
      </c>
    </row>
    <row r="9" spans="1:1" ht="38.25">
      <c r="A9" s="137" t="s">
        <v>171</v>
      </c>
    </row>
    <row r="10" spans="1:1" ht="76.5">
      <c r="A10" s="137" t="s">
        <v>172</v>
      </c>
    </row>
    <row r="11" spans="1:1">
      <c r="A11" s="138" t="s">
        <v>173</v>
      </c>
    </row>
    <row r="12" spans="1:1" ht="25.5">
      <c r="A12" s="137" t="s">
        <v>174</v>
      </c>
    </row>
    <row r="13" spans="1:1">
      <c r="A13" s="138" t="s">
        <v>175</v>
      </c>
    </row>
    <row r="14" spans="1:1" ht="38.25">
      <c r="A14" s="137" t="s">
        <v>176</v>
      </c>
    </row>
    <row r="15" spans="1:1" ht="38.25">
      <c r="A15" s="137" t="s">
        <v>177</v>
      </c>
    </row>
    <row r="16" spans="1:1" ht="25.5">
      <c r="A16" s="137" t="s">
        <v>178</v>
      </c>
    </row>
    <row r="17" spans="1:1">
      <c r="A17" s="138" t="s">
        <v>179</v>
      </c>
    </row>
    <row r="18" spans="1:1">
      <c r="A18" s="137" t="s">
        <v>180</v>
      </c>
    </row>
    <row r="19" spans="1:1" ht="38.25">
      <c r="A19" s="137" t="s">
        <v>181</v>
      </c>
    </row>
    <row r="20" spans="1:1">
      <c r="A20" s="139"/>
    </row>
    <row r="21" spans="1:1">
      <c r="A21" s="140"/>
    </row>
    <row r="22" spans="1:1">
      <c r="A22" s="141" t="s">
        <v>182</v>
      </c>
    </row>
    <row r="23" spans="1:1">
      <c r="A23" s="142" t="s">
        <v>218</v>
      </c>
    </row>
    <row r="24" spans="1:1">
      <c r="A24" s="142" t="s">
        <v>219</v>
      </c>
    </row>
    <row r="25" spans="1:1">
      <c r="A25" s="142" t="s">
        <v>183</v>
      </c>
    </row>
    <row r="26" spans="1:1">
      <c r="A26" s="143" t="s">
        <v>184</v>
      </c>
    </row>
    <row r="27" spans="1:1">
      <c r="A27" s="143" t="s">
        <v>185</v>
      </c>
    </row>
    <row r="28" spans="1:1">
      <c r="A28" s="143" t="s">
        <v>186</v>
      </c>
    </row>
    <row r="29" spans="1:1">
      <c r="A29" s="144"/>
    </row>
    <row r="30" spans="1:1" ht="168">
      <c r="A30" s="145" t="s">
        <v>187</v>
      </c>
    </row>
    <row r="31" spans="1:1" ht="76.5">
      <c r="A31" s="145" t="s">
        <v>188</v>
      </c>
    </row>
    <row r="32" spans="1:1" ht="38.25">
      <c r="A32" s="146" t="s">
        <v>24</v>
      </c>
    </row>
    <row r="33" spans="1:1" ht="51">
      <c r="A33" s="146" t="s">
        <v>25</v>
      </c>
    </row>
    <row r="34" spans="1:1" ht="38.25">
      <c r="A34" s="146" t="s">
        <v>26</v>
      </c>
    </row>
    <row r="35" spans="1:1">
      <c r="A35" s="147"/>
    </row>
  </sheetData>
  <sheetProtection password="CEF2"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65"/>
  <sheetViews>
    <sheetView topLeftCell="A22" workbookViewId="0">
      <selection activeCell="E40" sqref="E40"/>
    </sheetView>
  </sheetViews>
  <sheetFormatPr defaultRowHeight="12.75"/>
  <cols>
    <col min="1" max="1" width="43.42578125" style="3" customWidth="1"/>
    <col min="2" max="2" width="12.7109375" style="1" customWidth="1"/>
    <col min="3" max="3" width="13.28515625" style="39" customWidth="1"/>
    <col min="4" max="4" width="11.5703125" style="1" customWidth="1"/>
    <col min="5" max="5" width="12.42578125" style="1" customWidth="1"/>
    <col min="6" max="6" width="12.28515625" style="1" customWidth="1"/>
    <col min="7" max="7" width="21.5703125" style="1" customWidth="1"/>
    <col min="8" max="8" width="15.5703125" style="1" customWidth="1"/>
    <col min="9" max="9" width="39.28515625" style="1" customWidth="1"/>
    <col min="10" max="16384" width="9.140625" style="1"/>
  </cols>
  <sheetData>
    <row r="1" spans="1:10" ht="76.5" customHeight="1" thickBot="1">
      <c r="A1" s="189" t="s">
        <v>22</v>
      </c>
      <c r="B1" s="190"/>
      <c r="C1" s="190"/>
      <c r="D1" s="190"/>
      <c r="E1" s="190"/>
      <c r="F1" s="190"/>
      <c r="G1" s="190"/>
      <c r="H1" s="190"/>
      <c r="I1" s="191"/>
    </row>
    <row r="2" spans="1:10">
      <c r="A2" s="1"/>
    </row>
    <row r="4" spans="1:10" ht="27" customHeight="1">
      <c r="A4" s="108" t="s">
        <v>2</v>
      </c>
      <c r="B4" s="108" t="s">
        <v>6</v>
      </c>
      <c r="C4" s="108" t="s">
        <v>27</v>
      </c>
      <c r="D4" s="108" t="s">
        <v>0</v>
      </c>
      <c r="E4" s="108" t="s">
        <v>3</v>
      </c>
      <c r="F4" s="108" t="s">
        <v>11</v>
      </c>
      <c r="G4" s="108" t="s">
        <v>1</v>
      </c>
      <c r="H4" s="108" t="s">
        <v>12</v>
      </c>
      <c r="I4" s="108" t="s">
        <v>5</v>
      </c>
    </row>
    <row r="5" spans="1:10" s="122" customFormat="1" ht="13.5" customHeight="1">
      <c r="A5" s="192" t="s">
        <v>28</v>
      </c>
      <c r="B5" s="193"/>
      <c r="C5" s="193"/>
      <c r="D5" s="193"/>
      <c r="E5" s="193"/>
      <c r="F5" s="193"/>
      <c r="G5" s="193"/>
      <c r="H5" s="194"/>
      <c r="I5" s="121"/>
    </row>
    <row r="6" spans="1:10">
      <c r="A6" s="69" t="s">
        <v>2</v>
      </c>
      <c r="B6" s="70" t="s">
        <v>6</v>
      </c>
      <c r="C6" s="70" t="s">
        <v>27</v>
      </c>
      <c r="D6" s="70" t="s">
        <v>0</v>
      </c>
      <c r="E6" s="71" t="s">
        <v>3</v>
      </c>
      <c r="F6" s="70" t="s">
        <v>11</v>
      </c>
      <c r="G6" s="70" t="s">
        <v>1</v>
      </c>
      <c r="H6" s="71" t="s">
        <v>12</v>
      </c>
      <c r="I6" s="41"/>
      <c r="J6" s="5"/>
    </row>
    <row r="7" spans="1:10" ht="13.5">
      <c r="A7" s="58" t="s">
        <v>29</v>
      </c>
      <c r="B7" s="59" t="s">
        <v>30</v>
      </c>
      <c r="C7" s="60" t="s">
        <v>149</v>
      </c>
      <c r="D7" s="57" t="s">
        <v>31</v>
      </c>
      <c r="E7" s="72">
        <v>100</v>
      </c>
      <c r="F7" s="57" t="s">
        <v>32</v>
      </c>
      <c r="G7" s="57"/>
      <c r="H7" s="61" t="s">
        <v>33</v>
      </c>
      <c r="I7" s="41"/>
      <c r="J7" s="6"/>
    </row>
    <row r="8" spans="1:10" s="39" customFormat="1" ht="13.5">
      <c r="A8" s="58" t="s">
        <v>145</v>
      </c>
      <c r="B8" s="59" t="s">
        <v>146</v>
      </c>
      <c r="C8" s="60" t="s">
        <v>148</v>
      </c>
      <c r="D8" s="57" t="s">
        <v>31</v>
      </c>
      <c r="E8" s="72">
        <v>100</v>
      </c>
      <c r="F8" s="57"/>
      <c r="G8" s="57"/>
      <c r="H8" s="61"/>
      <c r="I8" s="41"/>
      <c r="J8" s="6"/>
    </row>
    <row r="9" spans="1:10" s="39" customFormat="1" ht="13.5">
      <c r="A9" s="58" t="s">
        <v>151</v>
      </c>
      <c r="B9" s="59" t="s">
        <v>147</v>
      </c>
      <c r="C9" s="60" t="s">
        <v>150</v>
      </c>
      <c r="D9" s="57" t="s">
        <v>31</v>
      </c>
      <c r="E9" s="72">
        <v>100</v>
      </c>
      <c r="F9" s="57"/>
      <c r="G9" s="57"/>
      <c r="H9" s="61"/>
      <c r="I9" s="41"/>
      <c r="J9" s="6"/>
    </row>
    <row r="10" spans="1:10" s="39" customFormat="1">
      <c r="A10" s="58" t="s">
        <v>34</v>
      </c>
      <c r="B10" s="59" t="s">
        <v>35</v>
      </c>
      <c r="C10" s="60" t="s">
        <v>36</v>
      </c>
      <c r="D10" s="57" t="s">
        <v>37</v>
      </c>
      <c r="E10" s="72">
        <v>40</v>
      </c>
      <c r="F10" s="57" t="s">
        <v>32</v>
      </c>
      <c r="G10" s="57"/>
      <c r="H10" s="61" t="s">
        <v>33</v>
      </c>
      <c r="I10" s="41"/>
      <c r="J10" s="6"/>
    </row>
    <row r="11" spans="1:10" s="39" customFormat="1">
      <c r="A11" s="58" t="s">
        <v>156</v>
      </c>
      <c r="B11" s="59" t="s">
        <v>155</v>
      </c>
      <c r="C11" s="60" t="s">
        <v>158</v>
      </c>
      <c r="D11" s="57" t="s">
        <v>37</v>
      </c>
      <c r="E11" s="72">
        <v>40</v>
      </c>
      <c r="F11" s="57" t="s">
        <v>32</v>
      </c>
      <c r="G11" s="57"/>
      <c r="H11" s="61" t="s">
        <v>33</v>
      </c>
      <c r="I11" s="41"/>
      <c r="J11" s="6"/>
    </row>
    <row r="12" spans="1:10" s="39" customFormat="1">
      <c r="A12" s="58" t="s">
        <v>152</v>
      </c>
      <c r="B12" s="59" t="s">
        <v>153</v>
      </c>
      <c r="C12" s="60" t="s">
        <v>154</v>
      </c>
      <c r="D12" s="57" t="s">
        <v>37</v>
      </c>
      <c r="E12" s="72">
        <v>10</v>
      </c>
      <c r="F12" s="57" t="s">
        <v>32</v>
      </c>
      <c r="G12" s="57"/>
      <c r="H12" s="61" t="s">
        <v>33</v>
      </c>
      <c r="I12" s="41"/>
      <c r="J12" s="6"/>
    </row>
    <row r="13" spans="1:10" ht="13.5">
      <c r="A13" s="44" t="s">
        <v>215</v>
      </c>
      <c r="B13" s="126" t="s">
        <v>120</v>
      </c>
      <c r="C13" s="16" t="s">
        <v>121</v>
      </c>
      <c r="D13" s="57" t="s">
        <v>122</v>
      </c>
      <c r="E13" s="112">
        <v>250</v>
      </c>
      <c r="F13" s="57" t="s">
        <v>32</v>
      </c>
      <c r="G13" s="18"/>
      <c r="H13" s="80" t="s">
        <v>33</v>
      </c>
      <c r="I13" s="41"/>
      <c r="J13" s="6"/>
    </row>
    <row r="14" spans="1:10" ht="25.5" customHeight="1">
      <c r="A14" s="78" t="s">
        <v>214</v>
      </c>
      <c r="B14" s="79" t="s">
        <v>131</v>
      </c>
      <c r="C14" s="8" t="s">
        <v>134</v>
      </c>
      <c r="D14" s="46" t="s">
        <v>213</v>
      </c>
      <c r="E14" s="120">
        <v>3</v>
      </c>
      <c r="F14" s="46" t="s">
        <v>132</v>
      </c>
      <c r="G14" s="46" t="s">
        <v>133</v>
      </c>
      <c r="H14" s="46" t="s">
        <v>33</v>
      </c>
      <c r="I14" s="41"/>
      <c r="J14" s="6"/>
    </row>
    <row r="15" spans="1:10" s="122" customFormat="1">
      <c r="A15" s="192" t="s">
        <v>38</v>
      </c>
      <c r="B15" s="193"/>
      <c r="C15" s="193"/>
      <c r="D15" s="193"/>
      <c r="E15" s="193"/>
      <c r="F15" s="193"/>
      <c r="G15" s="193"/>
      <c r="H15" s="194"/>
      <c r="I15" s="121"/>
    </row>
    <row r="16" spans="1:10" ht="15" customHeight="1">
      <c r="A16" s="69" t="s">
        <v>2</v>
      </c>
      <c r="B16" s="70" t="s">
        <v>6</v>
      </c>
      <c r="C16" s="70" t="s">
        <v>27</v>
      </c>
      <c r="D16" s="70" t="s">
        <v>0</v>
      </c>
      <c r="E16" s="71" t="s">
        <v>3</v>
      </c>
      <c r="F16" s="70" t="s">
        <v>11</v>
      </c>
      <c r="G16" s="70" t="s">
        <v>1</v>
      </c>
      <c r="H16" s="71" t="s">
        <v>12</v>
      </c>
      <c r="I16" s="41"/>
    </row>
    <row r="17" spans="1:9" ht="25.5" customHeight="1">
      <c r="A17" s="110" t="s">
        <v>39</v>
      </c>
      <c r="B17" s="111" t="s">
        <v>40</v>
      </c>
      <c r="C17" s="60" t="s">
        <v>41</v>
      </c>
      <c r="D17" s="57" t="s">
        <v>7</v>
      </c>
      <c r="E17" s="72">
        <v>19</v>
      </c>
      <c r="F17" s="57" t="s">
        <v>42</v>
      </c>
      <c r="G17" s="57"/>
      <c r="H17" s="61" t="s">
        <v>13</v>
      </c>
      <c r="I17" s="41"/>
    </row>
    <row r="18" spans="1:9" ht="27" customHeight="1">
      <c r="A18" s="110" t="s">
        <v>43</v>
      </c>
      <c r="B18" s="111" t="s">
        <v>44</v>
      </c>
      <c r="C18" s="60" t="s">
        <v>45</v>
      </c>
      <c r="D18" s="57" t="s">
        <v>7</v>
      </c>
      <c r="E18" s="72">
        <v>8</v>
      </c>
      <c r="F18" s="57" t="s">
        <v>42</v>
      </c>
      <c r="G18" s="57"/>
      <c r="H18" s="61" t="s">
        <v>13</v>
      </c>
      <c r="I18" s="41"/>
    </row>
    <row r="19" spans="1:9" ht="28.5" customHeight="1">
      <c r="A19" s="110" t="s">
        <v>216</v>
      </c>
      <c r="B19" s="111" t="s">
        <v>46</v>
      </c>
      <c r="C19" s="60" t="s">
        <v>47</v>
      </c>
      <c r="D19" s="57" t="s">
        <v>7</v>
      </c>
      <c r="E19" s="72">
        <v>15</v>
      </c>
      <c r="F19" s="57" t="s">
        <v>42</v>
      </c>
      <c r="G19" s="57"/>
      <c r="H19" s="61" t="s">
        <v>13</v>
      </c>
      <c r="I19" s="41"/>
    </row>
    <row r="20" spans="1:9" ht="18" customHeight="1">
      <c r="A20" s="58" t="s">
        <v>48</v>
      </c>
      <c r="B20" s="111" t="s">
        <v>49</v>
      </c>
      <c r="C20" s="60" t="s">
        <v>50</v>
      </c>
      <c r="D20" s="57" t="s">
        <v>7</v>
      </c>
      <c r="E20" s="72">
        <v>5</v>
      </c>
      <c r="F20" s="57" t="s">
        <v>15</v>
      </c>
      <c r="G20" s="57"/>
      <c r="H20" s="61" t="s">
        <v>13</v>
      </c>
      <c r="I20" s="41"/>
    </row>
    <row r="21" spans="1:9">
      <c r="A21" s="109"/>
      <c r="B21" s="18"/>
      <c r="C21" s="18"/>
      <c r="D21" s="18"/>
      <c r="E21" s="18"/>
      <c r="F21" s="18"/>
      <c r="G21" s="18"/>
      <c r="H21" s="18"/>
      <c r="I21" s="41"/>
    </row>
    <row r="22" spans="1:9" s="122" customFormat="1">
      <c r="A22" s="123" t="s">
        <v>157</v>
      </c>
      <c r="B22" s="124"/>
      <c r="C22" s="124"/>
      <c r="D22" s="124"/>
      <c r="E22" s="124"/>
      <c r="F22" s="124"/>
      <c r="G22" s="124"/>
      <c r="H22" s="124"/>
      <c r="I22" s="125"/>
    </row>
    <row r="23" spans="1:9">
      <c r="A23" s="69" t="s">
        <v>2</v>
      </c>
      <c r="B23" s="70" t="s">
        <v>6</v>
      </c>
      <c r="C23" s="70" t="s">
        <v>27</v>
      </c>
      <c r="D23" s="70" t="s">
        <v>0</v>
      </c>
      <c r="E23" s="71" t="s">
        <v>3</v>
      </c>
      <c r="F23" s="70" t="s">
        <v>11</v>
      </c>
      <c r="G23" s="70" t="s">
        <v>1</v>
      </c>
      <c r="H23" s="71" t="s">
        <v>12</v>
      </c>
      <c r="I23" s="4"/>
    </row>
    <row r="24" spans="1:9" s="39" customFormat="1" ht="45">
      <c r="A24" s="58" t="s">
        <v>51</v>
      </c>
      <c r="B24" s="59" t="s">
        <v>52</v>
      </c>
      <c r="C24" s="60" t="s">
        <v>53</v>
      </c>
      <c r="D24" s="57" t="s">
        <v>54</v>
      </c>
      <c r="E24" s="72">
        <v>0.15</v>
      </c>
      <c r="F24" s="57" t="s">
        <v>55</v>
      </c>
      <c r="G24" s="74" t="s">
        <v>88</v>
      </c>
      <c r="H24" s="61" t="s">
        <v>33</v>
      </c>
      <c r="I24" s="4"/>
    </row>
    <row r="25" spans="1:9" s="39" customFormat="1" ht="56.25">
      <c r="A25" s="129" t="s">
        <v>90</v>
      </c>
      <c r="B25" s="9" t="s">
        <v>91</v>
      </c>
      <c r="C25" s="128" t="s">
        <v>56</v>
      </c>
      <c r="D25" s="127" t="s">
        <v>57</v>
      </c>
      <c r="E25" s="72">
        <v>0.16</v>
      </c>
      <c r="F25" s="129" t="s">
        <v>58</v>
      </c>
      <c r="G25" s="130" t="s">
        <v>88</v>
      </c>
      <c r="H25" s="61"/>
      <c r="I25" s="4"/>
    </row>
    <row r="26" spans="1:9" s="39" customFormat="1" ht="56.25">
      <c r="A26" s="129" t="s">
        <v>163</v>
      </c>
      <c r="B26" s="9" t="s">
        <v>159</v>
      </c>
      <c r="C26" s="128" t="s">
        <v>161</v>
      </c>
      <c r="D26" s="127" t="s">
        <v>57</v>
      </c>
      <c r="E26" s="72">
        <v>0.06</v>
      </c>
      <c r="F26" s="129" t="s">
        <v>58</v>
      </c>
      <c r="G26" s="130" t="s">
        <v>88</v>
      </c>
      <c r="H26" s="131" t="s">
        <v>33</v>
      </c>
      <c r="I26" s="4"/>
    </row>
    <row r="27" spans="1:9" ht="48.75" customHeight="1">
      <c r="A27" s="129" t="s">
        <v>164</v>
      </c>
      <c r="B27" s="9" t="s">
        <v>160</v>
      </c>
      <c r="C27" s="128" t="s">
        <v>162</v>
      </c>
      <c r="D27" s="127" t="s">
        <v>57</v>
      </c>
      <c r="E27" s="72">
        <v>0.09</v>
      </c>
      <c r="F27" s="129" t="s">
        <v>58</v>
      </c>
      <c r="G27" s="130" t="s">
        <v>88</v>
      </c>
      <c r="I27" s="4"/>
    </row>
    <row r="28" spans="1:9">
      <c r="A28" s="64" t="s">
        <v>59</v>
      </c>
      <c r="B28" s="65" t="s">
        <v>60</v>
      </c>
      <c r="C28" s="66" t="s">
        <v>61</v>
      </c>
      <c r="D28" s="67" t="s">
        <v>62</v>
      </c>
      <c r="E28" s="68"/>
      <c r="F28" s="67" t="s">
        <v>63</v>
      </c>
      <c r="G28" s="67" t="s">
        <v>64</v>
      </c>
      <c r="H28" s="68" t="s">
        <v>33</v>
      </c>
      <c r="I28" s="4"/>
    </row>
    <row r="29" spans="1:9" s="39" customFormat="1">
      <c r="A29" s="58" t="s">
        <v>65</v>
      </c>
      <c r="B29" s="59" t="s">
        <v>66</v>
      </c>
      <c r="C29" s="60" t="s">
        <v>67</v>
      </c>
      <c r="D29" s="57" t="s">
        <v>62</v>
      </c>
      <c r="E29" s="72">
        <v>20</v>
      </c>
      <c r="F29" s="57" t="s">
        <v>63</v>
      </c>
      <c r="G29" s="57" t="s">
        <v>64</v>
      </c>
      <c r="H29" s="61" t="s">
        <v>33</v>
      </c>
      <c r="I29" s="4"/>
    </row>
    <row r="30" spans="1:9" ht="38.25">
      <c r="A30" s="81" t="s">
        <v>105</v>
      </c>
      <c r="B30" s="102" t="s">
        <v>109</v>
      </c>
      <c r="C30" s="100" t="s">
        <v>110</v>
      </c>
      <c r="D30" s="103" t="s">
        <v>62</v>
      </c>
      <c r="E30" s="101">
        <v>5</v>
      </c>
      <c r="F30" s="103" t="s">
        <v>63</v>
      </c>
      <c r="G30" s="57" t="s">
        <v>64</v>
      </c>
      <c r="H30" s="61" t="s">
        <v>33</v>
      </c>
      <c r="I30" s="105" t="s">
        <v>115</v>
      </c>
    </row>
    <row r="31" spans="1:9" s="39" customFormat="1" ht="25.5">
      <c r="A31" s="78" t="s">
        <v>126</v>
      </c>
      <c r="B31" s="102" t="s">
        <v>128</v>
      </c>
      <c r="C31" s="77" t="s">
        <v>129</v>
      </c>
      <c r="D31" s="103" t="s">
        <v>62</v>
      </c>
      <c r="E31" s="104">
        <v>6</v>
      </c>
      <c r="F31" s="103" t="s">
        <v>63</v>
      </c>
      <c r="G31" s="57" t="s">
        <v>64</v>
      </c>
      <c r="H31" s="61" t="s">
        <v>33</v>
      </c>
      <c r="I31" s="4" t="s">
        <v>115</v>
      </c>
    </row>
    <row r="32" spans="1:9" s="39" customFormat="1" ht="25.5">
      <c r="A32" s="78" t="s">
        <v>114</v>
      </c>
      <c r="B32" s="102" t="s">
        <v>127</v>
      </c>
      <c r="C32" s="77" t="s">
        <v>130</v>
      </c>
      <c r="D32" s="103" t="s">
        <v>62</v>
      </c>
      <c r="E32" s="104">
        <v>7</v>
      </c>
      <c r="F32" s="103" t="s">
        <v>63</v>
      </c>
      <c r="G32" s="57" t="s">
        <v>64</v>
      </c>
      <c r="H32" s="61" t="s">
        <v>33</v>
      </c>
      <c r="I32" s="4" t="s">
        <v>115</v>
      </c>
    </row>
    <row r="33" spans="1:9" ht="13.5">
      <c r="A33" s="58" t="s">
        <v>68</v>
      </c>
      <c r="B33" s="59" t="s">
        <v>69</v>
      </c>
      <c r="C33" s="60" t="s">
        <v>69</v>
      </c>
      <c r="D33" s="57" t="s">
        <v>70</v>
      </c>
      <c r="E33" s="72">
        <v>4</v>
      </c>
      <c r="F33" s="57" t="s">
        <v>63</v>
      </c>
      <c r="G33" s="57"/>
      <c r="H33" s="61" t="s">
        <v>33</v>
      </c>
      <c r="I33" s="4"/>
    </row>
    <row r="34" spans="1:9" ht="24">
      <c r="A34" s="110" t="s">
        <v>71</v>
      </c>
      <c r="B34" s="59" t="s">
        <v>72</v>
      </c>
      <c r="C34" s="60" t="s">
        <v>73</v>
      </c>
      <c r="D34" s="57" t="s">
        <v>74</v>
      </c>
      <c r="E34" s="72">
        <v>100</v>
      </c>
      <c r="F34" s="57" t="s">
        <v>63</v>
      </c>
      <c r="G34" s="57"/>
      <c r="H34" s="61" t="s">
        <v>33</v>
      </c>
      <c r="I34" s="4"/>
    </row>
    <row r="35" spans="1:9" ht="45">
      <c r="A35" s="75" t="s">
        <v>85</v>
      </c>
      <c r="B35" s="9" t="s">
        <v>86</v>
      </c>
      <c r="C35" s="62" t="s">
        <v>87</v>
      </c>
      <c r="D35" s="63" t="s">
        <v>62</v>
      </c>
      <c r="E35" s="76">
        <v>0</v>
      </c>
      <c r="F35" s="57" t="s">
        <v>63</v>
      </c>
      <c r="G35" s="73" t="s">
        <v>89</v>
      </c>
      <c r="H35" s="18"/>
      <c r="I35" s="4"/>
    </row>
    <row r="36" spans="1:9">
      <c r="B36"/>
      <c r="D36"/>
      <c r="E36"/>
      <c r="F36"/>
      <c r="G36"/>
      <c r="H36"/>
      <c r="I36" s="2"/>
    </row>
    <row r="37" spans="1:9">
      <c r="A37" s="47" t="s">
        <v>75</v>
      </c>
      <c r="B37"/>
      <c r="C37"/>
      <c r="D37"/>
      <c r="E37"/>
      <c r="F37"/>
      <c r="G37"/>
      <c r="H37"/>
      <c r="I37" s="2"/>
    </row>
    <row r="38" spans="1:9">
      <c r="A38" s="93" t="s">
        <v>2</v>
      </c>
      <c r="B38" s="94" t="s">
        <v>6</v>
      </c>
      <c r="C38" s="94" t="s">
        <v>27</v>
      </c>
      <c r="D38" s="94" t="s">
        <v>0</v>
      </c>
      <c r="E38" s="95" t="s">
        <v>3</v>
      </c>
      <c r="F38" s="94" t="s">
        <v>11</v>
      </c>
      <c r="G38" s="94" t="s">
        <v>1</v>
      </c>
      <c r="H38" s="95" t="s">
        <v>12</v>
      </c>
      <c r="I38" s="4"/>
    </row>
    <row r="39" spans="1:9" ht="13.5">
      <c r="A39" s="96" t="s">
        <v>76</v>
      </c>
      <c r="B39" s="97" t="s">
        <v>77</v>
      </c>
      <c r="C39" s="62" t="s">
        <v>78</v>
      </c>
      <c r="D39" s="63" t="s">
        <v>79</v>
      </c>
      <c r="E39" s="72">
        <v>1.2</v>
      </c>
      <c r="F39" s="63"/>
      <c r="G39" s="63" t="s">
        <v>133</v>
      </c>
      <c r="H39" s="98" t="s">
        <v>33</v>
      </c>
      <c r="I39" s="4"/>
    </row>
    <row r="40" spans="1:9">
      <c r="A40" s="96" t="s">
        <v>80</v>
      </c>
      <c r="B40" s="99" t="s">
        <v>81</v>
      </c>
      <c r="C40" s="62" t="s">
        <v>82</v>
      </c>
      <c r="D40" s="63" t="s">
        <v>217</v>
      </c>
      <c r="E40" s="169">
        <v>1</v>
      </c>
      <c r="F40" s="63"/>
      <c r="G40" s="63" t="s">
        <v>133</v>
      </c>
      <c r="H40" s="98" t="s">
        <v>33</v>
      </c>
      <c r="I40" s="4"/>
    </row>
    <row r="41" spans="1:9">
      <c r="A41" s="82"/>
      <c r="B41" s="50"/>
      <c r="C41" s="50"/>
      <c r="D41" s="91"/>
      <c r="E41" s="52"/>
      <c r="F41" s="51"/>
      <c r="G41" s="51"/>
      <c r="H41" s="51"/>
      <c r="I41" s="4"/>
    </row>
    <row r="42" spans="1:9">
      <c r="A42" s="82"/>
      <c r="B42" s="50"/>
      <c r="C42" s="50"/>
      <c r="D42" s="91"/>
      <c r="E42" s="52"/>
      <c r="F42" s="52"/>
      <c r="G42" s="52"/>
      <c r="H42" s="52"/>
      <c r="I42" s="4"/>
    </row>
    <row r="43" spans="1:9">
      <c r="A43" s="82"/>
      <c r="B43" s="50"/>
      <c r="C43" s="50"/>
      <c r="D43" s="51"/>
      <c r="E43" s="52"/>
      <c r="F43" s="51"/>
      <c r="G43" s="51"/>
      <c r="H43" s="51"/>
      <c r="I43" s="4"/>
    </row>
    <row r="44" spans="1:9">
      <c r="A44" s="82"/>
      <c r="B44" s="50"/>
      <c r="C44" s="50"/>
      <c r="D44" s="51"/>
      <c r="E44" s="52"/>
      <c r="F44" s="51"/>
      <c r="G44" s="51"/>
      <c r="H44" s="51"/>
      <c r="I44" s="4"/>
    </row>
    <row r="45" spans="1:9">
      <c r="A45" s="82"/>
      <c r="B45" s="83"/>
      <c r="C45" s="83"/>
      <c r="D45" s="51"/>
      <c r="E45" s="52"/>
      <c r="F45" s="51"/>
      <c r="G45" s="51"/>
      <c r="H45" s="51"/>
      <c r="I45" s="4"/>
    </row>
    <row r="46" spans="1:9">
      <c r="A46" s="82"/>
      <c r="B46" s="50"/>
      <c r="C46" s="50"/>
      <c r="D46" s="91"/>
      <c r="E46" s="52"/>
      <c r="F46" s="52"/>
      <c r="G46" s="51"/>
      <c r="H46" s="52"/>
      <c r="I46" s="4"/>
    </row>
    <row r="47" spans="1:9">
      <c r="A47" s="84"/>
      <c r="B47" s="83"/>
      <c r="C47" s="83"/>
      <c r="D47" s="91"/>
      <c r="E47" s="52"/>
      <c r="F47" s="51"/>
      <c r="G47" s="51"/>
      <c r="H47" s="51"/>
      <c r="I47" s="4"/>
    </row>
    <row r="48" spans="1:9">
      <c r="A48" s="84"/>
      <c r="B48" s="83"/>
      <c r="C48" s="83"/>
      <c r="D48" s="91"/>
      <c r="E48" s="52"/>
      <c r="F48" s="51"/>
      <c r="G48" s="51"/>
      <c r="H48" s="51"/>
      <c r="I48" s="4"/>
    </row>
    <row r="49" spans="1:9">
      <c r="A49" s="85"/>
      <c r="B49" s="50"/>
      <c r="C49" s="50"/>
      <c r="D49" s="91"/>
      <c r="E49" s="52"/>
      <c r="F49" s="52"/>
      <c r="G49" s="52"/>
      <c r="H49" s="52"/>
      <c r="I49" s="4"/>
    </row>
    <row r="50" spans="1:9" ht="15">
      <c r="A50" s="86"/>
      <c r="B50" s="52"/>
      <c r="C50" s="53"/>
      <c r="D50" s="52"/>
      <c r="E50" s="52"/>
      <c r="F50" s="52"/>
      <c r="G50" s="52"/>
      <c r="H50" s="52"/>
      <c r="I50" s="4"/>
    </row>
    <row r="51" spans="1:9">
      <c r="A51" s="87"/>
      <c r="B51" s="50"/>
      <c r="C51" s="50"/>
      <c r="D51" s="51"/>
      <c r="E51" s="52"/>
      <c r="F51" s="52"/>
      <c r="G51" s="52"/>
      <c r="H51" s="52"/>
      <c r="I51" s="4"/>
    </row>
    <row r="52" spans="1:9">
      <c r="A52" s="88"/>
      <c r="B52" s="54"/>
      <c r="C52" s="50"/>
      <c r="D52" s="51"/>
      <c r="E52" s="52"/>
      <c r="F52" s="91"/>
      <c r="G52" s="51"/>
      <c r="H52" s="51"/>
      <c r="I52" s="4"/>
    </row>
    <row r="53" spans="1:9">
      <c r="A53" s="89"/>
      <c r="B53" s="83"/>
      <c r="C53" s="83"/>
      <c r="D53" s="91"/>
      <c r="E53" s="52"/>
      <c r="F53" s="51"/>
      <c r="G53" s="51"/>
      <c r="H53" s="51"/>
      <c r="I53" s="4"/>
    </row>
    <row r="54" spans="1:9">
      <c r="A54" s="90"/>
      <c r="B54" s="83"/>
      <c r="C54" s="83"/>
      <c r="D54" s="91"/>
      <c r="E54" s="52"/>
      <c r="F54" s="51"/>
      <c r="G54" s="51"/>
      <c r="H54" s="51"/>
      <c r="I54" s="4"/>
    </row>
    <row r="55" spans="1:9">
      <c r="A55" s="92"/>
      <c r="B55" s="50"/>
      <c r="C55" s="50"/>
      <c r="D55" s="51"/>
      <c r="E55" s="52"/>
      <c r="F55" s="52"/>
      <c r="G55" s="52"/>
      <c r="H55" s="52"/>
      <c r="I55" s="2"/>
    </row>
    <row r="56" spans="1:9">
      <c r="A56" s="87"/>
      <c r="B56" s="50"/>
      <c r="C56" s="50"/>
      <c r="D56" s="51"/>
      <c r="E56" s="52"/>
      <c r="F56" s="52"/>
      <c r="G56" s="52"/>
      <c r="H56" s="52"/>
      <c r="I56" s="2"/>
    </row>
    <row r="57" spans="1:9">
      <c r="A57" s="38"/>
      <c r="B57" s="8"/>
      <c r="C57" s="8"/>
      <c r="D57" s="7"/>
      <c r="E57" s="2"/>
      <c r="F57" s="2"/>
      <c r="G57" s="2"/>
      <c r="H57" s="2"/>
      <c r="I57" s="2"/>
    </row>
    <row r="58" spans="1:9">
      <c r="A58" s="38"/>
      <c r="B58" s="8"/>
      <c r="C58" s="8"/>
      <c r="D58" s="7"/>
      <c r="E58" s="2"/>
      <c r="F58" s="2"/>
      <c r="G58" s="2"/>
      <c r="H58" s="2"/>
      <c r="I58" s="2"/>
    </row>
    <row r="59" spans="1:9" s="39" customFormat="1">
      <c r="A59" s="37"/>
      <c r="B59" s="8"/>
      <c r="C59" s="8"/>
      <c r="D59" s="40"/>
      <c r="E59" s="41"/>
      <c r="F59" s="41"/>
      <c r="G59" s="41"/>
      <c r="H59" s="41"/>
      <c r="I59" s="41"/>
    </row>
    <row r="60" spans="1:9" s="39" customFormat="1">
      <c r="A60" s="38"/>
      <c r="B60" s="8"/>
      <c r="C60" s="8"/>
      <c r="D60" s="40"/>
      <c r="E60" s="41"/>
      <c r="F60" s="41"/>
      <c r="G60" s="41"/>
      <c r="H60" s="41"/>
      <c r="I60" s="41"/>
    </row>
    <row r="61" spans="1:9">
      <c r="A61" s="33"/>
      <c r="B61" s="8"/>
      <c r="C61" s="8"/>
      <c r="D61" s="7"/>
      <c r="E61" s="2"/>
      <c r="F61" s="2"/>
      <c r="G61" s="2"/>
      <c r="H61" s="2"/>
      <c r="I61" s="2"/>
    </row>
    <row r="62" spans="1:9">
      <c r="A62" s="33"/>
      <c r="B62" s="8"/>
      <c r="C62" s="8"/>
      <c r="D62" s="7"/>
      <c r="E62" s="2"/>
      <c r="F62" s="2"/>
      <c r="G62" s="2"/>
      <c r="H62" s="2"/>
      <c r="I62" s="2"/>
    </row>
    <row r="63" spans="1:9">
      <c r="A63" s="33"/>
      <c r="B63" s="8"/>
      <c r="C63" s="8"/>
      <c r="D63" s="7"/>
      <c r="E63" s="2"/>
      <c r="F63" s="2"/>
      <c r="G63" s="2"/>
      <c r="H63" s="2"/>
      <c r="I63" s="2"/>
    </row>
    <row r="64" spans="1:9">
      <c r="A64" s="15"/>
      <c r="B64" s="9"/>
      <c r="C64" s="9"/>
      <c r="D64" s="7"/>
      <c r="E64" s="2"/>
      <c r="F64" s="14"/>
      <c r="G64" s="7"/>
      <c r="H64" s="7"/>
      <c r="I64" s="2"/>
    </row>
    <row r="65" spans="1:9">
      <c r="A65" s="12"/>
      <c r="B65" s="16"/>
      <c r="C65" s="16"/>
      <c r="D65" s="14"/>
      <c r="E65" s="2"/>
      <c r="F65" s="7"/>
      <c r="G65" s="7"/>
      <c r="H65" s="7"/>
      <c r="I65" s="2"/>
    </row>
  </sheetData>
  <mergeCells count="3">
    <mergeCell ref="A1:I1"/>
    <mergeCell ref="A5:H5"/>
    <mergeCell ref="A15:H15"/>
  </mergeCells>
  <phoneticPr fontId="0" type="noConversion"/>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41"/>
  <sheetViews>
    <sheetView zoomScale="85" zoomScaleNormal="85" workbookViewId="0">
      <selection activeCell="A28" sqref="A28"/>
    </sheetView>
  </sheetViews>
  <sheetFormatPr defaultRowHeight="12.75"/>
  <cols>
    <col min="1" max="1" width="31.7109375" style="1" customWidth="1"/>
    <col min="2" max="2" width="12.42578125" style="1" customWidth="1"/>
    <col min="3" max="3" width="9.140625" style="1"/>
    <col min="4" max="4" width="11" style="1" customWidth="1"/>
    <col min="5" max="5" width="14" style="1" customWidth="1"/>
    <col min="6" max="6" width="47.7109375" style="1" customWidth="1"/>
    <col min="7" max="7" width="52.7109375" style="1" customWidth="1"/>
    <col min="8" max="16384" width="9.140625" style="1"/>
  </cols>
  <sheetData>
    <row r="1" spans="1:11" ht="86.25" customHeight="1" thickBot="1">
      <c r="A1" s="189" t="s">
        <v>23</v>
      </c>
      <c r="B1" s="195"/>
      <c r="C1" s="195"/>
      <c r="D1" s="195"/>
      <c r="E1" s="195"/>
      <c r="F1" s="195"/>
      <c r="G1" s="196"/>
      <c r="H1" s="17"/>
      <c r="I1" s="17"/>
      <c r="J1" s="17"/>
      <c r="K1" s="17"/>
    </row>
    <row r="3" spans="1:11">
      <c r="A3" s="10" t="s">
        <v>4</v>
      </c>
      <c r="B3" s="10" t="s">
        <v>6</v>
      </c>
      <c r="C3" s="10" t="s">
        <v>0</v>
      </c>
      <c r="D3" s="10" t="s">
        <v>3</v>
      </c>
      <c r="E3" s="10" t="s">
        <v>16</v>
      </c>
      <c r="F3" s="10" t="s">
        <v>14</v>
      </c>
      <c r="G3" s="10" t="s">
        <v>5</v>
      </c>
    </row>
    <row r="4" spans="1:11" ht="5.25" customHeight="1">
      <c r="A4" s="11"/>
      <c r="B4" s="46"/>
      <c r="C4" s="7"/>
      <c r="D4" s="13"/>
      <c r="E4" s="7"/>
      <c r="F4"/>
      <c r="G4" s="2"/>
    </row>
    <row r="5" spans="1:11" ht="51">
      <c r="A5" s="55" t="s">
        <v>83</v>
      </c>
      <c r="B5" s="150" t="s">
        <v>112</v>
      </c>
      <c r="C5" s="56" t="s">
        <v>62</v>
      </c>
      <c r="D5" s="151">
        <f>Method_input!E7*Method_input!E24+Method_input!E12*Method_input!E26+Method_input!E35</f>
        <v>15.6</v>
      </c>
      <c r="E5" s="34" t="s">
        <v>84</v>
      </c>
      <c r="F5" s="18"/>
      <c r="G5" s="36" t="s">
        <v>190</v>
      </c>
    </row>
    <row r="6" spans="1:11" ht="25.5">
      <c r="A6" s="78" t="s">
        <v>92</v>
      </c>
      <c r="B6" s="150" t="s">
        <v>66</v>
      </c>
      <c r="C6" s="46" t="s">
        <v>62</v>
      </c>
      <c r="D6" s="151">
        <f>Method_input!E29</f>
        <v>20</v>
      </c>
      <c r="E6" s="49" t="s">
        <v>94</v>
      </c>
      <c r="F6" s="46"/>
      <c r="G6" s="75" t="s">
        <v>93</v>
      </c>
    </row>
    <row r="7" spans="1:11" s="39" customFormat="1" ht="48" customHeight="1">
      <c r="A7" s="81" t="s">
        <v>107</v>
      </c>
      <c r="B7" s="77" t="s">
        <v>108</v>
      </c>
      <c r="C7" s="34" t="s">
        <v>191</v>
      </c>
      <c r="D7" s="151">
        <f>Method_input!E31/(Method_input!E31+Method_input!E32)</f>
        <v>0.46153846153846156</v>
      </c>
      <c r="E7" s="34" t="s">
        <v>192</v>
      </c>
      <c r="F7" s="107"/>
      <c r="G7" s="109" t="s">
        <v>193</v>
      </c>
    </row>
    <row r="8" spans="1:11" ht="54.75" customHeight="1">
      <c r="A8" s="78" t="s">
        <v>96</v>
      </c>
      <c r="B8" s="79" t="s">
        <v>125</v>
      </c>
      <c r="C8" s="46" t="s">
        <v>62</v>
      </c>
      <c r="D8" s="151">
        <f>Method_input!E31*D7</f>
        <v>2.7692307692307692</v>
      </c>
      <c r="E8" s="34" t="s">
        <v>192</v>
      </c>
      <c r="F8" s="107"/>
      <c r="G8" s="40"/>
    </row>
    <row r="9" spans="1:11" s="39" customFormat="1" ht="39" customHeight="1">
      <c r="A9" s="81" t="s">
        <v>210</v>
      </c>
      <c r="B9" s="34" t="s">
        <v>212</v>
      </c>
      <c r="C9" s="34" t="s">
        <v>211</v>
      </c>
      <c r="D9" s="151">
        <v>0</v>
      </c>
      <c r="E9" s="34" t="s">
        <v>118</v>
      </c>
      <c r="F9" s="18"/>
      <c r="G9" s="40"/>
    </row>
    <row r="10" spans="1:11" s="39" customFormat="1" ht="35.25" customHeight="1">
      <c r="A10" s="42" t="s">
        <v>135</v>
      </c>
      <c r="B10" s="34" t="s">
        <v>136</v>
      </c>
      <c r="C10" s="34" t="s">
        <v>211</v>
      </c>
      <c r="D10" s="151">
        <f>Method_input!E13*Method_input!E14/3600</f>
        <v>0.20833333333333334</v>
      </c>
      <c r="E10" s="34" t="s">
        <v>119</v>
      </c>
      <c r="F10" s="18"/>
      <c r="G10" s="40"/>
    </row>
    <row r="11" spans="1:11" ht="27.75" customHeight="1">
      <c r="A11" s="198" t="s">
        <v>98</v>
      </c>
      <c r="B11" s="79" t="s">
        <v>101</v>
      </c>
      <c r="C11" s="46" t="s">
        <v>62</v>
      </c>
      <c r="D11" s="151">
        <f>Method_input!E31+Method_calculation!D18</f>
        <v>7.32</v>
      </c>
      <c r="E11" s="34" t="s">
        <v>97</v>
      </c>
      <c r="F11" s="107"/>
      <c r="G11" s="41"/>
    </row>
    <row r="12" spans="1:11" ht="24.75" customHeight="1">
      <c r="A12" s="199"/>
      <c r="B12" s="79" t="s">
        <v>102</v>
      </c>
      <c r="C12" s="46" t="s">
        <v>62</v>
      </c>
      <c r="D12" s="151">
        <f>Method_input!E32+Method_calculation!D18</f>
        <v>8.32</v>
      </c>
      <c r="E12" s="34" t="s">
        <v>97</v>
      </c>
      <c r="F12" s="107"/>
      <c r="G12" s="41"/>
    </row>
    <row r="13" spans="1:11" ht="24.75" customHeight="1">
      <c r="A13" s="197" t="s">
        <v>100</v>
      </c>
      <c r="B13" s="79" t="s">
        <v>103</v>
      </c>
      <c r="C13" s="46" t="s">
        <v>62</v>
      </c>
      <c r="D13" s="151">
        <f>Method_input!E39*Method_input!E40*D10</f>
        <v>0.25</v>
      </c>
      <c r="E13" s="34" t="s">
        <v>99</v>
      </c>
      <c r="F13" s="107"/>
      <c r="G13" s="41"/>
    </row>
    <row r="14" spans="1:11" ht="22.5" customHeight="1">
      <c r="A14" s="197"/>
      <c r="B14" s="79" t="s">
        <v>104</v>
      </c>
      <c r="C14" s="46" t="s">
        <v>62</v>
      </c>
      <c r="D14" s="151">
        <f>Method_input!E39*Method_input!E40*D9</f>
        <v>0</v>
      </c>
      <c r="E14" s="34" t="s">
        <v>99</v>
      </c>
      <c r="F14" s="107"/>
      <c r="G14" s="41"/>
    </row>
    <row r="15" spans="1:11" ht="38.25" customHeight="1">
      <c r="A15" s="42" t="s">
        <v>105</v>
      </c>
      <c r="B15" s="150" t="s">
        <v>106</v>
      </c>
      <c r="C15" s="46" t="s">
        <v>62</v>
      </c>
      <c r="D15" s="151">
        <f>D17*Method_input!E30</f>
        <v>1.4285714285714284</v>
      </c>
      <c r="E15" s="34" t="s">
        <v>8</v>
      </c>
      <c r="F15" s="107"/>
      <c r="G15" s="148"/>
      <c r="H15" s="48"/>
    </row>
    <row r="16" spans="1:11" s="39" customFormat="1" ht="38.25" customHeight="1">
      <c r="A16" s="36" t="s">
        <v>209</v>
      </c>
      <c r="B16" s="150" t="s">
        <v>113</v>
      </c>
      <c r="C16" s="34" t="s">
        <v>62</v>
      </c>
      <c r="D16" s="151">
        <f>D5+D6+D7+D15</f>
        <v>37.490109890109892</v>
      </c>
      <c r="E16" s="34" t="s">
        <v>10</v>
      </c>
      <c r="F16" s="18"/>
      <c r="G16" s="168"/>
      <c r="H16" s="48"/>
    </row>
    <row r="17" spans="1:8" ht="36.75" customHeight="1">
      <c r="A17" s="81" t="s">
        <v>107</v>
      </c>
      <c r="B17" s="8" t="s">
        <v>108</v>
      </c>
      <c r="C17" s="34" t="s">
        <v>191</v>
      </c>
      <c r="D17" s="151">
        <f>(Method_input!E17-Method_input!E19)/(Method_input!E17-Method_input!E20)</f>
        <v>0.2857142857142857</v>
      </c>
      <c r="E17" s="34" t="s">
        <v>9</v>
      </c>
      <c r="F17" s="18"/>
      <c r="G17" s="105" t="s">
        <v>194</v>
      </c>
    </row>
    <row r="18" spans="1:8" ht="24.75" customHeight="1">
      <c r="A18" s="75" t="s">
        <v>116</v>
      </c>
      <c r="B18" s="106" t="s">
        <v>117</v>
      </c>
      <c r="C18" s="46" t="s">
        <v>62</v>
      </c>
      <c r="D18" s="151">
        <f>0.33*Method_input!E33</f>
        <v>1.32</v>
      </c>
      <c r="E18" s="34" t="s">
        <v>111</v>
      </c>
      <c r="F18" s="107"/>
      <c r="G18" s="2"/>
    </row>
    <row r="19" spans="1:8" s="39" customFormat="1" ht="37.5" customHeight="1">
      <c r="A19" s="81" t="s">
        <v>141</v>
      </c>
      <c r="B19" s="119" t="s">
        <v>142</v>
      </c>
      <c r="C19" s="34" t="s">
        <v>62</v>
      </c>
      <c r="D19" s="152">
        <f>(Method_input!E10*Method_input!E25+Method_input!E11*Method_input!E26+Method_input!E12*Method_input!E27)</f>
        <v>9.7000000000000011</v>
      </c>
      <c r="E19" s="41"/>
      <c r="F19" s="113"/>
      <c r="G19" s="117"/>
      <c r="H19" s="149"/>
    </row>
    <row r="20" spans="1:8" ht="34.5" customHeight="1">
      <c r="A20" s="81" t="s">
        <v>144</v>
      </c>
      <c r="B20" s="188" t="s">
        <v>208</v>
      </c>
      <c r="C20" s="34" t="s">
        <v>7</v>
      </c>
      <c r="D20" s="151">
        <f>(Method_input!E34+(Method_input!E17*D11)+(Method_input!E20*Method_calculation!D12))/(Method_calculation!D11+Method_calculation!D12)</f>
        <v>17.946291560102303</v>
      </c>
      <c r="E20" s="34" t="s">
        <v>123</v>
      </c>
      <c r="F20" s="41"/>
      <c r="G20" s="41"/>
    </row>
    <row r="21" spans="1:8" s="5" customFormat="1" ht="24.75" customHeight="1">
      <c r="A21" s="170"/>
      <c r="B21" s="171"/>
      <c r="C21" s="6"/>
      <c r="D21" s="172"/>
      <c r="E21" s="6"/>
      <c r="F21" s="173"/>
    </row>
    <row r="22" spans="1:8" s="5" customFormat="1" ht="12" customHeight="1">
      <c r="A22" s="170"/>
      <c r="B22" s="171"/>
      <c r="D22" s="172"/>
      <c r="G22" s="6"/>
    </row>
    <row r="23" spans="1:8" s="5" customFormat="1" ht="12" customHeight="1"/>
    <row r="24" spans="1:8" s="5" customFormat="1" ht="12" customHeight="1">
      <c r="A24" s="174"/>
      <c r="B24" s="175"/>
      <c r="C24" s="6"/>
      <c r="D24" s="176"/>
      <c r="E24" s="6"/>
      <c r="F24" s="173"/>
    </row>
    <row r="25" spans="1:8" s="5" customFormat="1" ht="12" customHeight="1"/>
    <row r="26" spans="1:8" s="5" customFormat="1" ht="12" customHeight="1">
      <c r="A26" s="170"/>
      <c r="E26" s="6"/>
      <c r="F26" s="6"/>
    </row>
    <row r="27" spans="1:8" s="5" customFormat="1" ht="12" customHeight="1">
      <c r="A27" s="170"/>
    </row>
    <row r="28" spans="1:8" s="5" customFormat="1" ht="12" customHeight="1">
      <c r="A28" s="170"/>
      <c r="B28" s="175"/>
      <c r="C28" s="6"/>
      <c r="D28" s="172"/>
      <c r="E28" s="6"/>
      <c r="F28" s="173"/>
    </row>
    <row r="29" spans="1:8" s="5" customFormat="1" ht="12" customHeight="1">
      <c r="A29" s="170"/>
    </row>
    <row r="30" spans="1:8" s="5" customFormat="1" ht="12" customHeight="1">
      <c r="A30" s="170"/>
      <c r="B30" s="175"/>
      <c r="C30" s="6"/>
      <c r="D30" s="172"/>
      <c r="E30" s="6"/>
      <c r="F30" s="173"/>
    </row>
    <row r="31" spans="1:8" s="5" customFormat="1" ht="12" customHeight="1">
      <c r="A31" s="177"/>
      <c r="B31" s="178"/>
      <c r="C31" s="179"/>
      <c r="D31" s="180"/>
      <c r="E31" s="156"/>
    </row>
    <row r="32" spans="1:8" s="5" customFormat="1" ht="12" customHeight="1">
      <c r="A32" s="181"/>
      <c r="B32" s="157"/>
      <c r="C32" s="179"/>
      <c r="D32" s="182"/>
      <c r="E32" s="179"/>
      <c r="F32" s="173"/>
      <c r="G32" s="6"/>
    </row>
    <row r="33" spans="1:7" s="5" customFormat="1" ht="12" customHeight="1">
      <c r="A33" s="156"/>
      <c r="B33" s="156"/>
      <c r="C33" s="156"/>
      <c r="D33" s="156"/>
      <c r="E33" s="156"/>
    </row>
    <row r="34" spans="1:7" s="5" customFormat="1" ht="12" customHeight="1">
      <c r="A34" s="177"/>
      <c r="B34" s="178"/>
      <c r="C34" s="179"/>
      <c r="D34" s="182"/>
      <c r="E34" s="179"/>
      <c r="F34" s="173"/>
    </row>
    <row r="35" spans="1:7" s="5" customFormat="1" ht="12" customHeight="1">
      <c r="A35" s="181"/>
      <c r="B35" s="178"/>
      <c r="C35" s="179"/>
      <c r="D35" s="182"/>
      <c r="E35" s="179"/>
      <c r="F35" s="173"/>
    </row>
    <row r="36" spans="1:7" s="5" customFormat="1" ht="12" customHeight="1">
      <c r="A36" s="183"/>
      <c r="B36" s="184"/>
      <c r="C36" s="179"/>
      <c r="D36" s="182"/>
      <c r="E36" s="179"/>
      <c r="F36" s="173"/>
    </row>
    <row r="37" spans="1:7" s="5" customFormat="1" ht="12" customHeight="1">
      <c r="A37" s="181"/>
      <c r="B37" s="178"/>
      <c r="C37" s="179"/>
      <c r="D37" s="182"/>
      <c r="E37" s="179"/>
      <c r="F37" s="173"/>
      <c r="G37" s="6"/>
    </row>
    <row r="38" spans="1:7" s="5" customFormat="1" ht="12" customHeight="1">
      <c r="A38" s="183"/>
      <c r="B38" s="178"/>
      <c r="C38" s="179"/>
      <c r="D38" s="185"/>
      <c r="E38" s="179"/>
      <c r="F38" s="173"/>
      <c r="G38" s="6"/>
    </row>
    <row r="39" spans="1:7" s="5" customFormat="1" ht="12" customHeight="1">
      <c r="A39" s="156"/>
      <c r="B39" s="156"/>
      <c r="C39" s="156"/>
      <c r="D39" s="156"/>
      <c r="E39" s="156"/>
    </row>
    <row r="40" spans="1:7" s="5" customFormat="1" ht="12" customHeight="1">
      <c r="A40" s="186"/>
      <c r="B40" s="178"/>
      <c r="C40" s="179"/>
      <c r="D40" s="185"/>
      <c r="E40" s="157"/>
      <c r="F40" s="187"/>
      <c r="G40" s="6"/>
    </row>
    <row r="41" spans="1:7" ht="12" customHeight="1"/>
  </sheetData>
  <mergeCells count="3">
    <mergeCell ref="A1:G1"/>
    <mergeCell ref="A13:A14"/>
    <mergeCell ref="A11:A12"/>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DSMT4" shapeId="5145" r:id="rId4">
          <objectPr defaultSize="0" autoPict="0" r:id="rId5">
            <anchor moveWithCells="1" sizeWithCells="1">
              <from>
                <xdr:col>5</xdr:col>
                <xdr:colOff>847725</xdr:colOff>
                <xdr:row>15</xdr:row>
                <xdr:rowOff>57150</xdr:rowOff>
              </from>
              <to>
                <xdr:col>5</xdr:col>
                <xdr:colOff>2324100</xdr:colOff>
                <xdr:row>15</xdr:row>
                <xdr:rowOff>276225</xdr:rowOff>
              </to>
            </anchor>
          </objectPr>
        </oleObject>
      </mc:Choice>
      <mc:Fallback>
        <oleObject progId="Equation.DSMT4" shapeId="5145" r:id="rId4"/>
      </mc:Fallback>
    </mc:AlternateContent>
    <mc:AlternateContent xmlns:mc="http://schemas.openxmlformats.org/markup-compatibility/2006">
      <mc:Choice Requires="x14">
        <oleObject progId="Equation.DSMT4" shapeId="5147" r:id="rId6">
          <objectPr defaultSize="0" autoPict="0" r:id="rId7">
            <anchor moveWithCells="1" sizeWithCells="1">
              <from>
                <xdr:col>5</xdr:col>
                <xdr:colOff>619125</xdr:colOff>
                <xdr:row>4</xdr:row>
                <xdr:rowOff>228600</xdr:rowOff>
              </from>
              <to>
                <xdr:col>5</xdr:col>
                <xdr:colOff>2705100</xdr:colOff>
                <xdr:row>4</xdr:row>
                <xdr:rowOff>504825</xdr:rowOff>
              </to>
            </anchor>
          </objectPr>
        </oleObject>
      </mc:Choice>
      <mc:Fallback>
        <oleObject progId="Equation.DSMT4" shapeId="5147" r:id="rId6"/>
      </mc:Fallback>
    </mc:AlternateContent>
    <mc:AlternateContent xmlns:mc="http://schemas.openxmlformats.org/markup-compatibility/2006">
      <mc:Choice Requires="x14">
        <oleObject progId="Equation.DSMT4" shapeId="5158" r:id="rId8">
          <objectPr defaultSize="0" autoPict="0" r:id="rId9">
            <anchor moveWithCells="1" sizeWithCells="1">
              <from>
                <xdr:col>5</xdr:col>
                <xdr:colOff>1000125</xdr:colOff>
                <xdr:row>7</xdr:row>
                <xdr:rowOff>161925</xdr:rowOff>
              </from>
              <to>
                <xdr:col>5</xdr:col>
                <xdr:colOff>1676400</xdr:colOff>
                <xdr:row>7</xdr:row>
                <xdr:rowOff>352425</xdr:rowOff>
              </to>
            </anchor>
          </objectPr>
        </oleObject>
      </mc:Choice>
      <mc:Fallback>
        <oleObject progId="Equation.DSMT4" shapeId="5158" r:id="rId8"/>
      </mc:Fallback>
    </mc:AlternateContent>
    <mc:AlternateContent xmlns:mc="http://schemas.openxmlformats.org/markup-compatibility/2006">
      <mc:Choice Requires="x14">
        <oleObject progId="Equation.DSMT4" shapeId="5159" r:id="rId10">
          <objectPr defaultSize="0" autoPict="0" r:id="rId11">
            <anchor moveWithCells="1" sizeWithCells="1">
              <from>
                <xdr:col>5</xdr:col>
                <xdr:colOff>942975</xdr:colOff>
                <xdr:row>6</xdr:row>
                <xdr:rowOff>123825</xdr:rowOff>
              </from>
              <to>
                <xdr:col>5</xdr:col>
                <xdr:colOff>1781175</xdr:colOff>
                <xdr:row>6</xdr:row>
                <xdr:rowOff>504825</xdr:rowOff>
              </to>
            </anchor>
          </objectPr>
        </oleObject>
      </mc:Choice>
      <mc:Fallback>
        <oleObject progId="Equation.DSMT4" shapeId="5159" r:id="rId10"/>
      </mc:Fallback>
    </mc:AlternateContent>
    <mc:AlternateContent xmlns:mc="http://schemas.openxmlformats.org/markup-compatibility/2006">
      <mc:Choice Requires="x14">
        <oleObject progId="Equation.DSMT4" shapeId="5163" r:id="rId12">
          <objectPr defaultSize="0" autoPict="0" r:id="rId13">
            <anchor moveWithCells="1" sizeWithCells="1">
              <from>
                <xdr:col>5</xdr:col>
                <xdr:colOff>1009650</xdr:colOff>
                <xdr:row>10</xdr:row>
                <xdr:rowOff>95250</xdr:rowOff>
              </from>
              <to>
                <xdr:col>5</xdr:col>
                <xdr:colOff>2152650</xdr:colOff>
                <xdr:row>10</xdr:row>
                <xdr:rowOff>295275</xdr:rowOff>
              </to>
            </anchor>
          </objectPr>
        </oleObject>
      </mc:Choice>
      <mc:Fallback>
        <oleObject progId="Equation.DSMT4" shapeId="5163" r:id="rId12"/>
      </mc:Fallback>
    </mc:AlternateContent>
    <mc:AlternateContent xmlns:mc="http://schemas.openxmlformats.org/markup-compatibility/2006">
      <mc:Choice Requires="x14">
        <oleObject progId="Equation.DSMT4" shapeId="5165" r:id="rId14">
          <objectPr defaultSize="0" autoPict="0" r:id="rId15">
            <anchor moveWithCells="1" sizeWithCells="1">
              <from>
                <xdr:col>5</xdr:col>
                <xdr:colOff>971550</xdr:colOff>
                <xdr:row>11</xdr:row>
                <xdr:rowOff>57150</xdr:rowOff>
              </from>
              <to>
                <xdr:col>5</xdr:col>
                <xdr:colOff>2228850</xdr:colOff>
                <xdr:row>11</xdr:row>
                <xdr:rowOff>257175</xdr:rowOff>
              </to>
            </anchor>
          </objectPr>
        </oleObject>
      </mc:Choice>
      <mc:Fallback>
        <oleObject progId="Equation.DSMT4" shapeId="5165" r:id="rId14"/>
      </mc:Fallback>
    </mc:AlternateContent>
    <mc:AlternateContent xmlns:mc="http://schemas.openxmlformats.org/markup-compatibility/2006">
      <mc:Choice Requires="x14">
        <oleObject progId="Equation.DSMT4" shapeId="5166" r:id="rId16">
          <objectPr defaultSize="0" autoPict="0" r:id="rId17">
            <anchor moveWithCells="1" sizeWithCells="1">
              <from>
                <xdr:col>5</xdr:col>
                <xdr:colOff>1076325</xdr:colOff>
                <xdr:row>13</xdr:row>
                <xdr:rowOff>38100</xdr:rowOff>
              </from>
              <to>
                <xdr:col>5</xdr:col>
                <xdr:colOff>1990725</xdr:colOff>
                <xdr:row>13</xdr:row>
                <xdr:rowOff>266700</xdr:rowOff>
              </to>
            </anchor>
          </objectPr>
        </oleObject>
      </mc:Choice>
      <mc:Fallback>
        <oleObject progId="Equation.DSMT4" shapeId="5166" r:id="rId16"/>
      </mc:Fallback>
    </mc:AlternateContent>
    <mc:AlternateContent xmlns:mc="http://schemas.openxmlformats.org/markup-compatibility/2006">
      <mc:Choice Requires="x14">
        <oleObject progId="Equation.DSMT4" shapeId="5167" r:id="rId18">
          <objectPr defaultSize="0" autoPict="0" r:id="rId19">
            <anchor moveWithCells="1" sizeWithCells="1">
              <from>
                <xdr:col>5</xdr:col>
                <xdr:colOff>1009650</xdr:colOff>
                <xdr:row>12</xdr:row>
                <xdr:rowOff>47625</xdr:rowOff>
              </from>
              <to>
                <xdr:col>5</xdr:col>
                <xdr:colOff>1990725</xdr:colOff>
                <xdr:row>12</xdr:row>
                <xdr:rowOff>276225</xdr:rowOff>
              </to>
            </anchor>
          </objectPr>
        </oleObject>
      </mc:Choice>
      <mc:Fallback>
        <oleObject progId="Equation.DSMT4" shapeId="5167" r:id="rId18"/>
      </mc:Fallback>
    </mc:AlternateContent>
    <mc:AlternateContent xmlns:mc="http://schemas.openxmlformats.org/markup-compatibility/2006">
      <mc:Choice Requires="x14">
        <oleObject progId="Equation.DSMT4" shapeId="5168" r:id="rId20">
          <objectPr defaultSize="0" autoPict="0" r:id="rId21">
            <anchor moveWithCells="1" sizeWithCells="1">
              <from>
                <xdr:col>5</xdr:col>
                <xdr:colOff>1276350</xdr:colOff>
                <xdr:row>14</xdr:row>
                <xdr:rowOff>142875</xdr:rowOff>
              </from>
              <to>
                <xdr:col>5</xdr:col>
                <xdr:colOff>1933575</xdr:colOff>
                <xdr:row>14</xdr:row>
                <xdr:rowOff>333375</xdr:rowOff>
              </to>
            </anchor>
          </objectPr>
        </oleObject>
      </mc:Choice>
      <mc:Fallback>
        <oleObject progId="Equation.DSMT4" shapeId="5168" r:id="rId20"/>
      </mc:Fallback>
    </mc:AlternateContent>
    <mc:AlternateContent xmlns:mc="http://schemas.openxmlformats.org/markup-compatibility/2006">
      <mc:Choice Requires="x14">
        <oleObject progId="Equation.3" shapeId="5169" r:id="rId22">
          <objectPr defaultSize="0" autoPict="0" r:id="rId23">
            <anchor moveWithCells="1" sizeWithCells="1">
              <from>
                <xdr:col>5</xdr:col>
                <xdr:colOff>1276350</xdr:colOff>
                <xdr:row>16</xdr:row>
                <xdr:rowOff>38100</xdr:rowOff>
              </from>
              <to>
                <xdr:col>5</xdr:col>
                <xdr:colOff>1895475</xdr:colOff>
                <xdr:row>16</xdr:row>
                <xdr:rowOff>419100</xdr:rowOff>
              </to>
            </anchor>
          </objectPr>
        </oleObject>
      </mc:Choice>
      <mc:Fallback>
        <oleObject progId="Equation.3" shapeId="5169" r:id="rId22"/>
      </mc:Fallback>
    </mc:AlternateContent>
    <mc:AlternateContent xmlns:mc="http://schemas.openxmlformats.org/markup-compatibility/2006">
      <mc:Choice Requires="x14">
        <oleObject progId="Equation.DSMT4" shapeId="5171" r:id="rId24">
          <objectPr defaultSize="0" autoPict="0" r:id="rId25">
            <anchor moveWithCells="1" sizeWithCells="1">
              <from>
                <xdr:col>5</xdr:col>
                <xdr:colOff>971550</xdr:colOff>
                <xdr:row>17</xdr:row>
                <xdr:rowOff>47625</xdr:rowOff>
              </from>
              <to>
                <xdr:col>5</xdr:col>
                <xdr:colOff>1895475</xdr:colOff>
                <xdr:row>17</xdr:row>
                <xdr:rowOff>266700</xdr:rowOff>
              </to>
            </anchor>
          </objectPr>
        </oleObject>
      </mc:Choice>
      <mc:Fallback>
        <oleObject progId="Equation.DSMT4" shapeId="5171" r:id="rId24"/>
      </mc:Fallback>
    </mc:AlternateContent>
    <mc:AlternateContent xmlns:mc="http://schemas.openxmlformats.org/markup-compatibility/2006">
      <mc:Choice Requires="x14">
        <oleObject progId="Equation.DSMT4" shapeId="5172" r:id="rId26">
          <objectPr defaultSize="0" autoPict="0" r:id="rId27">
            <anchor moveWithCells="1" sizeWithCells="1">
              <from>
                <xdr:col>5</xdr:col>
                <xdr:colOff>1257300</xdr:colOff>
                <xdr:row>8</xdr:row>
                <xdr:rowOff>57150</xdr:rowOff>
              </from>
              <to>
                <xdr:col>5</xdr:col>
                <xdr:colOff>1676400</xdr:colOff>
                <xdr:row>8</xdr:row>
                <xdr:rowOff>247650</xdr:rowOff>
              </to>
            </anchor>
          </objectPr>
        </oleObject>
      </mc:Choice>
      <mc:Fallback>
        <oleObject progId="Equation.DSMT4" shapeId="5172" r:id="rId26"/>
      </mc:Fallback>
    </mc:AlternateContent>
    <mc:AlternateContent xmlns:mc="http://schemas.openxmlformats.org/markup-compatibility/2006">
      <mc:Choice Requires="x14">
        <oleObject progId="Equation.DSMT4" shapeId="5174" r:id="rId28">
          <objectPr defaultSize="0" autoPict="0" r:id="rId29">
            <anchor moveWithCells="1" sizeWithCells="1">
              <from>
                <xdr:col>5</xdr:col>
                <xdr:colOff>1123950</xdr:colOff>
                <xdr:row>9</xdr:row>
                <xdr:rowOff>85725</xdr:rowOff>
              </from>
              <to>
                <xdr:col>5</xdr:col>
                <xdr:colOff>1857375</xdr:colOff>
                <xdr:row>9</xdr:row>
                <xdr:rowOff>276225</xdr:rowOff>
              </to>
            </anchor>
          </objectPr>
        </oleObject>
      </mc:Choice>
      <mc:Fallback>
        <oleObject progId="Equation.DSMT4" shapeId="5174" r:id="rId28"/>
      </mc:Fallback>
    </mc:AlternateContent>
    <mc:AlternateContent xmlns:mc="http://schemas.openxmlformats.org/markup-compatibility/2006">
      <mc:Choice Requires="x14">
        <oleObject progId="Equation.DSMT4" shapeId="5177" r:id="rId30">
          <objectPr defaultSize="0" autoPict="0" r:id="rId31">
            <anchor moveWithCells="1">
              <from>
                <xdr:col>5</xdr:col>
                <xdr:colOff>914400</xdr:colOff>
                <xdr:row>19</xdr:row>
                <xdr:rowOff>19050</xdr:rowOff>
              </from>
              <to>
                <xdr:col>5</xdr:col>
                <xdr:colOff>2219325</xdr:colOff>
                <xdr:row>19</xdr:row>
                <xdr:rowOff>419100</xdr:rowOff>
              </to>
            </anchor>
          </objectPr>
        </oleObject>
      </mc:Choice>
      <mc:Fallback>
        <oleObject progId="Equation.DSMT4" shapeId="5177" r:id="rId30"/>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I22"/>
  <sheetViews>
    <sheetView workbookViewId="0">
      <selection activeCell="C7" sqref="C7"/>
    </sheetView>
  </sheetViews>
  <sheetFormatPr defaultRowHeight="12.75"/>
  <cols>
    <col min="1" max="1" width="27" style="35" customWidth="1"/>
    <col min="2" max="2" width="12.140625" style="35" customWidth="1"/>
    <col min="3" max="3" width="16.5703125" style="35" customWidth="1"/>
    <col min="4" max="4" width="10.7109375" style="35" customWidth="1"/>
    <col min="5" max="5" width="14" style="35" customWidth="1"/>
    <col min="6" max="6" width="8.85546875" style="35" customWidth="1"/>
    <col min="7" max="7" width="10.7109375" style="35" customWidth="1"/>
    <col min="8" max="8" width="9.140625" style="35"/>
    <col min="9" max="9" width="28.5703125" style="35" customWidth="1"/>
    <col min="10" max="16384" width="9.140625" style="35"/>
  </cols>
  <sheetData>
    <row r="1" spans="1:9" ht="62.25" customHeight="1">
      <c r="A1" s="200" t="s">
        <v>21</v>
      </c>
      <c r="B1" s="201"/>
      <c r="C1" s="201"/>
      <c r="D1" s="201"/>
      <c r="E1" s="201"/>
      <c r="F1" s="201"/>
      <c r="G1" s="201"/>
      <c r="H1" s="201"/>
      <c r="I1" s="201"/>
    </row>
    <row r="3" spans="1:9" ht="13.5" thickBot="1"/>
    <row r="4" spans="1:9" ht="26.25" thickBot="1">
      <c r="A4" s="163" t="s">
        <v>2</v>
      </c>
      <c r="B4" s="164" t="s">
        <v>6</v>
      </c>
      <c r="C4" s="164" t="s">
        <v>27</v>
      </c>
      <c r="D4" s="164" t="s">
        <v>0</v>
      </c>
      <c r="E4" s="164" t="s">
        <v>3</v>
      </c>
      <c r="F4" s="164" t="s">
        <v>11</v>
      </c>
      <c r="G4" s="164" t="s">
        <v>17</v>
      </c>
      <c r="H4" s="164" t="s">
        <v>12</v>
      </c>
      <c r="I4" s="165" t="s">
        <v>5</v>
      </c>
    </row>
    <row r="5" spans="1:9">
      <c r="A5" s="114"/>
      <c r="B5" s="115"/>
      <c r="D5" s="115"/>
      <c r="E5" s="115"/>
      <c r="G5" s="115"/>
      <c r="I5" s="116"/>
    </row>
    <row r="6" spans="1:9" ht="38.25">
      <c r="A6" s="81" t="s">
        <v>137</v>
      </c>
      <c r="B6" s="79" t="s">
        <v>112</v>
      </c>
      <c r="C6" s="77" t="s">
        <v>197</v>
      </c>
      <c r="D6" s="34" t="s">
        <v>62</v>
      </c>
      <c r="E6" s="151">
        <f>Method_calculation!D5</f>
        <v>15.6</v>
      </c>
      <c r="F6" s="153" t="s">
        <v>143</v>
      </c>
      <c r="G6" s="117" t="s">
        <v>195</v>
      </c>
      <c r="H6" s="34" t="s">
        <v>33</v>
      </c>
      <c r="I6" s="40"/>
    </row>
    <row r="7" spans="1:9" ht="36">
      <c r="A7" s="118" t="s">
        <v>138</v>
      </c>
      <c r="B7" s="79" t="s">
        <v>66</v>
      </c>
      <c r="C7" s="77" t="s">
        <v>67</v>
      </c>
      <c r="D7" s="34" t="s">
        <v>62</v>
      </c>
      <c r="E7" s="151">
        <f>Method_calculation!D6</f>
        <v>20</v>
      </c>
      <c r="F7" s="153" t="s">
        <v>143</v>
      </c>
      <c r="G7" s="117" t="s">
        <v>195</v>
      </c>
      <c r="H7" s="34" t="s">
        <v>33</v>
      </c>
      <c r="I7" s="40"/>
    </row>
    <row r="8" spans="1:9" ht="36">
      <c r="A8" s="118" t="s">
        <v>139</v>
      </c>
      <c r="B8" s="119" t="s">
        <v>95</v>
      </c>
      <c r="C8" s="77" t="s">
        <v>198</v>
      </c>
      <c r="D8" s="34" t="s">
        <v>62</v>
      </c>
      <c r="E8" s="151">
        <f>Method_calculation!D8</f>
        <v>2.7692307692307692</v>
      </c>
      <c r="F8" s="153" t="s">
        <v>143</v>
      </c>
      <c r="G8" s="117" t="s">
        <v>195</v>
      </c>
      <c r="H8" s="34" t="s">
        <v>33</v>
      </c>
      <c r="I8" s="34"/>
    </row>
    <row r="9" spans="1:9" ht="36">
      <c r="A9" s="118" t="s">
        <v>140</v>
      </c>
      <c r="B9" s="119" t="s">
        <v>106</v>
      </c>
      <c r="C9" s="77" t="s">
        <v>199</v>
      </c>
      <c r="D9" s="34" t="s">
        <v>62</v>
      </c>
      <c r="E9" s="151">
        <f>Method_calculation!D15</f>
        <v>1.4285714285714284</v>
      </c>
      <c r="F9" s="153" t="s">
        <v>143</v>
      </c>
      <c r="G9" s="117" t="s">
        <v>195</v>
      </c>
      <c r="H9" s="34" t="s">
        <v>33</v>
      </c>
      <c r="I9" s="41"/>
    </row>
    <row r="10" spans="1:9" ht="38.25">
      <c r="A10" s="81" t="s">
        <v>141</v>
      </c>
      <c r="B10" s="119" t="s">
        <v>142</v>
      </c>
      <c r="C10" s="77" t="s">
        <v>200</v>
      </c>
      <c r="D10" s="34" t="s">
        <v>62</v>
      </c>
      <c r="E10" s="152">
        <f>Method_calculation!D19</f>
        <v>9.7000000000000011</v>
      </c>
      <c r="F10" s="153" t="s">
        <v>143</v>
      </c>
      <c r="G10" s="117" t="s">
        <v>195</v>
      </c>
      <c r="H10" s="34" t="s">
        <v>33</v>
      </c>
      <c r="I10" s="41"/>
    </row>
    <row r="11" spans="1:9" ht="25.5">
      <c r="A11" s="81" t="s">
        <v>124</v>
      </c>
      <c r="B11" s="119" t="s">
        <v>113</v>
      </c>
      <c r="C11" s="77" t="s">
        <v>201</v>
      </c>
      <c r="D11" s="34" t="s">
        <v>62</v>
      </c>
      <c r="E11" s="151">
        <f>Method_calculation!D16</f>
        <v>37.490109890109892</v>
      </c>
      <c r="F11" s="153" t="s">
        <v>143</v>
      </c>
      <c r="G11" s="117" t="s">
        <v>195</v>
      </c>
      <c r="H11" s="34" t="s">
        <v>33</v>
      </c>
      <c r="I11" s="41"/>
    </row>
    <row r="12" spans="1:9" ht="24">
      <c r="A12" s="118" t="s">
        <v>116</v>
      </c>
      <c r="B12" s="119" t="s">
        <v>117</v>
      </c>
      <c r="C12" s="77" t="s">
        <v>202</v>
      </c>
      <c r="D12" s="34" t="s">
        <v>62</v>
      </c>
      <c r="E12" s="151">
        <f>Method_calculation!D18</f>
        <v>1.32</v>
      </c>
      <c r="F12" s="153" t="s">
        <v>143</v>
      </c>
      <c r="G12" s="117" t="s">
        <v>196</v>
      </c>
      <c r="H12" s="34" t="s">
        <v>33</v>
      </c>
      <c r="I12" s="41"/>
    </row>
    <row r="13" spans="1:9" s="156" customFormat="1">
      <c r="A13" s="154"/>
      <c r="B13" s="155"/>
      <c r="D13" s="157"/>
      <c r="E13" s="158"/>
      <c r="F13" s="159"/>
      <c r="G13" s="160"/>
      <c r="H13" s="157"/>
    </row>
    <row r="14" spans="1:9" s="156" customFormat="1">
      <c r="A14" s="154"/>
      <c r="B14" s="155"/>
      <c r="D14" s="157"/>
      <c r="E14" s="161"/>
      <c r="F14" s="159"/>
      <c r="G14" s="160"/>
      <c r="H14" s="157"/>
      <c r="I14" s="157"/>
    </row>
    <row r="15" spans="1:9" s="156" customFormat="1">
      <c r="A15" s="154"/>
      <c r="B15" s="155"/>
      <c r="D15" s="157"/>
      <c r="E15" s="158"/>
      <c r="F15" s="159"/>
      <c r="G15" s="160"/>
      <c r="H15" s="157"/>
    </row>
    <row r="16" spans="1:9" s="156" customFormat="1">
      <c r="A16" s="154"/>
      <c r="B16" s="155"/>
      <c r="D16" s="157"/>
      <c r="E16" s="158"/>
      <c r="F16" s="159"/>
      <c r="G16" s="160"/>
      <c r="H16" s="157"/>
    </row>
    <row r="17" spans="1:8" s="156" customFormat="1">
      <c r="A17" s="154"/>
      <c r="B17" s="155"/>
      <c r="D17" s="157"/>
      <c r="E17" s="158"/>
      <c r="F17" s="159"/>
      <c r="G17" s="160"/>
      <c r="H17" s="157"/>
    </row>
    <row r="18" spans="1:8" s="156" customFormat="1">
      <c r="A18" s="154"/>
      <c r="B18" s="155"/>
      <c r="D18" s="157"/>
      <c r="E18" s="158"/>
      <c r="F18" s="159"/>
      <c r="G18" s="160"/>
      <c r="H18" s="157"/>
    </row>
    <row r="19" spans="1:8" s="156" customFormat="1">
      <c r="A19" s="154"/>
      <c r="B19" s="155"/>
      <c r="D19" s="157"/>
      <c r="E19" s="158"/>
      <c r="F19" s="159"/>
      <c r="G19" s="160"/>
      <c r="H19" s="157"/>
    </row>
    <row r="20" spans="1:8" s="156" customFormat="1">
      <c r="A20" s="154"/>
      <c r="B20" s="155"/>
      <c r="D20" s="157"/>
      <c r="E20" s="158"/>
      <c r="F20" s="159"/>
      <c r="G20" s="160"/>
      <c r="H20" s="157"/>
    </row>
    <row r="21" spans="1:8" s="156" customFormat="1">
      <c r="A21" s="154"/>
      <c r="B21" s="162"/>
      <c r="D21" s="157"/>
      <c r="E21" s="158"/>
      <c r="F21" s="159"/>
      <c r="G21" s="160"/>
      <c r="H21" s="157"/>
    </row>
    <row r="22" spans="1:8" s="156" customFormat="1">
      <c r="A22" s="154"/>
      <c r="B22" s="155"/>
      <c r="D22" s="157"/>
      <c r="E22" s="158"/>
      <c r="F22" s="159"/>
      <c r="G22" s="160"/>
      <c r="H22" s="157"/>
    </row>
  </sheetData>
  <mergeCells count="1">
    <mergeCell ref="A1:I1"/>
  </mergeCells>
  <phoneticPr fontId="0"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4"/>
  <sheetViews>
    <sheetView workbookViewId="0">
      <selection activeCell="E41" sqref="E41"/>
    </sheetView>
  </sheetViews>
  <sheetFormatPr defaultRowHeight="12.75"/>
  <cols>
    <col min="2" max="2" width="12.42578125" style="19" customWidth="1"/>
    <col min="3" max="3" width="27.5703125" customWidth="1"/>
    <col min="4" max="4" width="36.5703125" style="20" customWidth="1"/>
  </cols>
  <sheetData>
    <row r="1" spans="2:4" ht="13.5" thickBot="1"/>
    <row r="2" spans="2:4" ht="13.5" thickBot="1">
      <c r="B2" s="22" t="s">
        <v>18</v>
      </c>
      <c r="C2" s="23" t="s">
        <v>19</v>
      </c>
      <c r="D2" s="24" t="s">
        <v>20</v>
      </c>
    </row>
    <row r="3" spans="2:4">
      <c r="B3" s="25"/>
      <c r="C3" s="21"/>
      <c r="D3" s="26"/>
    </row>
    <row r="4" spans="2:4">
      <c r="B4" s="166" t="s">
        <v>205</v>
      </c>
      <c r="C4" s="78" t="s">
        <v>203</v>
      </c>
      <c r="D4" s="27"/>
    </row>
    <row r="5" spans="2:4">
      <c r="B5" s="166" t="s">
        <v>205</v>
      </c>
      <c r="C5" s="78" t="s">
        <v>204</v>
      </c>
      <c r="D5" s="27"/>
    </row>
    <row r="6" spans="2:4" ht="25.5">
      <c r="B6" s="167" t="s">
        <v>207</v>
      </c>
      <c r="C6" s="78" t="s">
        <v>206</v>
      </c>
      <c r="D6" s="27"/>
    </row>
    <row r="7" spans="2:4">
      <c r="B7" s="28"/>
      <c r="C7" s="44"/>
      <c r="D7" s="27"/>
    </row>
    <row r="8" spans="2:4">
      <c r="B8" s="28"/>
      <c r="C8" s="44"/>
      <c r="D8" s="45"/>
    </row>
    <row r="9" spans="2:4">
      <c r="B9" s="29"/>
      <c r="C9" s="18"/>
      <c r="D9" s="27"/>
    </row>
    <row r="10" spans="2:4">
      <c r="B10" s="29"/>
      <c r="C10" s="18"/>
      <c r="D10" s="27"/>
    </row>
    <row r="11" spans="2:4">
      <c r="B11" s="29"/>
      <c r="C11" s="18"/>
      <c r="D11" s="27"/>
    </row>
    <row r="12" spans="2:4">
      <c r="B12" s="29"/>
      <c r="C12" s="18"/>
      <c r="D12" s="27"/>
    </row>
    <row r="13" spans="2:4">
      <c r="B13" s="29"/>
      <c r="C13" s="18"/>
      <c r="D13" s="27"/>
    </row>
    <row r="14" spans="2:4" ht="13.5" thickBot="1">
      <c r="B14" s="30"/>
      <c r="C14" s="31"/>
      <c r="D14" s="32"/>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INFO</vt:lpstr>
      <vt:lpstr>Method_input</vt:lpstr>
      <vt:lpstr>Method_calculation</vt:lpstr>
      <vt:lpstr>Method_output</vt:lpstr>
      <vt:lpstr>History</vt:lpstr>
      <vt:lpstr>Method_in</vt:lpstr>
      <vt:lpstr>Method_out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Dick van Dijk</cp:lastModifiedBy>
  <dcterms:created xsi:type="dcterms:W3CDTF">2011-05-24T04:21:57Z</dcterms:created>
  <dcterms:modified xsi:type="dcterms:W3CDTF">2015-06-17T14:15:57Z</dcterms:modified>
</cp:coreProperties>
</file>