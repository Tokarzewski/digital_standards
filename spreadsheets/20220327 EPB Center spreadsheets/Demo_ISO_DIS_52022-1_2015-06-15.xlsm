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5970" yWindow="-210" windowWidth="20625" windowHeight="12585"/>
  </bookViews>
  <sheets>
    <sheet name="INFO" sheetId="18" r:id="rId1"/>
    <sheet name="Method_input" sheetId="2" r:id="rId2"/>
    <sheet name="Method_calculation" sheetId="4" r:id="rId3"/>
    <sheet name="Method_output" sheetId="5" r:id="rId4"/>
    <sheet name="Alternative Calculation sheet" sheetId="17" r:id="rId5"/>
    <sheet name="History" sheetId="11" r:id="rId6"/>
  </sheets>
  <definedNames>
    <definedName name="alpha_eB">Method_calculation!$D$7</definedName>
    <definedName name="g">Method_input!$E$10</definedName>
    <definedName name="g_1">Method_input!$E$27</definedName>
    <definedName name="g_2">Method_input!$E$28</definedName>
    <definedName name="g_3">Method_input!$E$29</definedName>
    <definedName name="g_4">Method_input!$E$30</definedName>
    <definedName name="g_ext">Method_calculation!$D$4</definedName>
    <definedName name="g_int">Method_calculation!$D$5</definedName>
    <definedName name="g_integr">Method_calculation!$D$6</definedName>
    <definedName name="rho_e_ext">Method_input!$E$12</definedName>
    <definedName name="rho_e_int">Method_input!$E$13</definedName>
    <definedName name="rho_eB_ext">Method_input!$E$18</definedName>
    <definedName name="rho_eB_int">Method_input!$E$19</definedName>
    <definedName name="rho_v_ext">Method_input!$E$15</definedName>
    <definedName name="rho_v_int">Method_input!$E$16</definedName>
    <definedName name="rho_vB_ext">Method_input!$E$21</definedName>
    <definedName name="rho_vB_int">Method_input!$E$22</definedName>
    <definedName name="tau_e">Method_input!$E$11</definedName>
    <definedName name="tau_eB">Method_input!$E$17</definedName>
    <definedName name="tau_v">Method_input!$E$14</definedName>
    <definedName name="tau_vB">Method_input!$E$20</definedName>
    <definedName name="U_g">Method_input!$E$9</definedName>
  </definedNames>
  <calcPr calcId="145621"/>
</workbook>
</file>

<file path=xl/calcChain.xml><?xml version="1.0" encoding="utf-8"?>
<calcChain xmlns="http://schemas.openxmlformats.org/spreadsheetml/2006/main">
  <c r="D20" i="4" l="1"/>
  <c r="D17" i="4"/>
  <c r="D16" i="4"/>
  <c r="D15" i="4"/>
  <c r="D12" i="4"/>
  <c r="D11" i="4"/>
  <c r="D10" i="4"/>
  <c r="D7" i="4"/>
  <c r="D6" i="4"/>
  <c r="D5" i="4"/>
  <c r="D4" i="4"/>
  <c r="E12" i="5" l="1"/>
  <c r="E13" i="5"/>
  <c r="E7" i="5"/>
  <c r="E8" i="5"/>
  <c r="E16" i="5" l="1"/>
  <c r="E6" i="5" l="1"/>
  <c r="E11" i="5"/>
  <c r="G24" i="17"/>
  <c r="G18" i="17"/>
  <c r="H20" i="17"/>
  <c r="I24" i="17"/>
  <c r="I9" i="17"/>
  <c r="H24" i="17"/>
  <c r="H9" i="17"/>
  <c r="H26" i="17"/>
  <c r="H11" i="17"/>
  <c r="D25" i="17"/>
  <c r="G9" i="17" l="1"/>
</calcChain>
</file>

<file path=xl/comments1.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2.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sharedStrings.xml><?xml version="1.0" encoding="utf-8"?>
<sst xmlns="http://schemas.openxmlformats.org/spreadsheetml/2006/main" count="333" uniqueCount="173">
  <si>
    <t>Unit</t>
  </si>
  <si>
    <t>Origin</t>
  </si>
  <si>
    <t>Name</t>
  </si>
  <si>
    <t>Value</t>
  </si>
  <si>
    <t>Description</t>
  </si>
  <si>
    <t>Notes</t>
  </si>
  <si>
    <t>Symbol</t>
  </si>
  <si>
    <t>Range</t>
  </si>
  <si>
    <t>Varying</t>
  </si>
  <si>
    <t>Formula</t>
  </si>
  <si>
    <t>Formula ref</t>
  </si>
  <si>
    <t>Intended destination</t>
  </si>
  <si>
    <t>Date</t>
  </si>
  <si>
    <t>Version scope</t>
  </si>
  <si>
    <t>Changes, notes</t>
  </si>
  <si>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</si>
  <si>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</si>
  <si>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</si>
  <si>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</si>
  <si>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</si>
  <si>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</si>
  <si>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Software name</t>
  </si>
  <si>
    <t>N/A</t>
  </si>
  <si>
    <t>Operating and boundary conditions</t>
  </si>
  <si>
    <r>
      <t>W/(m</t>
    </r>
    <r>
      <rPr>
        <vertAlign val="superscript"/>
        <sz val="10"/>
        <rFont val="Arial"/>
        <family val="2"/>
      </rPr>
      <t>2</t>
    </r>
    <r>
      <rPr>
        <sz val="10"/>
        <rFont val="Arial"/>
        <family val="2"/>
      </rPr>
      <t>K)</t>
    </r>
  </si>
  <si>
    <t>0..10</t>
  </si>
  <si>
    <t>No</t>
  </si>
  <si>
    <t>Geometrial characteristics of the product</t>
  </si>
  <si>
    <t>Thermal characteristics of the componentes</t>
  </si>
  <si>
    <t>Thermal transmittance glas</t>
  </si>
  <si>
    <t>U_g</t>
  </si>
  <si>
    <r>
      <t>U</t>
    </r>
    <r>
      <rPr>
        <i/>
        <vertAlign val="subscript"/>
        <sz val="10"/>
        <rFont val="Arial"/>
        <family val="2"/>
      </rPr>
      <t>g</t>
    </r>
  </si>
  <si>
    <t>Source/Origin standard</t>
  </si>
  <si>
    <t>Total solar energy transmittance</t>
  </si>
  <si>
    <t>0..1</t>
  </si>
  <si>
    <t>Total light transmittance</t>
  </si>
  <si>
    <t>Total solar  transmittance</t>
  </si>
  <si>
    <r>
      <rPr>
        <i/>
        <sz val="10"/>
        <rFont val="Symbol"/>
        <family val="1"/>
        <charset val="2"/>
      </rPr>
      <t>t</t>
    </r>
    <r>
      <rPr>
        <i/>
        <vertAlign val="subscript"/>
        <sz val="10"/>
        <rFont val="Arial"/>
        <family val="2"/>
      </rPr>
      <t>v,t</t>
    </r>
  </si>
  <si>
    <r>
      <rPr>
        <i/>
        <sz val="10"/>
        <rFont val="Symbol"/>
        <family val="1"/>
        <charset val="2"/>
      </rPr>
      <t>t</t>
    </r>
    <r>
      <rPr>
        <i/>
        <vertAlign val="subscript"/>
        <sz val="10"/>
        <rFont val="Arial"/>
        <family val="2"/>
      </rPr>
      <t>e,t</t>
    </r>
  </si>
  <si>
    <r>
      <t>g</t>
    </r>
    <r>
      <rPr>
        <i/>
        <vertAlign val="subscript"/>
        <sz val="10"/>
        <rFont val="Arial"/>
        <family val="2"/>
      </rPr>
      <t>t</t>
    </r>
  </si>
  <si>
    <t>tau_vis_tot</t>
  </si>
  <si>
    <t>tau_sol_tot</t>
  </si>
  <si>
    <t>g_tot</t>
  </si>
  <si>
    <t>Solar energy transmittance glas</t>
  </si>
  <si>
    <t>g</t>
  </si>
  <si>
    <t>Solar transmittance glas</t>
  </si>
  <si>
    <t>Solar reflectance glas to the exterior</t>
  </si>
  <si>
    <t>Solar reflectance glas to the interior</t>
  </si>
  <si>
    <r>
      <t>t</t>
    </r>
    <r>
      <rPr>
        <i/>
        <vertAlign val="subscript"/>
        <sz val="10"/>
        <rFont val="Arial"/>
        <family val="2"/>
      </rPr>
      <t>e</t>
    </r>
  </si>
  <si>
    <r>
      <t>r</t>
    </r>
    <r>
      <rPr>
        <i/>
        <vertAlign val="subscript"/>
        <sz val="10"/>
        <rFont val="Arial"/>
        <family val="2"/>
      </rPr>
      <t>e</t>
    </r>
  </si>
  <si>
    <t>Thermal conductance</t>
  </si>
  <si>
    <r>
      <t>G</t>
    </r>
    <r>
      <rPr>
        <i/>
        <vertAlign val="subscript"/>
        <sz val="10"/>
        <rFont val="Arial"/>
        <family val="2"/>
      </rPr>
      <t>1</t>
    </r>
  </si>
  <si>
    <r>
      <t>G</t>
    </r>
    <r>
      <rPr>
        <i/>
        <vertAlign val="subscript"/>
        <sz val="10"/>
        <rFont val="Arial"/>
        <family val="2"/>
      </rPr>
      <t>2</t>
    </r>
  </si>
  <si>
    <r>
      <t>t</t>
    </r>
    <r>
      <rPr>
        <i/>
        <vertAlign val="subscript"/>
        <sz val="10"/>
        <rFont val="aria"/>
      </rPr>
      <t>v</t>
    </r>
  </si>
  <si>
    <t>light transmittance glas</t>
  </si>
  <si>
    <t>light reflectance glas to the exterior</t>
  </si>
  <si>
    <t>light reflectance glas to the interior</t>
  </si>
  <si>
    <r>
      <t>r</t>
    </r>
    <r>
      <rPr>
        <i/>
        <vertAlign val="subscript"/>
        <sz val="10"/>
        <rFont val="Arial"/>
        <family val="2"/>
      </rPr>
      <t>v</t>
    </r>
  </si>
  <si>
    <t>tau_e</t>
  </si>
  <si>
    <t>rho_e_ext</t>
  </si>
  <si>
    <t>rho_e_int</t>
  </si>
  <si>
    <t>tau_v</t>
  </si>
  <si>
    <t>rho_v_ext</t>
  </si>
  <si>
    <t>rho_v_int</t>
  </si>
  <si>
    <t>Solar transmittance blind</t>
  </si>
  <si>
    <t>Solar reflectance blind to the exterior</t>
  </si>
  <si>
    <t>Solar reflectance blind to the interior</t>
  </si>
  <si>
    <t>light transmittance blind</t>
  </si>
  <si>
    <t>light reflectance blind to the exterior</t>
  </si>
  <si>
    <t>light reflectance blind to the interior</t>
  </si>
  <si>
    <r>
      <t>r</t>
    </r>
    <r>
      <rPr>
        <i/>
        <sz val="10"/>
        <rFont val="Arial"/>
        <family val="2"/>
      </rPr>
      <t>´</t>
    </r>
    <r>
      <rPr>
        <i/>
        <vertAlign val="subscript"/>
        <sz val="10"/>
        <rFont val="Arial"/>
        <family val="2"/>
      </rPr>
      <t>e</t>
    </r>
  </si>
  <si>
    <r>
      <t>r</t>
    </r>
    <r>
      <rPr>
        <i/>
        <sz val="10"/>
        <rFont val="Arial"/>
        <family val="2"/>
      </rPr>
      <t>´</t>
    </r>
    <r>
      <rPr>
        <i/>
        <vertAlign val="subscript"/>
        <sz val="10"/>
        <rFont val="Arial"/>
        <family val="2"/>
      </rPr>
      <t>v</t>
    </r>
  </si>
  <si>
    <r>
      <t>t</t>
    </r>
    <r>
      <rPr>
        <i/>
        <vertAlign val="subscript"/>
        <sz val="10"/>
        <rFont val="Arial"/>
        <family val="2"/>
      </rPr>
      <t>e,B</t>
    </r>
  </si>
  <si>
    <r>
      <t>r</t>
    </r>
    <r>
      <rPr>
        <i/>
        <vertAlign val="subscript"/>
        <sz val="10"/>
        <rFont val="Arial"/>
        <family val="2"/>
      </rPr>
      <t>e,B</t>
    </r>
  </si>
  <si>
    <r>
      <t>r</t>
    </r>
    <r>
      <rPr>
        <i/>
        <sz val="10"/>
        <rFont val="Arial"/>
        <family val="2"/>
      </rPr>
      <t>´</t>
    </r>
    <r>
      <rPr>
        <i/>
        <vertAlign val="subscript"/>
        <sz val="10"/>
        <rFont val="Arial"/>
        <family val="2"/>
      </rPr>
      <t>e,B</t>
    </r>
  </si>
  <si>
    <r>
      <t>t</t>
    </r>
    <r>
      <rPr>
        <i/>
        <vertAlign val="subscript"/>
        <sz val="10"/>
        <rFont val="Arial"/>
        <family val="2"/>
      </rPr>
      <t>v,B</t>
    </r>
  </si>
  <si>
    <r>
      <t>r</t>
    </r>
    <r>
      <rPr>
        <i/>
        <vertAlign val="subscript"/>
        <sz val="10"/>
        <rFont val="Arial"/>
        <family val="2"/>
      </rPr>
      <t>v,B</t>
    </r>
  </si>
  <si>
    <r>
      <t>r</t>
    </r>
    <r>
      <rPr>
        <i/>
        <sz val="10"/>
        <rFont val="Arial"/>
        <family val="2"/>
      </rPr>
      <t>´</t>
    </r>
    <r>
      <rPr>
        <i/>
        <vertAlign val="subscript"/>
        <sz val="10"/>
        <rFont val="Arial"/>
        <family val="2"/>
      </rPr>
      <t>v,B</t>
    </r>
  </si>
  <si>
    <t>tau_eB</t>
  </si>
  <si>
    <t>rho_eB_ext</t>
  </si>
  <si>
    <t>rho_eB_int</t>
  </si>
  <si>
    <t>tau_vB</t>
  </si>
  <si>
    <t>rho_vB_ext</t>
  </si>
  <si>
    <t>rho_vB_int</t>
  </si>
  <si>
    <t>0..0,5</t>
  </si>
  <si>
    <t>0,1..0,8</t>
  </si>
  <si>
    <r>
      <t>G</t>
    </r>
    <r>
      <rPr>
        <i/>
        <vertAlign val="subscript"/>
        <sz val="10"/>
        <rFont val="Arial"/>
        <family val="2"/>
      </rPr>
      <t>3</t>
    </r>
    <r>
      <rPr>
        <sz val="11"/>
        <color theme="1"/>
        <rFont val="Calibri"/>
        <family val="2"/>
        <scheme val="minor"/>
      </rPr>
      <t/>
    </r>
  </si>
  <si>
    <r>
      <t>G</t>
    </r>
    <r>
      <rPr>
        <i/>
        <vertAlign val="subscript"/>
        <sz val="10"/>
        <rFont val="Arial"/>
        <family val="2"/>
      </rPr>
      <t>4</t>
    </r>
    <r>
      <rPr>
        <sz val="11"/>
        <color theme="1"/>
        <rFont val="Calibri"/>
        <family val="2"/>
        <scheme val="minor"/>
      </rPr>
      <t/>
    </r>
  </si>
  <si>
    <t>EN 14351-1
EN ISO 13790</t>
  </si>
  <si>
    <t>-</t>
  </si>
  <si>
    <t>input, output variables</t>
  </si>
  <si>
    <r>
      <t>t</t>
    </r>
    <r>
      <rPr>
        <vertAlign val="subscript"/>
        <sz val="10"/>
        <rFont val="Arial"/>
        <family val="2"/>
      </rPr>
      <t>v</t>
    </r>
  </si>
  <si>
    <r>
      <t>r</t>
    </r>
    <r>
      <rPr>
        <vertAlign val="subscript"/>
        <sz val="10"/>
        <rFont val="Arial"/>
        <family val="2"/>
      </rPr>
      <t>v</t>
    </r>
  </si>
  <si>
    <r>
      <t>r</t>
    </r>
    <r>
      <rPr>
        <vertAlign val="subscript"/>
        <sz val="10"/>
        <rFont val="Arial"/>
        <family val="2"/>
      </rPr>
      <t>v</t>
    </r>
    <r>
      <rPr>
        <sz val="10"/>
        <rFont val="Arial"/>
        <family val="2"/>
      </rPr>
      <t>´</t>
    </r>
  </si>
  <si>
    <r>
      <t>t</t>
    </r>
    <r>
      <rPr>
        <vertAlign val="subscript"/>
        <sz val="10"/>
        <rFont val="Arial"/>
        <family val="2"/>
      </rPr>
      <t>e</t>
    </r>
  </si>
  <si>
    <r>
      <t>r</t>
    </r>
    <r>
      <rPr>
        <vertAlign val="subscript"/>
        <sz val="10"/>
        <rFont val="Arial"/>
        <family val="2"/>
      </rPr>
      <t>e</t>
    </r>
  </si>
  <si>
    <r>
      <t>r</t>
    </r>
    <r>
      <rPr>
        <vertAlign val="subscript"/>
        <sz val="10"/>
        <rFont val="Arial"/>
        <family val="2"/>
      </rPr>
      <t>e</t>
    </r>
    <r>
      <rPr>
        <sz val="10"/>
        <rFont val="Arial"/>
        <family val="2"/>
      </rPr>
      <t>´</t>
    </r>
  </si>
  <si>
    <t>External solar protection</t>
  </si>
  <si>
    <t>Integrated solar protection</t>
  </si>
  <si>
    <t>Internal solar protection</t>
  </si>
  <si>
    <t>Characteristics of the solar protection</t>
  </si>
  <si>
    <r>
      <rPr>
        <sz val="10"/>
        <rFont val="Arial"/>
        <family val="2"/>
      </rPr>
      <t>G</t>
    </r>
    <r>
      <rPr>
        <vertAlign val="subscript"/>
        <sz val="10"/>
        <rFont val="Arial"/>
        <family val="2"/>
      </rPr>
      <t>1</t>
    </r>
  </si>
  <si>
    <r>
      <t>G</t>
    </r>
    <r>
      <rPr>
        <vertAlign val="subscript"/>
        <sz val="10"/>
        <rFont val="Arial"/>
        <family val="2"/>
      </rPr>
      <t>2</t>
    </r>
  </si>
  <si>
    <r>
      <t>G</t>
    </r>
    <r>
      <rPr>
        <vertAlign val="subscript"/>
        <sz val="10"/>
        <rFont val="Arial"/>
        <family val="2"/>
      </rPr>
      <t>3</t>
    </r>
  </si>
  <si>
    <t>U</t>
  </si>
  <si>
    <r>
      <t>t</t>
    </r>
    <r>
      <rPr>
        <vertAlign val="subscript"/>
        <sz val="10"/>
        <rFont val="Arial"/>
        <family val="2"/>
      </rPr>
      <t>e,B</t>
    </r>
  </si>
  <si>
    <r>
      <t>r</t>
    </r>
    <r>
      <rPr>
        <vertAlign val="subscript"/>
        <sz val="10"/>
        <rFont val="Arial"/>
        <family val="2"/>
      </rPr>
      <t>e,B</t>
    </r>
  </si>
  <si>
    <r>
      <t>r</t>
    </r>
    <r>
      <rPr>
        <sz val="10"/>
        <rFont val="Arial"/>
        <family val="2"/>
      </rPr>
      <t>´</t>
    </r>
    <r>
      <rPr>
        <vertAlign val="subscript"/>
        <sz val="10"/>
        <rFont val="Arial"/>
        <family val="2"/>
      </rPr>
      <t>e,B</t>
    </r>
  </si>
  <si>
    <r>
      <t>a</t>
    </r>
    <r>
      <rPr>
        <vertAlign val="subscript"/>
        <sz val="10"/>
        <rFont val="Arial"/>
        <family val="2"/>
      </rPr>
      <t>e,B</t>
    </r>
  </si>
  <si>
    <r>
      <t>t</t>
    </r>
    <r>
      <rPr>
        <vertAlign val="subscript"/>
        <sz val="10"/>
        <rFont val="Arial"/>
        <family val="2"/>
      </rPr>
      <t>v,B</t>
    </r>
  </si>
  <si>
    <r>
      <t>r</t>
    </r>
    <r>
      <rPr>
        <vertAlign val="subscript"/>
        <sz val="10"/>
        <rFont val="Arial"/>
        <family val="2"/>
      </rPr>
      <t>v,B</t>
    </r>
  </si>
  <si>
    <r>
      <t>r</t>
    </r>
    <r>
      <rPr>
        <sz val="10"/>
        <rFont val="Arial"/>
        <family val="2"/>
      </rPr>
      <t>´</t>
    </r>
    <r>
      <rPr>
        <vertAlign val="subscript"/>
        <sz val="10"/>
        <rFont val="Arial"/>
        <family val="2"/>
      </rPr>
      <t>v,B</t>
    </r>
  </si>
  <si>
    <r>
      <t>g</t>
    </r>
    <r>
      <rPr>
        <b/>
        <vertAlign val="subscript"/>
        <sz val="10"/>
        <rFont val="Arial"/>
        <family val="2"/>
      </rPr>
      <t>t</t>
    </r>
  </si>
  <si>
    <r>
      <rPr>
        <sz val="10"/>
        <rFont val="Symbol"/>
        <family val="1"/>
        <charset val="2"/>
      </rPr>
      <t>t</t>
    </r>
    <r>
      <rPr>
        <vertAlign val="subscript"/>
        <sz val="10"/>
        <rFont val="Arial"/>
        <family val="2"/>
      </rPr>
      <t>v,t</t>
    </r>
  </si>
  <si>
    <r>
      <rPr>
        <sz val="10"/>
        <rFont val="Symbol"/>
        <family val="1"/>
        <charset val="2"/>
      </rPr>
      <t>t</t>
    </r>
    <r>
      <rPr>
        <vertAlign val="subscript"/>
        <sz val="10"/>
        <rFont val="Arial"/>
        <family val="2"/>
      </rPr>
      <t>e,t</t>
    </r>
  </si>
  <si>
    <t>Characteristics of the glazing</t>
  </si>
  <si>
    <r>
      <t>G</t>
    </r>
    <r>
      <rPr>
        <vertAlign val="subscript"/>
        <sz val="10"/>
        <rFont val="Arial"/>
        <family val="2"/>
      </rPr>
      <t>4</t>
    </r>
  </si>
  <si>
    <t>/</t>
  </si>
  <si>
    <t>ISO 52022-1 Solar energy and light transmittance of solar protection devices combined with glazing</t>
  </si>
  <si>
    <r>
      <t>G</t>
    </r>
    <r>
      <rPr>
        <vertAlign val="subscript"/>
        <sz val="10"/>
        <rFont val="Arial"/>
        <family val="2"/>
      </rPr>
      <t>ext</t>
    </r>
  </si>
  <si>
    <r>
      <t>G</t>
    </r>
    <r>
      <rPr>
        <vertAlign val="subscript"/>
        <sz val="10"/>
        <rFont val="Arial"/>
        <family val="2"/>
      </rPr>
      <t>int</t>
    </r>
  </si>
  <si>
    <r>
      <t>G</t>
    </r>
    <r>
      <rPr>
        <vertAlign val="subscript"/>
        <sz val="10"/>
        <rFont val="Arial"/>
        <family val="2"/>
      </rPr>
      <t>integr</t>
    </r>
  </si>
  <si>
    <r>
      <t>W/(m</t>
    </r>
    <r>
      <rPr>
        <vertAlign val="superscript"/>
        <sz val="10"/>
        <rFont val="Arial"/>
        <family val="2"/>
      </rPr>
      <t>2</t>
    </r>
    <r>
      <rPr>
        <sz val="10"/>
        <rFont val="Arial"/>
        <family val="2"/>
      </rPr>
      <t>K)</t>
    </r>
  </si>
  <si>
    <t>Thermal conductance for external positon</t>
  </si>
  <si>
    <t>Thermal conductance for internal positon</t>
  </si>
  <si>
    <t>Thermal conductance for integrated positon</t>
  </si>
  <si>
    <t>External position of the solar protection device</t>
  </si>
  <si>
    <t>Internal position of the solar protection device</t>
  </si>
  <si>
    <t>Integrated position of the solar protection device</t>
  </si>
  <si>
    <t>Solar absorptance of the solar protection device</t>
  </si>
  <si>
    <r>
      <rPr>
        <sz val="10"/>
        <rFont val="Symbol"/>
        <family val="1"/>
        <charset val="2"/>
      </rPr>
      <t>a</t>
    </r>
    <r>
      <rPr>
        <vertAlign val="subscript"/>
        <sz val="10"/>
        <rFont val="Arial"/>
        <family val="2"/>
      </rPr>
      <t>e,B</t>
    </r>
  </si>
  <si>
    <r>
      <t>a</t>
    </r>
    <r>
      <rPr>
        <vertAlign val="subscript"/>
        <sz val="10"/>
        <rFont val="Arial"/>
        <family val="2"/>
      </rPr>
      <t>e,B</t>
    </r>
    <r>
      <rPr>
        <sz val="10"/>
        <rFont val="Arial"/>
        <family val="2"/>
      </rPr>
      <t xml:space="preserve"> = 1 </t>
    </r>
    <r>
      <rPr>
        <sz val="10"/>
        <rFont val="Symbol"/>
        <family val="1"/>
        <charset val="2"/>
      </rPr>
      <t>-</t>
    </r>
    <r>
      <rPr>
        <sz val="10"/>
        <rFont val="Arial"/>
        <family val="2"/>
      </rPr>
      <t xml:space="preserve"> </t>
    </r>
    <r>
      <rPr>
        <i/>
        <sz val="10"/>
        <rFont val="Symbol"/>
        <family val="1"/>
        <charset val="2"/>
      </rPr>
      <t>t</t>
    </r>
    <r>
      <rPr>
        <vertAlign val="subscript"/>
        <sz val="10"/>
        <rFont val="Arial"/>
        <family val="2"/>
      </rPr>
      <t>e,B</t>
    </r>
    <r>
      <rPr>
        <sz val="10"/>
        <rFont val="Arial"/>
        <family val="2"/>
      </rPr>
      <t xml:space="preserve"> </t>
    </r>
    <r>
      <rPr>
        <sz val="10"/>
        <rFont val="Symbol"/>
        <family val="1"/>
        <charset val="2"/>
      </rPr>
      <t>-</t>
    </r>
    <r>
      <rPr>
        <sz val="10"/>
        <rFont val="Arial"/>
        <family val="2"/>
      </rPr>
      <t xml:space="preserve"> </t>
    </r>
    <r>
      <rPr>
        <i/>
        <sz val="10"/>
        <rFont val="Symbol"/>
        <family val="1"/>
        <charset val="2"/>
      </rPr>
      <t>r</t>
    </r>
    <r>
      <rPr>
        <vertAlign val="subscript"/>
        <sz val="10"/>
        <rFont val="Arial"/>
        <family val="2"/>
      </rPr>
      <t>e,B</t>
    </r>
  </si>
  <si>
    <t>(1)</t>
  </si>
  <si>
    <t>(2)</t>
  </si>
  <si>
    <t>(3)</t>
  </si>
  <si>
    <t>(5a)</t>
  </si>
  <si>
    <t>(5b)</t>
  </si>
  <si>
    <t>(4a)</t>
  </si>
  <si>
    <t>(4b)</t>
  </si>
  <si>
    <t>Chapter 6.4.2</t>
  </si>
  <si>
    <t>Calculation added</t>
  </si>
  <si>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E (blue background) is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</si>
  <si>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see Table C.1 in ISO 52022-1</t>
  </si>
  <si>
    <t>The calculation example is taken from TR 52022-2 Annex F</t>
  </si>
  <si>
    <t>draft final for distribution in TC89</t>
  </si>
  <si>
    <t>g_1</t>
  </si>
  <si>
    <t>g_2</t>
  </si>
  <si>
    <t>g_3</t>
  </si>
  <si>
    <t>g_4</t>
  </si>
  <si>
    <t xml:space="preserve">Draft spreadsheet, according to template for all EPB standards </t>
  </si>
  <si>
    <t>Concerns EPB standard:</t>
  </si>
  <si>
    <t>Produced by the Project Leader for the preparation of this standard</t>
  </si>
  <si>
    <t>DISCLAIMER:</t>
  </si>
  <si>
    <r>
      <t>·</t>
    </r>
    <r>
      <rPr>
        <sz val="7"/>
        <rFont val="Times New Roman"/>
        <family val="1"/>
      </rPr>
      <t xml:space="preserve">         </t>
    </r>
    <r>
      <rPr>
        <sz val="10"/>
        <rFont val="Arial"/>
        <family val="2"/>
      </rPr>
      <t xml:space="preserve">This spreadsheet has been developed in the framework of the preparation and revision of the set of EN or ISO standards on the energy performance of buildings, to support the European "Energy Performance of Buildings Directive" recast (EPBD-recast, directive 2010/31/EU). </t>
    </r>
  </si>
  <si>
    <r>
      <t>·</t>
    </r>
    <r>
      <rPr>
        <sz val="7"/>
        <rFont val="Times New Roman"/>
        <family val="1"/>
      </rPr>
      <t xml:space="preserve">         </t>
    </r>
    <r>
      <rPr>
        <sz val="10"/>
        <rFont val="Arial"/>
        <family val="2"/>
      </rPr>
      <t>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t>
    </r>
  </si>
  <si>
    <r>
      <t>·</t>
    </r>
    <r>
      <rPr>
        <sz val="7"/>
        <rFont val="Times New Roman"/>
        <family val="1"/>
      </rPr>
      <t xml:space="preserve">         </t>
    </r>
    <r>
      <rPr>
        <sz val="10"/>
        <rFont val="Arial"/>
        <family val="2"/>
      </rPr>
      <t>The spreadsheet supports the expert user of the standards, in particular those who want to review the content of the standard and those who want to translate the standard to a software, to understand the correct interpretation of the equations and calculation steps in the standard.</t>
    </r>
  </si>
  <si>
    <r>
      <t>·</t>
    </r>
    <r>
      <rPr>
        <sz val="7"/>
        <rFont val="Times New Roman"/>
        <family val="1"/>
      </rPr>
      <t xml:space="preserve">         </t>
    </r>
    <r>
      <rPr>
        <sz val="10"/>
        <rFont val="Arial"/>
        <family val="2"/>
      </rPr>
      <t>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r>
  </si>
  <si>
    <t>DRAFT VERSION:</t>
  </si>
  <si>
    <r>
      <t>·</t>
    </r>
    <r>
      <rPr>
        <sz val="7"/>
        <rFont val="Times New Roman"/>
        <family val="1"/>
      </rPr>
      <t xml:space="preserve">         </t>
    </r>
    <r>
      <rPr>
        <sz val="10"/>
        <rFont val="Arial"/>
        <family val="2"/>
      </rPr>
      <t>As long as the associated EPB standard or any of the other EPB standards to which it is directly linked are in a draft stage, this spreadsheet is also a draft version only.</t>
    </r>
  </si>
  <si>
    <t xml:space="preserve">WARNINGS: </t>
  </si>
  <si>
    <r>
      <t>·</t>
    </r>
    <r>
      <rPr>
        <sz val="7"/>
        <rFont val="Times New Roman"/>
        <family val="1"/>
      </rPr>
      <t xml:space="preserve">         </t>
    </r>
    <r>
      <rPr>
        <sz val="10"/>
        <rFont val="Arial"/>
        <family val="2"/>
      </rPr>
      <t xml:space="preserve">Note that the spreadsheet may not allow testing all calculation options that are possible according to the standard to which it applies. This remark applies in particular but not only to limitations on the number instances of a variable that can be considered. </t>
    </r>
  </si>
  <si>
    <r>
      <t>·</t>
    </r>
    <r>
      <rPr>
        <sz val="7"/>
        <rFont val="Times New Roman"/>
        <family val="1"/>
      </rPr>
      <t xml:space="preserve">         </t>
    </r>
    <r>
      <rPr>
        <sz val="10"/>
        <rFont val="Arial"/>
        <family val="2"/>
      </rPr>
      <t>In case of differences, the standard should be regarded as the reference, not the spreadsheet. However, during the standard's drafting phase, shortcomings in the draft standard may have been detected and dealt with in the spreadsheets (ideally, such differences are marked).</t>
    </r>
  </si>
  <si>
    <r>
      <t>·</t>
    </r>
    <r>
      <rPr>
        <sz val="7"/>
        <rFont val="Times New Roman"/>
        <family val="1"/>
      </rPr>
      <t xml:space="preserve">         </t>
    </r>
    <r>
      <rPr>
        <sz val="10"/>
        <rFont val="Arial"/>
        <family val="2"/>
      </rPr>
      <t xml:space="preserve">Note also that these spreadsheets are purely intended for testing and demonstration and therefore not aiming to be user friendly or to be protected against wrong or improper use. </t>
    </r>
  </si>
  <si>
    <t>TERMS OF USE:</t>
  </si>
  <si>
    <r>
      <t>·</t>
    </r>
    <r>
      <rPr>
        <sz val="7"/>
        <rFont val="Times New Roman"/>
        <family val="1"/>
      </rPr>
      <t xml:space="preserve">         </t>
    </r>
    <r>
      <rPr>
        <sz val="10"/>
        <rFont val="Arial"/>
        <family val="2"/>
      </rPr>
      <t>The user is not allowed to redistribute a modified version of this spreadsheet.</t>
    </r>
  </si>
  <si>
    <r>
      <t>·</t>
    </r>
    <r>
      <rPr>
        <sz val="7"/>
        <rFont val="Times New Roman"/>
        <family val="1"/>
      </rPr>
      <t xml:space="preserve">         </t>
    </r>
    <r>
      <rPr>
        <sz val="10"/>
        <rFont val="Arial"/>
        <family val="2"/>
      </rPr>
      <t>The author(s) would appreciate your feed back on the spreadsheet via the comment sheets for the associated draft standard to be prepared by the national standards bodies during enquiry of the draft standard(s),</t>
    </r>
  </si>
  <si>
    <r>
      <rPr>
        <b/>
        <sz val="10"/>
        <rFont val="Arial"/>
        <family val="2"/>
      </rPr>
      <t>Why an Excel spreadsheet?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</si>
  <si>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ISO/DIS 52022-1,Energy performance of buildings — Thermal, solar and daylight properties of building components and elements — Part 1: Simplified calculation method of the solar and daylight characteristics for solar protection devices combined with glazing</t>
  </si>
  <si>
    <t>SCOPE OF THIS SPREADSHEET:</t>
  </si>
  <si>
    <t>THIS SPREADSHEET PROVIDES ONE CALCULATION EXAMPLE</t>
  </si>
  <si>
    <t>For those responsible for the drafting of this spreadsheet on the accompanying EPB standard</t>
  </si>
  <si>
    <r>
      <rPr>
        <b/>
        <sz val="11"/>
        <rFont val="Arial"/>
        <family val="2"/>
      </rPr>
      <t>Intended use of this document</t>
    </r>
    <r>
      <rPr>
        <sz val="10"/>
        <rFont val="Arial"/>
        <family val="2"/>
      </rPr>
      <t xml:space="preserve">
Those responsible for the drafting of actual individual EPB standards shall
-  read and understand the following documents
   - EN/TS 16628 Basic Principles (in short "BP")
   - EN/TS 16629 Detailed Technical Rules (in short "DTR")
   - Most recent draft of ISO 52000-1 cq EN 15603 ("Overarching Standard", in short "OA"))
   - Most recent draft of ISO/TR 52000-2 cq EN/TR 15615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</si>
  <si>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t>Final draft accompanying the DIS, ready for distribution as CEN TEC 89 N document and for public distribution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</si>
</sst>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24">
    <font>
      <sz val="10"/>
      <name val="Arial"/>
    </font>
    <font>
      <sz val="11"/>
      <color theme="1"/>
      <name val="Calibri"/>
      <family val="2"/>
      <scheme val="minor"/>
    </font>
    <font>
      <sz val="8"/>
      <color indexed="81"/>
      <name val="Tahoma"/>
      <family val="2"/>
    </font>
    <font>
      <b/>
      <sz val="8"/>
      <color indexed="81"/>
      <name val="Tahoma"/>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0"/>
      <color rgb="FFFF0000"/>
      <name val="Arial"/>
      <family val="2"/>
    </font>
    <font>
      <i/>
      <vertAlign val="subscript"/>
      <sz val="10"/>
      <name val="Arial"/>
      <family val="2"/>
    </font>
    <font>
      <vertAlign val="superscript"/>
      <sz val="10"/>
      <name val="Arial"/>
      <family val="2"/>
    </font>
    <font>
      <sz val="9"/>
      <name val="Arial"/>
      <family val="2"/>
    </font>
    <font>
      <i/>
      <vertAlign val="subscript"/>
      <sz val="10"/>
      <name val="aria"/>
    </font>
    <font>
      <sz val="14"/>
      <name val="Arial"/>
      <family val="2"/>
    </font>
    <font>
      <vertAlign val="subscript"/>
      <sz val="10"/>
      <name val="Arial"/>
      <family val="2"/>
    </font>
    <font>
      <b/>
      <vertAlign val="subscript"/>
      <sz val="10"/>
      <name val="Arial"/>
      <family val="2"/>
    </font>
    <font>
      <b/>
      <sz val="12"/>
      <name val="Arial"/>
      <family val="2"/>
    </font>
    <font>
      <sz val="7"/>
      <name val="Times New Roman"/>
      <family val="1"/>
    </font>
    <font>
      <sz val="14"/>
      <color rgb="FF0000FF"/>
      <name val="Arial"/>
      <family val="2"/>
    </font>
  </fonts>
  <fills count="8">
    <fill>
      <patternFill patternType="none"/>
    </fill>
    <fill>
      <patternFill patternType="gray125"/>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22"/>
        <bgColor indexed="64"/>
      </patternFill>
    </fill>
    <fill>
      <patternFill patternType="solid">
        <fgColor theme="4" tint="0.59999389629810485"/>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4" fillId="0" borderId="0"/>
    <xf numFmtId="0" fontId="4" fillId="0" borderId="0"/>
  </cellStyleXfs>
  <cellXfs count="194">
    <xf numFmtId="0" fontId="0" fillId="0" borderId="0" xfId="0"/>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7" xfId="0"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5" fillId="0" borderId="7" xfId="0" applyFont="1" applyBorder="1" applyAlignment="1">
      <alignment horizontal="center" vertical="center" wrapText="1"/>
    </xf>
    <xf numFmtId="0" fontId="0" fillId="0" borderId="0" xfId="0" applyAlignment="1">
      <alignment vertical="center" wrapText="1"/>
    </xf>
    <xf numFmtId="0" fontId="0" fillId="0" borderId="1" xfId="0" applyBorder="1"/>
    <xf numFmtId="0" fontId="5" fillId="0" borderId="10"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7" xfId="0" applyBorder="1"/>
    <xf numFmtId="0" fontId="8" fillId="0" borderId="14" xfId="0" applyFont="1" applyBorder="1" applyAlignment="1">
      <alignment horizontal="center"/>
    </xf>
    <xf numFmtId="0" fontId="8" fillId="0" borderId="15" xfId="0" applyFont="1" applyBorder="1" applyAlignment="1">
      <alignment horizontal="center"/>
    </xf>
    <xf numFmtId="0" fontId="8" fillId="0" borderId="16" xfId="0" applyFont="1" applyBorder="1" applyAlignment="1">
      <alignment horizontal="center" wrapText="1"/>
    </xf>
    <xf numFmtId="0" fontId="0" fillId="0" borderId="18" xfId="0" applyBorder="1" applyAlignment="1">
      <alignment wrapText="1"/>
    </xf>
    <xf numFmtId="14" fontId="5" fillId="0" borderId="2" xfId="0" applyNumberFormat="1" applyFont="1" applyBorder="1" applyAlignment="1">
      <alignment horizontal="center"/>
    </xf>
    <xf numFmtId="0" fontId="0" fillId="0" borderId="5" xfId="0" applyBorder="1" applyAlignment="1">
      <alignment wrapText="1"/>
    </xf>
    <xf numFmtId="14" fontId="0" fillId="0" borderId="2"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xf numFmtId="0" fontId="0" fillId="0" borderId="6" xfId="0" applyBorder="1" applyAlignment="1">
      <alignment wrapText="1"/>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5" fillId="0" borderId="9" xfId="0" applyFont="1" applyBorder="1" applyAlignment="1">
      <alignment horizontal="center" vertical="center" wrapText="1"/>
    </xf>
    <xf numFmtId="0" fontId="4" fillId="0" borderId="1" xfId="0" applyFont="1" applyBorder="1" applyAlignment="1">
      <alignment horizontal="center" vertical="center" wrapText="1"/>
    </xf>
    <xf numFmtId="0" fontId="5" fillId="0" borderId="5"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 xfId="0" applyFont="1" applyBorder="1" applyAlignment="1">
      <alignment vertical="center" wrapText="1"/>
    </xf>
    <xf numFmtId="0" fontId="4" fillId="0" borderId="1" xfId="0" applyFont="1" applyBorder="1" applyAlignment="1">
      <alignment horizontal="left" vertical="center" wrapText="1" indent="2"/>
    </xf>
    <xf numFmtId="0" fontId="4" fillId="0" borderId="5" xfId="0" applyFont="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xf numFmtId="0" fontId="4" fillId="0" borderId="5" xfId="0" applyFont="1" applyBorder="1" applyAlignment="1">
      <alignment wrapText="1"/>
    </xf>
    <xf numFmtId="0" fontId="6" fillId="0" borderId="10" xfId="0" applyFont="1" applyBorder="1" applyAlignment="1">
      <alignment horizontal="center" vertical="center"/>
    </xf>
    <xf numFmtId="0" fontId="4" fillId="0" borderId="1" xfId="0" applyFont="1" applyBorder="1" applyAlignment="1">
      <alignment horizontal="center" vertical="center"/>
    </xf>
    <xf numFmtId="0" fontId="5" fillId="0" borderId="1" xfId="0" applyFont="1" applyFill="1" applyBorder="1" applyAlignment="1">
      <alignment vertical="center" wrapText="1"/>
    </xf>
    <xf numFmtId="0" fontId="4" fillId="0" borderId="1" xfId="0" applyFont="1" applyFill="1" applyBorder="1" applyAlignment="1">
      <alignment horizontal="center" vertical="center" wrapText="1"/>
    </xf>
    <xf numFmtId="0" fontId="5" fillId="0" borderId="1" xfId="0" applyFont="1" applyFill="1" applyBorder="1" applyAlignment="1">
      <alignment horizontal="center" vertical="center" wrapText="1"/>
    </xf>
    <xf numFmtId="164" fontId="0" fillId="0" borderId="1" xfId="0" applyNumberFormat="1" applyFill="1" applyBorder="1" applyAlignment="1">
      <alignment horizontal="center" vertical="center" wrapText="1"/>
    </xf>
    <xf numFmtId="0" fontId="0" fillId="0" borderId="1" xfId="0" applyFill="1" applyBorder="1" applyAlignment="1">
      <alignment horizontal="center" vertical="center" wrapText="1"/>
    </xf>
    <xf numFmtId="0" fontId="5" fillId="0" borderId="1" xfId="0" applyFont="1" applyFill="1" applyBorder="1" applyAlignment="1">
      <alignment horizontal="left" vertical="center" wrapText="1"/>
    </xf>
    <xf numFmtId="0" fontId="6" fillId="0" borderId="1" xfId="0" applyFont="1" applyFill="1" applyBorder="1" applyAlignment="1">
      <alignment horizontal="center" vertical="center"/>
    </xf>
    <xf numFmtId="0" fontId="5" fillId="0" borderId="1" xfId="0" applyFont="1" applyFill="1" applyBorder="1" applyAlignment="1">
      <alignment vertical="center"/>
    </xf>
    <xf numFmtId="0" fontId="4" fillId="0" borderId="1" xfId="0" applyFont="1" applyFill="1" applyBorder="1" applyAlignment="1">
      <alignment horizontal="center" vertical="center"/>
    </xf>
    <xf numFmtId="3" fontId="0" fillId="0" borderId="1" xfId="0" applyNumberFormat="1" applyFill="1" applyBorder="1" applyAlignment="1">
      <alignment horizontal="center" vertical="center" wrapText="1"/>
    </xf>
    <xf numFmtId="0" fontId="0" fillId="0" borderId="0" xfId="0" applyFill="1" applyAlignment="1">
      <alignment horizontal="center" vertical="center" wrapText="1"/>
    </xf>
    <xf numFmtId="0" fontId="4" fillId="0" borderId="1" xfId="0" applyFont="1" applyFill="1" applyBorder="1" applyAlignment="1">
      <alignment vertical="center"/>
    </xf>
    <xf numFmtId="0" fontId="4" fillId="0" borderId="0" xfId="0" applyFont="1" applyAlignment="1">
      <alignment horizontal="left" vertical="center"/>
    </xf>
    <xf numFmtId="0" fontId="12" fillId="0" borderId="1" xfId="0" applyFont="1" applyFill="1" applyBorder="1" applyAlignment="1">
      <alignment horizontal="center" vertical="center" wrapText="1"/>
    </xf>
    <xf numFmtId="2" fontId="0" fillId="0" borderId="1" xfId="0" applyNumberFormat="1" applyFill="1" applyBorder="1" applyAlignment="1">
      <alignment horizontal="center" vertical="center" wrapText="1"/>
    </xf>
    <xf numFmtId="0" fontId="8" fillId="0" borderId="1" xfId="0" applyFont="1" applyBorder="1" applyAlignment="1">
      <alignment horizontal="left" vertical="center"/>
    </xf>
    <xf numFmtId="0" fontId="8" fillId="0" borderId="7" xfId="0" applyFont="1" applyBorder="1" applyAlignment="1">
      <alignment horizontal="left" vertical="center" wrapText="1"/>
    </xf>
    <xf numFmtId="0" fontId="16" fillId="0" borderId="1" xfId="0" applyFont="1" applyBorder="1"/>
    <xf numFmtId="0" fontId="4" fillId="3"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4" fillId="0" borderId="1" xfId="0" quotePrefix="1" applyFont="1" applyBorder="1" applyAlignment="1">
      <alignment horizontal="center" vertical="center" wrapText="1"/>
    </xf>
    <xf numFmtId="0" fontId="16" fillId="0" borderId="1" xfId="0" applyFont="1" applyBorder="1" applyAlignment="1">
      <alignment vertical="center"/>
    </xf>
    <xf numFmtId="0" fontId="4" fillId="0" borderId="1" xfId="0" applyFont="1" applyBorder="1" applyAlignment="1">
      <alignment horizontal="left" vertical="center" wrapText="1"/>
    </xf>
    <xf numFmtId="0" fontId="8" fillId="0" borderId="0" xfId="0" applyFont="1" applyAlignment="1">
      <alignment horizontal="center" vertical="center" wrapText="1"/>
    </xf>
    <xf numFmtId="0" fontId="4" fillId="0" borderId="0" xfId="0" applyFont="1" applyAlignment="1">
      <alignment horizontal="center" vertical="center" wrapText="1"/>
    </xf>
    <xf numFmtId="0" fontId="16" fillId="0" borderId="7" xfId="0" applyFont="1" applyBorder="1"/>
    <xf numFmtId="14" fontId="0" fillId="0" borderId="17" xfId="0" applyNumberFormat="1" applyBorder="1" applyAlignment="1">
      <alignment horizontal="center"/>
    </xf>
    <xf numFmtId="0" fontId="0" fillId="0" borderId="22" xfId="0" applyBorder="1"/>
    <xf numFmtId="0" fontId="0" fillId="0" borderId="23" xfId="0" applyBorder="1"/>
    <xf numFmtId="0" fontId="0" fillId="0" borderId="13" xfId="0" applyBorder="1"/>
    <xf numFmtId="0" fontId="0" fillId="0" borderId="0" xfId="0" applyBorder="1"/>
    <xf numFmtId="0" fontId="8" fillId="0" borderId="0" xfId="0" applyFont="1" applyBorder="1" applyProtection="1">
      <protection locked="0"/>
    </xf>
    <xf numFmtId="0" fontId="0" fillId="0" borderId="0" xfId="0" applyProtection="1">
      <protection locked="0"/>
    </xf>
    <xf numFmtId="0" fontId="0" fillId="0" borderId="0" xfId="0" applyBorder="1" applyProtection="1">
      <protection locked="0"/>
    </xf>
    <xf numFmtId="0" fontId="0" fillId="0" borderId="24" xfId="0" applyBorder="1"/>
    <xf numFmtId="0" fontId="0" fillId="6" borderId="23" xfId="0" applyFill="1" applyBorder="1"/>
    <xf numFmtId="0" fontId="0" fillId="0" borderId="21" xfId="0" applyBorder="1" applyAlignment="1">
      <alignment horizontal="center"/>
    </xf>
    <xf numFmtId="0" fontId="8" fillId="0" borderId="22" xfId="0" applyFont="1" applyBorder="1" applyAlignment="1">
      <alignment horizontal="center"/>
    </xf>
    <xf numFmtId="0" fontId="0" fillId="0" borderId="23" xfId="0" applyBorder="1" applyAlignment="1">
      <alignment horizontal="center"/>
    </xf>
    <xf numFmtId="0" fontId="0" fillId="6" borderId="24" xfId="0" applyFill="1" applyBorder="1" applyAlignment="1" applyProtection="1">
      <alignment horizontal="center"/>
      <protection locked="0"/>
    </xf>
    <xf numFmtId="0" fontId="8" fillId="0" borderId="25" xfId="0" applyFont="1" applyBorder="1" applyAlignment="1">
      <alignment horizontal="center"/>
    </xf>
    <xf numFmtId="0" fontId="18" fillId="0" borderId="0" xfId="0" applyFont="1"/>
    <xf numFmtId="165" fontId="8" fillId="0" borderId="28" xfId="0" applyNumberFormat="1" applyFont="1" applyBorder="1" applyAlignment="1" applyProtection="1">
      <alignment horizontal="center"/>
    </xf>
    <xf numFmtId="165" fontId="0" fillId="0" borderId="29" xfId="0" applyNumberFormat="1" applyBorder="1" applyAlignment="1">
      <alignment horizontal="center"/>
    </xf>
    <xf numFmtId="165" fontId="0" fillId="0" borderId="30" xfId="0" applyNumberFormat="1" applyBorder="1" applyAlignment="1">
      <alignment horizontal="center"/>
    </xf>
    <xf numFmtId="0" fontId="9" fillId="6" borderId="13" xfId="0" applyFont="1" applyFill="1" applyBorder="1"/>
    <xf numFmtId="0" fontId="9" fillId="6" borderId="28" xfId="0" applyFont="1" applyFill="1" applyBorder="1"/>
    <xf numFmtId="0" fontId="0" fillId="6" borderId="30" xfId="0" applyFill="1" applyBorder="1" applyAlignment="1" applyProtection="1">
      <alignment horizontal="center"/>
      <protection locked="0"/>
    </xf>
    <xf numFmtId="0" fontId="0" fillId="0" borderId="0" xfId="0" applyBorder="1" applyAlignment="1">
      <alignment horizontal="center"/>
    </xf>
    <xf numFmtId="165" fontId="8" fillId="0" borderId="28" xfId="0" applyNumberFormat="1" applyFont="1" applyBorder="1" applyAlignment="1">
      <alignment horizontal="center"/>
    </xf>
    <xf numFmtId="0" fontId="0" fillId="6" borderId="24" xfId="0" applyFill="1" applyBorder="1" applyAlignment="1">
      <alignment horizontal="center"/>
    </xf>
    <xf numFmtId="0" fontId="0" fillId="6" borderId="30" xfId="0" applyFill="1" applyBorder="1" applyAlignment="1">
      <alignment horizontal="center"/>
    </xf>
    <xf numFmtId="0" fontId="0" fillId="0" borderId="28" xfId="0" applyBorder="1"/>
    <xf numFmtId="0" fontId="0" fillId="0" borderId="31" xfId="0" applyBorder="1"/>
    <xf numFmtId="0" fontId="0" fillId="0" borderId="30" xfId="0" applyBorder="1"/>
    <xf numFmtId="0" fontId="4" fillId="6" borderId="21" xfId="0" applyFont="1" applyFill="1" applyBorder="1"/>
    <xf numFmtId="0" fontId="4" fillId="0" borderId="13" xfId="0" applyFont="1" applyBorder="1"/>
    <xf numFmtId="0" fontId="4" fillId="0" borderId="0" xfId="0" applyFont="1" applyBorder="1"/>
    <xf numFmtId="0" fontId="4" fillId="6" borderId="13" xfId="0" applyFont="1" applyFill="1" applyBorder="1"/>
    <xf numFmtId="0" fontId="0" fillId="6" borderId="0" xfId="0" applyFill="1" applyBorder="1" applyAlignment="1" applyProtection="1">
      <alignment horizontal="center"/>
      <protection locked="0"/>
    </xf>
    <xf numFmtId="0" fontId="0" fillId="6" borderId="0" xfId="0" applyFill="1" applyBorder="1" applyAlignment="1">
      <alignment horizontal="center"/>
    </xf>
    <xf numFmtId="0" fontId="4" fillId="0" borderId="26" xfId="0" applyFont="1" applyBorder="1" applyAlignment="1">
      <alignment horizontal="center"/>
    </xf>
    <xf numFmtId="0" fontId="4" fillId="0" borderId="27" xfId="0" applyFont="1" applyBorder="1" applyAlignment="1">
      <alignment horizontal="center"/>
    </xf>
    <xf numFmtId="0" fontId="0" fillId="0" borderId="0" xfId="0" applyFill="1" applyBorder="1" applyAlignment="1">
      <alignment horizontal="center"/>
    </xf>
    <xf numFmtId="165" fontId="8" fillId="0" borderId="0" xfId="0" applyNumberFormat="1" applyFont="1" applyBorder="1" applyAlignment="1" applyProtection="1">
      <alignment horizontal="center"/>
    </xf>
    <xf numFmtId="165" fontId="0" fillId="0" borderId="0" xfId="0" applyNumberFormat="1" applyBorder="1" applyAlignment="1">
      <alignment horizontal="center"/>
    </xf>
    <xf numFmtId="165" fontId="4" fillId="0" borderId="29" xfId="0" applyNumberFormat="1" applyFont="1" applyBorder="1" applyAlignment="1">
      <alignment horizontal="center"/>
    </xf>
    <xf numFmtId="165" fontId="4" fillId="0" borderId="30" xfId="0" applyNumberFormat="1" applyFont="1" applyBorder="1" applyAlignment="1">
      <alignment horizontal="center"/>
    </xf>
    <xf numFmtId="2" fontId="0" fillId="0" borderId="0" xfId="0" applyNumberFormat="1" applyBorder="1"/>
    <xf numFmtId="0" fontId="4" fillId="0" borderId="21" xfId="0" applyFont="1" applyBorder="1"/>
    <xf numFmtId="0" fontId="0" fillId="6" borderId="22" xfId="0" applyFill="1" applyBorder="1"/>
    <xf numFmtId="0" fontId="4" fillId="6" borderId="24" xfId="0" applyFont="1" applyFill="1" applyBorder="1" applyAlignment="1" applyProtection="1">
      <alignment horizontal="center"/>
      <protection locked="0"/>
    </xf>
    <xf numFmtId="0" fontId="0" fillId="6" borderId="31" xfId="0" applyFill="1" applyBorder="1" applyAlignment="1" applyProtection="1">
      <alignment horizontal="center"/>
      <protection locked="0"/>
    </xf>
    <xf numFmtId="0" fontId="0" fillId="6" borderId="31" xfId="0" applyFill="1" applyBorder="1" applyAlignment="1">
      <alignment horizontal="center"/>
    </xf>
    <xf numFmtId="0" fontId="0" fillId="0" borderId="1" xfId="0" applyBorder="1" applyAlignment="1">
      <alignment vertical="center"/>
    </xf>
    <xf numFmtId="0" fontId="4" fillId="0" borderId="32" xfId="0" applyFont="1" applyBorder="1"/>
    <xf numFmtId="0" fontId="6" fillId="0" borderId="33" xfId="0" applyFont="1" applyBorder="1" applyAlignment="1">
      <alignment horizontal="center" vertical="center"/>
    </xf>
    <xf numFmtId="0" fontId="4" fillId="0" borderId="33" xfId="0" applyFont="1" applyBorder="1" applyAlignment="1">
      <alignment horizontal="center" vertical="center"/>
    </xf>
    <xf numFmtId="3" fontId="0" fillId="0" borderId="33" xfId="0" applyNumberForma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11" fillId="0" borderId="13" xfId="0" applyFont="1" applyBorder="1" applyAlignment="1">
      <alignment horizontal="left" vertical="center"/>
    </xf>
    <xf numFmtId="0" fontId="4" fillId="0" borderId="33" xfId="0" applyFont="1" applyBorder="1"/>
    <xf numFmtId="0" fontId="11" fillId="0" borderId="35" xfId="0" applyFont="1" applyBorder="1" applyAlignment="1">
      <alignment horizontal="left" vertical="center"/>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0" borderId="13" xfId="0" applyBorder="1" applyAlignment="1">
      <alignment horizontal="center" vertical="center" wrapText="1"/>
    </xf>
    <xf numFmtId="0" fontId="0" fillId="0" borderId="0" xfId="0" applyBorder="1" applyAlignment="1">
      <alignment horizontal="center" vertical="center" wrapText="1"/>
    </xf>
    <xf numFmtId="0" fontId="5" fillId="0" borderId="33" xfId="0" applyFont="1" applyBorder="1" applyAlignment="1">
      <alignment horizontal="left" vertical="center" wrapText="1"/>
    </xf>
    <xf numFmtId="0" fontId="0" fillId="0" borderId="33" xfId="0" applyBorder="1" applyAlignment="1">
      <alignment horizontal="center" vertical="center" wrapText="1"/>
    </xf>
    <xf numFmtId="2" fontId="0" fillId="0" borderId="33" xfId="0" applyNumberFormat="1" applyBorder="1" applyAlignment="1">
      <alignment horizontal="center" vertical="center" wrapText="1"/>
    </xf>
    <xf numFmtId="0" fontId="0" fillId="0" borderId="33" xfId="0" applyBorder="1"/>
    <xf numFmtId="164" fontId="0" fillId="0" borderId="36" xfId="0" applyNumberFormat="1" applyBorder="1" applyAlignment="1">
      <alignment horizontal="center" vertical="center" wrapText="1"/>
    </xf>
    <xf numFmtId="0" fontId="5" fillId="0" borderId="36" xfId="0" applyFont="1" applyBorder="1" applyAlignment="1">
      <alignment horizontal="center" vertical="center" wrapText="1"/>
    </xf>
    <xf numFmtId="0" fontId="0" fillId="0" borderId="36" xfId="0" applyBorder="1"/>
    <xf numFmtId="2" fontId="0" fillId="0" borderId="36" xfId="0" applyNumberFormat="1" applyBorder="1" applyAlignment="1">
      <alignment horizontal="center" vertical="center" wrapText="1"/>
    </xf>
    <xf numFmtId="0" fontId="0" fillId="0" borderId="9" xfId="0" applyBorder="1" applyAlignment="1">
      <alignment horizontal="center" vertical="center" wrapText="1"/>
    </xf>
    <xf numFmtId="49" fontId="0" fillId="0" borderId="1" xfId="0" applyNumberFormat="1" applyBorder="1" applyAlignment="1">
      <alignment horizontal="center" vertical="center" wrapText="1"/>
    </xf>
    <xf numFmtId="49" fontId="5" fillId="0" borderId="1" xfId="0" applyNumberFormat="1" applyFont="1" applyBorder="1" applyAlignment="1">
      <alignment horizontal="center" vertical="center" wrapText="1"/>
    </xf>
    <xf numFmtId="49" fontId="5" fillId="0" borderId="33" xfId="0" applyNumberFormat="1" applyFont="1" applyBorder="1" applyAlignment="1">
      <alignment horizontal="center" vertical="center" wrapText="1"/>
    </xf>
    <xf numFmtId="49" fontId="5" fillId="0" borderId="36"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0" fontId="7" fillId="0" borderId="0" xfId="0" applyFont="1" applyAlignment="1">
      <alignment vertical="center"/>
    </xf>
    <xf numFmtId="0" fontId="0" fillId="0" borderId="24" xfId="0" applyBorder="1" applyAlignment="1">
      <alignment vertical="center"/>
    </xf>
    <xf numFmtId="0" fontId="4" fillId="0" borderId="0" xfId="0" applyFont="1" applyBorder="1" applyAlignment="1">
      <alignment horizontal="left" vertical="center"/>
    </xf>
    <xf numFmtId="4" fontId="0" fillId="0" borderId="1" xfId="0" applyNumberFormat="1" applyBorder="1" applyAlignment="1">
      <alignment horizontal="center" vertical="center" wrapText="1"/>
    </xf>
    <xf numFmtId="0" fontId="21" fillId="5" borderId="1" xfId="0" applyFont="1" applyFill="1" applyBorder="1" applyAlignment="1">
      <alignment vertical="center"/>
    </xf>
    <xf numFmtId="0" fontId="8" fillId="0" borderId="1" xfId="0" applyFont="1" applyFill="1" applyBorder="1" applyAlignment="1">
      <alignment vertical="center"/>
    </xf>
    <xf numFmtId="0" fontId="21" fillId="7" borderId="1" xfId="0" applyFont="1" applyFill="1" applyBorder="1" applyAlignment="1">
      <alignment vertical="center" wrapText="1"/>
    </xf>
    <xf numFmtId="0" fontId="23" fillId="0" borderId="0" xfId="0" applyFont="1"/>
    <xf numFmtId="0" fontId="4" fillId="4" borderId="11" xfId="0" applyFont="1" applyFill="1" applyBorder="1" applyAlignment="1">
      <alignment horizontal="center" vertical="center" wrapText="1"/>
    </xf>
    <xf numFmtId="0" fontId="0" fillId="4" borderId="8" xfId="0" applyFill="1" applyBorder="1" applyAlignment="1">
      <alignment horizontal="center" vertical="center" wrapText="1"/>
    </xf>
    <xf numFmtId="0" fontId="0" fillId="4" borderId="12" xfId="0" applyFill="1" applyBorder="1" applyAlignment="1">
      <alignment horizontal="center" vertical="center" wrapText="1"/>
    </xf>
    <xf numFmtId="0" fontId="5" fillId="4" borderId="8" xfId="0" applyFont="1" applyFill="1" applyBorder="1" applyAlignment="1">
      <alignment horizontal="center" vertical="center" wrapText="1"/>
    </xf>
    <xf numFmtId="0" fontId="5" fillId="4" borderId="12" xfId="0" applyFont="1" applyFill="1" applyBorder="1" applyAlignment="1">
      <alignment horizontal="center" vertical="center" wrapText="1"/>
    </xf>
    <xf numFmtId="0" fontId="4" fillId="4" borderId="0" xfId="0" applyFont="1" applyFill="1" applyAlignment="1">
      <alignment horizontal="center" vertical="center" wrapText="1"/>
    </xf>
    <xf numFmtId="0" fontId="0" fillId="4" borderId="0" xfId="0" applyFill="1" applyAlignment="1">
      <alignment horizontal="center" vertical="center" wrapText="1"/>
    </xf>
    <xf numFmtId="0" fontId="4" fillId="6" borderId="21" xfId="0" applyFont="1" applyFill="1" applyBorder="1" applyAlignment="1">
      <alignment wrapText="1"/>
    </xf>
    <xf numFmtId="0" fontId="0" fillId="0" borderId="22" xfId="0" applyBorder="1" applyAlignment="1">
      <alignment wrapText="1"/>
    </xf>
    <xf numFmtId="0" fontId="0" fillId="0" borderId="23" xfId="0" applyBorder="1" applyAlignment="1">
      <alignment wrapText="1"/>
    </xf>
    <xf numFmtId="0" fontId="4" fillId="0" borderId="0" xfId="1" applyFont="1" applyAlignment="1">
      <alignment vertical="center"/>
    </xf>
    <xf numFmtId="0" fontId="21" fillId="5" borderId="33" xfId="1" applyFont="1" applyFill="1" applyBorder="1" applyAlignment="1">
      <alignment vertical="center"/>
    </xf>
    <xf numFmtId="0" fontId="9" fillId="0" borderId="38" xfId="2" applyFont="1" applyBorder="1" applyAlignment="1">
      <alignment horizontal="left" vertical="center" wrapText="1" indent="4"/>
    </xf>
    <xf numFmtId="0" fontId="8" fillId="0" borderId="38" xfId="1" applyFont="1" applyBorder="1" applyAlignment="1">
      <alignment vertical="center"/>
    </xf>
    <xf numFmtId="0" fontId="9" fillId="0" borderId="7" xfId="1" applyFont="1" applyBorder="1" applyAlignment="1">
      <alignment horizontal="left" vertical="center" wrapText="1" indent="4"/>
    </xf>
    <xf numFmtId="0" fontId="9" fillId="0" borderId="0" xfId="1" applyFont="1" applyAlignment="1">
      <alignment horizontal="left" vertical="center" wrapText="1" indent="4"/>
    </xf>
    <xf numFmtId="0" fontId="8" fillId="5" borderId="0" xfId="0" applyFont="1" applyFill="1" applyAlignment="1">
      <alignment vertical="center"/>
    </xf>
    <xf numFmtId="0" fontId="4" fillId="5" borderId="0" xfId="0" applyFont="1" applyFill="1" applyAlignment="1">
      <alignment vertical="center"/>
    </xf>
    <xf numFmtId="0" fontId="4" fillId="0" borderId="0" xfId="0" quotePrefix="1" applyFont="1" applyFill="1" applyAlignment="1">
      <alignment vertical="center"/>
    </xf>
    <xf numFmtId="0" fontId="9" fillId="0" borderId="0" xfId="2" applyFont="1" applyAlignment="1">
      <alignment horizontal="left" vertical="center" wrapText="1" indent="4"/>
    </xf>
    <xf numFmtId="0" fontId="8" fillId="5" borderId="0" xfId="2" applyFont="1" applyFill="1" applyAlignment="1">
      <alignment vertical="center"/>
    </xf>
    <xf numFmtId="0" fontId="4" fillId="0" borderId="0" xfId="2" applyFont="1" applyAlignment="1">
      <alignment vertical="center" wrapText="1"/>
    </xf>
    <xf numFmtId="0" fontId="4" fillId="2" borderId="0" xfId="2" applyFont="1" applyFill="1" applyAlignment="1">
      <alignment vertical="center" wrapText="1"/>
    </xf>
    <xf numFmtId="49" fontId="4" fillId="0" borderId="1" xfId="0" applyNumberFormat="1" applyFont="1" applyBorder="1" applyAlignment="1">
      <alignment wrapText="1"/>
    </xf>
  </cellXfs>
  <cellStyles count="3">
    <cellStyle name="Normal 3" xfId="2"/>
    <cellStyle name="Standard" xfId="0" builtinId="0"/>
    <cellStyle name="Standard 2" xfId="1"/>
  </cellStyles>
  <dxfs count="0"/>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wmf"/><Relationship Id="rId3" Type="http://schemas.openxmlformats.org/officeDocument/2006/relationships/image" Target="../media/image3.wmf"/><Relationship Id="rId7" Type="http://schemas.openxmlformats.org/officeDocument/2006/relationships/image" Target="../media/image7.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wmf"/><Relationship Id="rId5" Type="http://schemas.openxmlformats.org/officeDocument/2006/relationships/image" Target="../media/image5.w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0</xdr:rowOff>
        </xdr:from>
        <xdr:to>
          <xdr:col>5</xdr:col>
          <xdr:colOff>1257300</xdr:colOff>
          <xdr:row>5</xdr:row>
          <xdr:rowOff>447675</xdr:rowOff>
        </xdr:to>
        <xdr:sp macro="" textlink="">
          <xdr:nvSpPr>
            <xdr:cNvPr id="9218" name="Object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5</xdr:col>
          <xdr:colOff>1114425</xdr:colOff>
          <xdr:row>4</xdr:row>
          <xdr:rowOff>447675</xdr:rowOff>
        </xdr:to>
        <xdr:sp macro="" textlink="">
          <xdr:nvSpPr>
            <xdr:cNvPr id="9225" name="Object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5</xdr:col>
          <xdr:colOff>1447800</xdr:colOff>
          <xdr:row>3</xdr:row>
          <xdr:rowOff>447675</xdr:rowOff>
        </xdr:to>
        <xdr:sp macro="" textlink="">
          <xdr:nvSpPr>
            <xdr:cNvPr id="9226" name="Object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5</xdr:col>
          <xdr:colOff>2247900</xdr:colOff>
          <xdr:row>9</xdr:row>
          <xdr:rowOff>428625</xdr:rowOff>
        </xdr:to>
        <xdr:sp macro="" textlink="">
          <xdr:nvSpPr>
            <xdr:cNvPr id="9228" name="Object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5</xdr:col>
          <xdr:colOff>1676400</xdr:colOff>
          <xdr:row>14</xdr:row>
          <xdr:rowOff>428625</xdr:rowOff>
        </xdr:to>
        <xdr:sp macro="" textlink="">
          <xdr:nvSpPr>
            <xdr:cNvPr id="9230" name="Object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2314575</xdr:colOff>
          <xdr:row>20</xdr:row>
          <xdr:rowOff>19050</xdr:rowOff>
        </xdr:to>
        <xdr:sp macro="" textlink="">
          <xdr:nvSpPr>
            <xdr:cNvPr id="9232" name="Object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0</xdr:rowOff>
        </xdr:from>
        <xdr:to>
          <xdr:col>5</xdr:col>
          <xdr:colOff>1038225</xdr:colOff>
          <xdr:row>10</xdr:row>
          <xdr:rowOff>457200</xdr:rowOff>
        </xdr:to>
        <xdr:sp macro="" textlink="">
          <xdr:nvSpPr>
            <xdr:cNvPr id="9237" name="Object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1038225</xdr:colOff>
          <xdr:row>15</xdr:row>
          <xdr:rowOff>409575</xdr:rowOff>
        </xdr:to>
        <xdr:sp macro="" textlink="">
          <xdr:nvSpPr>
            <xdr:cNvPr id="9238" name="Object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5</xdr:col>
          <xdr:colOff>1000125</xdr:colOff>
          <xdr:row>11</xdr:row>
          <xdr:rowOff>409575</xdr:rowOff>
        </xdr:to>
        <xdr:sp macro="" textlink="">
          <xdr:nvSpPr>
            <xdr:cNvPr id="9239" name="Object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1057275</xdr:colOff>
          <xdr:row>17</xdr:row>
          <xdr:rowOff>19050</xdr:rowOff>
        </xdr:to>
        <xdr:sp macro="" textlink="">
          <xdr:nvSpPr>
            <xdr:cNvPr id="9240" name="Object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3" Type="http://schemas.openxmlformats.org/officeDocument/2006/relationships/vmlDrawing" Target="../drawings/vmlDrawing2.vml"/><Relationship Id="rId21" Type="http://schemas.openxmlformats.org/officeDocument/2006/relationships/image" Target="../media/image9.wmf"/><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4.wmf"/><Relationship Id="rId5" Type="http://schemas.openxmlformats.org/officeDocument/2006/relationships/image" Target="../media/image1.wmf"/><Relationship Id="rId15" Type="http://schemas.openxmlformats.org/officeDocument/2006/relationships/image" Target="../media/image6.wmf"/><Relationship Id="rId23" Type="http://schemas.openxmlformats.org/officeDocument/2006/relationships/image" Target="../media/image10.wmf"/><Relationship Id="rId10" Type="http://schemas.openxmlformats.org/officeDocument/2006/relationships/oleObject" Target="../embeddings/oleObject4.bin"/><Relationship Id="rId19" Type="http://schemas.openxmlformats.org/officeDocument/2006/relationships/image" Target="../media/image8.w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oleObject" Target="../embeddings/oleObject10.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4"/>
  <sheetViews>
    <sheetView tabSelected="1" workbookViewId="0">
      <selection activeCell="A13" sqref="A13"/>
    </sheetView>
  </sheetViews>
  <sheetFormatPr baseColWidth="10" defaultRowHeight="12.75"/>
  <cols>
    <col min="1" max="1" width="85.5703125" customWidth="1"/>
  </cols>
  <sheetData>
    <row r="1" spans="1:7" ht="15.75">
      <c r="A1" s="166" t="s">
        <v>149</v>
      </c>
    </row>
    <row r="2" spans="1:7">
      <c r="A2" s="167" t="s">
        <v>150</v>
      </c>
    </row>
    <row r="3" spans="1:7" ht="69" customHeight="1">
      <c r="A3" s="168" t="s">
        <v>167</v>
      </c>
    </row>
    <row r="4" spans="1:7">
      <c r="A4" s="180" t="s">
        <v>151</v>
      </c>
    </row>
    <row r="5" spans="1:7">
      <c r="A5" s="180"/>
    </row>
    <row r="6" spans="1:7" ht="15.75">
      <c r="A6" s="181" t="s">
        <v>152</v>
      </c>
    </row>
    <row r="7" spans="1:7" ht="56.25" customHeight="1">
      <c r="A7" s="182" t="s">
        <v>153</v>
      </c>
      <c r="G7" s="169"/>
    </row>
    <row r="8" spans="1:7" ht="49.5" customHeight="1">
      <c r="A8" s="182" t="s">
        <v>154</v>
      </c>
    </row>
    <row r="9" spans="1:7" ht="57.75" customHeight="1">
      <c r="A9" s="182" t="s">
        <v>155</v>
      </c>
    </row>
    <row r="10" spans="1:7" ht="95.25" customHeight="1">
      <c r="A10" s="182" t="s">
        <v>156</v>
      </c>
    </row>
    <row r="11" spans="1:7">
      <c r="A11" s="183" t="s">
        <v>157</v>
      </c>
    </row>
    <row r="12" spans="1:7" ht="53.25" customHeight="1">
      <c r="A12" s="182" t="s">
        <v>158</v>
      </c>
    </row>
    <row r="13" spans="1:7">
      <c r="A13" s="183" t="s">
        <v>159</v>
      </c>
    </row>
    <row r="14" spans="1:7" ht="37.5" customHeight="1">
      <c r="A14" s="182" t="s">
        <v>160</v>
      </c>
    </row>
    <row r="15" spans="1:7" ht="56.25" customHeight="1">
      <c r="A15" s="182" t="s">
        <v>161</v>
      </c>
    </row>
    <row r="16" spans="1:7" ht="65.25" customHeight="1">
      <c r="A16" s="182" t="s">
        <v>162</v>
      </c>
    </row>
    <row r="17" spans="1:1">
      <c r="A17" s="183" t="s">
        <v>163</v>
      </c>
    </row>
    <row r="18" spans="1:1" ht="21" customHeight="1">
      <c r="A18" s="182" t="s">
        <v>164</v>
      </c>
    </row>
    <row r="19" spans="1:1" ht="42" customHeight="1">
      <c r="A19" s="182" t="s">
        <v>165</v>
      </c>
    </row>
    <row r="20" spans="1:1">
      <c r="A20" s="184"/>
    </row>
    <row r="21" spans="1:1">
      <c r="A21" s="185"/>
    </row>
    <row r="22" spans="1:1" ht="11.25" customHeight="1">
      <c r="A22" s="186" t="s">
        <v>168</v>
      </c>
    </row>
    <row r="23" spans="1:1">
      <c r="A23" s="187" t="s">
        <v>169</v>
      </c>
    </row>
    <row r="24" spans="1:1">
      <c r="A24" s="188"/>
    </row>
    <row r="25" spans="1:1">
      <c r="A25" s="188"/>
    </row>
    <row r="26" spans="1:1">
      <c r="A26" s="188"/>
    </row>
    <row r="27" spans="1:1">
      <c r="A27" s="188"/>
    </row>
    <row r="28" spans="1:1">
      <c r="A28" s="189"/>
    </row>
    <row r="29" spans="1:1">
      <c r="A29" s="190" t="s">
        <v>170</v>
      </c>
    </row>
    <row r="30" spans="1:1" ht="180.75">
      <c r="A30" s="191" t="s">
        <v>171</v>
      </c>
    </row>
    <row r="31" spans="1:1" ht="89.25">
      <c r="A31" s="191" t="s">
        <v>166</v>
      </c>
    </row>
    <row r="32" spans="1:1" ht="38.25">
      <c r="A32" s="192" t="s">
        <v>18</v>
      </c>
    </row>
    <row r="33" spans="1:1" ht="51">
      <c r="A33" s="192" t="s">
        <v>19</v>
      </c>
    </row>
    <row r="34" spans="1:1" ht="38.25">
      <c r="A34" s="192" t="s">
        <v>20</v>
      </c>
    </row>
  </sheetData>
  <sheetProtection password="CEF2" sheet="1" objects="1" scenario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O32"/>
  <sheetViews>
    <sheetView workbookViewId="0">
      <selection activeCell="J9" sqref="J9"/>
    </sheetView>
  </sheetViews>
  <sheetFormatPr baseColWidth="10" defaultColWidth="9.140625" defaultRowHeight="12.75"/>
  <cols>
    <col min="1" max="1" width="50.85546875" style="4" bestFit="1" customWidth="1"/>
    <col min="2" max="2" width="12.7109375" style="1" customWidth="1"/>
    <col min="3" max="3" width="16.85546875" style="53" customWidth="1"/>
    <col min="4" max="4" width="9.140625" style="1"/>
    <col min="5" max="5" width="14" style="1" customWidth="1"/>
    <col min="6" max="6" width="12.28515625" style="1" customWidth="1"/>
    <col min="7" max="8" width="9.140625" style="1"/>
    <col min="9" max="9" width="39.28515625" style="1" customWidth="1"/>
    <col min="10" max="10" width="34.5703125" style="1" customWidth="1"/>
    <col min="12" max="16384" width="9.140625" style="1"/>
  </cols>
  <sheetData>
    <row r="1" spans="1:15" ht="76.5" customHeight="1" thickBot="1">
      <c r="A1" s="170" t="s">
        <v>141</v>
      </c>
      <c r="B1" s="171"/>
      <c r="C1" s="171"/>
      <c r="D1" s="171"/>
      <c r="E1" s="171"/>
      <c r="F1" s="171"/>
      <c r="G1" s="171"/>
      <c r="H1" s="171"/>
      <c r="I1" s="172"/>
    </row>
    <row r="2" spans="1:15">
      <c r="A2" s="1"/>
    </row>
    <row r="3" spans="1:15" ht="13.5" thickBot="1"/>
    <row r="4" spans="1:15" ht="23.25" customHeight="1" thickBot="1">
      <c r="A4" s="36" t="s">
        <v>2</v>
      </c>
      <c r="B4" s="37" t="s">
        <v>6</v>
      </c>
      <c r="C4" s="37" t="s">
        <v>21</v>
      </c>
      <c r="D4" s="37" t="s">
        <v>0</v>
      </c>
      <c r="E4" s="37" t="s">
        <v>3</v>
      </c>
      <c r="F4" s="37" t="s">
        <v>7</v>
      </c>
      <c r="G4" s="37" t="s">
        <v>1</v>
      </c>
      <c r="H4" s="37" t="s">
        <v>8</v>
      </c>
      <c r="I4" s="38" t="s">
        <v>5</v>
      </c>
      <c r="J4" s="83" t="s">
        <v>32</v>
      </c>
      <c r="L4"/>
      <c r="M4"/>
      <c r="N4"/>
      <c r="O4"/>
    </row>
    <row r="5" spans="1:15" ht="19.5" customHeight="1">
      <c r="A5" s="76" t="s">
        <v>27</v>
      </c>
      <c r="B5" s="5"/>
      <c r="C5" s="5"/>
      <c r="D5" s="5"/>
      <c r="E5" s="5"/>
      <c r="F5" s="5"/>
      <c r="G5" s="5"/>
      <c r="H5" s="18"/>
      <c r="I5" s="5"/>
    </row>
    <row r="6" spans="1:15">
      <c r="A6" s="81"/>
      <c r="B6" s="9"/>
      <c r="C6" s="79"/>
      <c r="D6" s="80"/>
      <c r="E6" s="80"/>
      <c r="F6" s="59"/>
      <c r="G6" s="40"/>
      <c r="H6" s="40" t="s">
        <v>26</v>
      </c>
      <c r="I6" s="2"/>
      <c r="J6" s="84"/>
      <c r="L6" s="72"/>
    </row>
    <row r="7" spans="1:15">
      <c r="A7" s="51"/>
      <c r="B7" s="8"/>
      <c r="C7" s="58"/>
      <c r="D7" s="21"/>
      <c r="E7" s="73"/>
      <c r="F7" s="49"/>
      <c r="G7" s="40"/>
      <c r="H7" s="40" t="s">
        <v>26</v>
      </c>
      <c r="I7" s="2"/>
    </row>
    <row r="8" spans="1:15">
      <c r="A8" s="76" t="s">
        <v>28</v>
      </c>
      <c r="B8" s="8"/>
      <c r="C8" s="58"/>
      <c r="D8" s="21"/>
      <c r="E8" s="73"/>
      <c r="F8" s="39"/>
      <c r="G8" s="7"/>
      <c r="H8" s="40" t="s">
        <v>26</v>
      </c>
      <c r="I8" s="2"/>
    </row>
    <row r="9" spans="1:15" ht="17.25" customHeight="1">
      <c r="A9" s="77" t="s">
        <v>29</v>
      </c>
      <c r="B9" s="8" t="s">
        <v>31</v>
      </c>
      <c r="C9" s="8" t="s">
        <v>30</v>
      </c>
      <c r="D9" s="59" t="s">
        <v>24</v>
      </c>
      <c r="E9" s="78">
        <v>3</v>
      </c>
      <c r="F9" s="59" t="s">
        <v>25</v>
      </c>
      <c r="G9" s="40"/>
      <c r="H9" s="40" t="s">
        <v>26</v>
      </c>
      <c r="I9" s="40"/>
      <c r="J9" s="84" t="s">
        <v>142</v>
      </c>
      <c r="L9" s="72"/>
    </row>
    <row r="10" spans="1:15" s="53" customFormat="1" ht="16.5" customHeight="1">
      <c r="A10" s="77" t="s">
        <v>43</v>
      </c>
      <c r="B10" s="8" t="s">
        <v>44</v>
      </c>
      <c r="C10" s="8" t="s">
        <v>44</v>
      </c>
      <c r="D10" s="59"/>
      <c r="E10" s="78">
        <v>0.75</v>
      </c>
      <c r="F10" s="59" t="s">
        <v>34</v>
      </c>
      <c r="G10" s="59"/>
      <c r="H10" s="40" t="s">
        <v>26</v>
      </c>
      <c r="I10" s="40"/>
      <c r="J10" s="84" t="s">
        <v>142</v>
      </c>
      <c r="K10"/>
      <c r="L10" s="72"/>
    </row>
    <row r="11" spans="1:15" s="53" customFormat="1" ht="15.75">
      <c r="A11" s="77" t="s">
        <v>45</v>
      </c>
      <c r="B11" s="9" t="s">
        <v>48</v>
      </c>
      <c r="C11" s="8" t="s">
        <v>58</v>
      </c>
      <c r="D11" s="59"/>
      <c r="E11" s="78">
        <v>0.82</v>
      </c>
      <c r="F11" s="59" t="s">
        <v>34</v>
      </c>
      <c r="G11" s="59"/>
      <c r="H11" s="40" t="s">
        <v>26</v>
      </c>
      <c r="I11" s="40"/>
      <c r="J11" s="84" t="s">
        <v>142</v>
      </c>
      <c r="K11"/>
      <c r="L11" s="72"/>
    </row>
    <row r="12" spans="1:15" s="53" customFormat="1" ht="15.75">
      <c r="A12" s="77" t="s">
        <v>46</v>
      </c>
      <c r="B12" s="9" t="s">
        <v>49</v>
      </c>
      <c r="C12" s="8" t="s">
        <v>59</v>
      </c>
      <c r="D12" s="59"/>
      <c r="E12" s="78">
        <v>0.15</v>
      </c>
      <c r="F12" s="59" t="s">
        <v>34</v>
      </c>
      <c r="G12" s="59"/>
      <c r="H12" s="40" t="s">
        <v>26</v>
      </c>
      <c r="I12" s="40"/>
      <c r="J12" s="84" t="s">
        <v>142</v>
      </c>
      <c r="K12"/>
      <c r="L12" s="72"/>
    </row>
    <row r="13" spans="1:15" s="53" customFormat="1" ht="15.75">
      <c r="A13" s="77" t="s">
        <v>47</v>
      </c>
      <c r="B13" s="9" t="s">
        <v>70</v>
      </c>
      <c r="C13" s="8" t="s">
        <v>60</v>
      </c>
      <c r="D13" s="59"/>
      <c r="E13" s="78">
        <v>0.15</v>
      </c>
      <c r="F13" s="59" t="s">
        <v>34</v>
      </c>
      <c r="G13" s="59"/>
      <c r="H13" s="40" t="s">
        <v>26</v>
      </c>
      <c r="I13" s="40"/>
      <c r="J13" s="84" t="s">
        <v>142</v>
      </c>
      <c r="K13"/>
      <c r="L13" s="72"/>
    </row>
    <row r="14" spans="1:15" ht="15.75">
      <c r="A14" s="77" t="s">
        <v>54</v>
      </c>
      <c r="B14" s="9" t="s">
        <v>53</v>
      </c>
      <c r="C14" s="8" t="s">
        <v>61</v>
      </c>
      <c r="D14" s="59"/>
      <c r="E14" s="78">
        <v>0.82</v>
      </c>
      <c r="F14" s="59" t="s">
        <v>34</v>
      </c>
      <c r="G14" s="40"/>
      <c r="H14" s="40" t="s">
        <v>26</v>
      </c>
      <c r="I14" s="40"/>
      <c r="J14" s="84" t="s">
        <v>142</v>
      </c>
    </row>
    <row r="15" spans="1:15" ht="15.75">
      <c r="A15" s="77" t="s">
        <v>55</v>
      </c>
      <c r="B15" s="9" t="s">
        <v>57</v>
      </c>
      <c r="C15" s="8" t="s">
        <v>62</v>
      </c>
      <c r="D15" s="59"/>
      <c r="E15" s="78">
        <v>0.15</v>
      </c>
      <c r="F15" s="59" t="s">
        <v>34</v>
      </c>
      <c r="G15" s="40"/>
      <c r="H15" s="40" t="s">
        <v>26</v>
      </c>
      <c r="I15" s="40"/>
      <c r="J15" s="84" t="s">
        <v>142</v>
      </c>
      <c r="L15" s="72"/>
    </row>
    <row r="16" spans="1:15" s="53" customFormat="1" ht="15.75">
      <c r="A16" s="77" t="s">
        <v>56</v>
      </c>
      <c r="B16" s="9" t="s">
        <v>71</v>
      </c>
      <c r="C16" s="8" t="s">
        <v>63</v>
      </c>
      <c r="D16" s="59"/>
      <c r="E16" s="78">
        <v>0.15</v>
      </c>
      <c r="F16" s="59" t="s">
        <v>34</v>
      </c>
      <c r="G16" s="40"/>
      <c r="H16" s="40" t="s">
        <v>26</v>
      </c>
      <c r="I16" s="40"/>
      <c r="J16" s="84" t="s">
        <v>142</v>
      </c>
      <c r="K16"/>
      <c r="L16" s="72"/>
    </row>
    <row r="17" spans="1:12" s="53" customFormat="1" ht="15.75">
      <c r="A17" s="77" t="s">
        <v>64</v>
      </c>
      <c r="B17" s="9" t="s">
        <v>72</v>
      </c>
      <c r="C17" s="8" t="s">
        <v>78</v>
      </c>
      <c r="D17" s="59"/>
      <c r="E17" s="78">
        <v>0.2</v>
      </c>
      <c r="F17" s="59" t="s">
        <v>84</v>
      </c>
      <c r="G17" s="40"/>
      <c r="H17" s="40" t="s">
        <v>26</v>
      </c>
      <c r="I17" s="40"/>
      <c r="J17" s="84" t="s">
        <v>142</v>
      </c>
      <c r="K17"/>
      <c r="L17" s="72"/>
    </row>
    <row r="18" spans="1:12" s="53" customFormat="1" ht="15.75">
      <c r="A18" s="77" t="s">
        <v>65</v>
      </c>
      <c r="B18" s="9" t="s">
        <v>73</v>
      </c>
      <c r="C18" s="8" t="s">
        <v>79</v>
      </c>
      <c r="D18" s="59"/>
      <c r="E18" s="78">
        <v>0.4</v>
      </c>
      <c r="F18" s="59" t="s">
        <v>85</v>
      </c>
      <c r="G18" s="40"/>
      <c r="H18" s="40" t="s">
        <v>26</v>
      </c>
      <c r="I18" s="40"/>
      <c r="J18" s="84" t="s">
        <v>142</v>
      </c>
      <c r="K18"/>
      <c r="L18" s="72"/>
    </row>
    <row r="19" spans="1:12" s="53" customFormat="1" ht="15.75">
      <c r="A19" s="77" t="s">
        <v>66</v>
      </c>
      <c r="B19" s="9" t="s">
        <v>74</v>
      </c>
      <c r="C19" s="8" t="s">
        <v>80</v>
      </c>
      <c r="D19" s="59"/>
      <c r="E19" s="78">
        <v>0.4</v>
      </c>
      <c r="F19" s="59" t="s">
        <v>85</v>
      </c>
      <c r="G19" s="40"/>
      <c r="H19" s="40" t="s">
        <v>26</v>
      </c>
      <c r="I19" s="40"/>
      <c r="J19" s="84" t="s">
        <v>142</v>
      </c>
      <c r="K19"/>
      <c r="L19" s="72"/>
    </row>
    <row r="20" spans="1:12" s="53" customFormat="1" ht="15.75">
      <c r="A20" s="77" t="s">
        <v>67</v>
      </c>
      <c r="B20" s="9" t="s">
        <v>75</v>
      </c>
      <c r="C20" s="8" t="s">
        <v>81</v>
      </c>
      <c r="D20" s="80"/>
      <c r="E20" s="78">
        <v>0.2</v>
      </c>
      <c r="F20" s="59" t="s">
        <v>84</v>
      </c>
      <c r="G20" s="40"/>
      <c r="H20" s="40" t="s">
        <v>26</v>
      </c>
      <c r="I20" s="40"/>
      <c r="J20" s="84" t="s">
        <v>142</v>
      </c>
      <c r="K20"/>
      <c r="L20" s="72"/>
    </row>
    <row r="21" spans="1:12" ht="15.75">
      <c r="A21" s="77" t="s">
        <v>68</v>
      </c>
      <c r="B21" s="9" t="s">
        <v>76</v>
      </c>
      <c r="C21" s="8" t="s">
        <v>82</v>
      </c>
      <c r="D21" s="54"/>
      <c r="E21" s="78">
        <v>0.4</v>
      </c>
      <c r="F21" s="59" t="s">
        <v>85</v>
      </c>
      <c r="G21" s="7"/>
      <c r="H21" s="40" t="s">
        <v>26</v>
      </c>
      <c r="I21" s="40"/>
      <c r="J21" s="84" t="s">
        <v>142</v>
      </c>
    </row>
    <row r="22" spans="1:12" ht="15.75">
      <c r="A22" s="77" t="s">
        <v>69</v>
      </c>
      <c r="B22" s="9" t="s">
        <v>77</v>
      </c>
      <c r="C22" s="8" t="s">
        <v>83</v>
      </c>
      <c r="D22" s="21"/>
      <c r="E22" s="78">
        <v>0.4</v>
      </c>
      <c r="F22" s="59" t="s">
        <v>85</v>
      </c>
      <c r="G22" s="7"/>
      <c r="H22" s="40" t="s">
        <v>26</v>
      </c>
      <c r="I22" s="40"/>
      <c r="J22" s="84" t="s">
        <v>142</v>
      </c>
    </row>
    <row r="23" spans="1:12" s="53" customFormat="1">
      <c r="A23" s="85"/>
      <c r="B23" s="9"/>
      <c r="C23" s="58"/>
      <c r="D23" s="21"/>
      <c r="E23" s="74"/>
      <c r="F23" s="39"/>
      <c r="G23" s="54"/>
      <c r="H23" s="40"/>
      <c r="I23" s="55"/>
      <c r="K23"/>
    </row>
    <row r="24" spans="1:12">
      <c r="A24" s="76" t="s">
        <v>23</v>
      </c>
      <c r="B24" s="8"/>
      <c r="C24" s="58"/>
      <c r="D24" s="21"/>
      <c r="E24" s="74"/>
      <c r="F24" s="39"/>
      <c r="G24" s="7"/>
      <c r="H24" s="40" t="s">
        <v>26</v>
      </c>
      <c r="I24" s="2"/>
    </row>
    <row r="25" spans="1:12">
      <c r="A25" s="77"/>
      <c r="B25" s="8"/>
      <c r="C25" s="8"/>
      <c r="D25" s="59"/>
      <c r="E25" s="59"/>
      <c r="F25" s="40"/>
      <c r="G25" s="40"/>
      <c r="H25" s="40"/>
      <c r="I25" s="2"/>
      <c r="J25" s="84"/>
    </row>
    <row r="26" spans="1:12" s="53" customFormat="1">
      <c r="A26" s="75" t="s">
        <v>16</v>
      </c>
      <c r="B26" s="8"/>
      <c r="C26" s="8"/>
      <c r="D26" s="54"/>
      <c r="E26" s="55"/>
      <c r="F26" s="55"/>
      <c r="G26" s="55"/>
      <c r="H26" s="55"/>
      <c r="I26" s="55"/>
    </row>
    <row r="27" spans="1:12" s="53" customFormat="1" ht="15.75">
      <c r="A27" s="82" t="s">
        <v>50</v>
      </c>
      <c r="B27" s="8" t="s">
        <v>51</v>
      </c>
      <c r="C27" s="8" t="s">
        <v>145</v>
      </c>
      <c r="D27" s="59" t="s">
        <v>24</v>
      </c>
      <c r="E27" s="61">
        <v>5</v>
      </c>
      <c r="F27" s="40" t="s">
        <v>22</v>
      </c>
      <c r="G27" s="40"/>
      <c r="H27" s="40"/>
      <c r="I27" s="55"/>
      <c r="L27" s="72"/>
    </row>
    <row r="28" spans="1:12" ht="15.75">
      <c r="A28" s="82" t="s">
        <v>50</v>
      </c>
      <c r="B28" s="8" t="s">
        <v>52</v>
      </c>
      <c r="C28" s="8" t="s">
        <v>146</v>
      </c>
      <c r="D28" s="59" t="s">
        <v>24</v>
      </c>
      <c r="E28" s="61">
        <v>10</v>
      </c>
      <c r="F28" s="40" t="s">
        <v>22</v>
      </c>
      <c r="G28" s="40"/>
      <c r="H28" s="40"/>
      <c r="I28" s="2"/>
      <c r="L28" s="72"/>
    </row>
    <row r="29" spans="1:12" ht="15.75">
      <c r="A29" s="82" t="s">
        <v>50</v>
      </c>
      <c r="B29" s="8" t="s">
        <v>86</v>
      </c>
      <c r="C29" s="8" t="s">
        <v>147</v>
      </c>
      <c r="D29" s="59" t="s">
        <v>24</v>
      </c>
      <c r="E29" s="61">
        <v>30</v>
      </c>
      <c r="F29" s="40" t="s">
        <v>22</v>
      </c>
      <c r="G29" s="40"/>
      <c r="H29" s="40"/>
      <c r="I29" s="40"/>
      <c r="L29" s="72"/>
    </row>
    <row r="30" spans="1:12" ht="15.75">
      <c r="A30" s="82" t="s">
        <v>50</v>
      </c>
      <c r="B30" s="8" t="s">
        <v>87</v>
      </c>
      <c r="C30" s="8" t="s">
        <v>148</v>
      </c>
      <c r="D30" s="59" t="s">
        <v>24</v>
      </c>
      <c r="E30" s="61">
        <v>3</v>
      </c>
      <c r="F30" s="40" t="s">
        <v>22</v>
      </c>
      <c r="G30" s="40"/>
      <c r="H30" s="40"/>
      <c r="I30" s="40"/>
      <c r="L30" s="72"/>
    </row>
    <row r="31" spans="1:12">
      <c r="A31" s="16"/>
      <c r="B31" s="9"/>
      <c r="C31" s="9"/>
      <c r="D31" s="7"/>
      <c r="E31" s="2"/>
      <c r="F31" s="15"/>
      <c r="G31" s="7"/>
      <c r="H31" s="7"/>
      <c r="I31" s="2"/>
    </row>
    <row r="32" spans="1:12">
      <c r="A32" s="12"/>
      <c r="B32" s="17"/>
      <c r="C32" s="17"/>
      <c r="D32" s="15"/>
      <c r="E32" s="2"/>
      <c r="F32" s="7"/>
      <c r="G32" s="7"/>
      <c r="H32" s="7"/>
      <c r="I32" s="2"/>
    </row>
  </sheetData>
  <mergeCells count="1">
    <mergeCell ref="A1:I1"/>
  </mergeCells>
  <phoneticPr fontId="0" type="noConversion"/>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40"/>
  <sheetViews>
    <sheetView zoomScaleNormal="100" workbookViewId="0">
      <selection activeCell="D21" sqref="D21"/>
    </sheetView>
  </sheetViews>
  <sheetFormatPr baseColWidth="10" defaultColWidth="9.140625" defaultRowHeight="12.75"/>
  <cols>
    <col min="1" max="1" width="30.42578125" style="1" customWidth="1"/>
    <col min="2" max="2" width="12.42578125" style="1" customWidth="1"/>
    <col min="3" max="3" width="9.140625" style="1"/>
    <col min="4" max="4" width="11" style="1" customWidth="1"/>
    <col min="5" max="5" width="17.42578125" style="1" customWidth="1"/>
    <col min="6" max="6" width="47.7109375" style="1" customWidth="1"/>
    <col min="7" max="7" width="29.42578125" style="1" customWidth="1"/>
    <col min="8" max="16384" width="9.140625" style="1"/>
  </cols>
  <sheetData>
    <row r="1" spans="1:11" ht="86.25" customHeight="1" thickBot="1">
      <c r="A1" s="170" t="s">
        <v>17</v>
      </c>
      <c r="B1" s="173"/>
      <c r="C1" s="173"/>
      <c r="D1" s="173"/>
      <c r="E1" s="173"/>
      <c r="F1" s="173"/>
      <c r="G1" s="174"/>
      <c r="H1" s="19"/>
      <c r="I1" s="19"/>
      <c r="J1" s="19"/>
      <c r="K1" s="19"/>
    </row>
    <row r="3" spans="1:11">
      <c r="A3" s="10" t="s">
        <v>4</v>
      </c>
      <c r="B3" s="10" t="s">
        <v>6</v>
      </c>
      <c r="C3" s="10" t="s">
        <v>0</v>
      </c>
      <c r="D3" s="10" t="s">
        <v>3</v>
      </c>
      <c r="E3" s="10" t="s">
        <v>10</v>
      </c>
      <c r="F3" s="10" t="s">
        <v>9</v>
      </c>
      <c r="G3" s="10" t="s">
        <v>5</v>
      </c>
    </row>
    <row r="4" spans="1:11" ht="48" customHeight="1">
      <c r="A4" s="40" t="s">
        <v>123</v>
      </c>
      <c r="B4" s="40" t="s">
        <v>119</v>
      </c>
      <c r="C4" s="40" t="s">
        <v>122</v>
      </c>
      <c r="D4" s="13">
        <f>1/(1/U_g+1/g_1+1/g_2)</f>
        <v>1.5789473684210527</v>
      </c>
      <c r="E4" s="161" t="s">
        <v>139</v>
      </c>
      <c r="F4" s="134"/>
      <c r="G4" s="40" t="s">
        <v>143</v>
      </c>
    </row>
    <row r="5" spans="1:11" ht="43.5" customHeight="1">
      <c r="A5" s="40" t="s">
        <v>124</v>
      </c>
      <c r="B5" s="59" t="s">
        <v>120</v>
      </c>
      <c r="C5" s="40" t="s">
        <v>122</v>
      </c>
      <c r="D5" s="13">
        <f>1/(1/U_g+1/g_3)</f>
        <v>2.7272727272727275</v>
      </c>
      <c r="E5" s="161" t="s">
        <v>139</v>
      </c>
      <c r="F5" s="134"/>
      <c r="G5" s="2"/>
    </row>
    <row r="6" spans="1:11" ht="36.75" customHeight="1">
      <c r="A6" s="40" t="s">
        <v>125</v>
      </c>
      <c r="B6" s="59" t="s">
        <v>121</v>
      </c>
      <c r="C6" s="40" t="s">
        <v>122</v>
      </c>
      <c r="D6" s="13">
        <f>1/(1/U_g+1/g_4)</f>
        <v>1.5</v>
      </c>
      <c r="E6" s="161" t="s">
        <v>139</v>
      </c>
      <c r="F6" s="134"/>
      <c r="G6" s="2"/>
    </row>
    <row r="7" spans="1:11" ht="36.75" customHeight="1">
      <c r="A7" s="40" t="s">
        <v>129</v>
      </c>
      <c r="B7" s="40" t="s">
        <v>130</v>
      </c>
      <c r="C7" s="40" t="s">
        <v>117</v>
      </c>
      <c r="D7" s="2">
        <f>1-tau_eB-rho_eB_ext</f>
        <v>0.4</v>
      </c>
      <c r="E7" s="161" t="s">
        <v>139</v>
      </c>
      <c r="F7" s="162" t="s">
        <v>131</v>
      </c>
      <c r="G7" s="2"/>
    </row>
    <row r="8" spans="1:11" ht="34.5" customHeight="1">
      <c r="A8" s="148"/>
      <c r="B8" s="136"/>
      <c r="C8" s="149"/>
      <c r="D8" s="150"/>
      <c r="E8" s="159"/>
      <c r="F8" s="151"/>
      <c r="G8" s="149"/>
    </row>
    <row r="9" spans="1:11" ht="27" customHeight="1">
      <c r="A9" s="143" t="s">
        <v>126</v>
      </c>
      <c r="B9" s="144"/>
      <c r="C9" s="144"/>
      <c r="D9" s="152"/>
      <c r="E9" s="160"/>
      <c r="F9" s="154"/>
      <c r="G9" s="39"/>
    </row>
    <row r="10" spans="1:11" ht="34.5" customHeight="1">
      <c r="A10" s="56" t="s">
        <v>33</v>
      </c>
      <c r="B10" s="8" t="s">
        <v>39</v>
      </c>
      <c r="C10" s="40" t="s">
        <v>117</v>
      </c>
      <c r="D10" s="14">
        <f>tau_eB*g+alpha_eB*g_ext/g_2+tau_eB*(1-g)*g_ext/g_1</f>
        <v>0.22894736842105265</v>
      </c>
      <c r="E10" s="161" t="s">
        <v>132</v>
      </c>
      <c r="F10"/>
      <c r="G10" s="2"/>
    </row>
    <row r="11" spans="1:11" ht="40.5" customHeight="1">
      <c r="A11" s="56" t="s">
        <v>35</v>
      </c>
      <c r="B11" s="8" t="s">
        <v>37</v>
      </c>
      <c r="C11" s="40" t="s">
        <v>117</v>
      </c>
      <c r="D11" s="14">
        <f>tau_v*tau_vB/(1-rho_v_ext*rho_vB_int)</f>
        <v>0.17446808510638301</v>
      </c>
      <c r="E11" s="161" t="s">
        <v>137</v>
      </c>
      <c r="F11" s="20"/>
      <c r="G11" s="2"/>
    </row>
    <row r="12" spans="1:11" ht="34.5" customHeight="1">
      <c r="A12" s="56" t="s">
        <v>36</v>
      </c>
      <c r="B12" s="8" t="s">
        <v>38</v>
      </c>
      <c r="C12" s="40" t="s">
        <v>117</v>
      </c>
      <c r="D12" s="14">
        <f>tau_e*tau_eB/(1-rho_e_ext*rho_eB_int)</f>
        <v>0.17446808510638301</v>
      </c>
      <c r="E12" s="161" t="s">
        <v>135</v>
      </c>
      <c r="F12"/>
      <c r="G12" s="2"/>
    </row>
    <row r="13" spans="1:11" ht="34.5" customHeight="1">
      <c r="A13" s="142"/>
      <c r="B13" s="136"/>
      <c r="C13" s="15"/>
      <c r="D13" s="14"/>
      <c r="E13" s="158"/>
      <c r="F13" s="20"/>
      <c r="G13" s="2"/>
    </row>
    <row r="14" spans="1:11" ht="27.75" customHeight="1">
      <c r="A14" s="143" t="s">
        <v>127</v>
      </c>
      <c r="B14" s="144"/>
      <c r="C14" s="153"/>
      <c r="D14" s="155"/>
      <c r="E14" s="160"/>
      <c r="F14" s="154"/>
      <c r="G14" s="156"/>
    </row>
    <row r="15" spans="1:11" ht="34.5" customHeight="1">
      <c r="A15" s="56" t="s">
        <v>33</v>
      </c>
      <c r="B15" s="8" t="s">
        <v>39</v>
      </c>
      <c r="C15" s="40" t="s">
        <v>117</v>
      </c>
      <c r="D15" s="14">
        <f>g*(1-g*rho_eB_ext-alpha_eB*g_int/g_3)</f>
        <v>0.49772727272727268</v>
      </c>
      <c r="E15" s="161" t="s">
        <v>133</v>
      </c>
      <c r="F15"/>
      <c r="G15" s="2"/>
    </row>
    <row r="16" spans="1:11" ht="34.5" customHeight="1">
      <c r="A16" s="56" t="s">
        <v>35</v>
      </c>
      <c r="B16" s="8" t="s">
        <v>37</v>
      </c>
      <c r="C16" s="40" t="s">
        <v>117</v>
      </c>
      <c r="D16" s="14">
        <f>tau_v*tau_vB/(1-rho_v_int*rho_vB_ext)</f>
        <v>0.17446808510638301</v>
      </c>
      <c r="E16" s="161" t="s">
        <v>138</v>
      </c>
      <c r="F16" s="7"/>
      <c r="G16" s="2"/>
    </row>
    <row r="17" spans="1:7" ht="34.5" customHeight="1">
      <c r="A17" s="56" t="s">
        <v>36</v>
      </c>
      <c r="B17" s="8" t="s">
        <v>38</v>
      </c>
      <c r="C17" s="40" t="s">
        <v>117</v>
      </c>
      <c r="D17" s="14">
        <f>tau_e*tau_eB/(1-rho_e_int*rho_eB_ext)</f>
        <v>0.17446808510638301</v>
      </c>
      <c r="E17" s="161" t="s">
        <v>136</v>
      </c>
      <c r="F17"/>
      <c r="G17" s="7"/>
    </row>
    <row r="18" spans="1:7" ht="12.75" customHeight="1">
      <c r="A18" s="135"/>
      <c r="B18" s="136"/>
      <c r="C18" s="2"/>
      <c r="D18" s="2"/>
      <c r="E18" s="157"/>
      <c r="F18" s="2"/>
      <c r="G18" s="2"/>
    </row>
    <row r="19" spans="1:7" ht="21.75" customHeight="1">
      <c r="A19" s="143" t="s">
        <v>128</v>
      </c>
      <c r="B19" s="144"/>
      <c r="C19" s="153"/>
      <c r="D19" s="155"/>
      <c r="E19" s="160"/>
      <c r="F19" s="154"/>
      <c r="G19" s="156"/>
    </row>
    <row r="20" spans="1:7" ht="34.5" customHeight="1">
      <c r="A20" s="56" t="s">
        <v>33</v>
      </c>
      <c r="B20" s="8" t="s">
        <v>39</v>
      </c>
      <c r="C20" s="40" t="s">
        <v>117</v>
      </c>
      <c r="D20" s="14">
        <f>g*tau_eB+g*(alpha_eB+(1-g)*rho_eB_ext)*g_integr/g_4</f>
        <v>0.33750000000000002</v>
      </c>
      <c r="E20" s="161" t="s">
        <v>134</v>
      </c>
      <c r="F20"/>
      <c r="G20" s="2"/>
    </row>
    <row r="21" spans="1:7" ht="34.5" customHeight="1">
      <c r="A21" s="11"/>
      <c r="B21" s="9"/>
      <c r="C21" s="7"/>
      <c r="D21" s="14"/>
      <c r="E21" s="7"/>
      <c r="F21" s="20"/>
      <c r="G21" s="2"/>
    </row>
    <row r="22" spans="1:7" ht="34.5" customHeight="1">
      <c r="A22" s="11"/>
      <c r="B22" s="9"/>
      <c r="C22" s="2"/>
      <c r="D22" s="14"/>
      <c r="E22" s="2"/>
      <c r="F22" s="2"/>
      <c r="G22" s="7"/>
    </row>
    <row r="23" spans="1:7" ht="34.5" customHeight="1">
      <c r="A23" s="2"/>
      <c r="B23" s="2"/>
      <c r="C23" s="2"/>
      <c r="D23" s="2"/>
      <c r="E23" s="2"/>
      <c r="F23" s="2"/>
      <c r="G23" s="2"/>
    </row>
    <row r="24" spans="1:7" ht="34.5" customHeight="1">
      <c r="A24" s="3"/>
      <c r="B24" s="8"/>
      <c r="C24" s="7"/>
      <c r="D24" s="6"/>
      <c r="E24" s="7"/>
      <c r="F24"/>
      <c r="G24" s="2"/>
    </row>
    <row r="25" spans="1:7" ht="34.5" customHeight="1">
      <c r="A25" s="2"/>
      <c r="B25" s="2"/>
      <c r="C25" s="2"/>
      <c r="D25" s="2"/>
      <c r="E25" s="2"/>
      <c r="F25" s="2"/>
      <c r="G25" s="2"/>
    </row>
    <row r="26" spans="1:7" ht="34.5" customHeight="1">
      <c r="A26" s="11"/>
      <c r="B26" s="2"/>
      <c r="C26" s="2"/>
      <c r="D26" s="2"/>
      <c r="E26" s="7"/>
      <c r="F26" s="7"/>
      <c r="G26" s="2"/>
    </row>
    <row r="27" spans="1:7" ht="34.5" customHeight="1">
      <c r="A27" s="11"/>
      <c r="B27" s="2"/>
      <c r="C27" s="2"/>
      <c r="D27" s="2"/>
      <c r="E27" s="2"/>
      <c r="F27" s="2"/>
      <c r="G27" s="2"/>
    </row>
    <row r="28" spans="1:7" ht="34.5" customHeight="1">
      <c r="A28" s="11"/>
      <c r="B28" s="8"/>
      <c r="C28" s="7"/>
      <c r="D28" s="14"/>
      <c r="E28" s="7"/>
      <c r="F28"/>
      <c r="G28" s="2"/>
    </row>
    <row r="29" spans="1:7" ht="34.5" customHeight="1">
      <c r="A29" s="11"/>
      <c r="B29" s="2"/>
      <c r="C29" s="2"/>
      <c r="D29" s="2"/>
      <c r="E29" s="2"/>
      <c r="F29" s="2"/>
      <c r="G29" s="2"/>
    </row>
    <row r="30" spans="1:7" ht="34.5" customHeight="1">
      <c r="A30" s="11"/>
      <c r="B30" s="8"/>
      <c r="C30" s="7"/>
      <c r="D30" s="14"/>
      <c r="E30" s="7"/>
      <c r="F30"/>
      <c r="G30" s="2"/>
    </row>
    <row r="31" spans="1:7" ht="34.5" customHeight="1">
      <c r="A31" s="11"/>
      <c r="B31" s="8"/>
      <c r="C31" s="7"/>
      <c r="D31" s="14"/>
      <c r="E31" s="2"/>
      <c r="F31" s="2"/>
      <c r="G31" s="2"/>
    </row>
    <row r="32" spans="1:7" ht="34.5" customHeight="1">
      <c r="A32" s="60"/>
      <c r="B32" s="61"/>
      <c r="C32" s="62"/>
      <c r="D32" s="63"/>
      <c r="E32" s="62"/>
      <c r="F32"/>
      <c r="G32" s="7"/>
    </row>
    <row r="33" spans="1:7" ht="34.5" customHeight="1">
      <c r="A33" s="64"/>
      <c r="B33" s="64"/>
      <c r="C33" s="64"/>
      <c r="D33" s="64"/>
      <c r="E33" s="64"/>
      <c r="F33" s="2"/>
      <c r="G33" s="2"/>
    </row>
    <row r="34" spans="1:7" ht="34.5" customHeight="1">
      <c r="A34" s="65"/>
      <c r="B34" s="66"/>
      <c r="C34" s="62"/>
      <c r="D34" s="63"/>
      <c r="E34" s="62"/>
      <c r="F34" s="20"/>
      <c r="G34" s="2"/>
    </row>
    <row r="35" spans="1:7" ht="34.5" customHeight="1">
      <c r="A35" s="60"/>
      <c r="B35" s="66"/>
      <c r="C35" s="62"/>
      <c r="D35" s="63"/>
      <c r="E35" s="62"/>
      <c r="F35" s="20"/>
      <c r="G35" s="2"/>
    </row>
    <row r="36" spans="1:7" ht="34.5" customHeight="1">
      <c r="A36" s="67"/>
      <c r="B36" s="68"/>
      <c r="C36" s="62"/>
      <c r="D36" s="63"/>
      <c r="E36" s="62"/>
      <c r="F36" s="20"/>
      <c r="G36" s="2"/>
    </row>
    <row r="37" spans="1:7" ht="34.5" customHeight="1">
      <c r="A37" s="60"/>
      <c r="B37" s="66"/>
      <c r="C37" s="62"/>
      <c r="D37" s="63"/>
      <c r="E37" s="62"/>
      <c r="F37" s="20"/>
      <c r="G37" s="7"/>
    </row>
    <row r="38" spans="1:7" ht="34.5" customHeight="1">
      <c r="A38" s="67"/>
      <c r="B38" s="66"/>
      <c r="C38" s="62"/>
      <c r="D38" s="69"/>
      <c r="E38" s="62"/>
      <c r="F38" s="20"/>
      <c r="G38" s="7"/>
    </row>
    <row r="39" spans="1:7" ht="18.75" customHeight="1">
      <c r="A39" s="70"/>
      <c r="B39" s="70"/>
      <c r="C39" s="70"/>
      <c r="D39" s="70"/>
      <c r="E39" s="70"/>
    </row>
    <row r="40" spans="1:7" ht="45.75" customHeight="1">
      <c r="A40" s="71"/>
      <c r="B40" s="66"/>
      <c r="C40" s="62"/>
      <c r="D40" s="69"/>
      <c r="E40" s="61"/>
      <c r="F40" s="50"/>
      <c r="G40" s="48"/>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18" r:id="rId4">
          <objectPr defaultSize="0" autoPict="0" r:id="rId5">
            <anchor moveWithCells="1" sizeWithCells="1">
              <from>
                <xdr:col>5</xdr:col>
                <xdr:colOff>0</xdr:colOff>
                <xdr:row>5</xdr:row>
                <xdr:rowOff>0</xdr:rowOff>
              </from>
              <to>
                <xdr:col>5</xdr:col>
                <xdr:colOff>1257300</xdr:colOff>
                <xdr:row>5</xdr:row>
                <xdr:rowOff>447675</xdr:rowOff>
              </to>
            </anchor>
          </objectPr>
        </oleObject>
      </mc:Choice>
      <mc:Fallback>
        <oleObject progId="Equation.3" shapeId="9218" r:id="rId4"/>
      </mc:Fallback>
    </mc:AlternateContent>
    <mc:AlternateContent xmlns:mc="http://schemas.openxmlformats.org/markup-compatibility/2006">
      <mc:Choice Requires="x14">
        <oleObject progId="Equation.3" shapeId="9225" r:id="rId6">
          <objectPr defaultSize="0" autoPict="0" r:id="rId7">
            <anchor moveWithCells="1" sizeWithCells="1">
              <from>
                <xdr:col>5</xdr:col>
                <xdr:colOff>0</xdr:colOff>
                <xdr:row>4</xdr:row>
                <xdr:rowOff>0</xdr:rowOff>
              </from>
              <to>
                <xdr:col>5</xdr:col>
                <xdr:colOff>1114425</xdr:colOff>
                <xdr:row>4</xdr:row>
                <xdr:rowOff>447675</xdr:rowOff>
              </to>
            </anchor>
          </objectPr>
        </oleObject>
      </mc:Choice>
      <mc:Fallback>
        <oleObject progId="Equation.3" shapeId="9225" r:id="rId6"/>
      </mc:Fallback>
    </mc:AlternateContent>
    <mc:AlternateContent xmlns:mc="http://schemas.openxmlformats.org/markup-compatibility/2006">
      <mc:Choice Requires="x14">
        <oleObject progId="Equation.3" shapeId="9226" r:id="rId8">
          <objectPr defaultSize="0" autoPict="0" r:id="rId9">
            <anchor moveWithCells="1" sizeWithCells="1">
              <from>
                <xdr:col>5</xdr:col>
                <xdr:colOff>0</xdr:colOff>
                <xdr:row>3</xdr:row>
                <xdr:rowOff>0</xdr:rowOff>
              </from>
              <to>
                <xdr:col>5</xdr:col>
                <xdr:colOff>1447800</xdr:colOff>
                <xdr:row>3</xdr:row>
                <xdr:rowOff>447675</xdr:rowOff>
              </to>
            </anchor>
          </objectPr>
        </oleObject>
      </mc:Choice>
      <mc:Fallback>
        <oleObject progId="Equation.3" shapeId="9226" r:id="rId8"/>
      </mc:Fallback>
    </mc:AlternateContent>
    <mc:AlternateContent xmlns:mc="http://schemas.openxmlformats.org/markup-compatibility/2006">
      <mc:Choice Requires="x14">
        <oleObject progId="Equation.3" shapeId="9228" r:id="rId10">
          <objectPr defaultSize="0" autoPict="0" r:id="rId11">
            <anchor moveWithCells="1" sizeWithCells="1">
              <from>
                <xdr:col>5</xdr:col>
                <xdr:colOff>0</xdr:colOff>
                <xdr:row>9</xdr:row>
                <xdr:rowOff>0</xdr:rowOff>
              </from>
              <to>
                <xdr:col>5</xdr:col>
                <xdr:colOff>2247900</xdr:colOff>
                <xdr:row>9</xdr:row>
                <xdr:rowOff>428625</xdr:rowOff>
              </to>
            </anchor>
          </objectPr>
        </oleObject>
      </mc:Choice>
      <mc:Fallback>
        <oleObject progId="Equation.3" shapeId="9228" r:id="rId10"/>
      </mc:Fallback>
    </mc:AlternateContent>
    <mc:AlternateContent xmlns:mc="http://schemas.openxmlformats.org/markup-compatibility/2006">
      <mc:Choice Requires="x14">
        <oleObject progId="Equation.3" shapeId="9230" r:id="rId12">
          <objectPr defaultSize="0" autoPict="0" r:id="rId13">
            <anchor moveWithCells="1" sizeWithCells="1">
              <from>
                <xdr:col>5</xdr:col>
                <xdr:colOff>0</xdr:colOff>
                <xdr:row>14</xdr:row>
                <xdr:rowOff>0</xdr:rowOff>
              </from>
              <to>
                <xdr:col>5</xdr:col>
                <xdr:colOff>1676400</xdr:colOff>
                <xdr:row>14</xdr:row>
                <xdr:rowOff>428625</xdr:rowOff>
              </to>
            </anchor>
          </objectPr>
        </oleObject>
      </mc:Choice>
      <mc:Fallback>
        <oleObject progId="Equation.3" shapeId="9230" r:id="rId12"/>
      </mc:Fallback>
    </mc:AlternateContent>
    <mc:AlternateContent xmlns:mc="http://schemas.openxmlformats.org/markup-compatibility/2006">
      <mc:Choice Requires="x14">
        <oleObject progId="Equation.3" shapeId="9232" r:id="rId14">
          <objectPr defaultSize="0" autoPict="0" r:id="rId15">
            <anchor moveWithCells="1" sizeWithCells="1">
              <from>
                <xdr:col>5</xdr:col>
                <xdr:colOff>0</xdr:colOff>
                <xdr:row>19</xdr:row>
                <xdr:rowOff>0</xdr:rowOff>
              </from>
              <to>
                <xdr:col>5</xdr:col>
                <xdr:colOff>2314575</xdr:colOff>
                <xdr:row>20</xdr:row>
                <xdr:rowOff>19050</xdr:rowOff>
              </to>
            </anchor>
          </objectPr>
        </oleObject>
      </mc:Choice>
      <mc:Fallback>
        <oleObject progId="Equation.3" shapeId="9232" r:id="rId14"/>
      </mc:Fallback>
    </mc:AlternateContent>
    <mc:AlternateContent xmlns:mc="http://schemas.openxmlformats.org/markup-compatibility/2006">
      <mc:Choice Requires="x14">
        <oleObject progId="Equation.3" shapeId="9237" r:id="rId16">
          <objectPr defaultSize="0" autoPict="0" r:id="rId17">
            <anchor moveWithCells="1" sizeWithCells="1">
              <from>
                <xdr:col>5</xdr:col>
                <xdr:colOff>0</xdr:colOff>
                <xdr:row>10</xdr:row>
                <xdr:rowOff>0</xdr:rowOff>
              </from>
              <to>
                <xdr:col>5</xdr:col>
                <xdr:colOff>1038225</xdr:colOff>
                <xdr:row>10</xdr:row>
                <xdr:rowOff>457200</xdr:rowOff>
              </to>
            </anchor>
          </objectPr>
        </oleObject>
      </mc:Choice>
      <mc:Fallback>
        <oleObject progId="Equation.3" shapeId="9237" r:id="rId16"/>
      </mc:Fallback>
    </mc:AlternateContent>
    <mc:AlternateContent xmlns:mc="http://schemas.openxmlformats.org/markup-compatibility/2006">
      <mc:Choice Requires="x14">
        <oleObject progId="Equation.3" shapeId="9238" r:id="rId18">
          <objectPr defaultSize="0" autoPict="0" r:id="rId19">
            <anchor moveWithCells="1" sizeWithCells="1">
              <from>
                <xdr:col>5</xdr:col>
                <xdr:colOff>0</xdr:colOff>
                <xdr:row>15</xdr:row>
                <xdr:rowOff>0</xdr:rowOff>
              </from>
              <to>
                <xdr:col>5</xdr:col>
                <xdr:colOff>1038225</xdr:colOff>
                <xdr:row>15</xdr:row>
                <xdr:rowOff>409575</xdr:rowOff>
              </to>
            </anchor>
          </objectPr>
        </oleObject>
      </mc:Choice>
      <mc:Fallback>
        <oleObject progId="Equation.3" shapeId="9238" r:id="rId18"/>
      </mc:Fallback>
    </mc:AlternateContent>
    <mc:AlternateContent xmlns:mc="http://schemas.openxmlformats.org/markup-compatibility/2006">
      <mc:Choice Requires="x14">
        <oleObject progId="Equation.3" shapeId="9239" r:id="rId20">
          <objectPr defaultSize="0" autoPict="0" r:id="rId21">
            <anchor moveWithCells="1" sizeWithCells="1">
              <from>
                <xdr:col>5</xdr:col>
                <xdr:colOff>0</xdr:colOff>
                <xdr:row>11</xdr:row>
                <xdr:rowOff>0</xdr:rowOff>
              </from>
              <to>
                <xdr:col>5</xdr:col>
                <xdr:colOff>1000125</xdr:colOff>
                <xdr:row>11</xdr:row>
                <xdr:rowOff>409575</xdr:rowOff>
              </to>
            </anchor>
          </objectPr>
        </oleObject>
      </mc:Choice>
      <mc:Fallback>
        <oleObject progId="Equation.3" shapeId="9239" r:id="rId20"/>
      </mc:Fallback>
    </mc:AlternateContent>
    <mc:AlternateContent xmlns:mc="http://schemas.openxmlformats.org/markup-compatibility/2006">
      <mc:Choice Requires="x14">
        <oleObject progId="Equation.3" shapeId="9240" r:id="rId22">
          <objectPr defaultSize="0" autoPict="0" r:id="rId23">
            <anchor moveWithCells="1" sizeWithCells="1">
              <from>
                <xdr:col>5</xdr:col>
                <xdr:colOff>0</xdr:colOff>
                <xdr:row>16</xdr:row>
                <xdr:rowOff>0</xdr:rowOff>
              </from>
              <to>
                <xdr:col>5</xdr:col>
                <xdr:colOff>1057275</xdr:colOff>
                <xdr:row>17</xdr:row>
                <xdr:rowOff>19050</xdr:rowOff>
              </to>
            </anchor>
          </objectPr>
        </oleObject>
      </mc:Choice>
      <mc:Fallback>
        <oleObject progId="Equation.3" shapeId="9240" r:id="rId22"/>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P16"/>
  <sheetViews>
    <sheetView workbookViewId="0">
      <selection activeCell="E17" sqref="E17"/>
    </sheetView>
  </sheetViews>
  <sheetFormatPr baseColWidth="10" defaultColWidth="9.140625" defaultRowHeight="12.75"/>
  <cols>
    <col min="1" max="1" width="35.7109375" style="47" bestFit="1" customWidth="1"/>
    <col min="2" max="2" width="12.140625" style="47" customWidth="1"/>
    <col min="3" max="3" width="16.5703125" style="47" customWidth="1"/>
    <col min="4" max="4" width="8.140625" style="47" bestFit="1" customWidth="1"/>
    <col min="5" max="5" width="14" style="47" customWidth="1"/>
    <col min="6" max="6" width="8.85546875" style="47" customWidth="1"/>
    <col min="7" max="7" width="14.5703125" style="47" customWidth="1"/>
    <col min="8" max="8" width="9.140625" style="47"/>
    <col min="9" max="9" width="28.5703125" style="47" customWidth="1"/>
    <col min="10" max="10" width="11.28515625" style="47" customWidth="1"/>
    <col min="11" max="11" width="9.140625" style="53"/>
    <col min="12" max="16384" width="9.140625" style="47"/>
  </cols>
  <sheetData>
    <row r="1" spans="1:16" ht="62.25" customHeight="1">
      <c r="A1" s="175" t="s">
        <v>15</v>
      </c>
      <c r="B1" s="176"/>
      <c r="C1" s="176"/>
      <c r="D1" s="176"/>
      <c r="E1" s="176"/>
      <c r="F1" s="176"/>
      <c r="G1" s="176"/>
      <c r="H1" s="176"/>
      <c r="I1" s="176"/>
    </row>
    <row r="2" spans="1:16">
      <c r="L2" s="53"/>
      <c r="M2" s="53"/>
      <c r="N2" s="53"/>
      <c r="O2" s="53"/>
      <c r="P2" s="53"/>
    </row>
    <row r="3" spans="1:16" ht="13.5" thickBot="1"/>
    <row r="4" spans="1:16" ht="26.25" thickBot="1">
      <c r="A4" s="42" t="s">
        <v>2</v>
      </c>
      <c r="B4" s="43" t="s">
        <v>6</v>
      </c>
      <c r="C4" s="37" t="s">
        <v>21</v>
      </c>
      <c r="D4" s="43" t="s">
        <v>0</v>
      </c>
      <c r="E4" s="43" t="s">
        <v>3</v>
      </c>
      <c r="F4" s="37" t="s">
        <v>7</v>
      </c>
      <c r="G4" s="43" t="s">
        <v>11</v>
      </c>
      <c r="H4" s="37" t="s">
        <v>8</v>
      </c>
      <c r="I4" s="44" t="s">
        <v>5</v>
      </c>
      <c r="J4" s="84"/>
      <c r="K4" s="84"/>
    </row>
    <row r="5" spans="1:16" ht="23.25" customHeight="1">
      <c r="A5" s="141" t="s">
        <v>126</v>
      </c>
      <c r="B5" s="45"/>
      <c r="D5" s="45"/>
      <c r="E5" s="45"/>
      <c r="G5" s="45"/>
      <c r="I5" s="46"/>
    </row>
    <row r="6" spans="1:16" ht="25.5">
      <c r="A6" s="56" t="s">
        <v>33</v>
      </c>
      <c r="B6" s="8" t="s">
        <v>39</v>
      </c>
      <c r="C6" s="8" t="s">
        <v>42</v>
      </c>
      <c r="D6" s="59" t="s">
        <v>89</v>
      </c>
      <c r="E6" s="165">
        <f>Method_calculation!D10</f>
        <v>0.22894736842105265</v>
      </c>
      <c r="F6" s="40" t="s">
        <v>34</v>
      </c>
      <c r="G6" s="40" t="s">
        <v>88</v>
      </c>
      <c r="H6" s="40" t="s">
        <v>26</v>
      </c>
      <c r="I6" s="41"/>
      <c r="J6" s="84"/>
      <c r="L6" s="72"/>
      <c r="M6" s="70"/>
      <c r="N6" s="70"/>
      <c r="O6" s="70"/>
      <c r="P6" s="70"/>
    </row>
    <row r="7" spans="1:16" ht="25.5">
      <c r="A7" s="56" t="s">
        <v>35</v>
      </c>
      <c r="B7" s="8" t="s">
        <v>37</v>
      </c>
      <c r="C7" s="8" t="s">
        <v>40</v>
      </c>
      <c r="D7" s="59" t="s">
        <v>89</v>
      </c>
      <c r="E7" s="165">
        <f>Method_calculation!D11</f>
        <v>0.17446808510638301</v>
      </c>
      <c r="F7" s="40" t="s">
        <v>34</v>
      </c>
      <c r="G7" s="40" t="s">
        <v>88</v>
      </c>
      <c r="H7" s="40" t="s">
        <v>26</v>
      </c>
      <c r="I7" s="41"/>
      <c r="J7" s="84"/>
      <c r="L7" s="72"/>
      <c r="M7" s="70"/>
      <c r="N7" s="70"/>
      <c r="O7" s="70"/>
      <c r="P7" s="70"/>
    </row>
    <row r="8" spans="1:16" s="53" customFormat="1" ht="25.5">
      <c r="A8" s="56" t="s">
        <v>36</v>
      </c>
      <c r="B8" s="8" t="s">
        <v>38</v>
      </c>
      <c r="C8" s="8" t="s">
        <v>41</v>
      </c>
      <c r="D8" s="59" t="s">
        <v>89</v>
      </c>
      <c r="E8" s="165">
        <f>Method_calculation!D12</f>
        <v>0.17446808510638301</v>
      </c>
      <c r="F8" s="40" t="s">
        <v>34</v>
      </c>
      <c r="G8" s="40" t="s">
        <v>88</v>
      </c>
      <c r="H8" s="40" t="s">
        <v>26</v>
      </c>
      <c r="I8" s="52"/>
      <c r="J8" s="84"/>
      <c r="L8" s="72"/>
    </row>
    <row r="9" spans="1:16">
      <c r="A9" s="142"/>
      <c r="B9" s="136"/>
      <c r="C9" s="136"/>
      <c r="D9" s="137"/>
      <c r="E9" s="138"/>
      <c r="F9" s="139"/>
      <c r="G9" s="139"/>
      <c r="H9" s="139"/>
      <c r="I9" s="140"/>
      <c r="J9" s="84"/>
      <c r="L9" s="72"/>
    </row>
    <row r="10" spans="1:16" s="147" customFormat="1" ht="23.25" customHeight="1">
      <c r="A10" s="143" t="s">
        <v>127</v>
      </c>
      <c r="B10" s="144"/>
      <c r="C10" s="144"/>
      <c r="D10" s="144"/>
      <c r="E10" s="144"/>
      <c r="F10" s="144"/>
      <c r="G10" s="144"/>
      <c r="H10" s="144"/>
      <c r="I10" s="145"/>
      <c r="J10" s="146"/>
    </row>
    <row r="11" spans="1:16" s="53" customFormat="1" ht="25.5">
      <c r="A11" s="56" t="s">
        <v>33</v>
      </c>
      <c r="B11" s="8" t="s">
        <v>39</v>
      </c>
      <c r="C11" s="8" t="s">
        <v>42</v>
      </c>
      <c r="D11" s="59" t="s">
        <v>89</v>
      </c>
      <c r="E11" s="165">
        <f>Method_calculation!D10</f>
        <v>0.22894736842105265</v>
      </c>
      <c r="F11" s="40" t="s">
        <v>34</v>
      </c>
      <c r="G11" s="40" t="s">
        <v>88</v>
      </c>
      <c r="H11" s="40" t="s">
        <v>26</v>
      </c>
      <c r="I11" s="41"/>
      <c r="J11" s="84"/>
      <c r="L11" s="72"/>
    </row>
    <row r="12" spans="1:16" s="53" customFormat="1" ht="25.5">
      <c r="A12" s="56" t="s">
        <v>35</v>
      </c>
      <c r="B12" s="8" t="s">
        <v>37</v>
      </c>
      <c r="C12" s="8" t="s">
        <v>40</v>
      </c>
      <c r="D12" s="59" t="s">
        <v>89</v>
      </c>
      <c r="E12" s="165">
        <f>Method_calculation!D11</f>
        <v>0.17446808510638301</v>
      </c>
      <c r="F12" s="40" t="s">
        <v>34</v>
      </c>
      <c r="G12" s="40" t="s">
        <v>88</v>
      </c>
      <c r="H12" s="40" t="s">
        <v>26</v>
      </c>
      <c r="I12" s="41"/>
      <c r="J12" s="84"/>
      <c r="L12" s="72"/>
    </row>
    <row r="13" spans="1:16" s="53" customFormat="1" ht="25.5">
      <c r="A13" s="56" t="s">
        <v>36</v>
      </c>
      <c r="B13" s="8" t="s">
        <v>38</v>
      </c>
      <c r="C13" s="8" t="s">
        <v>41</v>
      </c>
      <c r="D13" s="59" t="s">
        <v>89</v>
      </c>
      <c r="E13" s="165">
        <f>Method_calculation!D12</f>
        <v>0.17446808510638301</v>
      </c>
      <c r="F13" s="40" t="s">
        <v>34</v>
      </c>
      <c r="G13" s="40" t="s">
        <v>88</v>
      </c>
      <c r="H13" s="40" t="s">
        <v>26</v>
      </c>
      <c r="I13" s="52"/>
      <c r="J13" s="84"/>
      <c r="L13" s="72"/>
    </row>
    <row r="14" spans="1:16" s="53" customFormat="1">
      <c r="A14" s="135"/>
      <c r="B14" s="136"/>
      <c r="C14" s="136"/>
      <c r="D14" s="137"/>
      <c r="E14" s="138"/>
      <c r="F14" s="139"/>
      <c r="G14" s="139"/>
      <c r="H14" s="139"/>
      <c r="I14" s="140"/>
      <c r="J14" s="84"/>
      <c r="L14" s="72"/>
    </row>
    <row r="15" spans="1:16" s="53" customFormat="1">
      <c r="A15" s="143" t="s">
        <v>128</v>
      </c>
      <c r="B15" s="144"/>
      <c r="C15" s="144"/>
      <c r="D15" s="144"/>
      <c r="E15" s="144"/>
      <c r="F15" s="144"/>
      <c r="G15" s="144"/>
      <c r="H15" s="144"/>
      <c r="I15" s="145"/>
      <c r="J15" s="84"/>
      <c r="L15" s="72"/>
    </row>
    <row r="16" spans="1:16" s="53" customFormat="1" ht="25.5">
      <c r="A16" s="56" t="s">
        <v>33</v>
      </c>
      <c r="B16" s="8" t="s">
        <v>39</v>
      </c>
      <c r="C16" s="8" t="s">
        <v>42</v>
      </c>
      <c r="D16" s="59" t="s">
        <v>89</v>
      </c>
      <c r="E16" s="165">
        <f>Method_calculation!D20</f>
        <v>0.33750000000000002</v>
      </c>
      <c r="F16" s="40" t="s">
        <v>34</v>
      </c>
      <c r="G16" s="40" t="s">
        <v>88</v>
      </c>
      <c r="H16" s="40" t="s">
        <v>26</v>
      </c>
      <c r="I16" s="41"/>
      <c r="J16" s="84"/>
      <c r="L16" s="72"/>
    </row>
  </sheetData>
  <mergeCells count="1">
    <mergeCell ref="A1:I1"/>
  </mergeCells>
  <phoneticPr fontId="0" type="noConversion"/>
  <pageMargins left="0.75" right="0.75" top="1" bottom="1" header="0.5" footer="0.5"/>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K30"/>
  <sheetViews>
    <sheetView workbookViewId="0">
      <selection activeCell="D22" sqref="D22"/>
    </sheetView>
  </sheetViews>
  <sheetFormatPr baseColWidth="10" defaultRowHeight="12.75"/>
  <cols>
    <col min="3" max="3" width="8.42578125" customWidth="1"/>
    <col min="4" max="4" width="9.85546875" customWidth="1"/>
    <col min="5" max="5" width="13.7109375" customWidth="1"/>
  </cols>
  <sheetData>
    <row r="3" spans="3:11" ht="13.5" thickBot="1"/>
    <row r="4" spans="3:11">
      <c r="C4" s="129" t="s">
        <v>118</v>
      </c>
      <c r="D4" s="87"/>
      <c r="E4" s="87"/>
      <c r="F4" s="87"/>
      <c r="G4" s="87"/>
      <c r="H4" s="87"/>
      <c r="I4" s="87"/>
      <c r="J4" s="88"/>
    </row>
    <row r="5" spans="3:11">
      <c r="C5" s="116"/>
      <c r="D5" s="90"/>
      <c r="E5" s="90"/>
      <c r="G5" s="92"/>
      <c r="H5" s="91"/>
      <c r="I5" s="93"/>
      <c r="J5" s="94"/>
    </row>
    <row r="6" spans="3:11" ht="13.5" thickBot="1">
      <c r="C6" s="89"/>
      <c r="D6" s="90"/>
      <c r="E6" s="90"/>
      <c r="F6" s="90"/>
      <c r="G6" s="90"/>
      <c r="H6" s="90"/>
      <c r="I6" s="90"/>
      <c r="J6" s="94"/>
    </row>
    <row r="7" spans="3:11">
      <c r="C7" s="115" t="s">
        <v>115</v>
      </c>
      <c r="D7" s="130"/>
      <c r="E7" s="95"/>
      <c r="F7" s="90"/>
      <c r="G7" s="96"/>
      <c r="H7" s="97" t="s">
        <v>97</v>
      </c>
      <c r="I7" s="98"/>
      <c r="J7" s="94"/>
    </row>
    <row r="8" spans="3:11" ht="18.75">
      <c r="C8" s="118" t="s">
        <v>104</v>
      </c>
      <c r="D8" s="119">
        <v>3</v>
      </c>
      <c r="E8" s="131" t="s">
        <v>24</v>
      </c>
      <c r="F8" s="90"/>
      <c r="G8" s="100" t="s">
        <v>112</v>
      </c>
      <c r="H8" s="121" t="s">
        <v>113</v>
      </c>
      <c r="I8" s="122" t="s">
        <v>114</v>
      </c>
      <c r="J8" s="94"/>
      <c r="K8" s="101"/>
    </row>
    <row r="9" spans="3:11" ht="13.5" thickBot="1">
      <c r="C9" s="118" t="s">
        <v>44</v>
      </c>
      <c r="D9" s="119">
        <v>0.75</v>
      </c>
      <c r="E9" s="131" t="s">
        <v>117</v>
      </c>
      <c r="F9" s="90"/>
      <c r="G9" s="102">
        <f>D22*D9+D25*H11/D17+D22*(1-D9)*H11/D16</f>
        <v>0.22894736842105265</v>
      </c>
      <c r="H9" s="103">
        <f>(D13*D26)/(1-D14*D28)</f>
        <v>0.17446808510638301</v>
      </c>
      <c r="I9" s="104">
        <f>D10*D22/(1-D11*D24)</f>
        <v>0.17446808510638301</v>
      </c>
      <c r="J9" s="94"/>
    </row>
    <row r="10" spans="3:11" ht="15.75">
      <c r="C10" s="105" t="s">
        <v>94</v>
      </c>
      <c r="D10" s="119">
        <v>0.82</v>
      </c>
      <c r="E10" s="99" t="s">
        <v>117</v>
      </c>
      <c r="F10" s="90"/>
      <c r="G10" s="124"/>
      <c r="H10" s="125"/>
      <c r="I10" s="125"/>
      <c r="J10" s="94"/>
    </row>
    <row r="11" spans="3:11" ht="15.75">
      <c r="C11" s="105" t="s">
        <v>95</v>
      </c>
      <c r="D11" s="119">
        <v>0.15</v>
      </c>
      <c r="E11" s="99" t="s">
        <v>117</v>
      </c>
      <c r="F11" s="90"/>
      <c r="G11" s="117" t="s">
        <v>119</v>
      </c>
      <c r="H11" s="128">
        <f>1/(1/D8+1/D16+1/D17)</f>
        <v>1.5789473684210527</v>
      </c>
      <c r="I11" s="164" t="s">
        <v>122</v>
      </c>
      <c r="J11" s="163"/>
    </row>
    <row r="12" spans="3:11" ht="15.75">
      <c r="C12" s="105" t="s">
        <v>96</v>
      </c>
      <c r="D12" s="119">
        <v>0.15</v>
      </c>
      <c r="E12" s="99" t="s">
        <v>117</v>
      </c>
      <c r="F12" s="90"/>
      <c r="G12" s="124"/>
      <c r="H12" s="125"/>
      <c r="I12" s="125"/>
      <c r="J12" s="94"/>
    </row>
    <row r="13" spans="3:11" ht="15.75">
      <c r="C13" s="105" t="s">
        <v>91</v>
      </c>
      <c r="D13" s="119">
        <v>0.82</v>
      </c>
      <c r="E13" s="99" t="s">
        <v>117</v>
      </c>
      <c r="F13" s="90"/>
      <c r="G13" s="90"/>
      <c r="H13" s="90"/>
      <c r="I13" s="90"/>
      <c r="J13" s="94"/>
    </row>
    <row r="14" spans="3:11" ht="15.75">
      <c r="C14" s="105" t="s">
        <v>92</v>
      </c>
      <c r="D14" s="119">
        <v>0.15</v>
      </c>
      <c r="E14" s="99" t="s">
        <v>117</v>
      </c>
      <c r="F14" s="90"/>
      <c r="I14" s="90"/>
      <c r="J14" s="94"/>
    </row>
    <row r="15" spans="3:11" ht="16.5" thickBot="1">
      <c r="C15" s="106" t="s">
        <v>93</v>
      </c>
      <c r="D15" s="132">
        <v>0.15</v>
      </c>
      <c r="E15" s="107" t="s">
        <v>117</v>
      </c>
      <c r="F15" s="90"/>
      <c r="G15" s="90"/>
      <c r="H15" s="90"/>
      <c r="I15" s="90"/>
      <c r="J15" s="94"/>
    </row>
    <row r="16" spans="3:11" ht="15.75">
      <c r="C16" s="116" t="s">
        <v>101</v>
      </c>
      <c r="D16" s="108">
        <v>5</v>
      </c>
      <c r="E16" s="108"/>
      <c r="F16" s="90"/>
      <c r="G16" s="96"/>
      <c r="H16" s="97" t="s">
        <v>98</v>
      </c>
      <c r="I16" s="98"/>
      <c r="J16" s="94"/>
    </row>
    <row r="17" spans="3:10" ht="15.75">
      <c r="C17" s="116" t="s">
        <v>102</v>
      </c>
      <c r="D17" s="108">
        <v>10</v>
      </c>
      <c r="E17" s="108"/>
      <c r="F17" s="90"/>
      <c r="G17" s="100" t="s">
        <v>112</v>
      </c>
      <c r="H17" s="121" t="s">
        <v>113</v>
      </c>
      <c r="I17" s="122" t="s">
        <v>114</v>
      </c>
      <c r="J17" s="94"/>
    </row>
    <row r="18" spans="3:10" ht="16.5" thickBot="1">
      <c r="C18" s="116" t="s">
        <v>103</v>
      </c>
      <c r="D18" s="108">
        <v>30</v>
      </c>
      <c r="E18" s="108"/>
      <c r="F18" s="90"/>
      <c r="G18" s="109">
        <f>D9*D22+D9*(D25+(1-D9)*D23)*H20/D19</f>
        <v>0.33750000000000002</v>
      </c>
      <c r="H18" s="126" t="s">
        <v>117</v>
      </c>
      <c r="I18" s="127" t="s">
        <v>117</v>
      </c>
      <c r="J18" s="94"/>
    </row>
    <row r="19" spans="3:10" ht="15.75">
      <c r="C19" s="116" t="s">
        <v>116</v>
      </c>
      <c r="D19" s="123">
        <v>3</v>
      </c>
      <c r="E19" s="90"/>
      <c r="F19" s="90"/>
      <c r="G19" s="90"/>
      <c r="H19" s="90"/>
      <c r="I19" s="90"/>
      <c r="J19" s="94"/>
    </row>
    <row r="20" spans="3:10" ht="16.5" thickBot="1">
      <c r="C20" s="89"/>
      <c r="D20" s="90"/>
      <c r="E20" s="90"/>
      <c r="F20" s="90"/>
      <c r="G20" s="117" t="s">
        <v>121</v>
      </c>
      <c r="H20" s="128">
        <f>1/(1/D8+1/D19)</f>
        <v>1.5</v>
      </c>
      <c r="I20" s="164" t="s">
        <v>122</v>
      </c>
      <c r="J20" s="94"/>
    </row>
    <row r="21" spans="3:10" ht="13.5" customHeight="1" thickBot="1">
      <c r="C21" s="177" t="s">
        <v>100</v>
      </c>
      <c r="D21" s="178"/>
      <c r="E21" s="179"/>
      <c r="F21" s="90"/>
      <c r="G21" s="90"/>
      <c r="H21" s="90"/>
      <c r="I21" s="90"/>
      <c r="J21" s="94"/>
    </row>
    <row r="22" spans="3:10" ht="15.75">
      <c r="C22" s="105" t="s">
        <v>105</v>
      </c>
      <c r="D22" s="119">
        <v>0.2</v>
      </c>
      <c r="E22" s="99" t="s">
        <v>117</v>
      </c>
      <c r="F22" s="90"/>
      <c r="G22" s="96"/>
      <c r="H22" s="97" t="s">
        <v>99</v>
      </c>
      <c r="I22" s="98"/>
      <c r="J22" s="94"/>
    </row>
    <row r="23" spans="3:10" ht="15.75">
      <c r="C23" s="105" t="s">
        <v>106</v>
      </c>
      <c r="D23" s="119">
        <v>0.4</v>
      </c>
      <c r="E23" s="99" t="s">
        <v>117</v>
      </c>
      <c r="F23" s="90"/>
      <c r="G23" s="100" t="s">
        <v>112</v>
      </c>
      <c r="H23" s="121" t="s">
        <v>113</v>
      </c>
      <c r="I23" s="122" t="s">
        <v>114</v>
      </c>
      <c r="J23" s="94"/>
    </row>
    <row r="24" spans="3:10" ht="16.5" thickBot="1">
      <c r="C24" s="105" t="s">
        <v>107</v>
      </c>
      <c r="D24" s="119">
        <v>0.4</v>
      </c>
      <c r="E24" s="99" t="s">
        <v>117</v>
      </c>
      <c r="F24" s="90"/>
      <c r="G24" s="109">
        <f>D9*(1-D9*D23-D25*H26/D18)</f>
        <v>0.49772727272727268</v>
      </c>
      <c r="H24" s="103">
        <f>(D13*D26)/(1-D15*D27)</f>
        <v>0.17446808510638301</v>
      </c>
      <c r="I24" s="104">
        <f>D10*D22/(1-D12*D23)</f>
        <v>0.17446808510638301</v>
      </c>
      <c r="J24" s="94"/>
    </row>
    <row r="25" spans="3:10" ht="15.75">
      <c r="C25" s="105" t="s">
        <v>108</v>
      </c>
      <c r="D25" s="120">
        <f>1-D22-D23</f>
        <v>0.4</v>
      </c>
      <c r="E25" s="110" t="s">
        <v>117</v>
      </c>
      <c r="F25" s="90"/>
      <c r="G25" s="90"/>
      <c r="H25" s="90"/>
      <c r="I25" s="90"/>
      <c r="J25" s="94"/>
    </row>
    <row r="26" spans="3:10" ht="15.75">
      <c r="C26" s="105" t="s">
        <v>109</v>
      </c>
      <c r="D26" s="120">
        <v>0.2</v>
      </c>
      <c r="E26" s="110" t="s">
        <v>117</v>
      </c>
      <c r="F26" s="90"/>
      <c r="G26" s="117" t="s">
        <v>120</v>
      </c>
      <c r="H26" s="128">
        <f>1/(1/D8+1/D18)</f>
        <v>2.7272727272727275</v>
      </c>
      <c r="I26" s="164" t="s">
        <v>122</v>
      </c>
      <c r="J26" s="94"/>
    </row>
    <row r="27" spans="3:10" ht="15.75">
      <c r="C27" s="105" t="s">
        <v>110</v>
      </c>
      <c r="D27" s="120">
        <v>0.4</v>
      </c>
      <c r="E27" s="110" t="s">
        <v>117</v>
      </c>
      <c r="F27" s="90"/>
      <c r="G27" s="90"/>
      <c r="H27" s="90"/>
      <c r="I27" s="90"/>
      <c r="J27" s="94"/>
    </row>
    <row r="28" spans="3:10" ht="16.5" thickBot="1">
      <c r="C28" s="106" t="s">
        <v>111</v>
      </c>
      <c r="D28" s="133">
        <v>0.4</v>
      </c>
      <c r="E28" s="111" t="s">
        <v>117</v>
      </c>
      <c r="F28" s="90"/>
      <c r="G28" s="90"/>
      <c r="H28" s="90"/>
      <c r="I28" s="90"/>
      <c r="J28" s="94"/>
    </row>
    <row r="29" spans="3:10">
      <c r="F29" s="90"/>
      <c r="G29" s="90"/>
      <c r="H29" s="90"/>
      <c r="I29" s="90"/>
      <c r="J29" s="94"/>
    </row>
    <row r="30" spans="3:10" ht="13.5" thickBot="1">
      <c r="C30" s="112"/>
      <c r="D30" s="113"/>
      <c r="E30" s="113"/>
      <c r="F30" s="113"/>
      <c r="G30" s="113"/>
      <c r="H30" s="113"/>
      <c r="I30" s="113"/>
      <c r="J30" s="114"/>
    </row>
  </sheetData>
  <mergeCells count="1">
    <mergeCell ref="C21:E21"/>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C23" sqref="C23"/>
    </sheetView>
  </sheetViews>
  <sheetFormatPr baseColWidth="10" defaultColWidth="9.140625" defaultRowHeight="12.75"/>
  <cols>
    <col min="2" max="2" width="12.42578125" style="22" customWidth="1"/>
    <col min="3" max="3" width="27.5703125" customWidth="1"/>
    <col min="4" max="4" width="36.5703125" style="23" customWidth="1"/>
  </cols>
  <sheetData>
    <row r="1" spans="2:4" ht="13.5" thickBot="1"/>
    <row r="2" spans="2:4" ht="13.5" thickBot="1">
      <c r="B2" s="25" t="s">
        <v>12</v>
      </c>
      <c r="C2" s="26" t="s">
        <v>13</v>
      </c>
      <c r="D2" s="27" t="s">
        <v>14</v>
      </c>
    </row>
    <row r="3" spans="2:4">
      <c r="B3" s="86">
        <v>41774</v>
      </c>
      <c r="C3" s="24" t="s">
        <v>90</v>
      </c>
      <c r="D3" s="28"/>
    </row>
    <row r="4" spans="2:4">
      <c r="B4" s="29">
        <v>42069</v>
      </c>
      <c r="C4" s="56" t="s">
        <v>140</v>
      </c>
      <c r="D4" s="30"/>
    </row>
    <row r="5" spans="2:4">
      <c r="B5" s="31">
        <v>42139</v>
      </c>
      <c r="C5" s="56" t="s">
        <v>144</v>
      </c>
      <c r="D5" s="30"/>
    </row>
    <row r="6" spans="2:4" ht="51">
      <c r="B6" s="31">
        <v>42170</v>
      </c>
      <c r="C6" s="193" t="s">
        <v>172</v>
      </c>
      <c r="D6" s="30"/>
    </row>
    <row r="7" spans="2:4">
      <c r="B7" s="31"/>
      <c r="C7" s="56"/>
      <c r="D7" s="30"/>
    </row>
    <row r="8" spans="2:4">
      <c r="B8" s="31"/>
      <c r="C8" s="56"/>
      <c r="D8" s="57"/>
    </row>
    <row r="9" spans="2:4">
      <c r="B9" s="32"/>
      <c r="C9" s="20"/>
      <c r="D9" s="30"/>
    </row>
    <row r="10" spans="2:4">
      <c r="B10" s="32"/>
      <c r="C10" s="20"/>
      <c r="D10" s="30"/>
    </row>
    <row r="11" spans="2:4">
      <c r="B11" s="32"/>
      <c r="C11" s="20"/>
      <c r="D11" s="30"/>
    </row>
    <row r="12" spans="2:4">
      <c r="B12" s="32"/>
      <c r="C12" s="20"/>
      <c r="D12" s="30"/>
    </row>
    <row r="13" spans="2:4">
      <c r="B13" s="32"/>
      <c r="C13" s="20"/>
      <c r="D13" s="30"/>
    </row>
    <row r="14" spans="2:4">
      <c r="B14" s="32"/>
      <c r="C14" s="20"/>
      <c r="D14" s="30"/>
    </row>
    <row r="15" spans="2:4">
      <c r="B15" s="32"/>
      <c r="C15" s="20"/>
      <c r="D15" s="30"/>
    </row>
    <row r="16" spans="2:4">
      <c r="B16" s="32"/>
      <c r="C16" s="20"/>
      <c r="D16" s="30"/>
    </row>
    <row r="17" spans="2:4">
      <c r="B17" s="32"/>
      <c r="C17" s="20"/>
      <c r="D17" s="30"/>
    </row>
    <row r="18" spans="2:4" ht="13.5" thickBot="1">
      <c r="B18" s="33"/>
      <c r="C18" s="34"/>
      <c r="D18" s="35"/>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22</vt:i4>
      </vt:variant>
    </vt:vector>
  </HeadingPairs>
  <TitlesOfParts>
    <vt:vector size="28" baseType="lpstr">
      <vt:lpstr>INFO</vt:lpstr>
      <vt:lpstr>Method_input</vt:lpstr>
      <vt:lpstr>Method_calculation</vt:lpstr>
      <vt:lpstr>Method_output</vt:lpstr>
      <vt:lpstr>Alternative Calculation sheet</vt:lpstr>
      <vt:lpstr>History</vt:lpstr>
      <vt:lpstr>alpha_eB</vt:lpstr>
      <vt:lpstr>g</vt:lpstr>
      <vt:lpstr>g_1</vt:lpstr>
      <vt:lpstr>g_2</vt:lpstr>
      <vt:lpstr>g_3</vt:lpstr>
      <vt:lpstr>g_4</vt:lpstr>
      <vt:lpstr>g_ext</vt:lpstr>
      <vt:lpstr>g_int</vt:lpstr>
      <vt:lpstr>g_integr</vt:lpstr>
      <vt:lpstr>rho_e_ext</vt:lpstr>
      <vt:lpstr>rho_e_int</vt:lpstr>
      <vt:lpstr>rho_eB_ext</vt:lpstr>
      <vt:lpstr>rho_eB_int</vt:lpstr>
      <vt:lpstr>rho_v_ext</vt:lpstr>
      <vt:lpstr>rho_v_int</vt:lpstr>
      <vt:lpstr>rho_vB_ext</vt:lpstr>
      <vt:lpstr>rho_vB_int</vt:lpstr>
      <vt:lpstr>tau_e</vt:lpstr>
      <vt:lpstr>tau_eB</vt:lpstr>
      <vt:lpstr>tau_v</vt:lpstr>
      <vt:lpstr>tau_vB</vt:lpstr>
      <vt:lpstr>U_g</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Sack Norbert</cp:lastModifiedBy>
  <dcterms:created xsi:type="dcterms:W3CDTF">2011-05-24T04:21:57Z</dcterms:created>
  <dcterms:modified xsi:type="dcterms:W3CDTF">2015-06-09T08:41:31Z</dcterms:modified>
</cp:coreProperties>
</file>